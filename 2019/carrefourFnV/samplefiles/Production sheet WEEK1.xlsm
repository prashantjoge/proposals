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Daily Production Sheet\"/>
    </mc:Choice>
  </mc:AlternateContent>
  <bookViews>
    <workbookView xWindow="-45" yWindow="600" windowWidth="11220" windowHeight="7620" activeTab="2"/>
  </bookViews>
  <sheets>
    <sheet name="recipe" sheetId="1" r:id="rId1"/>
    <sheet name="PV" sheetId="2" r:id="rId2"/>
    <sheet name="Monday" sheetId="49" r:id="rId3"/>
    <sheet name="P.Monday" sheetId="50" r:id="rId4"/>
    <sheet name="tuesday" sheetId="37" state="hidden" r:id="rId5"/>
    <sheet name="P.tuesday" sheetId="38" state="hidden" r:id="rId6"/>
    <sheet name="wednesday" sheetId="39" state="hidden" r:id="rId7"/>
    <sheet name="P.wednesday" sheetId="40" state="hidden" r:id="rId8"/>
    <sheet name="thursday" sheetId="41" state="hidden" r:id="rId9"/>
    <sheet name="P.Thursday" sheetId="42" state="hidden" r:id="rId10"/>
    <sheet name="friday" sheetId="45" state="hidden" r:id="rId11"/>
    <sheet name="P.Friday" sheetId="46" state="hidden" r:id="rId12"/>
    <sheet name="Saturday" sheetId="47" state="hidden" r:id="rId13"/>
    <sheet name="P.Saturday" sheetId="48" state="hidden" r:id="rId14"/>
    <sheet name="sunday" sheetId="43" state="hidden" r:id="rId15"/>
    <sheet name="P.sunday" sheetId="44" state="hidden" r:id="rId16"/>
  </sheets>
  <externalReferences>
    <externalReference r:id="rId17"/>
  </externalReferences>
  <definedNames>
    <definedName name="_fcp1">#REF!</definedName>
    <definedName name="_xlnm._FilterDatabase" localSheetId="10" hidden="1">friday!$A$3:$KZ$153</definedName>
    <definedName name="_xlnm._FilterDatabase" localSheetId="2" hidden="1">Monday!$A$3:$KZ$153</definedName>
    <definedName name="_xlnm._FilterDatabase" localSheetId="9" hidden="1">P.Thursday!$A$139:$J$139</definedName>
    <definedName name="_xlnm._FilterDatabase" localSheetId="7" hidden="1">P.wednesday!$A$139:$J$139</definedName>
    <definedName name="_xlnm._FilterDatabase" localSheetId="1" hidden="1">PV!$A$3:$N$23</definedName>
    <definedName name="_xlnm._FilterDatabase" localSheetId="12" hidden="1">Saturday!$A$3:$KZ$153</definedName>
    <definedName name="_xlnm._FilterDatabase" localSheetId="14" hidden="1">sunday!$A$3:$KZ$153</definedName>
    <definedName name="_xlnm._FilterDatabase" localSheetId="8" hidden="1">thursday!$A$3:$KZ$153</definedName>
    <definedName name="_xlnm._FilterDatabase" localSheetId="4" hidden="1">tuesday!$A$3:$KZ$153</definedName>
    <definedName name="_xlnm._FilterDatabase" localSheetId="6" hidden="1">wednesday!$A$3:$KZ$153</definedName>
    <definedName name="AA">[1]tuesday!#REF!</definedName>
    <definedName name="AAA">[1]tuesday!#REF!</definedName>
    <definedName name="AAAA">[1]P.TUE!$F$27</definedName>
    <definedName name="AAAAA">[1]P.TUE!$B$140</definedName>
    <definedName name="AAAAAA">[1]P.TUE!$B$38</definedName>
    <definedName name="AAAAAAA">[1]P.TUE!$F$131</definedName>
    <definedName name="AAAAAAAB">[1]P.TUE!$B$53</definedName>
    <definedName name="AAAAAAABB">[1]P.TUE!$B$135</definedName>
    <definedName name="AAAAAAABBB">[1]P.TUE!$B$21</definedName>
    <definedName name="AAAAAAABBBB">[1]P.TUE!$F$31</definedName>
    <definedName name="AAAAAAABBBBB">[1]P.TUE!$F$84</definedName>
    <definedName name="AAAAAAABBBBBB">[1]P.TUE!$B$84</definedName>
    <definedName name="AAAAAAB">[1]P.TUE!$B$122</definedName>
    <definedName name="AAAAAABB">[1]P.TUE!$F$91</definedName>
    <definedName name="AAAAAABBB">[1]P.TUE!$F$53</definedName>
    <definedName name="AAAAAABBBB">[1]P.TUE!$B$63</definedName>
    <definedName name="AAAAAABBBBB">[1]P.TUE!$F$101</definedName>
    <definedName name="AAAAAABBBBBB">[1]P.TUE!$B$91</definedName>
    <definedName name="AAAAAB">[1]P.TUE!$B$9</definedName>
    <definedName name="AAAAABB">[1]P.TUE!$F$21</definedName>
    <definedName name="AAAAABBB">[1]P.TUE!$F$9</definedName>
    <definedName name="AAAAABBBB">[1]P.TUE!$F$122</definedName>
    <definedName name="AAAAABBBBB">[1]P.TUE!$B$31</definedName>
    <definedName name="AAAAABBBBBBB">[1]P.TUE!$B$42</definedName>
    <definedName name="AAAAABBBBBBBB">[1]P.TUE!$B$101</definedName>
    <definedName name="AAAAB">[1]P.TUE!$F$165</definedName>
    <definedName name="AAAABB">[1]P.TUE!$B$87</definedName>
    <definedName name="AAAABBB">[1]P.TUE!$B$97</definedName>
    <definedName name="AAAABBBB">[1]P.TUE!$B$110</definedName>
    <definedName name="AAAABBBBB">[1]P.TUE!$B$117</definedName>
    <definedName name="AAAABBBBBB">[1]P.TUE!$F$117</definedName>
    <definedName name="AAAB">[1]P.TUE!$B$49</definedName>
    <definedName name="AAABB">[1]P.TUE!$B$146</definedName>
    <definedName name="AAABBB">[1]P.TUE!$B$152</definedName>
    <definedName name="AAABBBB">[1]P.TUE!$F$110</definedName>
    <definedName name="AAABBBBB">[1]P.TUE!$F$140</definedName>
    <definedName name="AAB">[1]P.TUE!$F$87</definedName>
    <definedName name="AABB">[1]P.TUE!$B$165</definedName>
    <definedName name="AABBB">[1]P.TUE!$B$69</definedName>
    <definedName name="AABBBB">[1]P.TUE!$F$158</definedName>
    <definedName name="AABBBBB">[1]P.TUE!$B$158</definedName>
    <definedName name="AABBBBBB">[1]P.TUE!$F$38</definedName>
    <definedName name="AABBBBBBB">[1]P.TUE!$B$27</definedName>
    <definedName name="AB">[1]P.TUE!$F$146</definedName>
    <definedName name="ABB">[1]P.TUE!$B$131</definedName>
    <definedName name="ABBB">[1]P.TUE!$F$152</definedName>
    <definedName name="ABBBB">[1]P.TUE!$F$97</definedName>
    <definedName name="ABBBBB">[1]P.TUE!$B$15</definedName>
    <definedName name="ABBBBBB">[1]P.TUE!$F$59</definedName>
    <definedName name="Asssssssssssssss">'[1]monday3 '!#REF!</definedName>
    <definedName name="bbbbbbbbbbbbbbbbbbn">[1]P.SUN!$F$84</definedName>
    <definedName name="bbbbbbbbbbbbbbbbbnnn">[1]P.SUN!$B$84</definedName>
    <definedName name="bbbbbbbbbbbbbbbbn">[1]sunday!#REF!</definedName>
    <definedName name="bbbbbbbbbbbbbbbn">[1]P.SUN!$B$38</definedName>
    <definedName name="bbbbbbbbbbbbbn">[1]P.SUN!$B$91</definedName>
    <definedName name="bbbbbbbbbbbn">[1]P.SUN!$B$15</definedName>
    <definedName name="bbbbbbbbn">[1]P.SUN!$F$101</definedName>
    <definedName name="bbbbbbbn">[1]P.SUN!$B$101</definedName>
    <definedName name="bbbbbn">[1]P.SUN!$B$63</definedName>
    <definedName name="bbbbbnb">[1]P.SUN!$B$69</definedName>
    <definedName name="bbbbbnnn">[1]P.SUN!$F$53</definedName>
    <definedName name="bbbbnnn">[1]P.SUN!$F$91</definedName>
    <definedName name="bbbnb">[1]P.SUN!$B$53</definedName>
    <definedName name="bbbnn">[1]P.SUN!$B$122</definedName>
    <definedName name="bbbnnnnn">[1]P.SUN!$B$42</definedName>
    <definedName name="bbn">[1]P.SUN!$F$165</definedName>
    <definedName name="bbnn">[1]P.SUN!$F$31</definedName>
    <definedName name="bbnnn">[1]P.SUN!$F$38</definedName>
    <definedName name="bbnnnn">[1]P.SUN!$F$122</definedName>
    <definedName name="bbnnnnn">[1]P.SUN!$B$31</definedName>
    <definedName name="bn">[1]P.SUN!$B$152</definedName>
    <definedName name="bnbbbbbbbbbb">[1]P.SUN!$F$146</definedName>
    <definedName name="bnn">[1]P.SUN!$F$131</definedName>
    <definedName name="bnnn">[1]P.SUN!$B$110</definedName>
    <definedName name="bnnnn">[1]P.SUN!$B$158</definedName>
    <definedName name="bnnnnn">[1]P.SUN!$F$117</definedName>
    <definedName name="bnnnnnn">[1]P.SUN!$B$117</definedName>
    <definedName name="bnnnnnnn">[1]P.SUN!$B$165</definedName>
    <definedName name="bnnnnnnnb">[1]P.SUN!$F$158</definedName>
    <definedName name="bnnnnnnnnnnn">[1]P.SUN!$F$9</definedName>
    <definedName name="bnnnnnnnnnnnnnnn">[1]P.SUN!$F$59</definedName>
    <definedName name="bnnnnnnnnnnnnnnnn">[1]P.SUN!$B$9</definedName>
    <definedName name="bnnnnnnnnnnnnnnnnn">[1]P.SUN!$F$21</definedName>
    <definedName name="bnnnnnnnnnnnnnnnnnnnnn">[1]P.SUN!$B$97</definedName>
    <definedName name="bnnnnnnnnnnnnnnnnnnnnnnn">[1]P.SUN!$B$87</definedName>
    <definedName name="bnnnnnnnnnnnnnnnnnnnnnnnnnn">[1]P.SUN!$F$27</definedName>
    <definedName name="bnnnnnnnnnnnnnnnnnnnnnnnnnnn">[1]P.SUN!$F$97</definedName>
    <definedName name="bnnnnnnnnnnnnnnnnnnnnnnnnnnnnnnn">[1]P.SUN!$B$140</definedName>
    <definedName name="bnnnnnnnnnnnnnnnnnnnnnnnnnnnnnnnnnn">[1]P.SUN!$B$21</definedName>
    <definedName name="CAB">#REF!</definedName>
    <definedName name="CABO">#REF!</definedName>
    <definedName name="CAC">#REF!</definedName>
    <definedName name="CAD">#REF!</definedName>
    <definedName name="CAJ">#REF!</definedName>
    <definedName name="CAM">#REF!</definedName>
    <definedName name="CAME">#REF!</definedName>
    <definedName name="CAS">#REF!</definedName>
    <definedName name="CAV">#REF!</definedName>
    <definedName name="CCS">#REF!</definedName>
    <definedName name="CD">#REF!</definedName>
    <definedName name="CJ">#REF!</definedName>
    <definedName name="CM">#REF!</definedName>
    <definedName name="CME">#REF!</definedName>
    <definedName name="cob">#REF!</definedName>
    <definedName name="COBP">#REF!</definedName>
    <definedName name="coc">#REF!</definedName>
    <definedName name="COCIA">#REF!</definedName>
    <definedName name="COCLA">#REF!</definedName>
    <definedName name="COMN">#REF!</definedName>
    <definedName name="COPAC">#REF!</definedName>
    <definedName name="COPAS">#REF!</definedName>
    <definedName name="COPB">#REF!</definedName>
    <definedName name="copbu">#REF!</definedName>
    <definedName name="COPCE">#REF!</definedName>
    <definedName name="COPCM">#REF!</definedName>
    <definedName name="COPCO">#REF!</definedName>
    <definedName name="COPCOL">#REF!</definedName>
    <definedName name="COPF">#REF!</definedName>
    <definedName name="COPL">#REF!</definedName>
    <definedName name="copl2">#REF!</definedName>
    <definedName name="COPN">#REF!</definedName>
    <definedName name="COPR">#REF!</definedName>
    <definedName name="COPSF">#REF!</definedName>
    <definedName name="copsr">#REF!</definedName>
    <definedName name="COPTF">#REF!</definedName>
    <definedName name="cor">#REF!</definedName>
    <definedName name="CORN">#REF!</definedName>
    <definedName name="cos">#REF!</definedName>
    <definedName name="COSE">#REF!</definedName>
    <definedName name="COV">#REF!</definedName>
    <definedName name="COVR">#REF!</definedName>
    <definedName name="CPVC">#REF!</definedName>
    <definedName name="CS">#REF!</definedName>
    <definedName name="cv">recipe!$I$21</definedName>
    <definedName name="CVE">#REF!</definedName>
    <definedName name="CW">recipe!$J$11</definedName>
    <definedName name="CX">recipe!$I$20</definedName>
    <definedName name="CXAWECVSRT">[1]P.monday3!$B$31</definedName>
    <definedName name="DDDDDDDDDDDF">[1]P.FR!$F$87</definedName>
    <definedName name="DDDDDDDDDDF">[1]P.FR!$F$131</definedName>
    <definedName name="DDDDDDDDDF">[1]P.FR!$B$110</definedName>
    <definedName name="DDDDDDDDF">[1]P.FR!$B$158</definedName>
    <definedName name="DDDDDDDF">[1]P.FR!$F$117</definedName>
    <definedName name="DDDDDDF">[1]P.FR!$B$117</definedName>
    <definedName name="DDDDDF">[1]P.FR!$B$165</definedName>
    <definedName name="DDDDF">[1]P.FR!$F$9</definedName>
    <definedName name="DDDF">[1]P.FR!$B$9</definedName>
    <definedName name="DDF">[1]P.FR!$F$59</definedName>
    <definedName name="DF">[1]P.FR!$F$21</definedName>
    <definedName name="DFD">[1]P.FR!$B$97</definedName>
    <definedName name="DFDF">[1]P.FR!$B$87</definedName>
    <definedName name="DFDFD">[1]P.FR!$F$97</definedName>
    <definedName name="DFDFDF">[1]P.FR!$F$27</definedName>
    <definedName name="DFDFDFD">[1]P.FR!$B$140</definedName>
    <definedName name="DFDFDFDF">[1]P.FR!$B$21</definedName>
    <definedName name="DFDFDFDFDFD">[1]P.FR!$F$31</definedName>
    <definedName name="DFDFDFDFDFDF">[1]P.FR!$F$165</definedName>
    <definedName name="farine">recipe!$B$4</definedName>
    <definedName name="fasr">recipe!$F$55</definedName>
    <definedName name="fb">#REF!</definedName>
    <definedName name="fbp">#REF!</definedName>
    <definedName name="fbpp">recipe!$B$108</definedName>
    <definedName name="fbr">recipe!$B$55</definedName>
    <definedName name="fbs">#REF!</definedName>
    <definedName name="fcar">#REF!</definedName>
    <definedName name="fcpa">recipe!#REF!</definedName>
    <definedName name="fcr">recipe!$B$16</definedName>
    <definedName name="fcre">recipe!$F$68</definedName>
    <definedName name="fctp">#REF!</definedName>
    <definedName name="FD">[1]P.FR!$F$38</definedName>
    <definedName name="FDD">[1]P.FR!$F$122</definedName>
    <definedName name="FDDD">[1]P.FR!$B$31</definedName>
    <definedName name="FDDDDD">[1]P.FR!$B$42</definedName>
    <definedName name="FDDDDDD">[1]P.FR!$B$122</definedName>
    <definedName name="FDDDDDDD">[1]P.FR!$F$91</definedName>
    <definedName name="FDDDDDDDD">[1]P.FR!$F$53</definedName>
    <definedName name="FDDDDDDDDD">[1]P.FR!$B$63</definedName>
    <definedName name="FDDDDDDDDDD">[1]P.FR!$B$101</definedName>
    <definedName name="FDDDDDDDDDDD">[1]P.FR!$F$101</definedName>
    <definedName name="FDF">[1]P.FR!$B$15</definedName>
    <definedName name="FDFD">[1]P.FR!$B$38</definedName>
    <definedName name="FDFDFD">[1]P.FR!$F$84</definedName>
    <definedName name="FDFDFDF">[1]P.FR!$B$84</definedName>
    <definedName name="FFD">[1]P.FR!$B$91</definedName>
    <definedName name="FFDDDD">[1]P.FR!$B$53</definedName>
    <definedName name="FFFD">[1]P.FR!$F$146</definedName>
    <definedName name="FFFDD">[1]P.FR!$F$110</definedName>
    <definedName name="FFFDDDDD">[1]friday!#REF!</definedName>
    <definedName name="FFFFD">[1]P.FR!$B$69</definedName>
    <definedName name="FFFFFD">[1]P.FR!$F$158</definedName>
    <definedName name="FFFFFDDDD">[1]P.FR!$B$131</definedName>
    <definedName name="FFFFFFD">[1]P.FR!$B$49</definedName>
    <definedName name="FFFFFFFD">[1]P.FR!$B$146</definedName>
    <definedName name="FFFFFFFFD">[1]P.FR!$B$152</definedName>
    <definedName name="FFFFFFFFDF">[1]P.FR!$B$27</definedName>
    <definedName name="FFFFFFFFFFD">[1]friday!#REF!</definedName>
    <definedName name="FFFFFFFFFFFD">[1]P.FR!$F$140</definedName>
    <definedName name="FFFFFFFFFFFDDD">[1]P.FR!$F$152</definedName>
    <definedName name="FFFFFFFFFFFFFFD">[1]P.FR!$B$135</definedName>
    <definedName name="FFFFFFFFFFFFFFFFD">[1]P.FR!$B$59</definedName>
    <definedName name="flp">#REF!</definedName>
    <definedName name="flr">recipe!$F$16</definedName>
    <definedName name="fmnp">recipe!$F$93</definedName>
    <definedName name="fmnr">#REF!</definedName>
    <definedName name="fpasp">#REF!</definedName>
    <definedName name="fpbp">#REF!</definedName>
    <definedName name="fpbr">recipe!$F$32</definedName>
    <definedName name="fpcp">#REF!</definedName>
    <definedName name="fpcr">recipe!$B$44</definedName>
    <definedName name="fpsfgp">#REF!</definedName>
    <definedName name="fpsfgr">recipe!$F$79</definedName>
    <definedName name="fpsp">#REF!</definedName>
    <definedName name="fpsr">recipe!#REF!</definedName>
    <definedName name="fpvp">#REF!</definedName>
    <definedName name="frp">#REF!</definedName>
    <definedName name="frr">recipe!$B$32</definedName>
    <definedName name="fstgp">#REF!</definedName>
    <definedName name="ftf">recipe!$F$4</definedName>
    <definedName name="ftsp">#REF!</definedName>
    <definedName name="fvr">recipe!$B$79</definedName>
    <definedName name="Gbt">#REF!</definedName>
    <definedName name="kpsw">[1]P.monday3!$F$21</definedName>
    <definedName name="MCS">#REF!</definedName>
    <definedName name="MD">#REF!</definedName>
    <definedName name="MJ">#REF!</definedName>
    <definedName name="ML">#REF!</definedName>
    <definedName name="MM">#REF!</definedName>
    <definedName name="MME">#REF!</definedName>
    <definedName name="MS">#REF!</definedName>
    <definedName name="MV">#REF!</definedName>
    <definedName name="nb">[1]P.SUN!$F$87</definedName>
    <definedName name="nbb">[1]sunday!#REF!</definedName>
    <definedName name="nbbb">[1]P.SUN!$F$140</definedName>
    <definedName name="nbbbb">[1]P.SUN!$F$110</definedName>
    <definedName name="nbbbbbb">[1]P.SUN!$B$146</definedName>
    <definedName name="nbbbbbbbb">[1]P.SUN!$F$152</definedName>
    <definedName name="nbbbbbbbbbb">[1]P.SUN!$B$135</definedName>
    <definedName name="nbbbbbbbbbbbbbb">[1]P.SUN!$B$59</definedName>
    <definedName name="nbbbbbbbbbbbbbbbbbbbbbb">[1]P.SUN!$B$131</definedName>
    <definedName name="nbbbbbbbbbbbbbbbbbbbbbbbbb">[1]P.SUN!$B$49</definedName>
    <definedName name="nbbbbbbbbbbbbbbbbbbbbbbbbbbbbbbbbbb">[1]P.SUN!$B$27</definedName>
    <definedName name="ooopp">[1]P.TH!$F$21</definedName>
    <definedName name="oopp">[1]P.TH!$F$59</definedName>
    <definedName name="ooppp">[1]P.TH!$B$9</definedName>
    <definedName name="oopppp">[1]P.TH!$F$9</definedName>
    <definedName name="oopppppp">[1]P.TH!$B$165</definedName>
    <definedName name="ooppppppp">[1]P.TH!$B$117</definedName>
    <definedName name="ooppppppppp">[1]P.TH!$F$117</definedName>
    <definedName name="op">[1]P.TH!$B$158</definedName>
    <definedName name="opp">[1]P.TH!$B$110</definedName>
    <definedName name="oppp">[1]P.TH!$F$131</definedName>
    <definedName name="opppp">[1]P.TH!$F$87</definedName>
    <definedName name="oppppp">[1]P.TH!$F$38</definedName>
    <definedName name="PAS">recipe!#REF!</definedName>
    <definedName name="PB">recipe!#REF!</definedName>
    <definedName name="PBI">recipe!#REF!</definedName>
    <definedName name="PC">recipe!#REF!</definedName>
    <definedName name="PCC">recipe!#REF!</definedName>
    <definedName name="PCE">recipe!#REF!</definedName>
    <definedName name="PCF">recipe!#REF!</definedName>
    <definedName name="pcgp">#REF!</definedName>
    <definedName name="PCL">recipe!#REF!</definedName>
    <definedName name="PCN">recipe!#REF!</definedName>
    <definedName name="PCO">recipe!#REF!</definedName>
    <definedName name="pcp">#REF!</definedName>
    <definedName name="pcps">recipe!#REF!</definedName>
    <definedName name="PCR">recipe!#REF!</definedName>
    <definedName name="PDS">recipe!#REF!</definedName>
    <definedName name="PL">recipe!#REF!</definedName>
    <definedName name="pmppm3">recipe!#REF!</definedName>
    <definedName name="po">[1]P.TH!$F$122</definedName>
    <definedName name="poo">[1]P.TH!$B$31</definedName>
    <definedName name="poooo">[1]P.TH!$B$42</definedName>
    <definedName name="pooooo">[1]P.TH!$B$122</definedName>
    <definedName name="poooooo">[1]P.TH!$F$91</definedName>
    <definedName name="pooooooo">[1]P.TH!$F$53</definedName>
    <definedName name="poooooooo">[1]P.TH!$B$63</definedName>
    <definedName name="pp">[1]P.TH!$B$101</definedName>
    <definedName name="ppoo">[1]P.TH!$F$101</definedName>
    <definedName name="ppooo">[1]P.TH!$B$91</definedName>
    <definedName name="ppoooo">[1]P.TH!$F$146</definedName>
    <definedName name="ppooooo">[1]P.TH!$B$69</definedName>
    <definedName name="ppoooooo">[1]P.TH!$F$158</definedName>
    <definedName name="ppooooooo">[1]P.TH!$B$49</definedName>
    <definedName name="ppoooooooo">[1]P.TH!$B$146</definedName>
    <definedName name="ppooooooooo">[1]P.TH!$B$152</definedName>
    <definedName name="ppoooooooooo">[1]P.TH!$F$110</definedName>
    <definedName name="ppp">[1]P.TH!$B$53</definedName>
    <definedName name="pppo">[1]thursday!#REF!</definedName>
    <definedName name="pppoo">[1]P.TH!$B$131</definedName>
    <definedName name="pppooo">[1]P.TH!$B$27</definedName>
    <definedName name="pppoooo">[1]thursday!#REF!</definedName>
    <definedName name="pppoooooo">[1]P.TH!$F$140</definedName>
    <definedName name="pppoooooooo">[1]P.TH!$F$152</definedName>
    <definedName name="pppp">[1]P.TH!$B$135</definedName>
    <definedName name="ppppo">[1]P.TH!$B$59</definedName>
    <definedName name="ppppoo">[1]P.TH!$B$87</definedName>
    <definedName name="ppppooo">[1]P.TH!$B$97</definedName>
    <definedName name="ppppoooo">[1]P.TH!$F$27</definedName>
    <definedName name="ppppooooo">[1]P.TH!$F$97</definedName>
    <definedName name="ppppoooooo">[1]P.TH!$B$140</definedName>
    <definedName name="ppppp">[1]P.TH!$B$21</definedName>
    <definedName name="pppppp">[1]P.TH!$F$31</definedName>
    <definedName name="ppppppoo">[1]P.TH!$F$165</definedName>
    <definedName name="ppppppooo">[1]P.TH!$B$15</definedName>
    <definedName name="ppppppoooo">[1]P.TH!$B$38</definedName>
    <definedName name="ppppppp">[1]P.TH!$F$84</definedName>
    <definedName name="ppppppppp">[1]P.TH!$B$84</definedName>
    <definedName name="_xlnm.Print_Area" localSheetId="10">friday!$A$1:$P$153</definedName>
    <definedName name="_xlnm.Print_Area" localSheetId="2">Monday!$A$1:$P$153</definedName>
    <definedName name="_xlnm.Print_Area" localSheetId="11">P.Friday!$A$1:$G$176</definedName>
    <definedName name="_xlnm.Print_Area" localSheetId="3">P.Monday!$A$1:$G$176</definedName>
    <definedName name="_xlnm.Print_Area" localSheetId="13">P.Saturday!$A$1:$G$176</definedName>
    <definedName name="_xlnm.Print_Area" localSheetId="15">P.sunday!$A$1:$G$176</definedName>
    <definedName name="_xlnm.Print_Area" localSheetId="9">P.Thursday!$A$1:$G$176</definedName>
    <definedName name="_xlnm.Print_Area" localSheetId="5">P.tuesday!$A$1:$G$176</definedName>
    <definedName name="_xlnm.Print_Area" localSheetId="7">P.wednesday!$A$1:$G$176</definedName>
    <definedName name="_xlnm.Print_Area" localSheetId="0">recipe!$A$1:$F$150</definedName>
    <definedName name="_xlnm.Print_Area" localSheetId="12">Saturday!$A$1:$P$153</definedName>
    <definedName name="_xlnm.Print_Area" localSheetId="14">sunday!$A$1:$P$153</definedName>
    <definedName name="_xlnm.Print_Area" localSheetId="8">thursday!$A$1:$P$153</definedName>
    <definedName name="_xlnm.Print_Area" localSheetId="4">tuesday!$A$1:$P$153</definedName>
    <definedName name="_xlnm.Print_Area" localSheetId="6">wednesday!$A$1:$P$153</definedName>
    <definedName name="_xlnm.Print_Titles" localSheetId="10">friday!$1:$3</definedName>
    <definedName name="_xlnm.Print_Titles" localSheetId="2">Monday!$1:$3</definedName>
    <definedName name="_xlnm.Print_Titles" localSheetId="11">P.Friday!$1:$1</definedName>
    <definedName name="_xlnm.Print_Titles" localSheetId="3">P.Monday!$1:$1</definedName>
    <definedName name="_xlnm.Print_Titles" localSheetId="13">P.Saturday!$1:$1</definedName>
    <definedName name="_xlnm.Print_Titles" localSheetId="15">P.sunday!$1:$1</definedName>
    <definedName name="_xlnm.Print_Titles" localSheetId="9">P.Thursday!$1:$1</definedName>
    <definedName name="_xlnm.Print_Titles" localSheetId="5">P.tuesday!$1:$1</definedName>
    <definedName name="_xlnm.Print_Titles" localSheetId="7">P.wednesday!$1:$1</definedName>
    <definedName name="_xlnm.Print_Titles" localSheetId="1">PV!#REF!</definedName>
    <definedName name="_xlnm.Print_Titles" localSheetId="12">Saturday!$1:$3</definedName>
    <definedName name="_xlnm.Print_Titles" localSheetId="14">sunday!$1:$3</definedName>
    <definedName name="_xlnm.Print_Titles" localSheetId="8">thursday!$1:$3</definedName>
    <definedName name="_xlnm.Print_Titles" localSheetId="4">tuesday!$1:$3</definedName>
    <definedName name="_xlnm.Print_Titles" localSheetId="6">wednesday!$1:$3</definedName>
    <definedName name="prnr">recipe!$F$136</definedName>
    <definedName name="prr">recipe!$B$99</definedName>
    <definedName name="PS">recipe!#REF!</definedName>
    <definedName name="PSE">recipe!#REF!</definedName>
    <definedName name="PSF">recipe!#REF!</definedName>
    <definedName name="psp">#REF!</definedName>
    <definedName name="psr">recipe!$B$68</definedName>
    <definedName name="pssp">recipe!$F$108</definedName>
    <definedName name="PTF">recipe!#REF!</definedName>
    <definedName name="PV">recipe!#REF!</definedName>
    <definedName name="PVC">recipe!#REF!</definedName>
    <definedName name="qqs">#REF!</definedName>
    <definedName name="qs">#REF!</definedName>
    <definedName name="RRRRRRRRRRRRRRRRRRRRRRRRRRRRRRRRRRRRRRRRRRRRRRRRRRRRR">[1]P.monday3!$F$38</definedName>
    <definedName name="TH">[1]P.monday3!$B$152</definedName>
    <definedName name="TM">#REF!</definedName>
    <definedName name="TMA">#REF!</definedName>
    <definedName name="TTCA">#REF!</definedName>
    <definedName name="WX">[1]P.SAT!$F$87</definedName>
    <definedName name="WXW">[1]saturday!#REF!</definedName>
    <definedName name="WXWX">[1]P.SAT!$F$140</definedName>
    <definedName name="WXWXW">[1]P.SAT!$F$110</definedName>
    <definedName name="WXWXWWXWXWWXWXWXWWXWX">[1]P.SAT!$B$146</definedName>
    <definedName name="WXWXWX">[1]P.SAT!$F$152</definedName>
    <definedName name="WXWXWXWX">[1]P.SAT!$B$135</definedName>
    <definedName name="WXWXWXWXWWX">[1]P.SAT!$B$59</definedName>
    <definedName name="WXWXWXWXWXWXWXWX">[1]P.SAT!$B$131</definedName>
    <definedName name="WXWXWXWXWXWXWXWXWXW">[1]P.SAT!$B$49</definedName>
    <definedName name="WXWXWXWXWXWXWXWXWXWXWXWXWXWX">[1]P.SAT!$B$27</definedName>
    <definedName name="WXWXWXWXWXWXWXWXWXXWWXWXWX">[1]P.SAT!$B$152</definedName>
    <definedName name="WXX">[1]P.SAT!$F$131</definedName>
    <definedName name="WXXX">[1]P.SAT!$B$110</definedName>
    <definedName name="WXXXXX">[1]P.SAT!$B$158</definedName>
    <definedName name="WXXXXXX">[1]P.SAT!$F$117</definedName>
    <definedName name="WXXXXXXX">[1]P.SAT!$B$117</definedName>
    <definedName name="WXXXXXXXX">[1]P.SAT!$B$165</definedName>
    <definedName name="WXXXXXXXXX">[1]P.SAT!$F$9</definedName>
    <definedName name="WXXXXXXXXXXX">[1]P.SAT!$B$9</definedName>
    <definedName name="WXXXXXXXXXXXX">[1]P.SAT!$F$59</definedName>
    <definedName name="WXXXXXXXXXXXXXX">[1]P.SAT!$F$21</definedName>
    <definedName name="WXXXXXXXXXXXXXXXX">[1]P.SAT!$B$97</definedName>
    <definedName name="WXXXXXXXXXXXXXXXXXX">[1]P.SAT!$B$87</definedName>
    <definedName name="WXXXXXXXXXXXXXXXXXXXXXX">[1]P.SAT!$F$97</definedName>
    <definedName name="WXXXXXXXXXXXXXXXXXXXXXXXX">[1]P.SAT!$F$27</definedName>
    <definedName name="WXXXXXXXXXXXXXXXXXXXXXXXXXX">[1]P.SAT!$B$140</definedName>
    <definedName name="WXXXXXXXXXXXXXXXXXXXXXXXXXXXXXXX">[1]P.SAT!$B$21</definedName>
    <definedName name="WXXXXXXXXXXXXXXXXXXXXXXXXXXXXXXXXX">[1]P.SAT!$F$165</definedName>
    <definedName name="WXXXXXXXXXXXXXXXXXXXXXXXXXXXXXXXXXX">[1]P.SAT!$F$31</definedName>
    <definedName name="XW">[1]P.SAT!$F$38</definedName>
    <definedName name="XWW">[1]P.SAT!$F$122</definedName>
    <definedName name="XWWW">[1]P.SAT!$B$31</definedName>
    <definedName name="XWWWWW">[1]P.SAT!$B$42</definedName>
    <definedName name="XWWWWWW">[1]P.SAT!$B$122</definedName>
    <definedName name="XWWWWWWWW">[1]P.SAT!$F$91</definedName>
    <definedName name="XWWWWWWWWWW">[1]P.SAT!$F$53</definedName>
    <definedName name="XWWWWWWWWWWW">[1]P.SAT!$B$63</definedName>
    <definedName name="XWWWWWWWWWWWWWW">[1]P.SAT!$B$101</definedName>
    <definedName name="XWWWWWWWWWWWWWWWWWW">[1]P.SAT!$F$101</definedName>
    <definedName name="XWWWWWWWWWWWWWWWWWWWW">[1]P.SAT!$B$15</definedName>
    <definedName name="XWWWWWWWWWWWWWWWWWWWWW">[1]P.SAT!$B$38</definedName>
    <definedName name="XWWWWWWWWWWWWWWWWWWWWWW">[1]P.SAT!$F$84</definedName>
    <definedName name="XWWWWWWWWWWWWWWWWWWWWWWW">[1]P.SAT!$B$84</definedName>
    <definedName name="XWX">[1]P.SAT!$B$91</definedName>
    <definedName name="XWXWXW">[1]saturday!#REF!</definedName>
    <definedName name="XWXWXWXWXWXWX">[1]P.SAT!$F$158</definedName>
    <definedName name="XWXWXWXWXXW">[1]P.SAT!$B$69</definedName>
    <definedName name="XWXX">[1]P.SAT!$B$53</definedName>
    <definedName name="XWXXX">[1]P.SAT!$F$146</definedName>
    <definedName name="Y">[1]P.WES!$F$122</definedName>
    <definedName name="YA">[1]P.WES!$B$101</definedName>
    <definedName name="YAA">[1]P.WES!$B$53</definedName>
    <definedName name="YAAA">[1]P.WES!$B$135</definedName>
    <definedName name="YAAAA">[1]P.WES!$B$21</definedName>
    <definedName name="YAAAAA">[1]P.WES!$F$31</definedName>
    <definedName name="YAAAAAA">[1]P.WES!$F$84</definedName>
    <definedName name="YAAAAAAA">[1]P.WES!$B$84</definedName>
    <definedName name="YY">[1]P.WES!$B$31</definedName>
    <definedName name="YYYY">[1]P.WES!$B$42</definedName>
    <definedName name="YYYYY">[1]P.WES!$B$122</definedName>
    <definedName name="YYYYYY">[1]P.WES!$F$91</definedName>
    <definedName name="YYYYYYYY">[1]P.WES!$F$53</definedName>
    <definedName name="YYYYYYYYY">[1]P.WES!$B$63</definedName>
    <definedName name="YYYYYYYYYY">[1]P.WES!$F$101</definedName>
    <definedName name="YYYYYYYYYYYY">[1]P.WES!$B$91</definedName>
    <definedName name="ZA">[1]P.WES!$F$146</definedName>
    <definedName name="ZAA">[1]P.WES!$B$69</definedName>
    <definedName name="ZAAA">[1]P.WES!$F$158</definedName>
    <definedName name="ZAAAA">[1]P.WES!$B$49</definedName>
    <definedName name="ZAAAAA">[1]P.WES!$B$146</definedName>
    <definedName name="ZAAAAAA">[1]P.WES!$B$152</definedName>
    <definedName name="ZAAAAAAA">[1]P.WES!$F$110</definedName>
    <definedName name="ZZ">[1]wesdnesday!#REF!</definedName>
    <definedName name="ZZA">[1]P.WES!$B$131</definedName>
    <definedName name="ZZAA">[1]P.WES!$F$140</definedName>
    <definedName name="ZZAAA">[1]P.WES!$B$27</definedName>
    <definedName name="ZZZ">[1]wesdnesday!#REF!</definedName>
    <definedName name="ZZZA">[1]P.WES!$F$152</definedName>
    <definedName name="ZZZAAA">[1]P.WES!$B$59</definedName>
    <definedName name="ZZZAAAA">[1]P.WES!$B$87</definedName>
    <definedName name="ZZZAAAAAA">[1]P.WES!$B$97</definedName>
    <definedName name="ZZZZ">[1]P.WES!$F$27</definedName>
    <definedName name="ZZZZA">[1]P.WES!$F$97</definedName>
    <definedName name="ZZZZZ">[1]P.WES!$B$140</definedName>
    <definedName name="ZZZZZA">[1]P.WES!$B$15</definedName>
    <definedName name="ZZZZZAA">[1]P.WES!$F$165</definedName>
    <definedName name="ZZZZZZ">[1]P.WES!$B$38</definedName>
    <definedName name="ZZZZZZA">[1]P.WES!$F$59</definedName>
    <definedName name="ZZZZZZAA">[1]P.WES!$B$158</definedName>
    <definedName name="ZZZZZZAAAA">[1]P.WES!$B$110</definedName>
    <definedName name="ZZZZZZZ">[1]P.WES!$F$131</definedName>
    <definedName name="ZZZZZZZA">[1]P.WES!$F$87</definedName>
    <definedName name="ZZZZZZZAAA">[1]P.WES!$F$38</definedName>
    <definedName name="ZZZZZZZZA">[1]P.WES!$B$165</definedName>
    <definedName name="ZZZZZZZZAAA">[1]P.WES!$B$117</definedName>
    <definedName name="ZZZZZZZZZZAA">[1]P.WES!$F$117</definedName>
    <definedName name="ZZZZZZZZZZZA">[1]P.WES!$F$21</definedName>
    <definedName name="ZZZZZZZZZZZAA">[1]P.WES!$B$9</definedName>
    <definedName name="ZZZZZZZZZZZAAAA">[1]P.WES!$F$9</definedName>
  </definedNames>
  <calcPr calcId="162913"/>
</workbook>
</file>

<file path=xl/calcChain.xml><?xml version="1.0" encoding="utf-8"?>
<calcChain xmlns="http://schemas.openxmlformats.org/spreadsheetml/2006/main">
  <c r="S128" i="45" l="1"/>
  <c r="S132" i="45"/>
  <c r="S133" i="45"/>
  <c r="S132" i="41"/>
  <c r="S133" i="41"/>
  <c r="S132" i="47"/>
  <c r="S133" i="47"/>
  <c r="S132" i="39"/>
  <c r="S133" i="39"/>
  <c r="U124" i="39"/>
  <c r="G170" i="1" l="1"/>
  <c r="G173" i="1"/>
  <c r="F174" i="1"/>
  <c r="G169" i="1"/>
  <c r="G172" i="1"/>
  <c r="G171" i="1"/>
  <c r="G168" i="1"/>
  <c r="G161" i="1" l="1"/>
  <c r="G160" i="1"/>
  <c r="G159" i="1"/>
  <c r="G158" i="1"/>
  <c r="G157" i="1"/>
  <c r="G156" i="1"/>
  <c r="G94" i="1"/>
  <c r="G80" i="1"/>
  <c r="F86" i="1"/>
  <c r="F162" i="1"/>
  <c r="B39" i="1"/>
  <c r="S121" i="37" l="1"/>
  <c r="E166" i="38" s="1"/>
  <c r="S121" i="39"/>
  <c r="E166" i="40" s="1"/>
  <c r="S121" i="41"/>
  <c r="E166" i="42" s="1"/>
  <c r="S121" i="45"/>
  <c r="E166" i="46" s="1"/>
  <c r="S121" i="47"/>
  <c r="E166" i="48" s="1"/>
  <c r="S121" i="43"/>
  <c r="E166" i="44" s="1"/>
  <c r="S121" i="49"/>
  <c r="E166" i="50" s="1"/>
  <c r="S125" i="37"/>
  <c r="S125" i="39"/>
  <c r="S125" i="41"/>
  <c r="S125" i="45"/>
  <c r="S125" i="47"/>
  <c r="S125" i="43"/>
  <c r="S125" i="49"/>
  <c r="E165" i="50" s="1"/>
  <c r="S124" i="37"/>
  <c r="S124" i="39"/>
  <c r="S124" i="41"/>
  <c r="S124" i="45"/>
  <c r="S124" i="47"/>
  <c r="S124" i="43"/>
  <c r="S124" i="49"/>
  <c r="E164" i="50" s="1"/>
  <c r="S127" i="37"/>
  <c r="S127" i="39"/>
  <c r="S127" i="41"/>
  <c r="S127" i="45"/>
  <c r="S127" i="47"/>
  <c r="S127" i="43"/>
  <c r="S127" i="49"/>
  <c r="E168" i="50" s="1"/>
  <c r="S126" i="37"/>
  <c r="S126" i="39"/>
  <c r="S126" i="41"/>
  <c r="S126" i="45"/>
  <c r="S126" i="47"/>
  <c r="S126" i="43"/>
  <c r="S126" i="49"/>
  <c r="E167" i="50" s="1"/>
  <c r="S123" i="37"/>
  <c r="S123" i="39"/>
  <c r="S123" i="41"/>
  <c r="S123" i="45"/>
  <c r="S123" i="47"/>
  <c r="S123" i="43"/>
  <c r="S123" i="49"/>
  <c r="E163" i="50" s="1"/>
  <c r="S122" i="37"/>
  <c r="S122" i="39"/>
  <c r="S122" i="41"/>
  <c r="S122" i="45"/>
  <c r="S122" i="47"/>
  <c r="S122" i="43"/>
  <c r="S122" i="49"/>
  <c r="E162" i="50" s="1"/>
  <c r="K1" i="37"/>
  <c r="F52" i="50"/>
  <c r="F55" i="50" s="1"/>
  <c r="B52" i="50"/>
  <c r="B55" i="50" s="1"/>
  <c r="B46" i="50"/>
  <c r="B49" i="50" s="1"/>
  <c r="F38" i="50"/>
  <c r="F41" i="50" s="1"/>
  <c r="F15" i="50"/>
  <c r="F18" i="50" s="1"/>
  <c r="B5" i="50"/>
  <c r="B8" i="50" s="1"/>
  <c r="A1" i="50"/>
  <c r="U153" i="49"/>
  <c r="U152" i="49"/>
  <c r="C152" i="49"/>
  <c r="R152" i="49" s="1"/>
  <c r="U151" i="49"/>
  <c r="C151" i="49"/>
  <c r="R151" i="49" s="1"/>
  <c r="U150" i="49"/>
  <c r="C150" i="49"/>
  <c r="R150" i="49" s="1"/>
  <c r="U149" i="49"/>
  <c r="C149" i="49"/>
  <c r="R149" i="49" s="1"/>
  <c r="U148" i="49"/>
  <c r="C148" i="49"/>
  <c r="R148" i="49" s="1"/>
  <c r="U147" i="49"/>
  <c r="C147" i="49"/>
  <c r="R147" i="49" s="1"/>
  <c r="U146" i="49"/>
  <c r="C146" i="49"/>
  <c r="R146" i="49" s="1"/>
  <c r="U145" i="49"/>
  <c r="C145" i="49"/>
  <c r="R145" i="49" s="1"/>
  <c r="U144" i="49"/>
  <c r="C144" i="49"/>
  <c r="R144" i="49" s="1"/>
  <c r="U143" i="49"/>
  <c r="C143" i="49"/>
  <c r="R143" i="49" s="1"/>
  <c r="U142" i="49"/>
  <c r="C142" i="49"/>
  <c r="R142" i="49" s="1"/>
  <c r="U141" i="49"/>
  <c r="C141" i="49"/>
  <c r="R141" i="49" s="1"/>
  <c r="U140" i="49"/>
  <c r="C140" i="49"/>
  <c r="R140" i="49" s="1"/>
  <c r="U139" i="49"/>
  <c r="C139" i="49"/>
  <c r="R139" i="49" s="1"/>
  <c r="S138" i="49"/>
  <c r="E176" i="50" s="1"/>
  <c r="C138" i="49"/>
  <c r="R138" i="49" s="1"/>
  <c r="S137" i="49"/>
  <c r="E175" i="50" s="1"/>
  <c r="C137" i="49"/>
  <c r="R137" i="49" s="1"/>
  <c r="U136" i="49"/>
  <c r="S136" i="49"/>
  <c r="E174" i="50" s="1"/>
  <c r="C136" i="49"/>
  <c r="R136" i="49" s="1"/>
  <c r="U135" i="49"/>
  <c r="S135" i="49"/>
  <c r="E173" i="50" s="1"/>
  <c r="C135" i="49"/>
  <c r="R135" i="49" s="1"/>
  <c r="U134" i="49"/>
  <c r="S134" i="49"/>
  <c r="E172" i="50" s="1"/>
  <c r="C134" i="49"/>
  <c r="R134" i="49" s="1"/>
  <c r="U133" i="49"/>
  <c r="S133" i="49"/>
  <c r="C133" i="49"/>
  <c r="R133" i="49" s="1"/>
  <c r="U132" i="49"/>
  <c r="S132" i="49"/>
  <c r="C132" i="49"/>
  <c r="R132" i="49" s="1"/>
  <c r="U131" i="49"/>
  <c r="S131" i="49"/>
  <c r="E171" i="50" s="1"/>
  <c r="C131" i="49"/>
  <c r="R131" i="49" s="1"/>
  <c r="U130" i="49"/>
  <c r="C130" i="49"/>
  <c r="R130" i="49" s="1"/>
  <c r="U129" i="49"/>
  <c r="S129" i="49"/>
  <c r="E170" i="50" s="1"/>
  <c r="C129" i="49"/>
  <c r="R129" i="49" s="1"/>
  <c r="U128" i="49"/>
  <c r="S128" i="49"/>
  <c r="E169" i="50" s="1"/>
  <c r="C128" i="49"/>
  <c r="R128" i="49" s="1"/>
  <c r="U127" i="49"/>
  <c r="C127" i="49"/>
  <c r="R127" i="49" s="1"/>
  <c r="U126" i="49"/>
  <c r="C126" i="49"/>
  <c r="R126" i="49" s="1"/>
  <c r="U125" i="49"/>
  <c r="C125" i="49"/>
  <c r="R125" i="49" s="1"/>
  <c r="U124" i="49"/>
  <c r="C124" i="49"/>
  <c r="R124" i="49" s="1"/>
  <c r="U123" i="49"/>
  <c r="C123" i="49"/>
  <c r="R123" i="49" s="1"/>
  <c r="U122" i="49"/>
  <c r="C122" i="49"/>
  <c r="R122" i="49" s="1"/>
  <c r="U121" i="49"/>
  <c r="C121" i="49"/>
  <c r="U120" i="49"/>
  <c r="C120" i="49"/>
  <c r="R120" i="49" s="1"/>
  <c r="U119" i="49"/>
  <c r="C119" i="49"/>
  <c r="R119" i="49" s="1"/>
  <c r="U118" i="49"/>
  <c r="C118" i="49"/>
  <c r="R118" i="49" s="1"/>
  <c r="U117" i="49"/>
  <c r="C117" i="49"/>
  <c r="R117" i="49" s="1"/>
  <c r="U116" i="49"/>
  <c r="C116" i="49"/>
  <c r="R116" i="49" s="1"/>
  <c r="U115" i="49"/>
  <c r="C115" i="49"/>
  <c r="U114" i="49"/>
  <c r="C114" i="49"/>
  <c r="R114" i="49" s="1"/>
  <c r="R115" i="49" s="1"/>
  <c r="B121" i="50" s="1"/>
  <c r="U113" i="49"/>
  <c r="C113" i="49"/>
  <c r="U112" i="49"/>
  <c r="C112" i="49"/>
  <c r="R112" i="49" s="1"/>
  <c r="U111" i="49"/>
  <c r="C111" i="49"/>
  <c r="R111" i="49" s="1"/>
  <c r="U110" i="49"/>
  <c r="C110" i="49"/>
  <c r="R110" i="49" s="1"/>
  <c r="U109" i="49"/>
  <c r="C109" i="49"/>
  <c r="R109" i="49" s="1"/>
  <c r="U108" i="49"/>
  <c r="C108" i="49"/>
  <c r="U107" i="49"/>
  <c r="C107" i="49"/>
  <c r="R107" i="49" s="1"/>
  <c r="U106" i="49"/>
  <c r="C106" i="49"/>
  <c r="R106" i="49" s="1"/>
  <c r="U105" i="49"/>
  <c r="C105" i="49"/>
  <c r="U104" i="49"/>
  <c r="C104" i="49"/>
  <c r="R104" i="49" s="1"/>
  <c r="U103" i="49"/>
  <c r="C103" i="49"/>
  <c r="R103" i="49" s="1"/>
  <c r="U102" i="49"/>
  <c r="C102" i="49"/>
  <c r="R102" i="49" s="1"/>
  <c r="U101" i="49"/>
  <c r="C101" i="49"/>
  <c r="R101" i="49" s="1"/>
  <c r="U100" i="49"/>
  <c r="C100" i="49"/>
  <c r="R100" i="49" s="1"/>
  <c r="U99" i="49"/>
  <c r="C99" i="49"/>
  <c r="R99" i="49" s="1"/>
  <c r="U97" i="49"/>
  <c r="C97" i="49"/>
  <c r="R97" i="49" s="1"/>
  <c r="U96" i="49"/>
  <c r="C96" i="49"/>
  <c r="R96" i="49" s="1"/>
  <c r="U95" i="49"/>
  <c r="C95" i="49"/>
  <c r="R95" i="49" s="1"/>
  <c r="U94" i="49"/>
  <c r="C94" i="49"/>
  <c r="R94" i="49" s="1"/>
  <c r="U93" i="49"/>
  <c r="C93" i="49"/>
  <c r="R93" i="49" s="1"/>
  <c r="U92" i="49"/>
  <c r="C92" i="49"/>
  <c r="U91" i="49"/>
  <c r="C91" i="49"/>
  <c r="R91" i="49" s="1"/>
  <c r="U90" i="49"/>
  <c r="C90" i="49"/>
  <c r="R90" i="49" s="1"/>
  <c r="U89" i="49"/>
  <c r="C89" i="49"/>
  <c r="R89" i="49" s="1"/>
  <c r="U88" i="49"/>
  <c r="C88" i="49"/>
  <c r="R88" i="49" s="1"/>
  <c r="U87" i="49"/>
  <c r="C87" i="49"/>
  <c r="C86" i="49"/>
  <c r="R86" i="49" s="1"/>
  <c r="C85" i="49"/>
  <c r="R85" i="49" s="1"/>
  <c r="U84" i="49"/>
  <c r="C84" i="49"/>
  <c r="U83" i="49"/>
  <c r="C83" i="49"/>
  <c r="R83" i="49" s="1"/>
  <c r="C82" i="49"/>
  <c r="R82" i="49" s="1"/>
  <c r="U81" i="49"/>
  <c r="C81" i="49"/>
  <c r="R81" i="49" s="1"/>
  <c r="C80" i="49"/>
  <c r="R80" i="49" s="1"/>
  <c r="U78" i="49"/>
  <c r="C78" i="49"/>
  <c r="R78" i="49" s="1"/>
  <c r="U77" i="49"/>
  <c r="C77" i="49"/>
  <c r="R77" i="49" s="1"/>
  <c r="C76" i="49"/>
  <c r="U75" i="49"/>
  <c r="C75" i="49"/>
  <c r="R75" i="49" s="1"/>
  <c r="R76" i="49" s="1"/>
  <c r="B133" i="50" s="1"/>
  <c r="U74" i="49"/>
  <c r="C74" i="49"/>
  <c r="U73" i="49"/>
  <c r="C73" i="49"/>
  <c r="R73" i="49" s="1"/>
  <c r="C72" i="49"/>
  <c r="R72" i="49" s="1"/>
  <c r="U71" i="49"/>
  <c r="C71" i="49"/>
  <c r="R71" i="49" s="1"/>
  <c r="U70" i="49"/>
  <c r="C70" i="49"/>
  <c r="R70" i="49" s="1"/>
  <c r="U69" i="49"/>
  <c r="C69" i="49"/>
  <c r="R69" i="49" s="1"/>
  <c r="U68" i="49"/>
  <c r="C68" i="49"/>
  <c r="R68" i="49" s="1"/>
  <c r="U67" i="49"/>
  <c r="C67" i="49"/>
  <c r="R67" i="49" s="1"/>
  <c r="U66" i="49"/>
  <c r="C66" i="49"/>
  <c r="R66" i="49" s="1"/>
  <c r="U65" i="49"/>
  <c r="C65" i="49"/>
  <c r="R65" i="49" s="1"/>
  <c r="U64" i="49"/>
  <c r="C64" i="49"/>
  <c r="R64" i="49" s="1"/>
  <c r="U63" i="49"/>
  <c r="C63" i="49"/>
  <c r="R63" i="49" s="1"/>
  <c r="U62" i="49"/>
  <c r="C62" i="49"/>
  <c r="R62" i="49" s="1"/>
  <c r="U61" i="49"/>
  <c r="C61" i="49"/>
  <c r="R61" i="49" s="1"/>
  <c r="U60" i="49"/>
  <c r="C60" i="49"/>
  <c r="R60" i="49" s="1"/>
  <c r="U59" i="49"/>
  <c r="C59" i="49"/>
  <c r="R59" i="49" s="1"/>
  <c r="U58" i="49"/>
  <c r="C58" i="49"/>
  <c r="U57" i="49"/>
  <c r="C57" i="49"/>
  <c r="R57" i="49" s="1"/>
  <c r="U56" i="49"/>
  <c r="C56" i="49"/>
  <c r="R56" i="49" s="1"/>
  <c r="U55" i="49"/>
  <c r="C55" i="49"/>
  <c r="R55" i="49" s="1"/>
  <c r="U54" i="49"/>
  <c r="C54" i="49"/>
  <c r="R54" i="49" s="1"/>
  <c r="U53" i="49"/>
  <c r="C53" i="49"/>
  <c r="R53" i="49" s="1"/>
  <c r="U52" i="49"/>
  <c r="C52" i="49"/>
  <c r="R52" i="49" s="1"/>
  <c r="U51" i="49"/>
  <c r="C51" i="49"/>
  <c r="R51" i="49" s="1"/>
  <c r="U50" i="49"/>
  <c r="C50" i="49"/>
  <c r="R50" i="49" s="1"/>
  <c r="U49" i="49"/>
  <c r="C49" i="49"/>
  <c r="R49" i="49" s="1"/>
  <c r="U48" i="49"/>
  <c r="C48" i="49"/>
  <c r="U47" i="49"/>
  <c r="C47" i="49"/>
  <c r="R47" i="49" s="1"/>
  <c r="U46" i="49"/>
  <c r="C46" i="49"/>
  <c r="R46" i="49" s="1"/>
  <c r="C45" i="49"/>
  <c r="R45" i="49" s="1"/>
  <c r="U44" i="49"/>
  <c r="C44" i="49"/>
  <c r="U43" i="49"/>
  <c r="C43" i="49"/>
  <c r="R43" i="49" s="1"/>
  <c r="R44" i="49" s="1"/>
  <c r="F59" i="50" s="1"/>
  <c r="U42" i="49"/>
  <c r="C42" i="49"/>
  <c r="U41" i="49"/>
  <c r="C41" i="49"/>
  <c r="R41" i="49" s="1"/>
  <c r="U40" i="49"/>
  <c r="C40" i="49"/>
  <c r="R40" i="49" s="1"/>
  <c r="U39" i="49"/>
  <c r="C39" i="49"/>
  <c r="R39" i="49" s="1"/>
  <c r="U38" i="49"/>
  <c r="C38" i="49"/>
  <c r="R38" i="49" s="1"/>
  <c r="U37" i="49"/>
  <c r="C37" i="49"/>
  <c r="U36" i="49"/>
  <c r="C36" i="49"/>
  <c r="R36" i="49" s="1"/>
  <c r="C35" i="49"/>
  <c r="R35" i="49" s="1"/>
  <c r="U34" i="49"/>
  <c r="C34" i="49"/>
  <c r="R34" i="49" s="1"/>
  <c r="U33" i="49"/>
  <c r="C33" i="49"/>
  <c r="R33" i="49" s="1"/>
  <c r="F141" i="50" s="1"/>
  <c r="U32" i="49"/>
  <c r="C32" i="49"/>
  <c r="U31" i="49"/>
  <c r="C31" i="49"/>
  <c r="R31" i="49" s="1"/>
  <c r="B99" i="50" s="1"/>
  <c r="U30" i="49"/>
  <c r="C30" i="49"/>
  <c r="U29" i="49"/>
  <c r="C29" i="49"/>
  <c r="R29" i="49" s="1"/>
  <c r="U28" i="49"/>
  <c r="C28" i="49"/>
  <c r="R28" i="49" s="1"/>
  <c r="U27" i="49"/>
  <c r="C27" i="49"/>
  <c r="R27" i="49" s="1"/>
  <c r="U26" i="49"/>
  <c r="C26" i="49"/>
  <c r="R26" i="49" s="1"/>
  <c r="U25" i="49"/>
  <c r="C25" i="49"/>
  <c r="R25" i="49" s="1"/>
  <c r="U24" i="49"/>
  <c r="C24" i="49"/>
  <c r="U23" i="49"/>
  <c r="C23" i="49"/>
  <c r="R23" i="49" s="1"/>
  <c r="U22" i="49"/>
  <c r="C22" i="49"/>
  <c r="R22" i="49" s="1"/>
  <c r="U21" i="49"/>
  <c r="C21" i="49"/>
  <c r="R21" i="49" s="1"/>
  <c r="U20" i="49"/>
  <c r="C20" i="49"/>
  <c r="R20" i="49" s="1"/>
  <c r="U19" i="49"/>
  <c r="C19" i="49"/>
  <c r="R19" i="49" s="1"/>
  <c r="U18" i="49"/>
  <c r="C18" i="49"/>
  <c r="R18" i="49" s="1"/>
  <c r="U17" i="49"/>
  <c r="C17" i="49"/>
  <c r="R17" i="49" s="1"/>
  <c r="U16" i="49"/>
  <c r="C16" i="49"/>
  <c r="R16" i="49" s="1"/>
  <c r="U15" i="49"/>
  <c r="C15" i="49"/>
  <c r="R15" i="49" s="1"/>
  <c r="U14" i="49"/>
  <c r="C14" i="49"/>
  <c r="R14" i="49" s="1"/>
  <c r="U13" i="49"/>
  <c r="C13" i="49"/>
  <c r="R13" i="49" s="1"/>
  <c r="U12" i="49"/>
  <c r="C12" i="49"/>
  <c r="R12" i="49" s="1"/>
  <c r="U11" i="49"/>
  <c r="C11" i="49"/>
  <c r="R11" i="49" s="1"/>
  <c r="U10" i="49"/>
  <c r="C10" i="49"/>
  <c r="R10" i="49" s="1"/>
  <c r="U9" i="49"/>
  <c r="C9" i="49"/>
  <c r="R9" i="49" s="1"/>
  <c r="U8" i="49"/>
  <c r="C8" i="49"/>
  <c r="R8" i="49" s="1"/>
  <c r="U7" i="49"/>
  <c r="C7" i="49"/>
  <c r="R7" i="49" s="1"/>
  <c r="U6" i="49"/>
  <c r="C6" i="49"/>
  <c r="R6" i="49" s="1"/>
  <c r="D5" i="49"/>
  <c r="C5" i="49"/>
  <c r="R5" i="49" s="1"/>
  <c r="U4" i="49"/>
  <c r="E4" i="49"/>
  <c r="Q4" i="49" s="1"/>
  <c r="C4" i="49"/>
  <c r="R4" i="49" s="1"/>
  <c r="B1" i="50"/>
  <c r="C5" i="39"/>
  <c r="C6" i="39"/>
  <c r="C7" i="39"/>
  <c r="C8" i="39"/>
  <c r="C9" i="39"/>
  <c r="C10" i="39"/>
  <c r="C11" i="39"/>
  <c r="C12" i="39"/>
  <c r="C13" i="39"/>
  <c r="C14" i="39"/>
  <c r="C15" i="39"/>
  <c r="C16" i="39"/>
  <c r="C17" i="39"/>
  <c r="C18" i="39"/>
  <c r="C19" i="39"/>
  <c r="C20" i="39"/>
  <c r="C21" i="39"/>
  <c r="C22" i="39"/>
  <c r="C23" i="39"/>
  <c r="C24" i="39"/>
  <c r="C25" i="39"/>
  <c r="C26" i="39"/>
  <c r="C27" i="39"/>
  <c r="C28" i="39"/>
  <c r="C29" i="39"/>
  <c r="C30" i="39"/>
  <c r="C31" i="39"/>
  <c r="C32" i="39"/>
  <c r="C33" i="39"/>
  <c r="C34" i="39"/>
  <c r="C35" i="39"/>
  <c r="C36" i="39"/>
  <c r="C37" i="39"/>
  <c r="C38" i="39"/>
  <c r="C39" i="39"/>
  <c r="C40" i="39"/>
  <c r="C41" i="39"/>
  <c r="C42" i="39"/>
  <c r="C43" i="39"/>
  <c r="R43" i="39" s="1"/>
  <c r="C44" i="39"/>
  <c r="C45" i="39"/>
  <c r="C46" i="39"/>
  <c r="C47" i="39"/>
  <c r="C48" i="39"/>
  <c r="C49" i="39"/>
  <c r="C50" i="39"/>
  <c r="C51" i="39"/>
  <c r="C52" i="39"/>
  <c r="C53" i="39"/>
  <c r="C54" i="39"/>
  <c r="C55" i="39"/>
  <c r="C56" i="39"/>
  <c r="C57" i="39"/>
  <c r="C58" i="39"/>
  <c r="C59" i="39"/>
  <c r="C60" i="39"/>
  <c r="C61" i="39"/>
  <c r="C62" i="39"/>
  <c r="C63" i="39"/>
  <c r="C64" i="39"/>
  <c r="C65" i="39"/>
  <c r="C66" i="39"/>
  <c r="C67" i="39"/>
  <c r="C68" i="39"/>
  <c r="C69" i="39"/>
  <c r="C70" i="39"/>
  <c r="C71" i="39"/>
  <c r="C72" i="39"/>
  <c r="C73" i="39"/>
  <c r="C74" i="39"/>
  <c r="C75" i="39"/>
  <c r="C76" i="39"/>
  <c r="C77" i="39"/>
  <c r="C78" i="39"/>
  <c r="C80" i="39"/>
  <c r="C81" i="39"/>
  <c r="C82" i="39"/>
  <c r="C83" i="39"/>
  <c r="C84" i="39"/>
  <c r="C85" i="39"/>
  <c r="R85" i="39" s="1"/>
  <c r="C86" i="39"/>
  <c r="R86" i="39" s="1"/>
  <c r="C87" i="39"/>
  <c r="C88" i="39"/>
  <c r="C89" i="39"/>
  <c r="C90" i="39"/>
  <c r="C91" i="39"/>
  <c r="C92" i="39"/>
  <c r="C93" i="39"/>
  <c r="C94" i="39"/>
  <c r="C95" i="39"/>
  <c r="C96" i="39"/>
  <c r="C97" i="39"/>
  <c r="C99" i="39"/>
  <c r="C100" i="39"/>
  <c r="C101" i="39"/>
  <c r="C102" i="39"/>
  <c r="C103" i="39"/>
  <c r="C104" i="39"/>
  <c r="C105" i="39"/>
  <c r="C106" i="39"/>
  <c r="C107" i="39"/>
  <c r="C108" i="39"/>
  <c r="C109" i="39"/>
  <c r="C110" i="39"/>
  <c r="C111" i="39"/>
  <c r="C112" i="39"/>
  <c r="C113" i="39"/>
  <c r="C114" i="39"/>
  <c r="C115" i="39"/>
  <c r="C116" i="39"/>
  <c r="C117" i="39"/>
  <c r="C118" i="39"/>
  <c r="C119" i="39"/>
  <c r="C120" i="39"/>
  <c r="C121" i="39"/>
  <c r="C122" i="39"/>
  <c r="C123" i="39"/>
  <c r="C124" i="39"/>
  <c r="C125" i="39"/>
  <c r="C126" i="39"/>
  <c r="C127" i="39"/>
  <c r="C128" i="39"/>
  <c r="C129" i="39"/>
  <c r="C130" i="39"/>
  <c r="C131" i="39"/>
  <c r="C132" i="39"/>
  <c r="C133" i="39"/>
  <c r="C134" i="39"/>
  <c r="C135" i="39"/>
  <c r="C136" i="39"/>
  <c r="C137" i="39"/>
  <c r="C138" i="39"/>
  <c r="C139" i="39"/>
  <c r="C140" i="39"/>
  <c r="C141" i="39"/>
  <c r="C142" i="39"/>
  <c r="C143" i="39"/>
  <c r="C144" i="39"/>
  <c r="C145" i="39"/>
  <c r="C146" i="39"/>
  <c r="C147" i="39"/>
  <c r="C148" i="39"/>
  <c r="C149" i="39"/>
  <c r="C150" i="39"/>
  <c r="C151" i="39"/>
  <c r="C152" i="39"/>
  <c r="C5" i="41"/>
  <c r="C6" i="41"/>
  <c r="C7" i="41"/>
  <c r="C8" i="41"/>
  <c r="C9" i="41"/>
  <c r="C10" i="41"/>
  <c r="C11" i="41"/>
  <c r="C12" i="41"/>
  <c r="C13" i="41"/>
  <c r="C14" i="41"/>
  <c r="C15" i="41"/>
  <c r="C16" i="41"/>
  <c r="C17" i="41"/>
  <c r="C18" i="41"/>
  <c r="C19" i="41"/>
  <c r="C20" i="41"/>
  <c r="C21" i="41"/>
  <c r="C22" i="41"/>
  <c r="C23" i="41"/>
  <c r="C24" i="41"/>
  <c r="C25" i="41"/>
  <c r="C26" i="41"/>
  <c r="C27" i="41"/>
  <c r="C28" i="41"/>
  <c r="C29" i="41"/>
  <c r="C30" i="41"/>
  <c r="C31" i="41"/>
  <c r="C32" i="41"/>
  <c r="C33" i="41"/>
  <c r="C34" i="41"/>
  <c r="C35" i="41"/>
  <c r="C36" i="41"/>
  <c r="C37" i="41"/>
  <c r="C38" i="41"/>
  <c r="C39" i="41"/>
  <c r="C40" i="41"/>
  <c r="C41" i="41"/>
  <c r="C42" i="41"/>
  <c r="C43" i="41"/>
  <c r="R43" i="41" s="1"/>
  <c r="C44" i="41"/>
  <c r="C45" i="41"/>
  <c r="C46" i="41"/>
  <c r="C47" i="41"/>
  <c r="C48" i="41"/>
  <c r="C49" i="41"/>
  <c r="C50" i="41"/>
  <c r="C51" i="41"/>
  <c r="C52" i="41"/>
  <c r="C53" i="41"/>
  <c r="C54" i="41"/>
  <c r="C55" i="41"/>
  <c r="C56" i="41"/>
  <c r="C57" i="41"/>
  <c r="C58" i="41"/>
  <c r="C59" i="41"/>
  <c r="C60" i="41"/>
  <c r="C61" i="41"/>
  <c r="C62" i="41"/>
  <c r="C63" i="41"/>
  <c r="C64" i="41"/>
  <c r="C65" i="41"/>
  <c r="C66" i="41"/>
  <c r="C67" i="41"/>
  <c r="C68" i="41"/>
  <c r="C69" i="41"/>
  <c r="C70" i="41"/>
  <c r="C71" i="41"/>
  <c r="C72" i="41"/>
  <c r="C73" i="41"/>
  <c r="C74" i="41"/>
  <c r="C75" i="41"/>
  <c r="C76" i="41"/>
  <c r="C77" i="41"/>
  <c r="C78" i="41"/>
  <c r="C80" i="41"/>
  <c r="C81" i="41"/>
  <c r="C82" i="41"/>
  <c r="C83" i="41"/>
  <c r="C84" i="41"/>
  <c r="C85" i="41"/>
  <c r="R85" i="41" s="1"/>
  <c r="C86" i="41"/>
  <c r="R86" i="41" s="1"/>
  <c r="C87" i="41"/>
  <c r="C88" i="41"/>
  <c r="C89" i="41"/>
  <c r="C90" i="41"/>
  <c r="C91" i="41"/>
  <c r="C92" i="41"/>
  <c r="C93" i="41"/>
  <c r="C94" i="41"/>
  <c r="C95" i="41"/>
  <c r="C96" i="41"/>
  <c r="C97" i="41"/>
  <c r="C99" i="41"/>
  <c r="C100" i="41"/>
  <c r="C101" i="41"/>
  <c r="C102" i="41"/>
  <c r="C103" i="41"/>
  <c r="C104" i="41"/>
  <c r="C105" i="41"/>
  <c r="C106" i="41"/>
  <c r="C107" i="41"/>
  <c r="C108" i="41"/>
  <c r="C109" i="41"/>
  <c r="C110" i="41"/>
  <c r="C111" i="41"/>
  <c r="C112" i="41"/>
  <c r="C113" i="41"/>
  <c r="C114" i="41"/>
  <c r="C115" i="41"/>
  <c r="C116" i="41"/>
  <c r="C117" i="41"/>
  <c r="C118" i="41"/>
  <c r="C119" i="41"/>
  <c r="C120" i="41"/>
  <c r="C121" i="41"/>
  <c r="C122" i="41"/>
  <c r="C123" i="41"/>
  <c r="C124" i="41"/>
  <c r="C125" i="41"/>
  <c r="C126" i="41"/>
  <c r="C127" i="41"/>
  <c r="C128" i="41"/>
  <c r="C129" i="41"/>
  <c r="C130" i="41"/>
  <c r="C131" i="41"/>
  <c r="C132" i="41"/>
  <c r="C133" i="41"/>
  <c r="C134" i="41"/>
  <c r="C135" i="41"/>
  <c r="C136" i="41"/>
  <c r="C137" i="41"/>
  <c r="C138" i="41"/>
  <c r="C139" i="41"/>
  <c r="C140" i="41"/>
  <c r="C141" i="41"/>
  <c r="C142" i="41"/>
  <c r="C143" i="41"/>
  <c r="C144" i="41"/>
  <c r="C145" i="41"/>
  <c r="C146" i="41"/>
  <c r="C147" i="41"/>
  <c r="C148" i="41"/>
  <c r="C149" i="41"/>
  <c r="C150" i="41"/>
  <c r="C151" i="41"/>
  <c r="C152" i="41"/>
  <c r="C5" i="45"/>
  <c r="C6" i="45"/>
  <c r="C7" i="45"/>
  <c r="C8" i="45"/>
  <c r="C9" i="45"/>
  <c r="C10" i="45"/>
  <c r="C11" i="45"/>
  <c r="C12" i="45"/>
  <c r="C13" i="45"/>
  <c r="C14" i="45"/>
  <c r="C15" i="45"/>
  <c r="C16" i="45"/>
  <c r="C17" i="45"/>
  <c r="C18" i="45"/>
  <c r="C19" i="45"/>
  <c r="C20" i="45"/>
  <c r="C21" i="45"/>
  <c r="C22" i="45"/>
  <c r="C23" i="45"/>
  <c r="C24" i="45"/>
  <c r="C25" i="45"/>
  <c r="C26" i="45"/>
  <c r="C27" i="45"/>
  <c r="C28" i="45"/>
  <c r="C29" i="45"/>
  <c r="C30" i="45"/>
  <c r="C31" i="45"/>
  <c r="C32" i="45"/>
  <c r="C33" i="45"/>
  <c r="C34" i="45"/>
  <c r="C35" i="45"/>
  <c r="C36" i="45"/>
  <c r="C37" i="45"/>
  <c r="C38" i="45"/>
  <c r="C39" i="45"/>
  <c r="C40" i="45"/>
  <c r="C41" i="45"/>
  <c r="C42" i="45"/>
  <c r="C43" i="45"/>
  <c r="R43" i="45" s="1"/>
  <c r="C44" i="45"/>
  <c r="C45" i="45"/>
  <c r="C46" i="45"/>
  <c r="C47" i="45"/>
  <c r="C48" i="45"/>
  <c r="C49" i="45"/>
  <c r="C50" i="45"/>
  <c r="C51" i="45"/>
  <c r="C52" i="45"/>
  <c r="C53" i="45"/>
  <c r="C54" i="45"/>
  <c r="C55" i="45"/>
  <c r="C56" i="45"/>
  <c r="C57" i="45"/>
  <c r="C58" i="45"/>
  <c r="C59" i="45"/>
  <c r="C60" i="45"/>
  <c r="C61" i="45"/>
  <c r="C62" i="45"/>
  <c r="C63" i="45"/>
  <c r="C64" i="45"/>
  <c r="C65" i="45"/>
  <c r="C66" i="45"/>
  <c r="C67" i="45"/>
  <c r="C68" i="45"/>
  <c r="C69" i="45"/>
  <c r="C70" i="45"/>
  <c r="C71" i="45"/>
  <c r="C72" i="45"/>
  <c r="C73" i="45"/>
  <c r="C74" i="45"/>
  <c r="C75" i="45"/>
  <c r="C76" i="45"/>
  <c r="C77" i="45"/>
  <c r="C78" i="45"/>
  <c r="C80" i="45"/>
  <c r="C81" i="45"/>
  <c r="C82" i="45"/>
  <c r="C83" i="45"/>
  <c r="C84" i="45"/>
  <c r="C85" i="45"/>
  <c r="R85" i="45" s="1"/>
  <c r="C86" i="45"/>
  <c r="R86" i="45" s="1"/>
  <c r="C87" i="45"/>
  <c r="C88" i="45"/>
  <c r="C89" i="45"/>
  <c r="C90" i="45"/>
  <c r="C91" i="45"/>
  <c r="C92" i="45"/>
  <c r="C93" i="45"/>
  <c r="C94" i="45"/>
  <c r="C95" i="45"/>
  <c r="C96" i="45"/>
  <c r="C97" i="45"/>
  <c r="C99" i="45"/>
  <c r="C100" i="45"/>
  <c r="C101" i="45"/>
  <c r="C102" i="45"/>
  <c r="C103" i="45"/>
  <c r="C104" i="45"/>
  <c r="C105" i="45"/>
  <c r="C106" i="45"/>
  <c r="C107" i="45"/>
  <c r="C108" i="45"/>
  <c r="C109" i="45"/>
  <c r="C110" i="45"/>
  <c r="C111" i="45"/>
  <c r="C112" i="45"/>
  <c r="C113" i="45"/>
  <c r="C114" i="45"/>
  <c r="C115" i="45"/>
  <c r="C116" i="45"/>
  <c r="C117" i="45"/>
  <c r="C118" i="45"/>
  <c r="C119" i="45"/>
  <c r="C120" i="45"/>
  <c r="C121" i="45"/>
  <c r="C122" i="45"/>
  <c r="C123" i="45"/>
  <c r="C124" i="45"/>
  <c r="C125" i="45"/>
  <c r="C126" i="45"/>
  <c r="C127" i="45"/>
  <c r="C128" i="45"/>
  <c r="C129" i="45"/>
  <c r="C130" i="45"/>
  <c r="C131" i="45"/>
  <c r="C132" i="45"/>
  <c r="C133" i="45"/>
  <c r="C134" i="45"/>
  <c r="C135" i="45"/>
  <c r="C136" i="45"/>
  <c r="C137" i="45"/>
  <c r="C138" i="45"/>
  <c r="C139" i="45"/>
  <c r="C140" i="45"/>
  <c r="C141" i="45"/>
  <c r="C142" i="45"/>
  <c r="C143" i="45"/>
  <c r="C144" i="45"/>
  <c r="C145" i="45"/>
  <c r="C146" i="45"/>
  <c r="C147" i="45"/>
  <c r="C148" i="45"/>
  <c r="C149" i="45"/>
  <c r="C150" i="45"/>
  <c r="C151" i="45"/>
  <c r="C152" i="45"/>
  <c r="C5" i="47"/>
  <c r="C6" i="47"/>
  <c r="C7" i="47"/>
  <c r="C8" i="47"/>
  <c r="C9" i="47"/>
  <c r="C10" i="47"/>
  <c r="C11" i="47"/>
  <c r="C12" i="47"/>
  <c r="C13" i="47"/>
  <c r="C14" i="47"/>
  <c r="C15" i="47"/>
  <c r="C16" i="47"/>
  <c r="C17" i="47"/>
  <c r="C18" i="47"/>
  <c r="C19" i="47"/>
  <c r="C20" i="47"/>
  <c r="C21" i="47"/>
  <c r="C22" i="47"/>
  <c r="C23" i="47"/>
  <c r="C24" i="47"/>
  <c r="C25" i="47"/>
  <c r="C26" i="47"/>
  <c r="C27" i="47"/>
  <c r="C28" i="47"/>
  <c r="C29" i="47"/>
  <c r="C30" i="47"/>
  <c r="C31" i="47"/>
  <c r="C32" i="47"/>
  <c r="C33" i="47"/>
  <c r="C34" i="47"/>
  <c r="C35" i="47"/>
  <c r="C36" i="47"/>
  <c r="C37" i="47"/>
  <c r="C38" i="47"/>
  <c r="C39" i="47"/>
  <c r="C40" i="47"/>
  <c r="C41" i="47"/>
  <c r="C42" i="47"/>
  <c r="C43" i="47"/>
  <c r="R43" i="47" s="1"/>
  <c r="C44" i="47"/>
  <c r="C45" i="47"/>
  <c r="C46" i="47"/>
  <c r="C47" i="47"/>
  <c r="C48" i="47"/>
  <c r="C49" i="47"/>
  <c r="C50" i="47"/>
  <c r="C51" i="47"/>
  <c r="C52" i="47"/>
  <c r="C53" i="47"/>
  <c r="C54" i="47"/>
  <c r="C55" i="47"/>
  <c r="C56" i="47"/>
  <c r="C57" i="47"/>
  <c r="C58" i="47"/>
  <c r="C59" i="47"/>
  <c r="C60" i="47"/>
  <c r="C61" i="47"/>
  <c r="C62" i="47"/>
  <c r="C63" i="47"/>
  <c r="C64" i="47"/>
  <c r="C65" i="47"/>
  <c r="C66" i="47"/>
  <c r="C67" i="47"/>
  <c r="C68" i="47"/>
  <c r="C69" i="47"/>
  <c r="C70" i="47"/>
  <c r="C71" i="47"/>
  <c r="C72" i="47"/>
  <c r="C73" i="47"/>
  <c r="C74" i="47"/>
  <c r="C75" i="47"/>
  <c r="C76" i="47"/>
  <c r="C77" i="47"/>
  <c r="C78" i="47"/>
  <c r="C80" i="47"/>
  <c r="C81" i="47"/>
  <c r="C82" i="47"/>
  <c r="C83" i="47"/>
  <c r="C84" i="47"/>
  <c r="C85" i="47"/>
  <c r="R85" i="47" s="1"/>
  <c r="C86" i="47"/>
  <c r="R86" i="47" s="1"/>
  <c r="C87" i="47"/>
  <c r="C88" i="47"/>
  <c r="C89" i="47"/>
  <c r="C90" i="47"/>
  <c r="C91" i="47"/>
  <c r="C92" i="47"/>
  <c r="C93" i="47"/>
  <c r="C94" i="47"/>
  <c r="C95" i="47"/>
  <c r="C96" i="47"/>
  <c r="C97" i="47"/>
  <c r="C99" i="47"/>
  <c r="C100" i="47"/>
  <c r="C101" i="47"/>
  <c r="C102" i="47"/>
  <c r="C103" i="47"/>
  <c r="C104" i="47"/>
  <c r="C105" i="47"/>
  <c r="C106" i="47"/>
  <c r="C107" i="47"/>
  <c r="C108" i="47"/>
  <c r="C109" i="47"/>
  <c r="C110" i="47"/>
  <c r="C111" i="47"/>
  <c r="C112" i="47"/>
  <c r="C113" i="47"/>
  <c r="C114" i="47"/>
  <c r="C115" i="47"/>
  <c r="C116" i="47"/>
  <c r="C117" i="47"/>
  <c r="C118" i="47"/>
  <c r="C119" i="47"/>
  <c r="C120" i="47"/>
  <c r="C121" i="47"/>
  <c r="C122" i="47"/>
  <c r="C123" i="47"/>
  <c r="C124" i="47"/>
  <c r="C125" i="47"/>
  <c r="C126" i="47"/>
  <c r="C127" i="47"/>
  <c r="C128" i="47"/>
  <c r="C129" i="47"/>
  <c r="C130" i="47"/>
  <c r="C131" i="47"/>
  <c r="C132" i="47"/>
  <c r="C133" i="47"/>
  <c r="C134" i="47"/>
  <c r="C135" i="47"/>
  <c r="C136" i="47"/>
  <c r="C137" i="47"/>
  <c r="C138" i="47"/>
  <c r="C139" i="47"/>
  <c r="C140" i="47"/>
  <c r="C141" i="47"/>
  <c r="C142" i="47"/>
  <c r="C143" i="47"/>
  <c r="C144" i="47"/>
  <c r="C145" i="47"/>
  <c r="C146" i="47"/>
  <c r="C147" i="47"/>
  <c r="C148" i="47"/>
  <c r="C149" i="47"/>
  <c r="C150" i="47"/>
  <c r="C151" i="47"/>
  <c r="C152" i="47"/>
  <c r="C5" i="43"/>
  <c r="C6" i="43"/>
  <c r="C7" i="43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0" i="43"/>
  <c r="C31" i="43"/>
  <c r="C32" i="43"/>
  <c r="C33" i="43"/>
  <c r="C34" i="43"/>
  <c r="C35" i="43"/>
  <c r="C36" i="43"/>
  <c r="C37" i="43"/>
  <c r="C38" i="43"/>
  <c r="C39" i="43"/>
  <c r="C40" i="43"/>
  <c r="C41" i="43"/>
  <c r="C42" i="43"/>
  <c r="C43" i="43"/>
  <c r="R43" i="43" s="1"/>
  <c r="C44" i="43"/>
  <c r="C45" i="43"/>
  <c r="C46" i="43"/>
  <c r="C47" i="43"/>
  <c r="C48" i="43"/>
  <c r="C49" i="43"/>
  <c r="C50" i="43"/>
  <c r="C51" i="43"/>
  <c r="C52" i="43"/>
  <c r="C53" i="43"/>
  <c r="C54" i="43"/>
  <c r="C55" i="43"/>
  <c r="C56" i="43"/>
  <c r="C57" i="43"/>
  <c r="C58" i="43"/>
  <c r="C59" i="43"/>
  <c r="C60" i="43"/>
  <c r="C61" i="43"/>
  <c r="C62" i="43"/>
  <c r="C63" i="43"/>
  <c r="C64" i="43"/>
  <c r="C65" i="43"/>
  <c r="C66" i="43"/>
  <c r="C67" i="43"/>
  <c r="C68" i="43"/>
  <c r="C69" i="43"/>
  <c r="C70" i="43"/>
  <c r="C71" i="43"/>
  <c r="C72" i="43"/>
  <c r="C73" i="43"/>
  <c r="C74" i="43"/>
  <c r="C75" i="43"/>
  <c r="C76" i="43"/>
  <c r="C77" i="43"/>
  <c r="C78" i="43"/>
  <c r="C80" i="43"/>
  <c r="C81" i="43"/>
  <c r="C82" i="43"/>
  <c r="C83" i="43"/>
  <c r="C84" i="43"/>
  <c r="C85" i="43"/>
  <c r="R85" i="43" s="1"/>
  <c r="C86" i="43"/>
  <c r="R86" i="43" s="1"/>
  <c r="C87" i="43"/>
  <c r="C88" i="43"/>
  <c r="C89" i="43"/>
  <c r="C90" i="43"/>
  <c r="C91" i="43"/>
  <c r="C92" i="43"/>
  <c r="C93" i="43"/>
  <c r="C94" i="43"/>
  <c r="C95" i="43"/>
  <c r="C96" i="43"/>
  <c r="C97" i="43"/>
  <c r="C99" i="43"/>
  <c r="C100" i="43"/>
  <c r="C101" i="43"/>
  <c r="C102" i="43"/>
  <c r="C103" i="43"/>
  <c r="C104" i="43"/>
  <c r="C105" i="43"/>
  <c r="C106" i="43"/>
  <c r="C107" i="43"/>
  <c r="C108" i="43"/>
  <c r="C109" i="43"/>
  <c r="C110" i="43"/>
  <c r="C111" i="43"/>
  <c r="C112" i="43"/>
  <c r="C113" i="43"/>
  <c r="C114" i="43"/>
  <c r="C115" i="43"/>
  <c r="C116" i="43"/>
  <c r="C117" i="43"/>
  <c r="C118" i="43"/>
  <c r="C119" i="43"/>
  <c r="C120" i="43"/>
  <c r="C121" i="43"/>
  <c r="C122" i="43"/>
  <c r="C123" i="43"/>
  <c r="C124" i="43"/>
  <c r="C125" i="43"/>
  <c r="C126" i="43"/>
  <c r="C127" i="43"/>
  <c r="C128" i="43"/>
  <c r="C129" i="43"/>
  <c r="C130" i="43"/>
  <c r="C131" i="43"/>
  <c r="C132" i="43"/>
  <c r="C133" i="43"/>
  <c r="C134" i="43"/>
  <c r="C135" i="43"/>
  <c r="C136" i="43"/>
  <c r="C137" i="43"/>
  <c r="C138" i="43"/>
  <c r="C139" i="43"/>
  <c r="C140" i="43"/>
  <c r="C141" i="43"/>
  <c r="C142" i="43"/>
  <c r="C143" i="43"/>
  <c r="C144" i="43"/>
  <c r="C145" i="43"/>
  <c r="C146" i="43"/>
  <c r="C147" i="43"/>
  <c r="C148" i="43"/>
  <c r="C149" i="43"/>
  <c r="C150" i="43"/>
  <c r="C151" i="43"/>
  <c r="C152" i="43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R43" i="37" s="1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80" i="37"/>
  <c r="C81" i="37"/>
  <c r="C82" i="37"/>
  <c r="C83" i="37"/>
  <c r="C84" i="37"/>
  <c r="C85" i="37"/>
  <c r="R85" i="37" s="1"/>
  <c r="C86" i="37"/>
  <c r="R86" i="37" s="1"/>
  <c r="C87" i="37"/>
  <c r="C88" i="37"/>
  <c r="C89" i="37"/>
  <c r="C90" i="37"/>
  <c r="C91" i="37"/>
  <c r="C92" i="37"/>
  <c r="C93" i="37"/>
  <c r="C94" i="37"/>
  <c r="C95" i="37"/>
  <c r="C96" i="37"/>
  <c r="C97" i="37"/>
  <c r="C99" i="37"/>
  <c r="C100" i="37"/>
  <c r="C101" i="37"/>
  <c r="C102" i="37"/>
  <c r="C103" i="37"/>
  <c r="C104" i="37"/>
  <c r="C105" i="37"/>
  <c r="C106" i="37"/>
  <c r="C107" i="37"/>
  <c r="C108" i="37"/>
  <c r="C109" i="37"/>
  <c r="C110" i="37"/>
  <c r="C111" i="37"/>
  <c r="C112" i="37"/>
  <c r="C113" i="37"/>
  <c r="C114" i="37"/>
  <c r="C115" i="37"/>
  <c r="C116" i="37"/>
  <c r="C117" i="37"/>
  <c r="C118" i="37"/>
  <c r="C119" i="37"/>
  <c r="C120" i="37"/>
  <c r="C121" i="37"/>
  <c r="C122" i="37"/>
  <c r="C123" i="37"/>
  <c r="C124" i="37"/>
  <c r="C125" i="37"/>
  <c r="C126" i="37"/>
  <c r="C127" i="37"/>
  <c r="C128" i="37"/>
  <c r="C129" i="37"/>
  <c r="C130" i="37"/>
  <c r="C131" i="37"/>
  <c r="C132" i="37"/>
  <c r="C133" i="37"/>
  <c r="C134" i="37"/>
  <c r="C135" i="37"/>
  <c r="C136" i="37"/>
  <c r="C137" i="37"/>
  <c r="C138" i="37"/>
  <c r="C139" i="37"/>
  <c r="C140" i="37"/>
  <c r="C141" i="37"/>
  <c r="C142" i="37"/>
  <c r="C143" i="37"/>
  <c r="C144" i="37"/>
  <c r="C145" i="37"/>
  <c r="C146" i="37"/>
  <c r="C147" i="37"/>
  <c r="C148" i="37"/>
  <c r="C149" i="37"/>
  <c r="C150" i="37"/>
  <c r="C151" i="37"/>
  <c r="C152" i="37"/>
  <c r="N103" i="2"/>
  <c r="U85" i="43"/>
  <c r="U86" i="43"/>
  <c r="U87" i="43"/>
  <c r="U85" i="47"/>
  <c r="U86" i="47"/>
  <c r="U87" i="47"/>
  <c r="U85" i="45"/>
  <c r="U86" i="45"/>
  <c r="U87" i="45"/>
  <c r="U85" i="41"/>
  <c r="U86" i="41"/>
  <c r="U87" i="41"/>
  <c r="U85" i="39"/>
  <c r="U86" i="39"/>
  <c r="U87" i="39"/>
  <c r="U85" i="37"/>
  <c r="U86" i="37"/>
  <c r="U87" i="37"/>
  <c r="U43" i="43"/>
  <c r="U43" i="47"/>
  <c r="U43" i="45"/>
  <c r="U43" i="41"/>
  <c r="U43" i="39"/>
  <c r="U43" i="37"/>
  <c r="R79" i="49" l="1"/>
  <c r="F78" i="50" s="1"/>
  <c r="F87" i="50" s="1"/>
  <c r="F80" i="50" s="1"/>
  <c r="F86" i="50" s="1"/>
  <c r="R84" i="49"/>
  <c r="F70" i="50" s="1"/>
  <c r="R105" i="49"/>
  <c r="B149" i="50" s="1"/>
  <c r="B158" i="50" s="1"/>
  <c r="B151" i="50" s="1"/>
  <c r="R98" i="49"/>
  <c r="U82" i="49"/>
  <c r="D6" i="49"/>
  <c r="E6" i="49" s="1"/>
  <c r="Q6" i="49" s="1"/>
  <c r="E5" i="49"/>
  <c r="Q5" i="49" s="1"/>
  <c r="U35" i="49"/>
  <c r="U72" i="49"/>
  <c r="U137" i="49"/>
  <c r="U45" i="49"/>
  <c r="U80" i="49"/>
  <c r="R42" i="49"/>
  <c r="B15" i="50" s="1"/>
  <c r="R113" i="49"/>
  <c r="B70" i="50" s="1"/>
  <c r="F25" i="50"/>
  <c r="R121" i="49"/>
  <c r="B25" i="50" s="1"/>
  <c r="R48" i="49"/>
  <c r="B141" i="50" s="1"/>
  <c r="R108" i="49"/>
  <c r="B109" i="50" s="1"/>
  <c r="B48" i="50"/>
  <c r="F42" i="50"/>
  <c r="F17" i="50"/>
  <c r="F40" i="50"/>
  <c r="R24" i="49"/>
  <c r="F4" i="50" s="1"/>
  <c r="R74" i="49"/>
  <c r="B59" i="50" s="1"/>
  <c r="R92" i="49"/>
  <c r="F121" i="50" s="1"/>
  <c r="R87" i="49"/>
  <c r="R30" i="49"/>
  <c r="U85" i="49"/>
  <c r="R37" i="49"/>
  <c r="F99" i="50" s="1"/>
  <c r="R58" i="49"/>
  <c r="B38" i="50" s="1"/>
  <c r="U138" i="49"/>
  <c r="R153" i="49"/>
  <c r="F149" i="50" s="1"/>
  <c r="U86" i="49"/>
  <c r="B54" i="50"/>
  <c r="F54" i="50"/>
  <c r="R87" i="37"/>
  <c r="R87" i="47"/>
  <c r="R87" i="39"/>
  <c r="R87" i="45"/>
  <c r="R87" i="41"/>
  <c r="R87" i="43"/>
  <c r="F82" i="50" l="1"/>
  <c r="F84" i="50"/>
  <c r="F81" i="50"/>
  <c r="F85" i="50"/>
  <c r="F83" i="50"/>
  <c r="B155" i="50"/>
  <c r="B152" i="50"/>
  <c r="B156" i="50"/>
  <c r="B153" i="50"/>
  <c r="B157" i="50"/>
  <c r="B154" i="50"/>
  <c r="D7" i="49"/>
  <c r="B89" i="50"/>
  <c r="F89" i="50"/>
  <c r="C111" i="1"/>
  <c r="B138" i="1"/>
  <c r="B149" i="1"/>
  <c r="F139" i="50" s="1"/>
  <c r="F135" i="50" s="1"/>
  <c r="B159" i="1"/>
  <c r="B139" i="50" s="1"/>
  <c r="B135" i="50" s="1"/>
  <c r="C158" i="1"/>
  <c r="C157" i="1"/>
  <c r="C156" i="1"/>
  <c r="C148" i="1"/>
  <c r="C147" i="1"/>
  <c r="C138" i="1"/>
  <c r="C146" i="1"/>
  <c r="F137" i="50" l="1"/>
  <c r="E7" i="49"/>
  <c r="Q7" i="49" s="1"/>
  <c r="D8" i="49"/>
  <c r="D9" i="49" s="1"/>
  <c r="D10" i="49" s="1"/>
  <c r="D11" i="49" s="1"/>
  <c r="D12" i="49" s="1"/>
  <c r="D13" i="49" s="1"/>
  <c r="D14" i="49" s="1"/>
  <c r="D15" i="49" s="1"/>
  <c r="D16" i="49" s="1"/>
  <c r="D17" i="49" s="1"/>
  <c r="D18" i="49" s="1"/>
  <c r="D19" i="49" s="1"/>
  <c r="D20" i="49" s="1"/>
  <c r="D21" i="49" s="1"/>
  <c r="D22" i="49" s="1"/>
  <c r="D23" i="49" s="1"/>
  <c r="D24" i="49" s="1"/>
  <c r="D25" i="49" s="1"/>
  <c r="D26" i="49" s="1"/>
  <c r="D27" i="49" s="1"/>
  <c r="D28" i="49" s="1"/>
  <c r="D29" i="49" s="1"/>
  <c r="D30" i="49" s="1"/>
  <c r="D31" i="49" s="1"/>
  <c r="D32" i="49" s="1"/>
  <c r="D33" i="49" s="1"/>
  <c r="D34" i="49" s="1"/>
  <c r="D35" i="49" s="1"/>
  <c r="D36" i="49" s="1"/>
  <c r="D37" i="49" s="1"/>
  <c r="D38" i="49" s="1"/>
  <c r="D39" i="49" s="1"/>
  <c r="D40" i="49" s="1"/>
  <c r="D41" i="49" s="1"/>
  <c r="D42" i="49" s="1"/>
  <c r="D43" i="49" s="1"/>
  <c r="D44" i="49" s="1"/>
  <c r="D45" i="49" s="1"/>
  <c r="D46" i="49" s="1"/>
  <c r="D47" i="49" s="1"/>
  <c r="D48" i="49" s="1"/>
  <c r="D49" i="49" s="1"/>
  <c r="D50" i="49" s="1"/>
  <c r="D51" i="49" s="1"/>
  <c r="D52" i="49" s="1"/>
  <c r="D53" i="49" s="1"/>
  <c r="D54" i="49" s="1"/>
  <c r="D55" i="49" s="1"/>
  <c r="D56" i="49" s="1"/>
  <c r="D57" i="49" s="1"/>
  <c r="D58" i="49" s="1"/>
  <c r="D59" i="49" s="1"/>
  <c r="D60" i="49" s="1"/>
  <c r="D61" i="49" s="1"/>
  <c r="D62" i="49" s="1"/>
  <c r="D63" i="49" s="1"/>
  <c r="D64" i="49" s="1"/>
  <c r="D65" i="49" s="1"/>
  <c r="D66" i="49" s="1"/>
  <c r="D67" i="49" s="1"/>
  <c r="D68" i="49" s="1"/>
  <c r="D69" i="49" s="1"/>
  <c r="D70" i="49" s="1"/>
  <c r="D71" i="49" s="1"/>
  <c r="D72" i="49" s="1"/>
  <c r="D73" i="49" s="1"/>
  <c r="D74" i="49" s="1"/>
  <c r="D75" i="49" s="1"/>
  <c r="D76" i="49" s="1"/>
  <c r="D77" i="49" s="1"/>
  <c r="D78" i="49" s="1"/>
  <c r="D80" i="49" s="1"/>
  <c r="D81" i="49" s="1"/>
  <c r="D82" i="49" s="1"/>
  <c r="D83" i="49" s="1"/>
  <c r="D84" i="49" s="1"/>
  <c r="D85" i="49" s="1"/>
  <c r="D86" i="49" s="1"/>
  <c r="D87" i="49" s="1"/>
  <c r="D88" i="49" s="1"/>
  <c r="D89" i="49" s="1"/>
  <c r="D90" i="49" s="1"/>
  <c r="D91" i="49" s="1"/>
  <c r="D92" i="49" s="1"/>
  <c r="D93" i="49" s="1"/>
  <c r="D94" i="49" s="1"/>
  <c r="D95" i="49" s="1"/>
  <c r="D96" i="49" s="1"/>
  <c r="D97" i="49" s="1"/>
  <c r="D99" i="49" s="1"/>
  <c r="D100" i="49" s="1"/>
  <c r="D101" i="49" s="1"/>
  <c r="D102" i="49" s="1"/>
  <c r="D103" i="49" s="1"/>
  <c r="D104" i="49" s="1"/>
  <c r="D105" i="49" s="1"/>
  <c r="D106" i="49" s="1"/>
  <c r="D107" i="49" s="1"/>
  <c r="D108" i="49" s="1"/>
  <c r="D109" i="49" s="1"/>
  <c r="D110" i="49" s="1"/>
  <c r="D111" i="49" s="1"/>
  <c r="D112" i="49" s="1"/>
  <c r="D113" i="49" s="1"/>
  <c r="D114" i="49" s="1"/>
  <c r="D115" i="49" s="1"/>
  <c r="D116" i="49" s="1"/>
  <c r="D117" i="49" s="1"/>
  <c r="D118" i="49" s="1"/>
  <c r="D119" i="49" s="1"/>
  <c r="D120" i="49" s="1"/>
  <c r="D121" i="49" s="1"/>
  <c r="D122" i="49" s="1"/>
  <c r="D123" i="49" s="1"/>
  <c r="D124" i="49" s="1"/>
  <c r="D125" i="49" s="1"/>
  <c r="D126" i="49" s="1"/>
  <c r="D127" i="49" s="1"/>
  <c r="D128" i="49" s="1"/>
  <c r="D129" i="49" s="1"/>
  <c r="D130" i="49" s="1"/>
  <c r="D131" i="49" s="1"/>
  <c r="D132" i="49" s="1"/>
  <c r="D133" i="49" s="1"/>
  <c r="D134" i="49" s="1"/>
  <c r="D135" i="49" s="1"/>
  <c r="D136" i="49" s="1"/>
  <c r="D137" i="49" s="1"/>
  <c r="D138" i="49" s="1"/>
  <c r="D139" i="49" s="1"/>
  <c r="D140" i="49" s="1"/>
  <c r="D141" i="49" s="1"/>
  <c r="D142" i="49" s="1"/>
  <c r="D143" i="49" s="1"/>
  <c r="D144" i="49" s="1"/>
  <c r="D145" i="49" s="1"/>
  <c r="D146" i="49" s="1"/>
  <c r="D147" i="49" s="1"/>
  <c r="D148" i="49" s="1"/>
  <c r="D149" i="49" s="1"/>
  <c r="D150" i="49" s="1"/>
  <c r="D151" i="49" s="1"/>
  <c r="D152" i="49" s="1"/>
  <c r="F136" i="50"/>
  <c r="B138" i="50"/>
  <c r="B136" i="50"/>
  <c r="F138" i="50"/>
  <c r="B137" i="50"/>
  <c r="F52" i="48"/>
  <c r="B52" i="48"/>
  <c r="B46" i="48"/>
  <c r="B49" i="48" s="1"/>
  <c r="F38" i="48"/>
  <c r="F42" i="48" s="1"/>
  <c r="F15" i="48"/>
  <c r="F18" i="48" s="1"/>
  <c r="B5" i="48"/>
  <c r="B8" i="48" s="1"/>
  <c r="A1" i="48"/>
  <c r="U153" i="47"/>
  <c r="U152" i="47"/>
  <c r="R152" i="47"/>
  <c r="U151" i="47"/>
  <c r="R151" i="47"/>
  <c r="U150" i="47"/>
  <c r="R150" i="47"/>
  <c r="U149" i="47"/>
  <c r="R149" i="47"/>
  <c r="U148" i="47"/>
  <c r="R148" i="47"/>
  <c r="U147" i="47"/>
  <c r="R147" i="47"/>
  <c r="U146" i="47"/>
  <c r="R146" i="47"/>
  <c r="U145" i="47"/>
  <c r="R145" i="47"/>
  <c r="U144" i="47"/>
  <c r="R144" i="47"/>
  <c r="U143" i="47"/>
  <c r="R143" i="47"/>
  <c r="U142" i="47"/>
  <c r="R142" i="47"/>
  <c r="U141" i="47"/>
  <c r="R141" i="47"/>
  <c r="U140" i="47"/>
  <c r="R140" i="47"/>
  <c r="U139" i="47"/>
  <c r="R139" i="47"/>
  <c r="S138" i="47"/>
  <c r="E176" i="48" s="1"/>
  <c r="U138" i="47"/>
  <c r="R138" i="47"/>
  <c r="S137" i="47"/>
  <c r="E175" i="48" s="1"/>
  <c r="U137" i="47"/>
  <c r="R137" i="47"/>
  <c r="S136" i="47"/>
  <c r="E174" i="48" s="1"/>
  <c r="U136" i="47"/>
  <c r="R136" i="47"/>
  <c r="S135" i="47"/>
  <c r="E173" i="48" s="1"/>
  <c r="U135" i="47"/>
  <c r="R135" i="47"/>
  <c r="U134" i="47"/>
  <c r="S134" i="47"/>
  <c r="E172" i="48" s="1"/>
  <c r="R134" i="47"/>
  <c r="U133" i="47"/>
  <c r="R133" i="47"/>
  <c r="U132" i="47"/>
  <c r="R132" i="47"/>
  <c r="U131" i="47"/>
  <c r="S131" i="47"/>
  <c r="E171" i="48" s="1"/>
  <c r="R131" i="47"/>
  <c r="U130" i="47"/>
  <c r="R130" i="47"/>
  <c r="U129" i="47"/>
  <c r="S129" i="47"/>
  <c r="E170" i="48" s="1"/>
  <c r="R129" i="47"/>
  <c r="U128" i="47"/>
  <c r="S128" i="47"/>
  <c r="E169" i="48" s="1"/>
  <c r="R128" i="47"/>
  <c r="U127" i="47"/>
  <c r="E168" i="48"/>
  <c r="R127" i="47"/>
  <c r="U126" i="47"/>
  <c r="E167" i="48"/>
  <c r="R126" i="47"/>
  <c r="U125" i="47"/>
  <c r="E165" i="48"/>
  <c r="R125" i="47"/>
  <c r="U124" i="47"/>
  <c r="E164" i="48"/>
  <c r="R124" i="47"/>
  <c r="U123" i="47"/>
  <c r="E163" i="48"/>
  <c r="R123" i="47"/>
  <c r="U122" i="47"/>
  <c r="E162" i="48"/>
  <c r="R122" i="47"/>
  <c r="U121" i="47"/>
  <c r="U120" i="47"/>
  <c r="R120" i="47"/>
  <c r="U119" i="47"/>
  <c r="R119" i="47"/>
  <c r="U118" i="47"/>
  <c r="R118" i="47"/>
  <c r="U117" i="47"/>
  <c r="R117" i="47"/>
  <c r="F25" i="48" s="1"/>
  <c r="U116" i="47"/>
  <c r="R116" i="47"/>
  <c r="U115" i="47"/>
  <c r="U114" i="47"/>
  <c r="R114" i="47"/>
  <c r="U113" i="47"/>
  <c r="U112" i="47"/>
  <c r="R112" i="47"/>
  <c r="U111" i="47"/>
  <c r="R111" i="47"/>
  <c r="U110" i="47"/>
  <c r="R110" i="47"/>
  <c r="U109" i="47"/>
  <c r="R109" i="47"/>
  <c r="U108" i="47"/>
  <c r="U107" i="47"/>
  <c r="R107" i="47"/>
  <c r="U106" i="47"/>
  <c r="R106" i="47"/>
  <c r="U105" i="47"/>
  <c r="U104" i="47"/>
  <c r="R104" i="47"/>
  <c r="U103" i="47"/>
  <c r="R103" i="47"/>
  <c r="U102" i="47"/>
  <c r="R102" i="47"/>
  <c r="U101" i="47"/>
  <c r="R101" i="47"/>
  <c r="U100" i="47"/>
  <c r="R100" i="47"/>
  <c r="U99" i="47"/>
  <c r="R99" i="47"/>
  <c r="U97" i="47"/>
  <c r="R97" i="47"/>
  <c r="U96" i="47"/>
  <c r="R96" i="47"/>
  <c r="U95" i="47"/>
  <c r="R95" i="47"/>
  <c r="U94" i="47"/>
  <c r="R94" i="47"/>
  <c r="U93" i="47"/>
  <c r="R93" i="47"/>
  <c r="U92" i="47"/>
  <c r="U91" i="47"/>
  <c r="R91" i="47"/>
  <c r="U90" i="47"/>
  <c r="R90" i="47"/>
  <c r="U89" i="47"/>
  <c r="R89" i="47"/>
  <c r="U88" i="47"/>
  <c r="R88" i="47"/>
  <c r="U84" i="47"/>
  <c r="U83" i="47"/>
  <c r="R83" i="47"/>
  <c r="U82" i="47"/>
  <c r="R82" i="47"/>
  <c r="U81" i="47"/>
  <c r="R81" i="47"/>
  <c r="U80" i="47"/>
  <c r="R80" i="47"/>
  <c r="U78" i="47"/>
  <c r="R78" i="47"/>
  <c r="U77" i="47"/>
  <c r="R77" i="47"/>
  <c r="U74" i="47"/>
  <c r="U73" i="47"/>
  <c r="R73" i="47"/>
  <c r="U75" i="47"/>
  <c r="R75" i="47"/>
  <c r="R76" i="47" s="1"/>
  <c r="B133" i="48" s="1"/>
  <c r="B139" i="48" s="1"/>
  <c r="B135" i="48" s="1"/>
  <c r="B137" i="48" s="1"/>
  <c r="U72" i="47"/>
  <c r="R72" i="47"/>
  <c r="U71" i="47"/>
  <c r="R71" i="47"/>
  <c r="U70" i="47"/>
  <c r="R70" i="47"/>
  <c r="U69" i="47"/>
  <c r="R69" i="47"/>
  <c r="U68" i="47"/>
  <c r="R68" i="47"/>
  <c r="U67" i="47"/>
  <c r="R67" i="47"/>
  <c r="U66" i="47"/>
  <c r="R66" i="47"/>
  <c r="U65" i="47"/>
  <c r="R65" i="47"/>
  <c r="U64" i="47"/>
  <c r="R64" i="47"/>
  <c r="U63" i="47"/>
  <c r="R63" i="47"/>
  <c r="U62" i="47"/>
  <c r="R62" i="47"/>
  <c r="U61" i="47"/>
  <c r="R61" i="47"/>
  <c r="U60" i="47"/>
  <c r="R60" i="47"/>
  <c r="U59" i="47"/>
  <c r="R59" i="47"/>
  <c r="U58" i="47"/>
  <c r="U57" i="47"/>
  <c r="R57" i="47"/>
  <c r="U56" i="47"/>
  <c r="R56" i="47"/>
  <c r="U55" i="47"/>
  <c r="R55" i="47"/>
  <c r="U54" i="47"/>
  <c r="R54" i="47"/>
  <c r="U53" i="47"/>
  <c r="R53" i="47"/>
  <c r="U52" i="47"/>
  <c r="R52" i="47"/>
  <c r="U51" i="47"/>
  <c r="R51" i="47"/>
  <c r="U50" i="47"/>
  <c r="R50" i="47"/>
  <c r="U49" i="47"/>
  <c r="R49" i="47"/>
  <c r="U48" i="47"/>
  <c r="U47" i="47"/>
  <c r="R47" i="47"/>
  <c r="U46" i="47"/>
  <c r="R46" i="47"/>
  <c r="U45" i="47"/>
  <c r="R45" i="47"/>
  <c r="U44" i="47"/>
  <c r="U42" i="47"/>
  <c r="U41" i="47"/>
  <c r="R41" i="47"/>
  <c r="U40" i="47"/>
  <c r="R40" i="47"/>
  <c r="U39" i="47"/>
  <c r="R39" i="47"/>
  <c r="U38" i="47"/>
  <c r="R38" i="47"/>
  <c r="U37" i="47"/>
  <c r="U36" i="47"/>
  <c r="R36" i="47"/>
  <c r="U35" i="47"/>
  <c r="R35" i="47"/>
  <c r="U34" i="47"/>
  <c r="R34" i="47"/>
  <c r="U33" i="47"/>
  <c r="R33" i="47"/>
  <c r="F141" i="48" s="1"/>
  <c r="U32" i="47"/>
  <c r="U31" i="47"/>
  <c r="R31" i="47"/>
  <c r="B99" i="48" s="1"/>
  <c r="U30" i="47"/>
  <c r="U29" i="47"/>
  <c r="R29" i="47"/>
  <c r="U28" i="47"/>
  <c r="R28" i="47"/>
  <c r="U27" i="47"/>
  <c r="R27" i="47"/>
  <c r="U26" i="47"/>
  <c r="R26" i="47"/>
  <c r="U25" i="47"/>
  <c r="R25" i="47"/>
  <c r="U24" i="47"/>
  <c r="U23" i="47"/>
  <c r="R23" i="47"/>
  <c r="U22" i="47"/>
  <c r="R22" i="47"/>
  <c r="U21" i="47"/>
  <c r="R21" i="47"/>
  <c r="U20" i="47"/>
  <c r="R20" i="47"/>
  <c r="U19" i="47"/>
  <c r="R19" i="47"/>
  <c r="U18" i="47"/>
  <c r="R18" i="47"/>
  <c r="U17" i="47"/>
  <c r="R17" i="47"/>
  <c r="U16" i="47"/>
  <c r="R16" i="47"/>
  <c r="U15" i="47"/>
  <c r="R15" i="47"/>
  <c r="U14" i="47"/>
  <c r="R14" i="47"/>
  <c r="U13" i="47"/>
  <c r="R13" i="47"/>
  <c r="U12" i="47"/>
  <c r="R12" i="47"/>
  <c r="U11" i="47"/>
  <c r="R11" i="47"/>
  <c r="U10" i="47"/>
  <c r="R10" i="47"/>
  <c r="U9" i="47"/>
  <c r="R9" i="47"/>
  <c r="U8" i="47"/>
  <c r="R8" i="47"/>
  <c r="U7" i="47"/>
  <c r="R7" i="47"/>
  <c r="U6" i="47"/>
  <c r="R6" i="47"/>
  <c r="D5" i="47"/>
  <c r="R5" i="47"/>
  <c r="U4" i="47"/>
  <c r="E4" i="47"/>
  <c r="Q4" i="47" s="1"/>
  <c r="C4" i="47"/>
  <c r="R4" i="47" s="1"/>
  <c r="U116" i="45"/>
  <c r="U59" i="37"/>
  <c r="U27" i="37"/>
  <c r="U27" i="41"/>
  <c r="F52" i="46"/>
  <c r="B52" i="46"/>
  <c r="B46" i="46"/>
  <c r="B49" i="46" s="1"/>
  <c r="F38" i="46"/>
  <c r="F41" i="46" s="1"/>
  <c r="F15" i="46"/>
  <c r="F17" i="46" s="1"/>
  <c r="B5" i="46"/>
  <c r="B8" i="46" s="1"/>
  <c r="A1" i="46"/>
  <c r="U153" i="45"/>
  <c r="U152" i="45"/>
  <c r="R152" i="45"/>
  <c r="U151" i="45"/>
  <c r="R151" i="45"/>
  <c r="U150" i="45"/>
  <c r="R150" i="45"/>
  <c r="U149" i="45"/>
  <c r="R149" i="45"/>
  <c r="U148" i="45"/>
  <c r="R148" i="45"/>
  <c r="U147" i="45"/>
  <c r="R147" i="45"/>
  <c r="U146" i="45"/>
  <c r="R146" i="45"/>
  <c r="U145" i="45"/>
  <c r="R145" i="45"/>
  <c r="U144" i="45"/>
  <c r="R144" i="45"/>
  <c r="U143" i="45"/>
  <c r="R143" i="45"/>
  <c r="U142" i="45"/>
  <c r="R142" i="45"/>
  <c r="U141" i="45"/>
  <c r="R141" i="45"/>
  <c r="U140" i="45"/>
  <c r="R140" i="45"/>
  <c r="U139" i="45"/>
  <c r="R139" i="45"/>
  <c r="S138" i="45"/>
  <c r="E176" i="46" s="1"/>
  <c r="U138" i="45"/>
  <c r="R138" i="45"/>
  <c r="S137" i="45"/>
  <c r="E175" i="46" s="1"/>
  <c r="U137" i="45"/>
  <c r="R137" i="45"/>
  <c r="S136" i="45"/>
  <c r="E174" i="46" s="1"/>
  <c r="U136" i="45"/>
  <c r="R136" i="45"/>
  <c r="S135" i="45"/>
  <c r="E173" i="46" s="1"/>
  <c r="U135" i="45"/>
  <c r="R135" i="45"/>
  <c r="S134" i="45"/>
  <c r="E172" i="46" s="1"/>
  <c r="U134" i="45"/>
  <c r="R134" i="45"/>
  <c r="U133" i="45"/>
  <c r="R133" i="45"/>
  <c r="U132" i="45"/>
  <c r="R132" i="45"/>
  <c r="U131" i="45"/>
  <c r="S131" i="45"/>
  <c r="E171" i="46" s="1"/>
  <c r="R131" i="45"/>
  <c r="U130" i="45"/>
  <c r="R130" i="45"/>
  <c r="U129" i="45"/>
  <c r="S129" i="45"/>
  <c r="E170" i="46" s="1"/>
  <c r="R129" i="45"/>
  <c r="U128" i="45"/>
  <c r="E169" i="46"/>
  <c r="R128" i="45"/>
  <c r="U127" i="45"/>
  <c r="E168" i="46"/>
  <c r="R127" i="45"/>
  <c r="E167" i="46"/>
  <c r="U126" i="45"/>
  <c r="R126" i="45"/>
  <c r="U125" i="45"/>
  <c r="E165" i="46"/>
  <c r="R125" i="45"/>
  <c r="U124" i="45"/>
  <c r="E164" i="46"/>
  <c r="R124" i="45"/>
  <c r="U123" i="45"/>
  <c r="E163" i="46"/>
  <c r="R123" i="45"/>
  <c r="E162" i="46"/>
  <c r="U122" i="45"/>
  <c r="R122" i="45"/>
  <c r="U121" i="45"/>
  <c r="U120" i="45"/>
  <c r="R120" i="45"/>
  <c r="U119" i="45"/>
  <c r="R119" i="45"/>
  <c r="U118" i="45"/>
  <c r="R118" i="45"/>
  <c r="U117" i="45"/>
  <c r="R117" i="45"/>
  <c r="R116" i="45"/>
  <c r="U115" i="45"/>
  <c r="U114" i="45"/>
  <c r="R114" i="45"/>
  <c r="U113" i="45"/>
  <c r="U112" i="45"/>
  <c r="R112" i="45"/>
  <c r="U111" i="45"/>
  <c r="R111" i="45"/>
  <c r="U110" i="45"/>
  <c r="R110" i="45"/>
  <c r="U109" i="45"/>
  <c r="R109" i="45"/>
  <c r="U108" i="45"/>
  <c r="U107" i="45"/>
  <c r="R107" i="45"/>
  <c r="U106" i="45"/>
  <c r="R106" i="45"/>
  <c r="U105" i="45"/>
  <c r="U104" i="45"/>
  <c r="R104" i="45"/>
  <c r="U103" i="45"/>
  <c r="R103" i="45"/>
  <c r="U102" i="45"/>
  <c r="R102" i="45"/>
  <c r="U101" i="45"/>
  <c r="R101" i="45"/>
  <c r="U100" i="45"/>
  <c r="R100" i="45"/>
  <c r="U99" i="45"/>
  <c r="R99" i="45"/>
  <c r="U97" i="45"/>
  <c r="R97" i="45"/>
  <c r="U96" i="45"/>
  <c r="R96" i="45"/>
  <c r="U95" i="45"/>
  <c r="R95" i="45"/>
  <c r="U94" i="45"/>
  <c r="R94" i="45"/>
  <c r="U93" i="45"/>
  <c r="R93" i="45"/>
  <c r="U92" i="45"/>
  <c r="U91" i="45"/>
  <c r="R91" i="45"/>
  <c r="U90" i="45"/>
  <c r="R90" i="45"/>
  <c r="U89" i="45"/>
  <c r="R89" i="45"/>
  <c r="U88" i="45"/>
  <c r="R88" i="45"/>
  <c r="U84" i="45"/>
  <c r="U83" i="45"/>
  <c r="R83" i="45"/>
  <c r="U82" i="45"/>
  <c r="R82" i="45"/>
  <c r="U81" i="45"/>
  <c r="R81" i="45"/>
  <c r="U80" i="45"/>
  <c r="R80" i="45"/>
  <c r="U78" i="45"/>
  <c r="R78" i="45"/>
  <c r="U77" i="45"/>
  <c r="R77" i="45"/>
  <c r="U74" i="45"/>
  <c r="U73" i="45"/>
  <c r="R73" i="45"/>
  <c r="U75" i="45"/>
  <c r="R75" i="45"/>
  <c r="R76" i="45" s="1"/>
  <c r="B133" i="46" s="1"/>
  <c r="B139" i="46" s="1"/>
  <c r="B135" i="46" s="1"/>
  <c r="B136" i="46" s="1"/>
  <c r="U72" i="45"/>
  <c r="R72" i="45"/>
  <c r="U71" i="45"/>
  <c r="R71" i="45"/>
  <c r="U70" i="45"/>
  <c r="R70" i="45"/>
  <c r="U69" i="45"/>
  <c r="R69" i="45"/>
  <c r="U68" i="45"/>
  <c r="R68" i="45"/>
  <c r="U67" i="45"/>
  <c r="R67" i="45"/>
  <c r="U66" i="45"/>
  <c r="R66" i="45"/>
  <c r="U65" i="45"/>
  <c r="R65" i="45"/>
  <c r="U64" i="45"/>
  <c r="R64" i="45"/>
  <c r="U63" i="45"/>
  <c r="R63" i="45"/>
  <c r="U62" i="45"/>
  <c r="R62" i="45"/>
  <c r="U61" i="45"/>
  <c r="R61" i="45"/>
  <c r="U60" i="45"/>
  <c r="R60" i="45"/>
  <c r="U59" i="45"/>
  <c r="R59" i="45"/>
  <c r="U58" i="45"/>
  <c r="U57" i="45"/>
  <c r="R57" i="45"/>
  <c r="U56" i="45"/>
  <c r="R56" i="45"/>
  <c r="U55" i="45"/>
  <c r="R55" i="45"/>
  <c r="U54" i="45"/>
  <c r="R54" i="45"/>
  <c r="U53" i="45"/>
  <c r="R53" i="45"/>
  <c r="U52" i="45"/>
  <c r="R52" i="45"/>
  <c r="U51" i="45"/>
  <c r="R51" i="45"/>
  <c r="U50" i="45"/>
  <c r="R50" i="45"/>
  <c r="U49" i="45"/>
  <c r="R49" i="45"/>
  <c r="U48" i="45"/>
  <c r="U47" i="45"/>
  <c r="R47" i="45"/>
  <c r="U46" i="45"/>
  <c r="R46" i="45"/>
  <c r="U45" i="45"/>
  <c r="R45" i="45"/>
  <c r="U44" i="45"/>
  <c r="U42" i="45"/>
  <c r="U41" i="45"/>
  <c r="R41" i="45"/>
  <c r="U40" i="45"/>
  <c r="R40" i="45"/>
  <c r="U39" i="45"/>
  <c r="R39" i="45"/>
  <c r="U38" i="45"/>
  <c r="R38" i="45"/>
  <c r="U37" i="45"/>
  <c r="U36" i="45"/>
  <c r="R36" i="45"/>
  <c r="U35" i="45"/>
  <c r="R35" i="45"/>
  <c r="U34" i="45"/>
  <c r="R34" i="45"/>
  <c r="U33" i="45"/>
  <c r="R33" i="45"/>
  <c r="F141" i="46" s="1"/>
  <c r="U32" i="45"/>
  <c r="U31" i="45"/>
  <c r="R31" i="45"/>
  <c r="B99" i="46" s="1"/>
  <c r="U30" i="45"/>
  <c r="U29" i="45"/>
  <c r="R29" i="45"/>
  <c r="U28" i="45"/>
  <c r="R28" i="45"/>
  <c r="U27" i="45"/>
  <c r="R27" i="45"/>
  <c r="U26" i="45"/>
  <c r="R26" i="45"/>
  <c r="U25" i="45"/>
  <c r="R25" i="45"/>
  <c r="U24" i="45"/>
  <c r="U23" i="45"/>
  <c r="R23" i="45"/>
  <c r="U22" i="45"/>
  <c r="R22" i="45"/>
  <c r="U21" i="45"/>
  <c r="R21" i="45"/>
  <c r="U20" i="45"/>
  <c r="R20" i="45"/>
  <c r="U19" i="45"/>
  <c r="R19" i="45"/>
  <c r="R18" i="45"/>
  <c r="R17" i="45"/>
  <c r="R16" i="45"/>
  <c r="U15" i="45"/>
  <c r="R15" i="45"/>
  <c r="U14" i="45"/>
  <c r="R14" i="45"/>
  <c r="U13" i="45"/>
  <c r="R13" i="45"/>
  <c r="U12" i="45"/>
  <c r="R12" i="45"/>
  <c r="U11" i="45"/>
  <c r="R11" i="45"/>
  <c r="U10" i="45"/>
  <c r="R10" i="45"/>
  <c r="U9" i="45"/>
  <c r="R9" i="45"/>
  <c r="U8" i="45"/>
  <c r="R8" i="45"/>
  <c r="U7" i="45"/>
  <c r="R7" i="45"/>
  <c r="U6" i="45"/>
  <c r="R6" i="45"/>
  <c r="D5" i="45"/>
  <c r="E5" i="45" s="1"/>
  <c r="R5" i="45"/>
  <c r="U4" i="45"/>
  <c r="E4" i="45"/>
  <c r="Q4" i="45" s="1"/>
  <c r="C4" i="45"/>
  <c r="R4" i="45" s="1"/>
  <c r="F52" i="44"/>
  <c r="B52" i="44"/>
  <c r="B46" i="44"/>
  <c r="B49" i="44" s="1"/>
  <c r="F38" i="44"/>
  <c r="F42" i="44" s="1"/>
  <c r="F15" i="44"/>
  <c r="F18" i="44" s="1"/>
  <c r="B5" i="44"/>
  <c r="B8" i="44" s="1"/>
  <c r="A1" i="44"/>
  <c r="U153" i="43"/>
  <c r="U152" i="43"/>
  <c r="R152" i="43"/>
  <c r="U151" i="43"/>
  <c r="R151" i="43"/>
  <c r="U150" i="43"/>
  <c r="R150" i="43"/>
  <c r="U149" i="43"/>
  <c r="R149" i="43"/>
  <c r="U148" i="43"/>
  <c r="R148" i="43"/>
  <c r="U147" i="43"/>
  <c r="R147" i="43"/>
  <c r="U146" i="43"/>
  <c r="R146" i="43"/>
  <c r="U145" i="43"/>
  <c r="R145" i="43"/>
  <c r="U144" i="43"/>
  <c r="R144" i="43"/>
  <c r="U143" i="43"/>
  <c r="R143" i="43"/>
  <c r="U142" i="43"/>
  <c r="R142" i="43"/>
  <c r="U141" i="43"/>
  <c r="R141" i="43"/>
  <c r="U140" i="43"/>
  <c r="R140" i="43"/>
  <c r="U139" i="43"/>
  <c r="R139" i="43"/>
  <c r="S138" i="43"/>
  <c r="E176" i="44" s="1"/>
  <c r="U138" i="43"/>
  <c r="R138" i="43"/>
  <c r="S137" i="43"/>
  <c r="E175" i="44" s="1"/>
  <c r="U137" i="43"/>
  <c r="R137" i="43"/>
  <c r="S136" i="43"/>
  <c r="E174" i="44" s="1"/>
  <c r="U136" i="43"/>
  <c r="R136" i="43"/>
  <c r="U135" i="43"/>
  <c r="S135" i="43"/>
  <c r="E173" i="44" s="1"/>
  <c r="R135" i="43"/>
  <c r="S134" i="43"/>
  <c r="E172" i="44" s="1"/>
  <c r="U134" i="43"/>
  <c r="R134" i="43"/>
  <c r="U133" i="43"/>
  <c r="S133" i="43"/>
  <c r="R133" i="43"/>
  <c r="U132" i="43"/>
  <c r="S132" i="43"/>
  <c r="R132" i="43"/>
  <c r="U131" i="43"/>
  <c r="S131" i="43"/>
  <c r="E171" i="44" s="1"/>
  <c r="R131" i="43"/>
  <c r="U130" i="43"/>
  <c r="R130" i="43"/>
  <c r="U129" i="43"/>
  <c r="S129" i="43"/>
  <c r="E170" i="44" s="1"/>
  <c r="R129" i="43"/>
  <c r="U128" i="43"/>
  <c r="S128" i="43"/>
  <c r="E169" i="44" s="1"/>
  <c r="R128" i="43"/>
  <c r="U127" i="43"/>
  <c r="E168" i="44"/>
  <c r="R127" i="43"/>
  <c r="E167" i="44"/>
  <c r="U126" i="43"/>
  <c r="R126" i="43"/>
  <c r="U125" i="43"/>
  <c r="E165" i="44"/>
  <c r="R125" i="43"/>
  <c r="U124" i="43"/>
  <c r="E164" i="44"/>
  <c r="R124" i="43"/>
  <c r="U123" i="43"/>
  <c r="E163" i="44"/>
  <c r="R123" i="43"/>
  <c r="E162" i="44"/>
  <c r="U122" i="43"/>
  <c r="R122" i="43"/>
  <c r="U121" i="43"/>
  <c r="U120" i="43"/>
  <c r="R120" i="43"/>
  <c r="U119" i="43"/>
  <c r="R119" i="43"/>
  <c r="U118" i="43"/>
  <c r="R118" i="43"/>
  <c r="U117" i="43"/>
  <c r="R117" i="43"/>
  <c r="U116" i="43"/>
  <c r="R116" i="43"/>
  <c r="U115" i="43"/>
  <c r="U114" i="43"/>
  <c r="R114" i="43"/>
  <c r="U113" i="43"/>
  <c r="U112" i="43"/>
  <c r="R112" i="43"/>
  <c r="U111" i="43"/>
  <c r="R111" i="43"/>
  <c r="U110" i="43"/>
  <c r="R110" i="43"/>
  <c r="U109" i="43"/>
  <c r="R109" i="43"/>
  <c r="U108" i="43"/>
  <c r="U107" i="43"/>
  <c r="R107" i="43"/>
  <c r="U106" i="43"/>
  <c r="R106" i="43"/>
  <c r="U105" i="43"/>
  <c r="U104" i="43"/>
  <c r="R104" i="43"/>
  <c r="U103" i="43"/>
  <c r="R103" i="43"/>
  <c r="U102" i="43"/>
  <c r="R102" i="43"/>
  <c r="U101" i="43"/>
  <c r="R101" i="43"/>
  <c r="U100" i="43"/>
  <c r="R100" i="43"/>
  <c r="U99" i="43"/>
  <c r="R99" i="43"/>
  <c r="U97" i="43"/>
  <c r="R97" i="43"/>
  <c r="U96" i="43"/>
  <c r="R96" i="43"/>
  <c r="U95" i="43"/>
  <c r="R95" i="43"/>
  <c r="U94" i="43"/>
  <c r="R94" i="43"/>
  <c r="U93" i="43"/>
  <c r="R93" i="43"/>
  <c r="U92" i="43"/>
  <c r="U91" i="43"/>
  <c r="R91" i="43"/>
  <c r="U90" i="43"/>
  <c r="R90" i="43"/>
  <c r="U89" i="43"/>
  <c r="R89" i="43"/>
  <c r="U88" i="43"/>
  <c r="R88" i="43"/>
  <c r="U84" i="43"/>
  <c r="U83" i="43"/>
  <c r="R83" i="43"/>
  <c r="U82" i="43"/>
  <c r="R82" i="43"/>
  <c r="U81" i="43"/>
  <c r="R81" i="43"/>
  <c r="U80" i="43"/>
  <c r="R80" i="43"/>
  <c r="U78" i="43"/>
  <c r="R78" i="43"/>
  <c r="U77" i="43"/>
  <c r="R77" i="43"/>
  <c r="U74" i="43"/>
  <c r="U73" i="43"/>
  <c r="R73" i="43"/>
  <c r="U75" i="43"/>
  <c r="R75" i="43"/>
  <c r="U72" i="43"/>
  <c r="R72" i="43"/>
  <c r="U71" i="43"/>
  <c r="R71" i="43"/>
  <c r="U70" i="43"/>
  <c r="R70" i="43"/>
  <c r="U69" i="43"/>
  <c r="R69" i="43"/>
  <c r="U68" i="43"/>
  <c r="R68" i="43"/>
  <c r="U67" i="43"/>
  <c r="R67" i="43"/>
  <c r="U66" i="43"/>
  <c r="R66" i="43"/>
  <c r="U65" i="43"/>
  <c r="R65" i="43"/>
  <c r="U64" i="43"/>
  <c r="R64" i="43"/>
  <c r="U63" i="43"/>
  <c r="R63" i="43"/>
  <c r="U62" i="43"/>
  <c r="R62" i="43"/>
  <c r="U61" i="43"/>
  <c r="R61" i="43"/>
  <c r="U60" i="43"/>
  <c r="R60" i="43"/>
  <c r="U59" i="43"/>
  <c r="R59" i="43"/>
  <c r="U58" i="43"/>
  <c r="U57" i="43"/>
  <c r="R57" i="43"/>
  <c r="U56" i="43"/>
  <c r="R56" i="43"/>
  <c r="U55" i="43"/>
  <c r="R55" i="43"/>
  <c r="U54" i="43"/>
  <c r="R54" i="43"/>
  <c r="U53" i="43"/>
  <c r="R53" i="43"/>
  <c r="U52" i="43"/>
  <c r="R52" i="43"/>
  <c r="U51" i="43"/>
  <c r="R51" i="43"/>
  <c r="U50" i="43"/>
  <c r="R50" i="43"/>
  <c r="U49" i="43"/>
  <c r="R49" i="43"/>
  <c r="U48" i="43"/>
  <c r="U47" i="43"/>
  <c r="R47" i="43"/>
  <c r="U46" i="43"/>
  <c r="R46" i="43"/>
  <c r="U45" i="43"/>
  <c r="R45" i="43"/>
  <c r="U44" i="43"/>
  <c r="U42" i="43"/>
  <c r="U41" i="43"/>
  <c r="R41" i="43"/>
  <c r="U40" i="43"/>
  <c r="R40" i="43"/>
  <c r="U39" i="43"/>
  <c r="R39" i="43"/>
  <c r="U38" i="43"/>
  <c r="R38" i="43"/>
  <c r="U37" i="43"/>
  <c r="U36" i="43"/>
  <c r="R36" i="43"/>
  <c r="U35" i="43"/>
  <c r="R35" i="43"/>
  <c r="U34" i="43"/>
  <c r="R34" i="43"/>
  <c r="U33" i="43"/>
  <c r="R33" i="43"/>
  <c r="F141" i="44" s="1"/>
  <c r="U32" i="43"/>
  <c r="U31" i="43"/>
  <c r="R31" i="43"/>
  <c r="B99" i="44" s="1"/>
  <c r="U30" i="43"/>
  <c r="U29" i="43"/>
  <c r="R29" i="43"/>
  <c r="U28" i="43"/>
  <c r="R28" i="43"/>
  <c r="U27" i="43"/>
  <c r="R27" i="43"/>
  <c r="U26" i="43"/>
  <c r="R26" i="43"/>
  <c r="U25" i="43"/>
  <c r="R25" i="43"/>
  <c r="U24" i="43"/>
  <c r="U23" i="43"/>
  <c r="R23" i="43"/>
  <c r="U22" i="43"/>
  <c r="R22" i="43"/>
  <c r="U21" i="43"/>
  <c r="R21" i="43"/>
  <c r="U20" i="43"/>
  <c r="R20" i="43"/>
  <c r="U19" i="43"/>
  <c r="R19" i="43"/>
  <c r="U18" i="43"/>
  <c r="R18" i="43"/>
  <c r="U17" i="43"/>
  <c r="R17" i="43"/>
  <c r="U16" i="43"/>
  <c r="R16" i="43"/>
  <c r="U15" i="43"/>
  <c r="R15" i="43"/>
  <c r="U14" i="43"/>
  <c r="R14" i="43"/>
  <c r="U13" i="43"/>
  <c r="R13" i="43"/>
  <c r="U12" i="43"/>
  <c r="R12" i="43"/>
  <c r="U11" i="43"/>
  <c r="R11" i="43"/>
  <c r="U10" i="43"/>
  <c r="R10" i="43"/>
  <c r="U9" i="43"/>
  <c r="R9" i="43"/>
  <c r="U8" i="43"/>
  <c r="R8" i="43"/>
  <c r="U7" i="43"/>
  <c r="R7" i="43"/>
  <c r="U6" i="43"/>
  <c r="R6" i="43"/>
  <c r="D5" i="43"/>
  <c r="R5" i="43"/>
  <c r="U4" i="43"/>
  <c r="E4" i="43"/>
  <c r="Q4" i="43" s="1"/>
  <c r="C4" i="43"/>
  <c r="R4" i="43" s="1"/>
  <c r="F52" i="42"/>
  <c r="B52" i="42"/>
  <c r="B46" i="42"/>
  <c r="B49" i="42" s="1"/>
  <c r="F38" i="42"/>
  <c r="F42" i="42" s="1"/>
  <c r="F15" i="42"/>
  <c r="F18" i="42" s="1"/>
  <c r="B5" i="42"/>
  <c r="B8" i="42" s="1"/>
  <c r="A1" i="42"/>
  <c r="U153" i="41"/>
  <c r="U152" i="41"/>
  <c r="R152" i="41"/>
  <c r="U151" i="41"/>
  <c r="R151" i="41"/>
  <c r="U150" i="41"/>
  <c r="R150" i="41"/>
  <c r="U149" i="41"/>
  <c r="R149" i="41"/>
  <c r="U148" i="41"/>
  <c r="R148" i="41"/>
  <c r="U147" i="41"/>
  <c r="R147" i="41"/>
  <c r="U146" i="41"/>
  <c r="R146" i="41"/>
  <c r="U145" i="41"/>
  <c r="R145" i="41"/>
  <c r="U144" i="41"/>
  <c r="R144" i="41"/>
  <c r="U143" i="41"/>
  <c r="R143" i="41"/>
  <c r="U142" i="41"/>
  <c r="R142" i="41"/>
  <c r="U141" i="41"/>
  <c r="R141" i="41"/>
  <c r="U140" i="41"/>
  <c r="R140" i="41"/>
  <c r="U139" i="41"/>
  <c r="R139" i="41"/>
  <c r="S138" i="41"/>
  <c r="E176" i="42" s="1"/>
  <c r="U138" i="41"/>
  <c r="R138" i="41"/>
  <c r="S137" i="41"/>
  <c r="E175" i="42" s="1"/>
  <c r="U137" i="41"/>
  <c r="R137" i="41"/>
  <c r="S136" i="41"/>
  <c r="E174" i="42" s="1"/>
  <c r="U136" i="41"/>
  <c r="R136" i="41"/>
  <c r="S135" i="41"/>
  <c r="E173" i="42" s="1"/>
  <c r="U135" i="41"/>
  <c r="R135" i="41"/>
  <c r="S134" i="41"/>
  <c r="E172" i="42" s="1"/>
  <c r="U134" i="41"/>
  <c r="R134" i="41"/>
  <c r="U133" i="41"/>
  <c r="R133" i="41"/>
  <c r="U132" i="41"/>
  <c r="R132" i="41"/>
  <c r="U131" i="41"/>
  <c r="S131" i="41"/>
  <c r="E171" i="42" s="1"/>
  <c r="R131" i="41"/>
  <c r="U130" i="41"/>
  <c r="R130" i="41"/>
  <c r="U129" i="41"/>
  <c r="S129" i="41"/>
  <c r="E170" i="42" s="1"/>
  <c r="R129" i="41"/>
  <c r="U128" i="41"/>
  <c r="S128" i="41"/>
  <c r="E169" i="42" s="1"/>
  <c r="R128" i="41"/>
  <c r="U127" i="41"/>
  <c r="E168" i="42"/>
  <c r="R127" i="41"/>
  <c r="E167" i="42"/>
  <c r="U126" i="41"/>
  <c r="R126" i="41"/>
  <c r="U125" i="41"/>
  <c r="E165" i="42"/>
  <c r="R125" i="41"/>
  <c r="U124" i="41"/>
  <c r="E164" i="42"/>
  <c r="R124" i="41"/>
  <c r="U123" i="41"/>
  <c r="E163" i="42"/>
  <c r="R123" i="41"/>
  <c r="E162" i="42"/>
  <c r="U122" i="41"/>
  <c r="R122" i="41"/>
  <c r="U121" i="41"/>
  <c r="U120" i="41"/>
  <c r="R120" i="41"/>
  <c r="U119" i="41"/>
  <c r="R119" i="41"/>
  <c r="U118" i="41"/>
  <c r="R118" i="41"/>
  <c r="U117" i="41"/>
  <c r="R117" i="41"/>
  <c r="U116" i="41"/>
  <c r="R116" i="41"/>
  <c r="U115" i="41"/>
  <c r="U114" i="41"/>
  <c r="R114" i="41"/>
  <c r="U113" i="41"/>
  <c r="U112" i="41"/>
  <c r="R112" i="41"/>
  <c r="U111" i="41"/>
  <c r="R111" i="41"/>
  <c r="U110" i="41"/>
  <c r="R110" i="41"/>
  <c r="U109" i="41"/>
  <c r="R109" i="41"/>
  <c r="U108" i="41"/>
  <c r="U107" i="41"/>
  <c r="R107" i="41"/>
  <c r="U106" i="41"/>
  <c r="R106" i="41"/>
  <c r="U105" i="41"/>
  <c r="U104" i="41"/>
  <c r="R104" i="41"/>
  <c r="U103" i="41"/>
  <c r="R103" i="41"/>
  <c r="U102" i="41"/>
  <c r="R102" i="41"/>
  <c r="U101" i="41"/>
  <c r="R101" i="41"/>
  <c r="U100" i="41"/>
  <c r="R100" i="41"/>
  <c r="U99" i="41"/>
  <c r="R99" i="41"/>
  <c r="U97" i="41"/>
  <c r="R97" i="41"/>
  <c r="U96" i="41"/>
  <c r="R96" i="41"/>
  <c r="U95" i="41"/>
  <c r="R95" i="41"/>
  <c r="U94" i="41"/>
  <c r="R94" i="41"/>
  <c r="U93" i="41"/>
  <c r="R93" i="41"/>
  <c r="U92" i="41"/>
  <c r="U91" i="41"/>
  <c r="R91" i="41"/>
  <c r="U90" i="41"/>
  <c r="R90" i="41"/>
  <c r="U89" i="41"/>
  <c r="R89" i="41"/>
  <c r="U88" i="41"/>
  <c r="R88" i="41"/>
  <c r="U84" i="41"/>
  <c r="U83" i="41"/>
  <c r="R83" i="41"/>
  <c r="U82" i="41"/>
  <c r="R82" i="41"/>
  <c r="U81" i="41"/>
  <c r="R81" i="41"/>
  <c r="U80" i="41"/>
  <c r="R80" i="41"/>
  <c r="U78" i="41"/>
  <c r="R78" i="41"/>
  <c r="U77" i="41"/>
  <c r="R77" i="41"/>
  <c r="U74" i="41"/>
  <c r="U73" i="41"/>
  <c r="R73" i="41"/>
  <c r="U75" i="41"/>
  <c r="R75" i="41"/>
  <c r="R76" i="41" s="1"/>
  <c r="B133" i="42" s="1"/>
  <c r="B139" i="42" s="1"/>
  <c r="B135" i="42" s="1"/>
  <c r="B138" i="42" s="1"/>
  <c r="U72" i="41"/>
  <c r="R72" i="41"/>
  <c r="U71" i="41"/>
  <c r="R71" i="41"/>
  <c r="U70" i="41"/>
  <c r="R70" i="41"/>
  <c r="U69" i="41"/>
  <c r="R69" i="41"/>
  <c r="U68" i="41"/>
  <c r="R68" i="41"/>
  <c r="U67" i="41"/>
  <c r="R67" i="41"/>
  <c r="U66" i="41"/>
  <c r="R66" i="41"/>
  <c r="U65" i="41"/>
  <c r="R65" i="41"/>
  <c r="U64" i="41"/>
  <c r="R64" i="41"/>
  <c r="U63" i="41"/>
  <c r="R63" i="41"/>
  <c r="U62" i="41"/>
  <c r="R62" i="41"/>
  <c r="U61" i="41"/>
  <c r="R61" i="41"/>
  <c r="U60" i="41"/>
  <c r="R60" i="41"/>
  <c r="U59" i="41"/>
  <c r="R59" i="41"/>
  <c r="U58" i="41"/>
  <c r="U57" i="41"/>
  <c r="R57" i="41"/>
  <c r="U56" i="41"/>
  <c r="R56" i="41"/>
  <c r="U55" i="41"/>
  <c r="R55" i="41"/>
  <c r="U54" i="41"/>
  <c r="R54" i="41"/>
  <c r="U53" i="41"/>
  <c r="R53" i="41"/>
  <c r="U52" i="41"/>
  <c r="R52" i="41"/>
  <c r="U51" i="41"/>
  <c r="R51" i="41"/>
  <c r="U50" i="41"/>
  <c r="R50" i="41"/>
  <c r="U49" i="41"/>
  <c r="R49" i="41"/>
  <c r="U48" i="41"/>
  <c r="U47" i="41"/>
  <c r="R47" i="41"/>
  <c r="U46" i="41"/>
  <c r="R46" i="41"/>
  <c r="U45" i="41"/>
  <c r="R45" i="41"/>
  <c r="U44" i="41"/>
  <c r="U42" i="41"/>
  <c r="U41" i="41"/>
  <c r="R41" i="41"/>
  <c r="U40" i="41"/>
  <c r="R40" i="41"/>
  <c r="U39" i="41"/>
  <c r="R39" i="41"/>
  <c r="U38" i="41"/>
  <c r="R38" i="41"/>
  <c r="U37" i="41"/>
  <c r="U36" i="41"/>
  <c r="R36" i="41"/>
  <c r="U35" i="41"/>
  <c r="R35" i="41"/>
  <c r="U34" i="41"/>
  <c r="R34" i="41"/>
  <c r="U33" i="41"/>
  <c r="R33" i="41"/>
  <c r="F141" i="42" s="1"/>
  <c r="U32" i="41"/>
  <c r="U31" i="41"/>
  <c r="R31" i="41"/>
  <c r="B99" i="42" s="1"/>
  <c r="U30" i="41"/>
  <c r="U29" i="41"/>
  <c r="R29" i="41"/>
  <c r="U28" i="41"/>
  <c r="R28" i="41"/>
  <c r="R27" i="41"/>
  <c r="U26" i="41"/>
  <c r="R26" i="41"/>
  <c r="U25" i="41"/>
  <c r="R25" i="41"/>
  <c r="U24" i="41"/>
  <c r="U23" i="41"/>
  <c r="R23" i="41"/>
  <c r="U22" i="41"/>
  <c r="R22" i="41"/>
  <c r="U21" i="41"/>
  <c r="R21" i="41"/>
  <c r="U20" i="41"/>
  <c r="R20" i="41"/>
  <c r="U19" i="41"/>
  <c r="R19" i="41"/>
  <c r="U18" i="41"/>
  <c r="R18" i="41"/>
  <c r="U17" i="41"/>
  <c r="R17" i="41"/>
  <c r="U16" i="41"/>
  <c r="R16" i="41"/>
  <c r="U15" i="41"/>
  <c r="R15" i="41"/>
  <c r="U14" i="41"/>
  <c r="R14" i="41"/>
  <c r="U13" i="41"/>
  <c r="R13" i="41"/>
  <c r="U12" i="41"/>
  <c r="R12" i="41"/>
  <c r="U11" i="41"/>
  <c r="R11" i="41"/>
  <c r="U10" i="41"/>
  <c r="R10" i="41"/>
  <c r="U9" i="41"/>
  <c r="R9" i="41"/>
  <c r="U8" i="41"/>
  <c r="R8" i="41"/>
  <c r="U7" i="41"/>
  <c r="R7" i="41"/>
  <c r="U6" i="41"/>
  <c r="R6" i="41"/>
  <c r="D5" i="41"/>
  <c r="R5" i="41"/>
  <c r="U4" i="41"/>
  <c r="E4" i="41"/>
  <c r="Q4" i="41" s="1"/>
  <c r="C4" i="41"/>
  <c r="R4" i="41" s="1"/>
  <c r="F52" i="40"/>
  <c r="B52" i="40"/>
  <c r="B46" i="40"/>
  <c r="B49" i="40" s="1"/>
  <c r="F38" i="40"/>
  <c r="F42" i="40" s="1"/>
  <c r="F15" i="40"/>
  <c r="F18" i="40" s="1"/>
  <c r="B5" i="40"/>
  <c r="B8" i="40" s="1"/>
  <c r="A1" i="40"/>
  <c r="U153" i="39"/>
  <c r="U152" i="39"/>
  <c r="R152" i="39"/>
  <c r="U151" i="39"/>
  <c r="R151" i="39"/>
  <c r="U150" i="39"/>
  <c r="R150" i="39"/>
  <c r="U149" i="39"/>
  <c r="R149" i="39"/>
  <c r="U148" i="39"/>
  <c r="R148" i="39"/>
  <c r="U147" i="39"/>
  <c r="R147" i="39"/>
  <c r="U146" i="39"/>
  <c r="R146" i="39"/>
  <c r="U145" i="39"/>
  <c r="R145" i="39"/>
  <c r="U144" i="39"/>
  <c r="R144" i="39"/>
  <c r="U143" i="39"/>
  <c r="R143" i="39"/>
  <c r="U142" i="39"/>
  <c r="R142" i="39"/>
  <c r="U141" i="39"/>
  <c r="R141" i="39"/>
  <c r="U140" i="39"/>
  <c r="R140" i="39"/>
  <c r="U139" i="39"/>
  <c r="R139" i="39"/>
  <c r="S138" i="39"/>
  <c r="E176" i="40" s="1"/>
  <c r="U138" i="39"/>
  <c r="R138" i="39"/>
  <c r="S137" i="39"/>
  <c r="E175" i="40" s="1"/>
  <c r="U137" i="39"/>
  <c r="R137" i="39"/>
  <c r="S136" i="39"/>
  <c r="E174" i="40" s="1"/>
  <c r="U136" i="39"/>
  <c r="R136" i="39"/>
  <c r="U135" i="39"/>
  <c r="S135" i="39"/>
  <c r="E173" i="40" s="1"/>
  <c r="R135" i="39"/>
  <c r="S134" i="39"/>
  <c r="E172" i="40" s="1"/>
  <c r="U134" i="39"/>
  <c r="R134" i="39"/>
  <c r="U133" i="39"/>
  <c r="R133" i="39"/>
  <c r="U132" i="39"/>
  <c r="R132" i="39"/>
  <c r="U131" i="39"/>
  <c r="S131" i="39"/>
  <c r="E171" i="40" s="1"/>
  <c r="R131" i="39"/>
  <c r="U130" i="39"/>
  <c r="R130" i="39"/>
  <c r="U129" i="39"/>
  <c r="S129" i="39"/>
  <c r="E170" i="40" s="1"/>
  <c r="R129" i="39"/>
  <c r="U128" i="39"/>
  <c r="S128" i="39"/>
  <c r="E169" i="40" s="1"/>
  <c r="R128" i="39"/>
  <c r="U127" i="39"/>
  <c r="E168" i="40"/>
  <c r="R127" i="39"/>
  <c r="E167" i="40"/>
  <c r="U126" i="39"/>
  <c r="R126" i="39"/>
  <c r="U125" i="39"/>
  <c r="E165" i="40"/>
  <c r="R125" i="39"/>
  <c r="E164" i="40"/>
  <c r="R124" i="39"/>
  <c r="U123" i="39"/>
  <c r="E163" i="40"/>
  <c r="R123" i="39"/>
  <c r="E162" i="40"/>
  <c r="U122" i="39"/>
  <c r="R122" i="39"/>
  <c r="U121" i="39"/>
  <c r="U120" i="39"/>
  <c r="R120" i="39"/>
  <c r="U119" i="39"/>
  <c r="R119" i="39"/>
  <c r="U118" i="39"/>
  <c r="R118" i="39"/>
  <c r="U117" i="39"/>
  <c r="R117" i="39"/>
  <c r="U116" i="39"/>
  <c r="R116" i="39"/>
  <c r="U115" i="39"/>
  <c r="U114" i="39"/>
  <c r="R114" i="39"/>
  <c r="U113" i="39"/>
  <c r="U112" i="39"/>
  <c r="R112" i="39"/>
  <c r="U111" i="39"/>
  <c r="R111" i="39"/>
  <c r="U110" i="39"/>
  <c r="R110" i="39"/>
  <c r="U109" i="39"/>
  <c r="R109" i="39"/>
  <c r="U108" i="39"/>
  <c r="U107" i="39"/>
  <c r="R107" i="39"/>
  <c r="U106" i="39"/>
  <c r="R106" i="39"/>
  <c r="U105" i="39"/>
  <c r="U104" i="39"/>
  <c r="R104" i="39"/>
  <c r="U103" i="39"/>
  <c r="R103" i="39"/>
  <c r="U102" i="39"/>
  <c r="R102" i="39"/>
  <c r="U101" i="39"/>
  <c r="R101" i="39"/>
  <c r="U100" i="39"/>
  <c r="R100" i="39"/>
  <c r="U99" i="39"/>
  <c r="R99" i="39"/>
  <c r="U97" i="39"/>
  <c r="R97" i="39"/>
  <c r="U96" i="39"/>
  <c r="R96" i="39"/>
  <c r="U95" i="39"/>
  <c r="R95" i="39"/>
  <c r="U94" i="39"/>
  <c r="R94" i="39"/>
  <c r="U93" i="39"/>
  <c r="R93" i="39"/>
  <c r="U92" i="39"/>
  <c r="U91" i="39"/>
  <c r="R91" i="39"/>
  <c r="U90" i="39"/>
  <c r="R90" i="39"/>
  <c r="U89" i="39"/>
  <c r="R89" i="39"/>
  <c r="U88" i="39"/>
  <c r="R88" i="39"/>
  <c r="U84" i="39"/>
  <c r="U83" i="39"/>
  <c r="R83" i="39"/>
  <c r="U82" i="39"/>
  <c r="R82" i="39"/>
  <c r="U81" i="39"/>
  <c r="R81" i="39"/>
  <c r="U80" i="39"/>
  <c r="R80" i="39"/>
  <c r="U78" i="39"/>
  <c r="R78" i="39"/>
  <c r="U77" i="39"/>
  <c r="R77" i="39"/>
  <c r="U74" i="39"/>
  <c r="U73" i="39"/>
  <c r="R73" i="39"/>
  <c r="U75" i="39"/>
  <c r="R75" i="39"/>
  <c r="R76" i="39" s="1"/>
  <c r="B133" i="40" s="1"/>
  <c r="B139" i="40" s="1"/>
  <c r="B135" i="40" s="1"/>
  <c r="U72" i="39"/>
  <c r="R72" i="39"/>
  <c r="U71" i="39"/>
  <c r="R71" i="39"/>
  <c r="U70" i="39"/>
  <c r="R70" i="39"/>
  <c r="U69" i="39"/>
  <c r="R69" i="39"/>
  <c r="U68" i="39"/>
  <c r="R68" i="39"/>
  <c r="U67" i="39"/>
  <c r="R67" i="39"/>
  <c r="U66" i="39"/>
  <c r="R66" i="39"/>
  <c r="U65" i="39"/>
  <c r="R65" i="39"/>
  <c r="U64" i="39"/>
  <c r="R64" i="39"/>
  <c r="U63" i="39"/>
  <c r="R63" i="39"/>
  <c r="U62" i="39"/>
  <c r="R62" i="39"/>
  <c r="U61" i="39"/>
  <c r="R61" i="39"/>
  <c r="U60" i="39"/>
  <c r="R60" i="39"/>
  <c r="U59" i="39"/>
  <c r="R59" i="39"/>
  <c r="U58" i="39"/>
  <c r="U57" i="39"/>
  <c r="R57" i="39"/>
  <c r="U56" i="39"/>
  <c r="R56" i="39"/>
  <c r="U55" i="39"/>
  <c r="R55" i="39"/>
  <c r="U54" i="39"/>
  <c r="R54" i="39"/>
  <c r="U53" i="39"/>
  <c r="R53" i="39"/>
  <c r="U52" i="39"/>
  <c r="R52" i="39"/>
  <c r="U51" i="39"/>
  <c r="R51" i="39"/>
  <c r="U50" i="39"/>
  <c r="R50" i="39"/>
  <c r="U49" i="39"/>
  <c r="R49" i="39"/>
  <c r="U48" i="39"/>
  <c r="U47" i="39"/>
  <c r="R47" i="39"/>
  <c r="U46" i="39"/>
  <c r="R46" i="39"/>
  <c r="U45" i="39"/>
  <c r="R45" i="39"/>
  <c r="U44" i="39"/>
  <c r="U42" i="39"/>
  <c r="U41" i="39"/>
  <c r="R41" i="39"/>
  <c r="U40" i="39"/>
  <c r="R40" i="39"/>
  <c r="U39" i="39"/>
  <c r="R39" i="39"/>
  <c r="U38" i="39"/>
  <c r="R38" i="39"/>
  <c r="U37" i="39"/>
  <c r="U36" i="39"/>
  <c r="R36" i="39"/>
  <c r="U35" i="39"/>
  <c r="U34" i="39"/>
  <c r="U33" i="39"/>
  <c r="U32" i="39"/>
  <c r="U31" i="39"/>
  <c r="U30" i="39"/>
  <c r="U29" i="39"/>
  <c r="R29" i="39"/>
  <c r="U28" i="39"/>
  <c r="R28" i="39"/>
  <c r="U27" i="39"/>
  <c r="R27" i="39"/>
  <c r="U26" i="39"/>
  <c r="R26" i="39"/>
  <c r="U25" i="39"/>
  <c r="R25" i="39"/>
  <c r="U24" i="39"/>
  <c r="U23" i="39"/>
  <c r="R23" i="39"/>
  <c r="U22" i="39"/>
  <c r="R22" i="39"/>
  <c r="U21" i="39"/>
  <c r="R21" i="39"/>
  <c r="U20" i="39"/>
  <c r="R20" i="39"/>
  <c r="U19" i="39"/>
  <c r="R19" i="39"/>
  <c r="U18" i="39"/>
  <c r="R18" i="39"/>
  <c r="U17" i="39"/>
  <c r="R17" i="39"/>
  <c r="U16" i="39"/>
  <c r="R16" i="39"/>
  <c r="U15" i="39"/>
  <c r="R15" i="39"/>
  <c r="U14" i="39"/>
  <c r="R14" i="39"/>
  <c r="U13" i="39"/>
  <c r="R13" i="39"/>
  <c r="U12" i="39"/>
  <c r="R12" i="39"/>
  <c r="U11" i="39"/>
  <c r="R11" i="39"/>
  <c r="U10" i="39"/>
  <c r="R10" i="39"/>
  <c r="U9" i="39"/>
  <c r="R9" i="39"/>
  <c r="U8" i="39"/>
  <c r="R8" i="39"/>
  <c r="U7" i="39"/>
  <c r="R7" i="39"/>
  <c r="U6" i="39"/>
  <c r="R6" i="39"/>
  <c r="D5" i="39"/>
  <c r="R5" i="39"/>
  <c r="U4" i="39"/>
  <c r="E4" i="39"/>
  <c r="Q4" i="39" s="1"/>
  <c r="C4" i="39"/>
  <c r="R4" i="39" s="1"/>
  <c r="K1" i="39"/>
  <c r="F52" i="38"/>
  <c r="B52" i="38"/>
  <c r="B46" i="38"/>
  <c r="B49" i="38" s="1"/>
  <c r="F38" i="38"/>
  <c r="F41" i="38" s="1"/>
  <c r="F15" i="38"/>
  <c r="F18" i="38" s="1"/>
  <c r="B5" i="38"/>
  <c r="B8" i="38" s="1"/>
  <c r="A1" i="38"/>
  <c r="U153" i="37"/>
  <c r="U152" i="37"/>
  <c r="R152" i="37"/>
  <c r="U151" i="37"/>
  <c r="R151" i="37"/>
  <c r="U150" i="37"/>
  <c r="R150" i="37"/>
  <c r="U149" i="37"/>
  <c r="R149" i="37"/>
  <c r="U148" i="37"/>
  <c r="R148" i="37"/>
  <c r="U147" i="37"/>
  <c r="R147" i="37"/>
  <c r="U146" i="37"/>
  <c r="R146" i="37"/>
  <c r="U145" i="37"/>
  <c r="R145" i="37"/>
  <c r="U144" i="37"/>
  <c r="R144" i="37"/>
  <c r="U143" i="37"/>
  <c r="R143" i="37"/>
  <c r="U142" i="37"/>
  <c r="R142" i="37"/>
  <c r="U141" i="37"/>
  <c r="R141" i="37"/>
  <c r="U140" i="37"/>
  <c r="R140" i="37"/>
  <c r="U139" i="37"/>
  <c r="R139" i="37"/>
  <c r="S138" i="37"/>
  <c r="E176" i="38" s="1"/>
  <c r="U138" i="37"/>
  <c r="R138" i="37"/>
  <c r="S137" i="37"/>
  <c r="E175" i="38" s="1"/>
  <c r="U137" i="37"/>
  <c r="R137" i="37"/>
  <c r="S136" i="37"/>
  <c r="E174" i="38" s="1"/>
  <c r="U136" i="37"/>
  <c r="R136" i="37"/>
  <c r="S135" i="37"/>
  <c r="E173" i="38" s="1"/>
  <c r="U135" i="37"/>
  <c r="R135" i="37"/>
  <c r="S134" i="37"/>
  <c r="E172" i="38" s="1"/>
  <c r="U134" i="37"/>
  <c r="R134" i="37"/>
  <c r="U133" i="37"/>
  <c r="S133" i="37"/>
  <c r="R133" i="37"/>
  <c r="U132" i="37"/>
  <c r="S132" i="37"/>
  <c r="R132" i="37"/>
  <c r="U131" i="37"/>
  <c r="S131" i="37"/>
  <c r="E171" i="38" s="1"/>
  <c r="R131" i="37"/>
  <c r="U130" i="37"/>
  <c r="R130" i="37"/>
  <c r="U129" i="37"/>
  <c r="S129" i="37"/>
  <c r="E170" i="38" s="1"/>
  <c r="R129" i="37"/>
  <c r="U128" i="37"/>
  <c r="S128" i="37"/>
  <c r="E169" i="38" s="1"/>
  <c r="R128" i="37"/>
  <c r="U127" i="37"/>
  <c r="E168" i="38"/>
  <c r="R127" i="37"/>
  <c r="E167" i="38"/>
  <c r="U126" i="37"/>
  <c r="R126" i="37"/>
  <c r="U125" i="37"/>
  <c r="E165" i="38"/>
  <c r="R125" i="37"/>
  <c r="U124" i="37"/>
  <c r="E164" i="38"/>
  <c r="R124" i="37"/>
  <c r="U123" i="37"/>
  <c r="E163" i="38"/>
  <c r="R123" i="37"/>
  <c r="E162" i="38"/>
  <c r="U122" i="37"/>
  <c r="R122" i="37"/>
  <c r="U121" i="37"/>
  <c r="U120" i="37"/>
  <c r="R120" i="37"/>
  <c r="U119" i="37"/>
  <c r="R119" i="37"/>
  <c r="U118" i="37"/>
  <c r="R118" i="37"/>
  <c r="U117" i="37"/>
  <c r="R117" i="37"/>
  <c r="U116" i="37"/>
  <c r="R116" i="37"/>
  <c r="U115" i="37"/>
  <c r="U114" i="37"/>
  <c r="R114" i="37"/>
  <c r="U113" i="37"/>
  <c r="U112" i="37"/>
  <c r="R112" i="37"/>
  <c r="U111" i="37"/>
  <c r="R111" i="37"/>
  <c r="U110" i="37"/>
  <c r="R110" i="37"/>
  <c r="U109" i="37"/>
  <c r="R109" i="37"/>
  <c r="U108" i="37"/>
  <c r="U107" i="37"/>
  <c r="R107" i="37"/>
  <c r="U106" i="37"/>
  <c r="R106" i="37"/>
  <c r="U105" i="37"/>
  <c r="U104" i="37"/>
  <c r="R104" i="37"/>
  <c r="U103" i="37"/>
  <c r="R103" i="37"/>
  <c r="U102" i="37"/>
  <c r="R102" i="37"/>
  <c r="U101" i="37"/>
  <c r="R101" i="37"/>
  <c r="U100" i="37"/>
  <c r="R100" i="37"/>
  <c r="U99" i="37"/>
  <c r="R99" i="37"/>
  <c r="U97" i="37"/>
  <c r="R97" i="37"/>
  <c r="U96" i="37"/>
  <c r="R96" i="37"/>
  <c r="U95" i="37"/>
  <c r="R95" i="37"/>
  <c r="U94" i="37"/>
  <c r="R94" i="37"/>
  <c r="U93" i="37"/>
  <c r="R93" i="37"/>
  <c r="U92" i="37"/>
  <c r="U91" i="37"/>
  <c r="R91" i="37"/>
  <c r="U90" i="37"/>
  <c r="R90" i="37"/>
  <c r="U89" i="37"/>
  <c r="R89" i="37"/>
  <c r="U88" i="37"/>
  <c r="R88" i="37"/>
  <c r="U84" i="37"/>
  <c r="U83" i="37"/>
  <c r="R83" i="37"/>
  <c r="U82" i="37"/>
  <c r="R82" i="37"/>
  <c r="U81" i="37"/>
  <c r="R81" i="37"/>
  <c r="U80" i="37"/>
  <c r="R80" i="37"/>
  <c r="U78" i="37"/>
  <c r="R78" i="37"/>
  <c r="U77" i="37"/>
  <c r="R77" i="37"/>
  <c r="U74" i="37"/>
  <c r="U73" i="37"/>
  <c r="R73" i="37"/>
  <c r="U75" i="37"/>
  <c r="R75" i="37"/>
  <c r="R76" i="37" s="1"/>
  <c r="B133" i="38" s="1"/>
  <c r="B139" i="38" s="1"/>
  <c r="B135" i="38" s="1"/>
  <c r="U72" i="37"/>
  <c r="R72" i="37"/>
  <c r="U71" i="37"/>
  <c r="R71" i="37"/>
  <c r="U70" i="37"/>
  <c r="R70" i="37"/>
  <c r="U69" i="37"/>
  <c r="R69" i="37"/>
  <c r="U68" i="37"/>
  <c r="R68" i="37"/>
  <c r="U67" i="37"/>
  <c r="R67" i="37"/>
  <c r="U66" i="37"/>
  <c r="R66" i="37"/>
  <c r="U65" i="37"/>
  <c r="R65" i="37"/>
  <c r="U64" i="37"/>
  <c r="R64" i="37"/>
  <c r="U63" i="37"/>
  <c r="R63" i="37"/>
  <c r="U62" i="37"/>
  <c r="R62" i="37"/>
  <c r="U61" i="37"/>
  <c r="R61" i="37"/>
  <c r="U60" i="37"/>
  <c r="R60" i="37"/>
  <c r="R59" i="37"/>
  <c r="U58" i="37"/>
  <c r="U57" i="37"/>
  <c r="R57" i="37"/>
  <c r="U56" i="37"/>
  <c r="R56" i="37"/>
  <c r="U55" i="37"/>
  <c r="R55" i="37"/>
  <c r="U54" i="37"/>
  <c r="R54" i="37"/>
  <c r="U53" i="37"/>
  <c r="R53" i="37"/>
  <c r="U52" i="37"/>
  <c r="R52" i="37"/>
  <c r="U51" i="37"/>
  <c r="R51" i="37"/>
  <c r="U50" i="37"/>
  <c r="R50" i="37"/>
  <c r="U49" i="37"/>
  <c r="R49" i="37"/>
  <c r="U48" i="37"/>
  <c r="U47" i="37"/>
  <c r="R47" i="37"/>
  <c r="U46" i="37"/>
  <c r="R46" i="37"/>
  <c r="U45" i="37"/>
  <c r="R45" i="37"/>
  <c r="U44" i="37"/>
  <c r="U42" i="37"/>
  <c r="U41" i="37"/>
  <c r="R41" i="37"/>
  <c r="U40" i="37"/>
  <c r="R40" i="37"/>
  <c r="U39" i="37"/>
  <c r="R39" i="37"/>
  <c r="U38" i="37"/>
  <c r="R38" i="37"/>
  <c r="U37" i="37"/>
  <c r="U36" i="37"/>
  <c r="R36" i="37"/>
  <c r="U35" i="37"/>
  <c r="U34" i="37"/>
  <c r="R34" i="37"/>
  <c r="U33" i="37"/>
  <c r="R33" i="37"/>
  <c r="F141" i="38" s="1"/>
  <c r="U32" i="37"/>
  <c r="U31" i="37"/>
  <c r="R31" i="37"/>
  <c r="B99" i="38" s="1"/>
  <c r="U30" i="37"/>
  <c r="U29" i="37"/>
  <c r="R29" i="37"/>
  <c r="U28" i="37"/>
  <c r="R28" i="37"/>
  <c r="R27" i="37"/>
  <c r="U26" i="37"/>
  <c r="R26" i="37"/>
  <c r="U25" i="37"/>
  <c r="R25" i="37"/>
  <c r="U24" i="37"/>
  <c r="U23" i="37"/>
  <c r="R23" i="37"/>
  <c r="U22" i="37"/>
  <c r="R22" i="37"/>
  <c r="U21" i="37"/>
  <c r="R21" i="37"/>
  <c r="U20" i="37"/>
  <c r="R20" i="37"/>
  <c r="U19" i="37"/>
  <c r="R19" i="37"/>
  <c r="U18" i="37"/>
  <c r="R18" i="37"/>
  <c r="U17" i="37"/>
  <c r="R17" i="37"/>
  <c r="U16" i="37"/>
  <c r="R16" i="37"/>
  <c r="U15" i="37"/>
  <c r="R15" i="37"/>
  <c r="U14" i="37"/>
  <c r="R14" i="37"/>
  <c r="U13" i="37"/>
  <c r="R13" i="37"/>
  <c r="U12" i="37"/>
  <c r="R12" i="37"/>
  <c r="U11" i="37"/>
  <c r="R11" i="37"/>
  <c r="U10" i="37"/>
  <c r="R10" i="37"/>
  <c r="U9" i="37"/>
  <c r="R9" i="37"/>
  <c r="U8" i="37"/>
  <c r="R8" i="37"/>
  <c r="U7" i="37"/>
  <c r="R7" i="37"/>
  <c r="U6" i="37"/>
  <c r="R6" i="37"/>
  <c r="D5" i="37"/>
  <c r="R5" i="37"/>
  <c r="U4" i="37"/>
  <c r="E4" i="37"/>
  <c r="Q4" i="37" s="1"/>
  <c r="C4" i="37"/>
  <c r="R4" i="37" s="1"/>
  <c r="R79" i="43" l="1"/>
  <c r="F78" i="44" s="1"/>
  <c r="F87" i="44" s="1"/>
  <c r="F80" i="44" s="1"/>
  <c r="F84" i="44" s="1"/>
  <c r="R84" i="43"/>
  <c r="F70" i="44" s="1"/>
  <c r="R79" i="45"/>
  <c r="F78" i="46" s="1"/>
  <c r="F87" i="46" s="1"/>
  <c r="R84" i="45"/>
  <c r="F70" i="46" s="1"/>
  <c r="R105" i="45"/>
  <c r="B149" i="46" s="1"/>
  <c r="B158" i="46" s="1"/>
  <c r="B151" i="46" s="1"/>
  <c r="B157" i="46" s="1"/>
  <c r="R79" i="47"/>
  <c r="F78" i="48" s="1"/>
  <c r="F87" i="48" s="1"/>
  <c r="R84" i="47"/>
  <c r="F70" i="48" s="1"/>
  <c r="R79" i="37"/>
  <c r="F78" i="38" s="1"/>
  <c r="F87" i="38" s="1"/>
  <c r="R84" i="37"/>
  <c r="F70" i="38" s="1"/>
  <c r="R98" i="37"/>
  <c r="R79" i="39"/>
  <c r="F78" i="40" s="1"/>
  <c r="F87" i="40" s="1"/>
  <c r="R84" i="39"/>
  <c r="F70" i="40" s="1"/>
  <c r="R79" i="41"/>
  <c r="F78" i="42" s="1"/>
  <c r="F87" i="42" s="1"/>
  <c r="R84" i="41"/>
  <c r="F70" i="42" s="1"/>
  <c r="R105" i="41"/>
  <c r="B149" i="42" s="1"/>
  <c r="B158" i="42" s="1"/>
  <c r="B151" i="42" s="1"/>
  <c r="B157" i="42" s="1"/>
  <c r="F83" i="44"/>
  <c r="F85" i="44"/>
  <c r="R98" i="39"/>
  <c r="R98" i="41"/>
  <c r="R98" i="43"/>
  <c r="R98" i="45"/>
  <c r="R98" i="47"/>
  <c r="R105" i="39"/>
  <c r="B149" i="40" s="1"/>
  <c r="B158" i="40" s="1"/>
  <c r="B151" i="40" s="1"/>
  <c r="B153" i="40" s="1"/>
  <c r="R105" i="43"/>
  <c r="B149" i="44" s="1"/>
  <c r="B158" i="44" s="1"/>
  <c r="B151" i="44" s="1"/>
  <c r="R105" i="47"/>
  <c r="R105" i="37"/>
  <c r="B149" i="38" s="1"/>
  <c r="B158" i="38" s="1"/>
  <c r="B151" i="38" s="1"/>
  <c r="D6" i="37"/>
  <c r="E5" i="37"/>
  <c r="Q5" i="37" s="1"/>
  <c r="D6" i="41"/>
  <c r="E6" i="41" s="1"/>
  <c r="Q6" i="41" s="1"/>
  <c r="E5" i="41"/>
  <c r="Q5" i="41" s="1"/>
  <c r="D6" i="39"/>
  <c r="E6" i="39" s="1"/>
  <c r="Q6" i="39" s="1"/>
  <c r="E5" i="39"/>
  <c r="Q5" i="39" s="1"/>
  <c r="D6" i="43"/>
  <c r="E6" i="43" s="1"/>
  <c r="Q6" i="43" s="1"/>
  <c r="E5" i="43"/>
  <c r="Q5" i="43" s="1"/>
  <c r="D6" i="47"/>
  <c r="E6" i="47" s="1"/>
  <c r="Q6" i="47" s="1"/>
  <c r="E5" i="47"/>
  <c r="Q5" i="47" s="1"/>
  <c r="E8" i="49"/>
  <c r="Q8" i="49" s="1"/>
  <c r="R30" i="39"/>
  <c r="B89" i="40" s="1"/>
  <c r="R42" i="39"/>
  <c r="B15" i="40" s="1"/>
  <c r="R48" i="39"/>
  <c r="B141" i="40" s="1"/>
  <c r="R58" i="39"/>
  <c r="B38" i="40" s="1"/>
  <c r="R44" i="47"/>
  <c r="F59" i="48" s="1"/>
  <c r="B137" i="46"/>
  <c r="R35" i="37"/>
  <c r="R37" i="37" s="1"/>
  <c r="F99" i="38" s="1"/>
  <c r="B138" i="48"/>
  <c r="R37" i="45"/>
  <c r="F99" i="46" s="1"/>
  <c r="R44" i="45"/>
  <c r="F59" i="46" s="1"/>
  <c r="B137" i="42"/>
  <c r="B136" i="48"/>
  <c r="R74" i="37"/>
  <c r="B59" i="38" s="1"/>
  <c r="R76" i="43"/>
  <c r="B133" i="44" s="1"/>
  <c r="B139" i="44" s="1"/>
  <c r="B135" i="44" s="1"/>
  <c r="R31" i="39"/>
  <c r="R32" i="39" s="1"/>
  <c r="R33" i="39"/>
  <c r="R34" i="39" s="1"/>
  <c r="R35" i="39"/>
  <c r="R37" i="39" s="1"/>
  <c r="F99" i="40" s="1"/>
  <c r="R44" i="39"/>
  <c r="F59" i="40" s="1"/>
  <c r="R74" i="39"/>
  <c r="B59" i="40" s="1"/>
  <c r="B138" i="46"/>
  <c r="B136" i="42"/>
  <c r="B1" i="38"/>
  <c r="R24" i="39"/>
  <c r="F4" i="40" s="1"/>
  <c r="B138" i="40"/>
  <c r="B137" i="40"/>
  <c r="B136" i="40"/>
  <c r="B136" i="38"/>
  <c r="B138" i="38"/>
  <c r="B137" i="38"/>
  <c r="R37" i="43"/>
  <c r="F99" i="44" s="1"/>
  <c r="U18" i="45"/>
  <c r="R115" i="45"/>
  <c r="B121" i="46" s="1"/>
  <c r="B48" i="46"/>
  <c r="U16" i="45"/>
  <c r="R37" i="41"/>
  <c r="F99" i="42" s="1"/>
  <c r="F25" i="42"/>
  <c r="R48" i="37"/>
  <c r="B141" i="38" s="1"/>
  <c r="R44" i="43"/>
  <c r="F59" i="44" s="1"/>
  <c r="F25" i="44"/>
  <c r="R44" i="37"/>
  <c r="F59" i="38" s="1"/>
  <c r="R113" i="43"/>
  <c r="B70" i="44" s="1"/>
  <c r="R153" i="43"/>
  <c r="F149" i="44" s="1"/>
  <c r="R115" i="41"/>
  <c r="B121" i="42" s="1"/>
  <c r="F25" i="46"/>
  <c r="R108" i="43"/>
  <c r="B109" i="44" s="1"/>
  <c r="R42" i="41"/>
  <c r="B15" i="42" s="1"/>
  <c r="R44" i="41"/>
  <c r="F59" i="42" s="1"/>
  <c r="R24" i="41"/>
  <c r="F4" i="42" s="1"/>
  <c r="R92" i="41"/>
  <c r="F121" i="42" s="1"/>
  <c r="R113" i="41"/>
  <c r="B70" i="42" s="1"/>
  <c r="R42" i="45"/>
  <c r="B15" i="46" s="1"/>
  <c r="R92" i="45"/>
  <c r="F121" i="46" s="1"/>
  <c r="R113" i="45"/>
  <c r="B70" i="46" s="1"/>
  <c r="R92" i="37"/>
  <c r="F121" i="38" s="1"/>
  <c r="R108" i="37"/>
  <c r="B109" i="38" s="1"/>
  <c r="R113" i="37"/>
  <c r="B70" i="38" s="1"/>
  <c r="R115" i="37"/>
  <c r="B121" i="38" s="1"/>
  <c r="R121" i="37"/>
  <c r="B25" i="38" s="1"/>
  <c r="F25" i="40"/>
  <c r="R48" i="41"/>
  <c r="B141" i="42" s="1"/>
  <c r="R74" i="43"/>
  <c r="B59" i="44" s="1"/>
  <c r="R115" i="43"/>
  <c r="B121" i="44" s="1"/>
  <c r="R121" i="43"/>
  <c r="B25" i="44" s="1"/>
  <c r="R37" i="47"/>
  <c r="F99" i="48" s="1"/>
  <c r="R42" i="37"/>
  <c r="B15" i="38" s="1"/>
  <c r="R74" i="41"/>
  <c r="B59" i="42" s="1"/>
  <c r="R108" i="41"/>
  <c r="B109" i="42" s="1"/>
  <c r="R108" i="45"/>
  <c r="B109" i="46" s="1"/>
  <c r="R153" i="47"/>
  <c r="F149" i="48" s="1"/>
  <c r="R30" i="41"/>
  <c r="F89" i="42" s="1"/>
  <c r="R121" i="41"/>
  <c r="B25" i="42" s="1"/>
  <c r="R24" i="43"/>
  <c r="F4" i="44" s="1"/>
  <c r="R42" i="43"/>
  <c r="B15" i="44" s="1"/>
  <c r="R48" i="43"/>
  <c r="B141" i="44" s="1"/>
  <c r="R48" i="45"/>
  <c r="B141" i="46" s="1"/>
  <c r="R58" i="47"/>
  <c r="B38" i="48" s="1"/>
  <c r="B1" i="40"/>
  <c r="K1" i="41"/>
  <c r="R30" i="43"/>
  <c r="F89" i="44" s="1"/>
  <c r="F40" i="46"/>
  <c r="F42" i="46"/>
  <c r="F40" i="38"/>
  <c r="R74" i="45"/>
  <c r="B59" i="46" s="1"/>
  <c r="R74" i="47"/>
  <c r="B59" i="48" s="1"/>
  <c r="R24" i="47"/>
  <c r="F4" i="48" s="1"/>
  <c r="R30" i="47"/>
  <c r="R42" i="47"/>
  <c r="B15" i="48" s="1"/>
  <c r="R48" i="47"/>
  <c r="B141" i="48" s="1"/>
  <c r="R92" i="47"/>
  <c r="F121" i="48" s="1"/>
  <c r="R108" i="47"/>
  <c r="B109" i="48" s="1"/>
  <c r="R113" i="47"/>
  <c r="B70" i="48" s="1"/>
  <c r="R115" i="47"/>
  <c r="B121" i="48" s="1"/>
  <c r="R121" i="47"/>
  <c r="B25" i="48" s="1"/>
  <c r="F17" i="48"/>
  <c r="F40" i="48"/>
  <c r="F41" i="48"/>
  <c r="B48" i="48"/>
  <c r="F54" i="48"/>
  <c r="F55" i="48"/>
  <c r="B54" i="48"/>
  <c r="B55" i="48"/>
  <c r="R24" i="45"/>
  <c r="F4" i="46" s="1"/>
  <c r="U17" i="45"/>
  <c r="R30" i="45"/>
  <c r="R58" i="45"/>
  <c r="B38" i="46" s="1"/>
  <c r="D6" i="45"/>
  <c r="E6" i="45" s="1"/>
  <c r="Q5" i="45"/>
  <c r="R153" i="45"/>
  <c r="F149" i="46" s="1"/>
  <c r="R121" i="45"/>
  <c r="B25" i="46" s="1"/>
  <c r="F18" i="46"/>
  <c r="F54" i="46"/>
  <c r="F55" i="46"/>
  <c r="B54" i="46"/>
  <c r="B55" i="46"/>
  <c r="R58" i="43"/>
  <c r="B38" i="44" s="1"/>
  <c r="R92" i="43"/>
  <c r="F121" i="44" s="1"/>
  <c r="F17" i="44"/>
  <c r="F40" i="44"/>
  <c r="F41" i="44"/>
  <c r="B48" i="44"/>
  <c r="F54" i="44"/>
  <c r="F55" i="44"/>
  <c r="B54" i="44"/>
  <c r="B55" i="44"/>
  <c r="D7" i="41"/>
  <c r="R58" i="41"/>
  <c r="B38" i="42" s="1"/>
  <c r="R153" i="41"/>
  <c r="F149" i="42" s="1"/>
  <c r="B55" i="42"/>
  <c r="F17" i="42"/>
  <c r="B48" i="42"/>
  <c r="B54" i="42"/>
  <c r="F40" i="42"/>
  <c r="F41" i="42"/>
  <c r="F54" i="42"/>
  <c r="F55" i="42"/>
  <c r="F42" i="38"/>
  <c r="B48" i="38"/>
  <c r="R92" i="39"/>
  <c r="F121" i="40" s="1"/>
  <c r="R108" i="39"/>
  <c r="B109" i="40" s="1"/>
  <c r="R113" i="39"/>
  <c r="B70" i="40" s="1"/>
  <c r="R115" i="39"/>
  <c r="B121" i="40" s="1"/>
  <c r="R121" i="39"/>
  <c r="B25" i="40" s="1"/>
  <c r="R153" i="39"/>
  <c r="F149" i="40" s="1"/>
  <c r="F17" i="40"/>
  <c r="F40" i="40"/>
  <c r="F41" i="40"/>
  <c r="B48" i="40"/>
  <c r="F54" i="40"/>
  <c r="F55" i="40"/>
  <c r="B54" i="40"/>
  <c r="B55" i="40"/>
  <c r="R58" i="37"/>
  <c r="B38" i="38" s="1"/>
  <c r="R24" i="37"/>
  <c r="F4" i="38" s="1"/>
  <c r="R30" i="37"/>
  <c r="F25" i="38"/>
  <c r="R153" i="37"/>
  <c r="F149" i="38" s="1"/>
  <c r="F17" i="38"/>
  <c r="F55" i="38"/>
  <c r="F54" i="38"/>
  <c r="B54" i="38"/>
  <c r="B55" i="38"/>
  <c r="F86" i="44" l="1"/>
  <c r="F81" i="44"/>
  <c r="F82" i="44"/>
  <c r="D7" i="43"/>
  <c r="E7" i="43" s="1"/>
  <c r="Q7" i="43" s="1"/>
  <c r="B152" i="46"/>
  <c r="B154" i="46"/>
  <c r="B153" i="46"/>
  <c r="B155" i="46"/>
  <c r="B152" i="42"/>
  <c r="B156" i="46"/>
  <c r="B154" i="42"/>
  <c r="B153" i="42"/>
  <c r="B156" i="42"/>
  <c r="B155" i="42"/>
  <c r="B156" i="40"/>
  <c r="B155" i="40"/>
  <c r="B157" i="44"/>
  <c r="B156" i="44"/>
  <c r="B154" i="44"/>
  <c r="B153" i="44"/>
  <c r="B155" i="44"/>
  <c r="B152" i="44"/>
  <c r="B154" i="38"/>
  <c r="B156" i="38"/>
  <c r="B157" i="38"/>
  <c r="B152" i="38"/>
  <c r="B153" i="38"/>
  <c r="B155" i="38"/>
  <c r="B152" i="40"/>
  <c r="B157" i="40"/>
  <c r="B149" i="48"/>
  <c r="B158" i="48" s="1"/>
  <c r="B151" i="48" s="1"/>
  <c r="B154" i="40"/>
  <c r="D7" i="39"/>
  <c r="E7" i="41"/>
  <c r="Q7" i="41" s="1"/>
  <c r="D8" i="41"/>
  <c r="D9" i="41" s="1"/>
  <c r="D10" i="41" s="1"/>
  <c r="D11" i="41" s="1"/>
  <c r="D12" i="41" s="1"/>
  <c r="D13" i="41" s="1"/>
  <c r="D14" i="41" s="1"/>
  <c r="D15" i="41" s="1"/>
  <c r="D16" i="41" s="1"/>
  <c r="D17" i="41" s="1"/>
  <c r="D18" i="41" s="1"/>
  <c r="D19" i="41" s="1"/>
  <c r="D20" i="41" s="1"/>
  <c r="D21" i="41" s="1"/>
  <c r="D22" i="41" s="1"/>
  <c r="D23" i="41" s="1"/>
  <c r="D24" i="41" s="1"/>
  <c r="D25" i="41" s="1"/>
  <c r="D26" i="41" s="1"/>
  <c r="D27" i="41" s="1"/>
  <c r="D28" i="41" s="1"/>
  <c r="D29" i="41" s="1"/>
  <c r="D30" i="41" s="1"/>
  <c r="D31" i="41" s="1"/>
  <c r="D32" i="41" s="1"/>
  <c r="D33" i="41" s="1"/>
  <c r="D34" i="41" s="1"/>
  <c r="D35" i="41" s="1"/>
  <c r="D36" i="41" s="1"/>
  <c r="D37" i="41" s="1"/>
  <c r="D38" i="41" s="1"/>
  <c r="D39" i="41" s="1"/>
  <c r="D40" i="41" s="1"/>
  <c r="D41" i="41" s="1"/>
  <c r="D42" i="41" s="1"/>
  <c r="D43" i="41" s="1"/>
  <c r="D44" i="41" s="1"/>
  <c r="D45" i="41" s="1"/>
  <c r="D46" i="41" s="1"/>
  <c r="D47" i="41" s="1"/>
  <c r="D48" i="41" s="1"/>
  <c r="D49" i="41" s="1"/>
  <c r="D50" i="41" s="1"/>
  <c r="D51" i="41" s="1"/>
  <c r="D52" i="41" s="1"/>
  <c r="D53" i="41" s="1"/>
  <c r="D54" i="41" s="1"/>
  <c r="D55" i="41" s="1"/>
  <c r="D56" i="41" s="1"/>
  <c r="D57" i="41" s="1"/>
  <c r="D58" i="41" s="1"/>
  <c r="D59" i="41" s="1"/>
  <c r="D60" i="41" s="1"/>
  <c r="D61" i="41" s="1"/>
  <c r="D62" i="41" s="1"/>
  <c r="D63" i="41" s="1"/>
  <c r="D64" i="41" s="1"/>
  <c r="D65" i="41" s="1"/>
  <c r="D66" i="41" s="1"/>
  <c r="D67" i="41" s="1"/>
  <c r="D68" i="41" s="1"/>
  <c r="D69" i="41" s="1"/>
  <c r="D70" i="41" s="1"/>
  <c r="D71" i="41" s="1"/>
  <c r="D72" i="41" s="1"/>
  <c r="D73" i="41" s="1"/>
  <c r="D74" i="41" s="1"/>
  <c r="D75" i="41" s="1"/>
  <c r="D76" i="41" s="1"/>
  <c r="D77" i="41" s="1"/>
  <c r="D78" i="41" s="1"/>
  <c r="D80" i="41" s="1"/>
  <c r="D81" i="41" s="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D93" i="41" s="1"/>
  <c r="D94" i="41" s="1"/>
  <c r="D95" i="41" s="1"/>
  <c r="D96" i="41" s="1"/>
  <c r="D97" i="41" s="1"/>
  <c r="D99" i="41" s="1"/>
  <c r="D100" i="41" s="1"/>
  <c r="D101" i="41" s="1"/>
  <c r="D102" i="41" s="1"/>
  <c r="D103" i="41" s="1"/>
  <c r="D104" i="41" s="1"/>
  <c r="D105" i="41" s="1"/>
  <c r="D106" i="41" s="1"/>
  <c r="D107" i="41" s="1"/>
  <c r="D108" i="41" s="1"/>
  <c r="D109" i="41" s="1"/>
  <c r="D110" i="41" s="1"/>
  <c r="D111" i="41" s="1"/>
  <c r="D112" i="41" s="1"/>
  <c r="D113" i="41" s="1"/>
  <c r="D114" i="41" s="1"/>
  <c r="D115" i="41" s="1"/>
  <c r="D116" i="41" s="1"/>
  <c r="D117" i="41" s="1"/>
  <c r="D118" i="41" s="1"/>
  <c r="D119" i="41" s="1"/>
  <c r="D120" i="41" s="1"/>
  <c r="D121" i="41" s="1"/>
  <c r="D122" i="41" s="1"/>
  <c r="D123" i="41" s="1"/>
  <c r="D124" i="41" s="1"/>
  <c r="D125" i="41" s="1"/>
  <c r="D126" i="41" s="1"/>
  <c r="D127" i="41" s="1"/>
  <c r="D128" i="41" s="1"/>
  <c r="D129" i="41" s="1"/>
  <c r="D130" i="41" s="1"/>
  <c r="D131" i="41" s="1"/>
  <c r="D132" i="41" s="1"/>
  <c r="D133" i="41" s="1"/>
  <c r="D134" i="41" s="1"/>
  <c r="D135" i="41" s="1"/>
  <c r="D136" i="41" s="1"/>
  <c r="D137" i="41" s="1"/>
  <c r="D138" i="41" s="1"/>
  <c r="D139" i="41" s="1"/>
  <c r="D140" i="41" s="1"/>
  <c r="D141" i="41" s="1"/>
  <c r="D142" i="41" s="1"/>
  <c r="D143" i="41" s="1"/>
  <c r="D144" i="41" s="1"/>
  <c r="D145" i="41" s="1"/>
  <c r="D146" i="41" s="1"/>
  <c r="D147" i="41" s="1"/>
  <c r="D148" i="41" s="1"/>
  <c r="D149" i="41" s="1"/>
  <c r="D150" i="41" s="1"/>
  <c r="D151" i="41" s="1"/>
  <c r="D152" i="41" s="1"/>
  <c r="D7" i="47"/>
  <c r="D7" i="37"/>
  <c r="D8" i="37" s="1"/>
  <c r="D9" i="37" s="1"/>
  <c r="D10" i="37" s="1"/>
  <c r="D11" i="37" s="1"/>
  <c r="D12" i="37" s="1"/>
  <c r="D13" i="37" s="1"/>
  <c r="D14" i="37" s="1"/>
  <c r="D15" i="37" s="1"/>
  <c r="D16" i="37" s="1"/>
  <c r="D17" i="37" s="1"/>
  <c r="D18" i="37" s="1"/>
  <c r="D19" i="37" s="1"/>
  <c r="D20" i="37" s="1"/>
  <c r="D21" i="37" s="1"/>
  <c r="D22" i="37" s="1"/>
  <c r="D23" i="37" s="1"/>
  <c r="D24" i="37" s="1"/>
  <c r="D25" i="37" s="1"/>
  <c r="D26" i="37" s="1"/>
  <c r="D27" i="37" s="1"/>
  <c r="D28" i="37" s="1"/>
  <c r="D29" i="37" s="1"/>
  <c r="D30" i="37" s="1"/>
  <c r="D31" i="37" s="1"/>
  <c r="D32" i="37" s="1"/>
  <c r="D33" i="37" s="1"/>
  <c r="D34" i="37" s="1"/>
  <c r="D35" i="37" s="1"/>
  <c r="D36" i="37" s="1"/>
  <c r="D37" i="37" s="1"/>
  <c r="D38" i="37" s="1"/>
  <c r="D39" i="37" s="1"/>
  <c r="D40" i="37" s="1"/>
  <c r="D41" i="37" s="1"/>
  <c r="D42" i="37" s="1"/>
  <c r="D43" i="37" s="1"/>
  <c r="D44" i="37" s="1"/>
  <c r="D45" i="37" s="1"/>
  <c r="D46" i="37" s="1"/>
  <c r="D47" i="37" s="1"/>
  <c r="D48" i="37" s="1"/>
  <c r="D49" i="37" s="1"/>
  <c r="D50" i="37" s="1"/>
  <c r="D51" i="37" s="1"/>
  <c r="D52" i="37" s="1"/>
  <c r="D53" i="37" s="1"/>
  <c r="D54" i="37" s="1"/>
  <c r="D55" i="37" s="1"/>
  <c r="D56" i="37" s="1"/>
  <c r="D57" i="37" s="1"/>
  <c r="D58" i="37" s="1"/>
  <c r="D59" i="37" s="1"/>
  <c r="D60" i="37" s="1"/>
  <c r="D61" i="37" s="1"/>
  <c r="D62" i="37" s="1"/>
  <c r="D63" i="37" s="1"/>
  <c r="D64" i="37" s="1"/>
  <c r="D65" i="37" s="1"/>
  <c r="D66" i="37" s="1"/>
  <c r="D67" i="37" s="1"/>
  <c r="D68" i="37" s="1"/>
  <c r="D69" i="37" s="1"/>
  <c r="D70" i="37" s="1"/>
  <c r="D71" i="37" s="1"/>
  <c r="D72" i="37" s="1"/>
  <c r="D73" i="37" s="1"/>
  <c r="D74" i="37" s="1"/>
  <c r="D75" i="37" s="1"/>
  <c r="D76" i="37" s="1"/>
  <c r="D77" i="37" s="1"/>
  <c r="D78" i="37" s="1"/>
  <c r="D80" i="37" s="1"/>
  <c r="D81" i="37" s="1"/>
  <c r="D82" i="37" s="1"/>
  <c r="D83" i="37" s="1"/>
  <c r="D84" i="37" s="1"/>
  <c r="D85" i="37" s="1"/>
  <c r="D86" i="37" s="1"/>
  <c r="D87" i="37" s="1"/>
  <c r="D88" i="37" s="1"/>
  <c r="D89" i="37" s="1"/>
  <c r="D90" i="37" s="1"/>
  <c r="D91" i="37" s="1"/>
  <c r="D92" i="37" s="1"/>
  <c r="D93" i="37" s="1"/>
  <c r="D94" i="37" s="1"/>
  <c r="D95" i="37" s="1"/>
  <c r="D96" i="37" s="1"/>
  <c r="D97" i="37" s="1"/>
  <c r="D99" i="37" s="1"/>
  <c r="D100" i="37" s="1"/>
  <c r="D101" i="37" s="1"/>
  <c r="D102" i="37" s="1"/>
  <c r="D103" i="37" s="1"/>
  <c r="D104" i="37" s="1"/>
  <c r="D105" i="37" s="1"/>
  <c r="D106" i="37" s="1"/>
  <c r="D107" i="37" s="1"/>
  <c r="D108" i="37" s="1"/>
  <c r="D109" i="37" s="1"/>
  <c r="D110" i="37" s="1"/>
  <c r="D111" i="37" s="1"/>
  <c r="D112" i="37" s="1"/>
  <c r="D113" i="37" s="1"/>
  <c r="D114" i="37" s="1"/>
  <c r="D115" i="37" s="1"/>
  <c r="D116" i="37" s="1"/>
  <c r="D117" i="37" s="1"/>
  <c r="D118" i="37" s="1"/>
  <c r="D119" i="37" s="1"/>
  <c r="D120" i="37" s="1"/>
  <c r="D121" i="37" s="1"/>
  <c r="D122" i="37" s="1"/>
  <c r="D123" i="37" s="1"/>
  <c r="D124" i="37" s="1"/>
  <c r="D125" i="37" s="1"/>
  <c r="D126" i="37" s="1"/>
  <c r="D127" i="37" s="1"/>
  <c r="D128" i="37" s="1"/>
  <c r="D129" i="37" s="1"/>
  <c r="D130" i="37" s="1"/>
  <c r="D131" i="37" s="1"/>
  <c r="D132" i="37" s="1"/>
  <c r="D133" i="37" s="1"/>
  <c r="D134" i="37" s="1"/>
  <c r="D135" i="37" s="1"/>
  <c r="D136" i="37" s="1"/>
  <c r="D137" i="37" s="1"/>
  <c r="D138" i="37" s="1"/>
  <c r="D139" i="37" s="1"/>
  <c r="D140" i="37" s="1"/>
  <c r="D141" i="37" s="1"/>
  <c r="D142" i="37" s="1"/>
  <c r="D143" i="37" s="1"/>
  <c r="D144" i="37" s="1"/>
  <c r="D145" i="37" s="1"/>
  <c r="D146" i="37" s="1"/>
  <c r="D147" i="37" s="1"/>
  <c r="D148" i="37" s="1"/>
  <c r="D149" i="37" s="1"/>
  <c r="D150" i="37" s="1"/>
  <c r="D151" i="37" s="1"/>
  <c r="D152" i="37" s="1"/>
  <c r="E6" i="37"/>
  <c r="Q6" i="37" s="1"/>
  <c r="F89" i="40"/>
  <c r="E9" i="49"/>
  <c r="Q9" i="49" s="1"/>
  <c r="F141" i="40"/>
  <c r="B89" i="44"/>
  <c r="B99" i="40"/>
  <c r="B137" i="44"/>
  <c r="B136" i="44"/>
  <c r="B138" i="44"/>
  <c r="B89" i="42"/>
  <c r="K1" i="45"/>
  <c r="K1" i="47" s="1"/>
  <c r="B1" i="42"/>
  <c r="B89" i="48"/>
  <c r="F89" i="48"/>
  <c r="B89" i="46"/>
  <c r="F89" i="46"/>
  <c r="D7" i="45"/>
  <c r="Q6" i="45"/>
  <c r="B89" i="38"/>
  <c r="F89" i="38"/>
  <c r="D8" i="43" l="1"/>
  <c r="D9" i="43" s="1"/>
  <c r="D10" i="43" s="1"/>
  <c r="D11" i="43" s="1"/>
  <c r="D12" i="43" s="1"/>
  <c r="D13" i="43" s="1"/>
  <c r="D14" i="43" s="1"/>
  <c r="D15" i="43" s="1"/>
  <c r="D16" i="43" s="1"/>
  <c r="D17" i="43" s="1"/>
  <c r="D18" i="43" s="1"/>
  <c r="D19" i="43" s="1"/>
  <c r="D20" i="43" s="1"/>
  <c r="D21" i="43" s="1"/>
  <c r="D22" i="43" s="1"/>
  <c r="D23" i="43" s="1"/>
  <c r="D24" i="43" s="1"/>
  <c r="D25" i="43" s="1"/>
  <c r="D26" i="43" s="1"/>
  <c r="D27" i="43" s="1"/>
  <c r="D28" i="43" s="1"/>
  <c r="D29" i="43" s="1"/>
  <c r="D30" i="43" s="1"/>
  <c r="D31" i="43" s="1"/>
  <c r="D32" i="43" s="1"/>
  <c r="D33" i="43" s="1"/>
  <c r="D34" i="43" s="1"/>
  <c r="D35" i="43" s="1"/>
  <c r="D36" i="43" s="1"/>
  <c r="D37" i="43" s="1"/>
  <c r="D38" i="43" s="1"/>
  <c r="D39" i="43" s="1"/>
  <c r="D40" i="43" s="1"/>
  <c r="D41" i="43" s="1"/>
  <c r="D42" i="43" s="1"/>
  <c r="D43" i="43" s="1"/>
  <c r="D44" i="43" s="1"/>
  <c r="D45" i="43" s="1"/>
  <c r="D46" i="43" s="1"/>
  <c r="D47" i="43" s="1"/>
  <c r="D48" i="43" s="1"/>
  <c r="D49" i="43" s="1"/>
  <c r="D50" i="43" s="1"/>
  <c r="D51" i="43" s="1"/>
  <c r="D52" i="43" s="1"/>
  <c r="D53" i="43" s="1"/>
  <c r="D54" i="43" s="1"/>
  <c r="D55" i="43" s="1"/>
  <c r="D56" i="43" s="1"/>
  <c r="D57" i="43" s="1"/>
  <c r="D58" i="43" s="1"/>
  <c r="D59" i="43" s="1"/>
  <c r="D60" i="43" s="1"/>
  <c r="D61" i="43" s="1"/>
  <c r="D62" i="43" s="1"/>
  <c r="D63" i="43" s="1"/>
  <c r="D64" i="43" s="1"/>
  <c r="D65" i="43" s="1"/>
  <c r="D66" i="43" s="1"/>
  <c r="D67" i="43" s="1"/>
  <c r="D68" i="43" s="1"/>
  <c r="D69" i="43" s="1"/>
  <c r="D70" i="43" s="1"/>
  <c r="D71" i="43" s="1"/>
  <c r="D72" i="43" s="1"/>
  <c r="D73" i="43" s="1"/>
  <c r="D74" i="43" s="1"/>
  <c r="D75" i="43" s="1"/>
  <c r="D76" i="43" s="1"/>
  <c r="D77" i="43" s="1"/>
  <c r="D78" i="43" s="1"/>
  <c r="D80" i="43" s="1"/>
  <c r="D81" i="43" s="1"/>
  <c r="D82" i="43" s="1"/>
  <c r="D83" i="43" s="1"/>
  <c r="D84" i="43" s="1"/>
  <c r="D85" i="43" s="1"/>
  <c r="D86" i="43" s="1"/>
  <c r="D87" i="43" s="1"/>
  <c r="D88" i="43" s="1"/>
  <c r="D89" i="43" s="1"/>
  <c r="D90" i="43" s="1"/>
  <c r="D91" i="43" s="1"/>
  <c r="D92" i="43" s="1"/>
  <c r="D93" i="43" s="1"/>
  <c r="D94" i="43" s="1"/>
  <c r="D95" i="43" s="1"/>
  <c r="D96" i="43" s="1"/>
  <c r="D97" i="43" s="1"/>
  <c r="D99" i="43" s="1"/>
  <c r="D100" i="43" s="1"/>
  <c r="D101" i="43" s="1"/>
  <c r="D102" i="43" s="1"/>
  <c r="D103" i="43" s="1"/>
  <c r="D104" i="43" s="1"/>
  <c r="D105" i="43" s="1"/>
  <c r="D106" i="43" s="1"/>
  <c r="D107" i="43" s="1"/>
  <c r="D108" i="43" s="1"/>
  <c r="D109" i="43" s="1"/>
  <c r="D110" i="43" s="1"/>
  <c r="D111" i="43" s="1"/>
  <c r="D112" i="43" s="1"/>
  <c r="D113" i="43" s="1"/>
  <c r="D114" i="43" s="1"/>
  <c r="D115" i="43" s="1"/>
  <c r="D116" i="43" s="1"/>
  <c r="D117" i="43" s="1"/>
  <c r="D118" i="43" s="1"/>
  <c r="D119" i="43" s="1"/>
  <c r="D120" i="43" s="1"/>
  <c r="D121" i="43" s="1"/>
  <c r="D122" i="43" s="1"/>
  <c r="D123" i="43" s="1"/>
  <c r="D124" i="43" s="1"/>
  <c r="D125" i="43" s="1"/>
  <c r="D126" i="43" s="1"/>
  <c r="D127" i="43" s="1"/>
  <c r="D128" i="43" s="1"/>
  <c r="D129" i="43" s="1"/>
  <c r="D130" i="43" s="1"/>
  <c r="D131" i="43" s="1"/>
  <c r="D132" i="43" s="1"/>
  <c r="D133" i="43" s="1"/>
  <c r="D134" i="43" s="1"/>
  <c r="D135" i="43" s="1"/>
  <c r="D136" i="43" s="1"/>
  <c r="D137" i="43" s="1"/>
  <c r="D138" i="43" s="1"/>
  <c r="D139" i="43" s="1"/>
  <c r="D140" i="43" s="1"/>
  <c r="D141" i="43" s="1"/>
  <c r="D142" i="43" s="1"/>
  <c r="D143" i="43" s="1"/>
  <c r="D144" i="43" s="1"/>
  <c r="D145" i="43" s="1"/>
  <c r="D146" i="43" s="1"/>
  <c r="D147" i="43" s="1"/>
  <c r="D148" i="43" s="1"/>
  <c r="D149" i="43" s="1"/>
  <c r="D150" i="43" s="1"/>
  <c r="D151" i="43" s="1"/>
  <c r="D152" i="43" s="1"/>
  <c r="B157" i="48"/>
  <c r="B156" i="48"/>
  <c r="B152" i="48"/>
  <c r="B155" i="48"/>
  <c r="B154" i="48"/>
  <c r="B153" i="48"/>
  <c r="E7" i="39"/>
  <c r="Q7" i="39" s="1"/>
  <c r="D8" i="39"/>
  <c r="D9" i="39" s="1"/>
  <c r="D10" i="39" s="1"/>
  <c r="D11" i="39" s="1"/>
  <c r="D12" i="39" s="1"/>
  <c r="D13" i="39" s="1"/>
  <c r="D14" i="39" s="1"/>
  <c r="D15" i="39" s="1"/>
  <c r="D16" i="39" s="1"/>
  <c r="D17" i="39" s="1"/>
  <c r="D18" i="39" s="1"/>
  <c r="D19" i="39" s="1"/>
  <c r="D20" i="39" s="1"/>
  <c r="D21" i="39" s="1"/>
  <c r="D22" i="39" s="1"/>
  <c r="D23" i="39" s="1"/>
  <c r="D24" i="39" s="1"/>
  <c r="D25" i="39" s="1"/>
  <c r="D26" i="39" s="1"/>
  <c r="D27" i="39" s="1"/>
  <c r="D28" i="39" s="1"/>
  <c r="D29" i="39" s="1"/>
  <c r="D30" i="39" s="1"/>
  <c r="D31" i="39" s="1"/>
  <c r="D32" i="39" s="1"/>
  <c r="D33" i="39" s="1"/>
  <c r="D34" i="39" s="1"/>
  <c r="D35" i="39" s="1"/>
  <c r="D36" i="39" s="1"/>
  <c r="D37" i="39" s="1"/>
  <c r="D38" i="39" s="1"/>
  <c r="D39" i="39" s="1"/>
  <c r="D40" i="39" s="1"/>
  <c r="D41" i="39" s="1"/>
  <c r="D42" i="39" s="1"/>
  <c r="D43" i="39" s="1"/>
  <c r="D44" i="39" s="1"/>
  <c r="D45" i="39" s="1"/>
  <c r="D46" i="39" s="1"/>
  <c r="D47" i="39" s="1"/>
  <c r="D48" i="39" s="1"/>
  <c r="D49" i="39" s="1"/>
  <c r="D50" i="39" s="1"/>
  <c r="D51" i="39" s="1"/>
  <c r="D52" i="39" s="1"/>
  <c r="D53" i="39" s="1"/>
  <c r="D54" i="39" s="1"/>
  <c r="D55" i="39" s="1"/>
  <c r="D56" i="39" s="1"/>
  <c r="D57" i="39" s="1"/>
  <c r="D58" i="39" s="1"/>
  <c r="D59" i="39" s="1"/>
  <c r="D60" i="39" s="1"/>
  <c r="D61" i="39" s="1"/>
  <c r="D62" i="39" s="1"/>
  <c r="D63" i="39" s="1"/>
  <c r="D64" i="39" s="1"/>
  <c r="D65" i="39" s="1"/>
  <c r="D66" i="39" s="1"/>
  <c r="D67" i="39" s="1"/>
  <c r="D68" i="39" s="1"/>
  <c r="D69" i="39" s="1"/>
  <c r="D70" i="39" s="1"/>
  <c r="D71" i="39" s="1"/>
  <c r="D72" i="39" s="1"/>
  <c r="D73" i="39" s="1"/>
  <c r="D74" i="39" s="1"/>
  <c r="D75" i="39" s="1"/>
  <c r="D76" i="39" s="1"/>
  <c r="D77" i="39" s="1"/>
  <c r="D78" i="39" s="1"/>
  <c r="D80" i="39" s="1"/>
  <c r="D81" i="39" s="1"/>
  <c r="D82" i="39" s="1"/>
  <c r="D83" i="39" s="1"/>
  <c r="D84" i="39" s="1"/>
  <c r="D85" i="39" s="1"/>
  <c r="D86" i="39" s="1"/>
  <c r="D87" i="39" s="1"/>
  <c r="D88" i="39" s="1"/>
  <c r="D89" i="39" s="1"/>
  <c r="D90" i="39" s="1"/>
  <c r="D91" i="39" s="1"/>
  <c r="D92" i="39" s="1"/>
  <c r="D93" i="39" s="1"/>
  <c r="D94" i="39" s="1"/>
  <c r="D95" i="39" s="1"/>
  <c r="D96" i="39" s="1"/>
  <c r="D97" i="39" s="1"/>
  <c r="D99" i="39" s="1"/>
  <c r="D100" i="39" s="1"/>
  <c r="D101" i="39" s="1"/>
  <c r="D102" i="39" s="1"/>
  <c r="D103" i="39" s="1"/>
  <c r="D104" i="39" s="1"/>
  <c r="D105" i="39" s="1"/>
  <c r="D106" i="39" s="1"/>
  <c r="D107" i="39" s="1"/>
  <c r="D108" i="39" s="1"/>
  <c r="D109" i="39" s="1"/>
  <c r="D110" i="39" s="1"/>
  <c r="D111" i="39" s="1"/>
  <c r="D112" i="39" s="1"/>
  <c r="D113" i="39" s="1"/>
  <c r="D114" i="39" s="1"/>
  <c r="D115" i="39" s="1"/>
  <c r="D116" i="39" s="1"/>
  <c r="D117" i="39" s="1"/>
  <c r="D118" i="39" s="1"/>
  <c r="D119" i="39" s="1"/>
  <c r="D120" i="39" s="1"/>
  <c r="D121" i="39" s="1"/>
  <c r="D122" i="39" s="1"/>
  <c r="D123" i="39" s="1"/>
  <c r="D124" i="39" s="1"/>
  <c r="D125" i="39" s="1"/>
  <c r="D126" i="39" s="1"/>
  <c r="D127" i="39" s="1"/>
  <c r="D128" i="39" s="1"/>
  <c r="D129" i="39" s="1"/>
  <c r="D130" i="39" s="1"/>
  <c r="D131" i="39" s="1"/>
  <c r="D132" i="39" s="1"/>
  <c r="D133" i="39" s="1"/>
  <c r="D134" i="39" s="1"/>
  <c r="D135" i="39" s="1"/>
  <c r="D136" i="39" s="1"/>
  <c r="D137" i="39" s="1"/>
  <c r="D138" i="39" s="1"/>
  <c r="D139" i="39" s="1"/>
  <c r="D140" i="39" s="1"/>
  <c r="D141" i="39" s="1"/>
  <c r="D142" i="39" s="1"/>
  <c r="D143" i="39" s="1"/>
  <c r="D144" i="39" s="1"/>
  <c r="D145" i="39" s="1"/>
  <c r="D146" i="39" s="1"/>
  <c r="D147" i="39" s="1"/>
  <c r="D148" i="39" s="1"/>
  <c r="D149" i="39" s="1"/>
  <c r="D150" i="39" s="1"/>
  <c r="D151" i="39" s="1"/>
  <c r="D152" i="39" s="1"/>
  <c r="E7" i="45"/>
  <c r="Q7" i="45" s="1"/>
  <c r="D8" i="45"/>
  <c r="D9" i="45" s="1"/>
  <c r="D10" i="45" s="1"/>
  <c r="D11" i="45" s="1"/>
  <c r="D12" i="45" s="1"/>
  <c r="D13" i="45" s="1"/>
  <c r="D14" i="45" s="1"/>
  <c r="D15" i="45" s="1"/>
  <c r="D16" i="45" s="1"/>
  <c r="D17" i="45" s="1"/>
  <c r="D18" i="45" s="1"/>
  <c r="D19" i="45" s="1"/>
  <c r="D20" i="45" s="1"/>
  <c r="D21" i="45" s="1"/>
  <c r="D22" i="45" s="1"/>
  <c r="D23" i="45" s="1"/>
  <c r="D24" i="45" s="1"/>
  <c r="D25" i="45" s="1"/>
  <c r="D26" i="45" s="1"/>
  <c r="D27" i="45" s="1"/>
  <c r="D28" i="45" s="1"/>
  <c r="D29" i="45" s="1"/>
  <c r="D30" i="45" s="1"/>
  <c r="D31" i="45" s="1"/>
  <c r="D32" i="45" s="1"/>
  <c r="D33" i="45" s="1"/>
  <c r="D34" i="45" s="1"/>
  <c r="D35" i="45" s="1"/>
  <c r="D36" i="45" s="1"/>
  <c r="D37" i="45" s="1"/>
  <c r="D38" i="45" s="1"/>
  <c r="D39" i="45" s="1"/>
  <c r="D40" i="45" s="1"/>
  <c r="D41" i="45" s="1"/>
  <c r="D42" i="45" s="1"/>
  <c r="D43" i="45" s="1"/>
  <c r="D44" i="45" s="1"/>
  <c r="D45" i="45" s="1"/>
  <c r="D46" i="45" s="1"/>
  <c r="D47" i="45" s="1"/>
  <c r="D48" i="45" s="1"/>
  <c r="D49" i="45" s="1"/>
  <c r="D50" i="45" s="1"/>
  <c r="D51" i="45" s="1"/>
  <c r="D52" i="45" s="1"/>
  <c r="D53" i="45" s="1"/>
  <c r="D54" i="45" s="1"/>
  <c r="D55" i="45" s="1"/>
  <c r="D56" i="45" s="1"/>
  <c r="D57" i="45" s="1"/>
  <c r="D58" i="45" s="1"/>
  <c r="D59" i="45" s="1"/>
  <c r="D60" i="45" s="1"/>
  <c r="D61" i="45" s="1"/>
  <c r="D62" i="45" s="1"/>
  <c r="D63" i="45" s="1"/>
  <c r="D64" i="45" s="1"/>
  <c r="D65" i="45" s="1"/>
  <c r="D66" i="45" s="1"/>
  <c r="D67" i="45" s="1"/>
  <c r="D68" i="45" s="1"/>
  <c r="D69" i="45" s="1"/>
  <c r="D70" i="45" s="1"/>
  <c r="D71" i="45" s="1"/>
  <c r="D72" i="45" s="1"/>
  <c r="D73" i="45" s="1"/>
  <c r="D74" i="45" s="1"/>
  <c r="D75" i="45" s="1"/>
  <c r="D76" i="45" s="1"/>
  <c r="D77" i="45" s="1"/>
  <c r="D78" i="45" s="1"/>
  <c r="D80" i="45" s="1"/>
  <c r="D81" i="45" s="1"/>
  <c r="D82" i="45" s="1"/>
  <c r="D83" i="45" s="1"/>
  <c r="D84" i="45" s="1"/>
  <c r="D85" i="45" s="1"/>
  <c r="D86" i="45" s="1"/>
  <c r="D87" i="45" s="1"/>
  <c r="D88" i="45" s="1"/>
  <c r="D89" i="45" s="1"/>
  <c r="D90" i="45" s="1"/>
  <c r="D91" i="45" s="1"/>
  <c r="D92" i="45" s="1"/>
  <c r="D93" i="45" s="1"/>
  <c r="D94" i="45" s="1"/>
  <c r="D95" i="45" s="1"/>
  <c r="D96" i="45" s="1"/>
  <c r="D97" i="45" s="1"/>
  <c r="D99" i="45" s="1"/>
  <c r="D100" i="45" s="1"/>
  <c r="D101" i="45" s="1"/>
  <c r="D102" i="45" s="1"/>
  <c r="D103" i="45" s="1"/>
  <c r="D104" i="45" s="1"/>
  <c r="D105" i="45" s="1"/>
  <c r="D106" i="45" s="1"/>
  <c r="D107" i="45" s="1"/>
  <c r="D108" i="45" s="1"/>
  <c r="D109" i="45" s="1"/>
  <c r="D110" i="45" s="1"/>
  <c r="D111" i="45" s="1"/>
  <c r="D112" i="45" s="1"/>
  <c r="D113" i="45" s="1"/>
  <c r="D114" i="45" s="1"/>
  <c r="D115" i="45" s="1"/>
  <c r="D116" i="45" s="1"/>
  <c r="D117" i="45" s="1"/>
  <c r="D118" i="45" s="1"/>
  <c r="D119" i="45" s="1"/>
  <c r="D120" i="45" s="1"/>
  <c r="D121" i="45" s="1"/>
  <c r="D122" i="45" s="1"/>
  <c r="D123" i="45" s="1"/>
  <c r="D124" i="45" s="1"/>
  <c r="D125" i="45" s="1"/>
  <c r="D126" i="45" s="1"/>
  <c r="D127" i="45" s="1"/>
  <c r="D128" i="45" s="1"/>
  <c r="D129" i="45" s="1"/>
  <c r="D130" i="45" s="1"/>
  <c r="D131" i="45" s="1"/>
  <c r="D132" i="45" s="1"/>
  <c r="D133" i="45" s="1"/>
  <c r="D134" i="45" s="1"/>
  <c r="D135" i="45" s="1"/>
  <c r="D136" i="45" s="1"/>
  <c r="D137" i="45" s="1"/>
  <c r="D138" i="45" s="1"/>
  <c r="D139" i="45" s="1"/>
  <c r="D140" i="45" s="1"/>
  <c r="D141" i="45" s="1"/>
  <c r="D142" i="45" s="1"/>
  <c r="D143" i="45" s="1"/>
  <c r="D144" i="45" s="1"/>
  <c r="D145" i="45" s="1"/>
  <c r="D146" i="45" s="1"/>
  <c r="D147" i="45" s="1"/>
  <c r="D148" i="45" s="1"/>
  <c r="D149" i="45" s="1"/>
  <c r="D150" i="45" s="1"/>
  <c r="D151" i="45" s="1"/>
  <c r="D152" i="45" s="1"/>
  <c r="E7" i="47"/>
  <c r="Q7" i="47" s="1"/>
  <c r="D8" i="47"/>
  <c r="D9" i="47" s="1"/>
  <c r="D10" i="47" s="1"/>
  <c r="D11" i="47" s="1"/>
  <c r="D12" i="47" s="1"/>
  <c r="D13" i="47" s="1"/>
  <c r="D14" i="47" s="1"/>
  <c r="D15" i="47" s="1"/>
  <c r="D16" i="47" s="1"/>
  <c r="D17" i="47" s="1"/>
  <c r="D18" i="47" s="1"/>
  <c r="D19" i="47" s="1"/>
  <c r="D20" i="47" s="1"/>
  <c r="D21" i="47" s="1"/>
  <c r="D22" i="47" s="1"/>
  <c r="D23" i="47" s="1"/>
  <c r="D24" i="47" s="1"/>
  <c r="D25" i="47" s="1"/>
  <c r="D26" i="47" s="1"/>
  <c r="D27" i="47" s="1"/>
  <c r="D28" i="47" s="1"/>
  <c r="D29" i="47" s="1"/>
  <c r="D30" i="47" s="1"/>
  <c r="D31" i="47" s="1"/>
  <c r="D32" i="47" s="1"/>
  <c r="D33" i="47" s="1"/>
  <c r="D34" i="47" s="1"/>
  <c r="D35" i="47" s="1"/>
  <c r="D36" i="47" s="1"/>
  <c r="D37" i="47" s="1"/>
  <c r="D38" i="47" s="1"/>
  <c r="D39" i="47" s="1"/>
  <c r="D40" i="47" s="1"/>
  <c r="D41" i="47" s="1"/>
  <c r="D42" i="47" s="1"/>
  <c r="D43" i="47" s="1"/>
  <c r="D44" i="47" s="1"/>
  <c r="D45" i="47" s="1"/>
  <c r="D46" i="47" s="1"/>
  <c r="D47" i="47" s="1"/>
  <c r="D48" i="47" s="1"/>
  <c r="D49" i="47" s="1"/>
  <c r="D50" i="47" s="1"/>
  <c r="D51" i="47" s="1"/>
  <c r="D52" i="47" s="1"/>
  <c r="D53" i="47" s="1"/>
  <c r="D54" i="47" s="1"/>
  <c r="D55" i="47" s="1"/>
  <c r="D56" i="47" s="1"/>
  <c r="D57" i="47" s="1"/>
  <c r="D58" i="47" s="1"/>
  <c r="D59" i="47" s="1"/>
  <c r="D60" i="47" s="1"/>
  <c r="D61" i="47" s="1"/>
  <c r="D62" i="47" s="1"/>
  <c r="D63" i="47" s="1"/>
  <c r="D64" i="47" s="1"/>
  <c r="D65" i="47" s="1"/>
  <c r="D66" i="47" s="1"/>
  <c r="D67" i="47" s="1"/>
  <c r="D68" i="47" s="1"/>
  <c r="D69" i="47" s="1"/>
  <c r="D70" i="47" s="1"/>
  <c r="D71" i="47" s="1"/>
  <c r="D72" i="47" s="1"/>
  <c r="D73" i="47" s="1"/>
  <c r="D74" i="47" s="1"/>
  <c r="D75" i="47" s="1"/>
  <c r="D76" i="47" s="1"/>
  <c r="D77" i="47" s="1"/>
  <c r="D78" i="47" s="1"/>
  <c r="D80" i="47" s="1"/>
  <c r="D81" i="47" s="1"/>
  <c r="D82" i="47" s="1"/>
  <c r="D83" i="47" s="1"/>
  <c r="D84" i="47" s="1"/>
  <c r="D85" i="47" s="1"/>
  <c r="D86" i="47" s="1"/>
  <c r="D87" i="47" s="1"/>
  <c r="D88" i="47" s="1"/>
  <c r="D89" i="47" s="1"/>
  <c r="D90" i="47" s="1"/>
  <c r="D91" i="47" s="1"/>
  <c r="D92" i="47" s="1"/>
  <c r="D93" i="47" s="1"/>
  <c r="D94" i="47" s="1"/>
  <c r="D95" i="47" s="1"/>
  <c r="D96" i="47" s="1"/>
  <c r="D97" i="47" s="1"/>
  <c r="D99" i="47" s="1"/>
  <c r="D100" i="47" s="1"/>
  <c r="D101" i="47" s="1"/>
  <c r="D102" i="47" s="1"/>
  <c r="D103" i="47" s="1"/>
  <c r="D104" i="47" s="1"/>
  <c r="D105" i="47" s="1"/>
  <c r="D106" i="47" s="1"/>
  <c r="D107" i="47" s="1"/>
  <c r="D108" i="47" s="1"/>
  <c r="D109" i="47" s="1"/>
  <c r="D110" i="47" s="1"/>
  <c r="D111" i="47" s="1"/>
  <c r="D112" i="47" s="1"/>
  <c r="D113" i="47" s="1"/>
  <c r="D114" i="47" s="1"/>
  <c r="D115" i="47" s="1"/>
  <c r="D116" i="47" s="1"/>
  <c r="D117" i="47" s="1"/>
  <c r="D118" i="47" s="1"/>
  <c r="D119" i="47" s="1"/>
  <c r="D120" i="47" s="1"/>
  <c r="D121" i="47" s="1"/>
  <c r="D122" i="47" s="1"/>
  <c r="D123" i="47" s="1"/>
  <c r="D124" i="47" s="1"/>
  <c r="D125" i="47" s="1"/>
  <c r="D126" i="47" s="1"/>
  <c r="D127" i="47" s="1"/>
  <c r="D128" i="47" s="1"/>
  <c r="D129" i="47" s="1"/>
  <c r="D130" i="47" s="1"/>
  <c r="D131" i="47" s="1"/>
  <c r="D132" i="47" s="1"/>
  <c r="D133" i="47" s="1"/>
  <c r="D134" i="47" s="1"/>
  <c r="D135" i="47" s="1"/>
  <c r="D136" i="47" s="1"/>
  <c r="D137" i="47" s="1"/>
  <c r="D138" i="47" s="1"/>
  <c r="D139" i="47" s="1"/>
  <c r="D140" i="47" s="1"/>
  <c r="D141" i="47" s="1"/>
  <c r="D142" i="47" s="1"/>
  <c r="D143" i="47" s="1"/>
  <c r="D144" i="47" s="1"/>
  <c r="D145" i="47" s="1"/>
  <c r="D146" i="47" s="1"/>
  <c r="D147" i="47" s="1"/>
  <c r="D148" i="47" s="1"/>
  <c r="D149" i="47" s="1"/>
  <c r="D150" i="47" s="1"/>
  <c r="D151" i="47" s="1"/>
  <c r="D152" i="47" s="1"/>
  <c r="E7" i="37"/>
  <c r="Q7" i="37" s="1"/>
  <c r="E10" i="49"/>
  <c r="Q10" i="49" s="1"/>
  <c r="B1" i="46"/>
  <c r="E8" i="41"/>
  <c r="E8" i="43" l="1"/>
  <c r="Q8" i="43" s="1"/>
  <c r="E8" i="39"/>
  <c r="Q8" i="39" s="1"/>
  <c r="E8" i="47"/>
  <c r="Q8" i="47" s="1"/>
  <c r="E11" i="49"/>
  <c r="Q11" i="49" s="1"/>
  <c r="K1" i="43"/>
  <c r="B1" i="44" s="1"/>
  <c r="B1" i="48"/>
  <c r="E9" i="47"/>
  <c r="E8" i="45"/>
  <c r="E9" i="43"/>
  <c r="E9" i="41"/>
  <c r="Q8" i="41"/>
  <c r="E9" i="39"/>
  <c r="E8" i="37" l="1"/>
  <c r="Q8" i="37" s="1"/>
  <c r="E12" i="49"/>
  <c r="Q12" i="49" s="1"/>
  <c r="E10" i="47"/>
  <c r="Q9" i="47"/>
  <c r="E9" i="45"/>
  <c r="Q8" i="45"/>
  <c r="E10" i="43"/>
  <c r="Q9" i="43"/>
  <c r="E10" i="41"/>
  <c r="Q9" i="41"/>
  <c r="E10" i="39"/>
  <c r="Q9" i="39"/>
  <c r="E9" i="37" l="1"/>
  <c r="Q9" i="37" s="1"/>
  <c r="E11" i="47"/>
  <c r="Q10" i="47"/>
  <c r="E10" i="45"/>
  <c r="Q9" i="45"/>
  <c r="E11" i="43"/>
  <c r="Q10" i="43"/>
  <c r="E11" i="41"/>
  <c r="Q10" i="41"/>
  <c r="E11" i="39"/>
  <c r="Q10" i="39"/>
  <c r="E10" i="37" l="1"/>
  <c r="Q10" i="37" s="1"/>
  <c r="E13" i="49"/>
  <c r="Q13" i="49" s="1"/>
  <c r="Q11" i="47"/>
  <c r="E12" i="47"/>
  <c r="E11" i="45"/>
  <c r="Q10" i="45"/>
  <c r="Q11" i="43"/>
  <c r="E12" i="43"/>
  <c r="Q11" i="41"/>
  <c r="E12" i="41"/>
  <c r="E12" i="39"/>
  <c r="Q11" i="39"/>
  <c r="G110" i="1"/>
  <c r="G111" i="1"/>
  <c r="G109" i="1"/>
  <c r="G71" i="1"/>
  <c r="G72" i="1"/>
  <c r="G70" i="1"/>
  <c r="G69" i="1"/>
  <c r="C71" i="1"/>
  <c r="C72" i="1"/>
  <c r="C70" i="1"/>
  <c r="C69" i="1"/>
  <c r="C46" i="1"/>
  <c r="C47" i="1"/>
  <c r="C48" i="1"/>
  <c r="C49" i="1"/>
  <c r="C45" i="1"/>
  <c r="C60" i="1"/>
  <c r="G18" i="1"/>
  <c r="G19" i="1"/>
  <c r="G20" i="1"/>
  <c r="G21" i="1"/>
  <c r="G22" i="1"/>
  <c r="G23" i="1"/>
  <c r="G24" i="1"/>
  <c r="G17" i="1"/>
  <c r="C5" i="1"/>
  <c r="C17" i="1"/>
  <c r="F101" i="1"/>
  <c r="F131" i="50" s="1"/>
  <c r="F123" i="50" s="1"/>
  <c r="B101" i="1"/>
  <c r="B131" i="50" s="1"/>
  <c r="B123" i="50" s="1"/>
  <c r="C100" i="1"/>
  <c r="C99" i="1"/>
  <c r="C98" i="1"/>
  <c r="C97" i="1"/>
  <c r="C96" i="1"/>
  <c r="C95" i="1"/>
  <c r="C94" i="1"/>
  <c r="C130" i="1"/>
  <c r="B131" i="1"/>
  <c r="G146" i="1"/>
  <c r="G33" i="1"/>
  <c r="G34" i="1"/>
  <c r="G35" i="1"/>
  <c r="G36" i="1"/>
  <c r="G37" i="1"/>
  <c r="G38" i="1"/>
  <c r="G139" i="1"/>
  <c r="C137" i="1"/>
  <c r="C6" i="1"/>
  <c r="C7" i="1"/>
  <c r="C8" i="1"/>
  <c r="C18" i="1"/>
  <c r="C19" i="1"/>
  <c r="C20" i="1"/>
  <c r="C21" i="1"/>
  <c r="C22" i="1"/>
  <c r="C33" i="1"/>
  <c r="C34" i="1"/>
  <c r="C35" i="1"/>
  <c r="C36" i="1"/>
  <c r="C56" i="1"/>
  <c r="C57" i="1"/>
  <c r="C58" i="1"/>
  <c r="C59" i="1"/>
  <c r="C80" i="1"/>
  <c r="C81" i="1"/>
  <c r="C82" i="1"/>
  <c r="C83" i="1"/>
  <c r="C84" i="1"/>
  <c r="C85" i="1"/>
  <c r="G95" i="1"/>
  <c r="G96" i="1"/>
  <c r="G97" i="1"/>
  <c r="G98" i="1"/>
  <c r="G99" i="1"/>
  <c r="G100" i="1"/>
  <c r="C109" i="1"/>
  <c r="C110" i="1"/>
  <c r="C120" i="1"/>
  <c r="C129" i="1"/>
  <c r="G5" i="1"/>
  <c r="G6" i="1"/>
  <c r="G7" i="1"/>
  <c r="G8" i="1"/>
  <c r="G56" i="1"/>
  <c r="G57" i="1"/>
  <c r="G58" i="1"/>
  <c r="G59" i="1"/>
  <c r="G60" i="1"/>
  <c r="G81" i="1"/>
  <c r="G82" i="1"/>
  <c r="G83" i="1"/>
  <c r="G84" i="1"/>
  <c r="G85" i="1"/>
  <c r="G120" i="1"/>
  <c r="G129" i="1"/>
  <c r="G137" i="1"/>
  <c r="G138" i="1"/>
  <c r="B130" i="50" l="1"/>
  <c r="F130" i="50"/>
  <c r="F128" i="50"/>
  <c r="F124" i="50"/>
  <c r="F126" i="50"/>
  <c r="F127" i="50"/>
  <c r="F129" i="50"/>
  <c r="F125" i="50"/>
  <c r="E11" i="37"/>
  <c r="Q11" i="37" s="1"/>
  <c r="B129" i="50"/>
  <c r="B127" i="50"/>
  <c r="B124" i="50"/>
  <c r="B128" i="50"/>
  <c r="B126" i="50"/>
  <c r="B125" i="50"/>
  <c r="B10" i="50"/>
  <c r="B11" i="50"/>
  <c r="B9" i="50"/>
  <c r="B12" i="50"/>
  <c r="E14" i="49"/>
  <c r="Q14" i="49" s="1"/>
  <c r="B131" i="38"/>
  <c r="B123" i="38" s="1"/>
  <c r="B131" i="42"/>
  <c r="B123" i="42" s="1"/>
  <c r="B125" i="42" s="1"/>
  <c r="B131" i="44"/>
  <c r="B123" i="44" s="1"/>
  <c r="B124" i="44" s="1"/>
  <c r="B131" i="46"/>
  <c r="B123" i="46" s="1"/>
  <c r="B124" i="46" s="1"/>
  <c r="B131" i="40"/>
  <c r="B123" i="40" s="1"/>
  <c r="B128" i="40" s="1"/>
  <c r="B131" i="48"/>
  <c r="B123" i="48" s="1"/>
  <c r="F131" i="42"/>
  <c r="F123" i="42" s="1"/>
  <c r="F129" i="42" s="1"/>
  <c r="F131" i="38"/>
  <c r="F123" i="38" s="1"/>
  <c r="F130" i="38" s="1"/>
  <c r="F131" i="46"/>
  <c r="F123" i="46" s="1"/>
  <c r="F128" i="46" s="1"/>
  <c r="F131" i="40"/>
  <c r="F123" i="40" s="1"/>
  <c r="F127" i="40" s="1"/>
  <c r="F131" i="44"/>
  <c r="F123" i="44" s="1"/>
  <c r="F125" i="44" s="1"/>
  <c r="F131" i="48"/>
  <c r="F123" i="48" s="1"/>
  <c r="F126" i="48" s="1"/>
  <c r="B12" i="48"/>
  <c r="B10" i="48"/>
  <c r="B9" i="48"/>
  <c r="Q12" i="47"/>
  <c r="B11" i="48"/>
  <c r="B12" i="46"/>
  <c r="B10" i="46"/>
  <c r="B9" i="46"/>
  <c r="B11" i="46"/>
  <c r="E12" i="45"/>
  <c r="Q11" i="45"/>
  <c r="B12" i="44"/>
  <c r="B10" i="44"/>
  <c r="B9" i="44"/>
  <c r="Q12" i="43"/>
  <c r="B11" i="44"/>
  <c r="B12" i="42"/>
  <c r="B10" i="42"/>
  <c r="B9" i="42"/>
  <c r="Q12" i="41"/>
  <c r="B11" i="42"/>
  <c r="B12" i="40"/>
  <c r="B10" i="40"/>
  <c r="B9" i="40"/>
  <c r="B11" i="40"/>
  <c r="Q12" i="39"/>
  <c r="B12" i="38"/>
  <c r="B10" i="38"/>
  <c r="B9" i="38"/>
  <c r="B11" i="38"/>
  <c r="B73" i="1"/>
  <c r="B106" i="50" s="1"/>
  <c r="B101" i="50" s="1"/>
  <c r="B103" i="50" s="1"/>
  <c r="F50" i="1"/>
  <c r="F97" i="50" l="1"/>
  <c r="F91" i="50" s="1"/>
  <c r="F80" i="40"/>
  <c r="F80" i="42"/>
  <c r="F80" i="38"/>
  <c r="F86" i="38" s="1"/>
  <c r="F80" i="48"/>
  <c r="F80" i="46"/>
  <c r="E12" i="37"/>
  <c r="Q12" i="37" s="1"/>
  <c r="B102" i="50"/>
  <c r="B105" i="50"/>
  <c r="B104" i="50"/>
  <c r="E15" i="49"/>
  <c r="Q15" i="49" s="1"/>
  <c r="F125" i="42"/>
  <c r="F125" i="38"/>
  <c r="F126" i="42"/>
  <c r="F124" i="44"/>
  <c r="F129" i="38"/>
  <c r="F126" i="38"/>
  <c r="F128" i="42"/>
  <c r="F128" i="44"/>
  <c r="F125" i="48"/>
  <c r="F124" i="38"/>
  <c r="F128" i="38"/>
  <c r="F127" i="44"/>
  <c r="F130" i="48"/>
  <c r="B128" i="44"/>
  <c r="B126" i="44"/>
  <c r="F127" i="48"/>
  <c r="B126" i="46"/>
  <c r="B128" i="46"/>
  <c r="F130" i="42"/>
  <c r="F124" i="42"/>
  <c r="F127" i="42"/>
  <c r="F127" i="38"/>
  <c r="B127" i="46"/>
  <c r="F128" i="48"/>
  <c r="F129" i="48"/>
  <c r="B129" i="46"/>
  <c r="B130" i="46"/>
  <c r="B125" i="46"/>
  <c r="F124" i="48"/>
  <c r="B126" i="48"/>
  <c r="B129" i="48"/>
  <c r="B124" i="48"/>
  <c r="B127" i="48"/>
  <c r="B125" i="48"/>
  <c r="B128" i="48"/>
  <c r="B124" i="42"/>
  <c r="B130" i="42"/>
  <c r="B127" i="42"/>
  <c r="B129" i="42"/>
  <c r="B126" i="42"/>
  <c r="B124" i="40"/>
  <c r="B127" i="40"/>
  <c r="B126" i="40"/>
  <c r="B129" i="40"/>
  <c r="B130" i="40"/>
  <c r="B125" i="38"/>
  <c r="B126" i="38"/>
  <c r="B128" i="38"/>
  <c r="B130" i="48"/>
  <c r="F97" i="42"/>
  <c r="F97" i="44"/>
  <c r="F97" i="40"/>
  <c r="F97" i="46"/>
  <c r="F97" i="38"/>
  <c r="F97" i="48"/>
  <c r="F129" i="46"/>
  <c r="B127" i="38"/>
  <c r="B129" i="38"/>
  <c r="B128" i="42"/>
  <c r="B130" i="38"/>
  <c r="B124" i="38"/>
  <c r="B106" i="40"/>
  <c r="B101" i="40" s="1"/>
  <c r="B106" i="38"/>
  <c r="B101" i="38" s="1"/>
  <c r="B106" i="46"/>
  <c r="B101" i="46" s="1"/>
  <c r="B106" i="44"/>
  <c r="B101" i="44" s="1"/>
  <c r="B106" i="42"/>
  <c r="B101" i="42" s="1"/>
  <c r="B106" i="48"/>
  <c r="B101" i="48" s="1"/>
  <c r="B125" i="40"/>
  <c r="F129" i="44"/>
  <c r="B129" i="44"/>
  <c r="B125" i="44"/>
  <c r="B127" i="44"/>
  <c r="B130" i="44"/>
  <c r="F130" i="44"/>
  <c r="F125" i="46"/>
  <c r="F130" i="40"/>
  <c r="F126" i="44"/>
  <c r="F129" i="40"/>
  <c r="F130" i="46"/>
  <c r="F124" i="46"/>
  <c r="F126" i="40"/>
  <c r="F125" i="40"/>
  <c r="F126" i="46"/>
  <c r="F128" i="40"/>
  <c r="F124" i="40"/>
  <c r="F127" i="46"/>
  <c r="E13" i="47"/>
  <c r="Q12" i="45"/>
  <c r="E13" i="43"/>
  <c r="E13" i="41"/>
  <c r="E13" i="39"/>
  <c r="B61" i="1"/>
  <c r="F68" i="50" s="1"/>
  <c r="F61" i="50" s="1"/>
  <c r="F25" i="1"/>
  <c r="B36" i="50" s="1"/>
  <c r="B27" i="50" s="1"/>
  <c r="F9" i="1"/>
  <c r="B23" i="50" s="1"/>
  <c r="B17" i="50" s="1"/>
  <c r="F93" i="50" l="1"/>
  <c r="F82" i="46"/>
  <c r="F85" i="46"/>
  <c r="F81" i="46"/>
  <c r="F84" i="46"/>
  <c r="F83" i="46"/>
  <c r="F86" i="46"/>
  <c r="F85" i="40"/>
  <c r="F81" i="40"/>
  <c r="F84" i="40"/>
  <c r="F83" i="40"/>
  <c r="F86" i="40"/>
  <c r="F82" i="40"/>
  <c r="F84" i="48"/>
  <c r="F83" i="48"/>
  <c r="F86" i="48"/>
  <c r="F82" i="48"/>
  <c r="F85" i="48"/>
  <c r="F81" i="48"/>
  <c r="F83" i="42"/>
  <c r="F86" i="42"/>
  <c r="F82" i="42"/>
  <c r="F85" i="42"/>
  <c r="F81" i="42"/>
  <c r="F84" i="42"/>
  <c r="F84" i="38"/>
  <c r="F83" i="38"/>
  <c r="F82" i="38"/>
  <c r="F85" i="38"/>
  <c r="F81" i="38"/>
  <c r="F92" i="50"/>
  <c r="B34" i="50"/>
  <c r="B29" i="50"/>
  <c r="B30" i="50"/>
  <c r="B35" i="50"/>
  <c r="B28" i="50"/>
  <c r="B31" i="50"/>
  <c r="B33" i="50"/>
  <c r="B32" i="50"/>
  <c r="B20" i="50"/>
  <c r="B21" i="50"/>
  <c r="B19" i="50"/>
  <c r="B18" i="50"/>
  <c r="F63" i="50"/>
  <c r="F66" i="50"/>
  <c r="F62" i="50"/>
  <c r="F65" i="50" s="1"/>
  <c r="F64" i="50"/>
  <c r="E16" i="49"/>
  <c r="Q16" i="49" s="1"/>
  <c r="F93" i="46"/>
  <c r="F91" i="46"/>
  <c r="F92" i="46"/>
  <c r="B104" i="46"/>
  <c r="B102" i="46"/>
  <c r="B103" i="46"/>
  <c r="B105" i="46"/>
  <c r="B103" i="48"/>
  <c r="B105" i="48"/>
  <c r="B104" i="48"/>
  <c r="B102" i="48"/>
  <c r="B104" i="38"/>
  <c r="B105" i="38"/>
  <c r="B102" i="38"/>
  <c r="B103" i="38"/>
  <c r="F91" i="48"/>
  <c r="F93" i="48"/>
  <c r="F92" i="48"/>
  <c r="F91" i="44"/>
  <c r="F93" i="44"/>
  <c r="F92" i="44"/>
  <c r="B36" i="38"/>
  <c r="B27" i="38" s="1"/>
  <c r="B36" i="42"/>
  <c r="B27" i="42" s="1"/>
  <c r="B36" i="44"/>
  <c r="B27" i="44" s="1"/>
  <c r="B36" i="40"/>
  <c r="B27" i="40" s="1"/>
  <c r="B36" i="48"/>
  <c r="B27" i="48" s="1"/>
  <c r="B36" i="46"/>
  <c r="B27" i="46" s="1"/>
  <c r="B104" i="44"/>
  <c r="B102" i="44"/>
  <c r="B105" i="44"/>
  <c r="B103" i="44"/>
  <c r="F68" i="38"/>
  <c r="F61" i="38" s="1"/>
  <c r="F68" i="46"/>
  <c r="F61" i="46" s="1"/>
  <c r="F68" i="48"/>
  <c r="F61" i="48" s="1"/>
  <c r="F68" i="40"/>
  <c r="F61" i="40" s="1"/>
  <c r="F68" i="42"/>
  <c r="F61" i="42" s="1"/>
  <c r="F68" i="44"/>
  <c r="F61" i="44" s="1"/>
  <c r="F91" i="40"/>
  <c r="F92" i="40"/>
  <c r="F93" i="40"/>
  <c r="B23" i="46"/>
  <c r="B17" i="46" s="1"/>
  <c r="B23" i="40"/>
  <c r="B17" i="40" s="1"/>
  <c r="B23" i="38"/>
  <c r="B17" i="38" s="1"/>
  <c r="B23" i="44"/>
  <c r="B17" i="44" s="1"/>
  <c r="B23" i="42"/>
  <c r="B17" i="42" s="1"/>
  <c r="B23" i="48"/>
  <c r="B17" i="48" s="1"/>
  <c r="B104" i="42"/>
  <c r="B102" i="42"/>
  <c r="B105" i="42"/>
  <c r="B103" i="42"/>
  <c r="B103" i="40"/>
  <c r="B102" i="40"/>
  <c r="B104" i="40"/>
  <c r="B105" i="40"/>
  <c r="F92" i="38"/>
  <c r="F93" i="38"/>
  <c r="F91" i="38"/>
  <c r="F92" i="42"/>
  <c r="F93" i="42"/>
  <c r="F91" i="42"/>
  <c r="E14" i="47"/>
  <c r="Q13" i="47"/>
  <c r="E13" i="45"/>
  <c r="E14" i="43"/>
  <c r="Q13" i="43"/>
  <c r="E14" i="41"/>
  <c r="Q13" i="41"/>
  <c r="Q13" i="39"/>
  <c r="E14" i="39"/>
  <c r="F140" i="1"/>
  <c r="B76" i="50" s="1"/>
  <c r="B72" i="50" s="1"/>
  <c r="E13" i="37" l="1"/>
  <c r="Q13" i="37" s="1"/>
  <c r="B74" i="50"/>
  <c r="B75" i="50"/>
  <c r="B73" i="50"/>
  <c r="E17" i="49"/>
  <c r="Q17" i="49" s="1"/>
  <c r="B19" i="44"/>
  <c r="B18" i="44"/>
  <c r="B21" i="44"/>
  <c r="B20" i="44"/>
  <c r="F63" i="42"/>
  <c r="F62" i="42"/>
  <c r="F65" i="42" s="1"/>
  <c r="F66" i="42"/>
  <c r="F64" i="42"/>
  <c r="B35" i="44"/>
  <c r="B31" i="44"/>
  <c r="B34" i="44"/>
  <c r="B30" i="44"/>
  <c r="B29" i="44"/>
  <c r="B33" i="44"/>
  <c r="B28" i="44"/>
  <c r="B32" i="44"/>
  <c r="B19" i="38"/>
  <c r="B20" i="38"/>
  <c r="B18" i="38"/>
  <c r="B21" i="38"/>
  <c r="F64" i="40"/>
  <c r="F63" i="40"/>
  <c r="F66" i="40"/>
  <c r="F62" i="40"/>
  <c r="F65" i="40" s="1"/>
  <c r="B35" i="46"/>
  <c r="B31" i="46"/>
  <c r="B34" i="46"/>
  <c r="B30" i="46"/>
  <c r="B29" i="46"/>
  <c r="B28" i="46"/>
  <c r="B33" i="46"/>
  <c r="B32" i="46"/>
  <c r="B35" i="42"/>
  <c r="B31" i="42"/>
  <c r="B34" i="42"/>
  <c r="B30" i="42"/>
  <c r="B33" i="42"/>
  <c r="B28" i="42"/>
  <c r="B29" i="42"/>
  <c r="B32" i="42"/>
  <c r="B21" i="48"/>
  <c r="B20" i="48"/>
  <c r="B19" i="48"/>
  <c r="B18" i="48"/>
  <c r="B21" i="40"/>
  <c r="B18" i="40"/>
  <c r="B19" i="40"/>
  <c r="B20" i="40"/>
  <c r="F66" i="48"/>
  <c r="F64" i="48"/>
  <c r="F62" i="48"/>
  <c r="F65" i="48" s="1"/>
  <c r="F63" i="48"/>
  <c r="B33" i="48"/>
  <c r="B29" i="48"/>
  <c r="B28" i="48"/>
  <c r="B32" i="48"/>
  <c r="B30" i="48"/>
  <c r="B35" i="48"/>
  <c r="B34" i="48"/>
  <c r="B31" i="48"/>
  <c r="B35" i="38"/>
  <c r="B31" i="38"/>
  <c r="B28" i="38"/>
  <c r="B32" i="38"/>
  <c r="B29" i="38"/>
  <c r="B30" i="38"/>
  <c r="B33" i="38"/>
  <c r="B34" i="38"/>
  <c r="F66" i="38"/>
  <c r="F64" i="38"/>
  <c r="F62" i="38"/>
  <c r="F65" i="38" s="1"/>
  <c r="F63" i="38"/>
  <c r="B76" i="44"/>
  <c r="B72" i="44" s="1"/>
  <c r="B76" i="46"/>
  <c r="B72" i="46" s="1"/>
  <c r="B76" i="38"/>
  <c r="B72" i="38" s="1"/>
  <c r="B76" i="42"/>
  <c r="B72" i="42" s="1"/>
  <c r="B76" i="40"/>
  <c r="B72" i="40" s="1"/>
  <c r="B76" i="48"/>
  <c r="B72" i="48" s="1"/>
  <c r="B19" i="42"/>
  <c r="B18" i="42"/>
  <c r="B21" i="42"/>
  <c r="B20" i="42"/>
  <c r="B19" i="46"/>
  <c r="B18" i="46"/>
  <c r="B21" i="46"/>
  <c r="B20" i="46"/>
  <c r="F64" i="44"/>
  <c r="F63" i="44"/>
  <c r="F66" i="44"/>
  <c r="F62" i="44"/>
  <c r="F65" i="44" s="1"/>
  <c r="F64" i="46"/>
  <c r="F63" i="46"/>
  <c r="F66" i="46"/>
  <c r="F62" i="46"/>
  <c r="F65" i="46" s="1"/>
  <c r="B33" i="40"/>
  <c r="B29" i="40"/>
  <c r="B31" i="40"/>
  <c r="B34" i="40"/>
  <c r="B32" i="40"/>
  <c r="B35" i="40"/>
  <c r="B28" i="40"/>
  <c r="B30" i="40"/>
  <c r="E15" i="47"/>
  <c r="Q14" i="47"/>
  <c r="Q13" i="45"/>
  <c r="E14" i="45"/>
  <c r="E15" i="43"/>
  <c r="Q14" i="43"/>
  <c r="E15" i="41"/>
  <c r="Q14" i="41"/>
  <c r="Q14" i="39"/>
  <c r="E15" i="39"/>
  <c r="E14" i="37" l="1"/>
  <c r="Q14" i="37" s="1"/>
  <c r="E18" i="49"/>
  <c r="Q18" i="49" s="1"/>
  <c r="B74" i="42"/>
  <c r="B73" i="42"/>
  <c r="B75" i="42"/>
  <c r="B74" i="38"/>
  <c r="B75" i="38"/>
  <c r="B73" i="38"/>
  <c r="B73" i="48"/>
  <c r="B74" i="48"/>
  <c r="B75" i="48"/>
  <c r="B73" i="46"/>
  <c r="B75" i="46"/>
  <c r="B74" i="46"/>
  <c r="B73" i="40"/>
  <c r="B74" i="40"/>
  <c r="B75" i="40"/>
  <c r="B74" i="44"/>
  <c r="B73" i="44"/>
  <c r="B75" i="44"/>
  <c r="E16" i="47"/>
  <c r="Q15" i="47"/>
  <c r="Q14" i="45"/>
  <c r="E15" i="45"/>
  <c r="E16" i="43"/>
  <c r="Q15" i="43"/>
  <c r="E16" i="41"/>
  <c r="Q15" i="41"/>
  <c r="Q15" i="39"/>
  <c r="E16" i="39"/>
  <c r="N152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N137" i="2"/>
  <c r="N136" i="2"/>
  <c r="N135" i="2"/>
  <c r="N134" i="2"/>
  <c r="N133" i="2"/>
  <c r="N132" i="2"/>
  <c r="N131" i="2"/>
  <c r="N130" i="2"/>
  <c r="N129" i="2"/>
  <c r="N128" i="2"/>
  <c r="N127" i="2"/>
  <c r="N126" i="2"/>
  <c r="N125" i="2"/>
  <c r="N124" i="2"/>
  <c r="N123" i="2"/>
  <c r="N122" i="2"/>
  <c r="N121" i="2"/>
  <c r="N120" i="2"/>
  <c r="N119" i="2"/>
  <c r="N118" i="2"/>
  <c r="N117" i="2"/>
  <c r="N116" i="2"/>
  <c r="N115" i="2"/>
  <c r="N114" i="2"/>
  <c r="N113" i="2"/>
  <c r="N112" i="2"/>
  <c r="N111" i="2"/>
  <c r="N110" i="2"/>
  <c r="N109" i="2"/>
  <c r="N108" i="2"/>
  <c r="N107" i="2"/>
  <c r="N106" i="2"/>
  <c r="N105" i="2"/>
  <c r="N104" i="2"/>
  <c r="N102" i="2"/>
  <c r="N101" i="2"/>
  <c r="N100" i="2"/>
  <c r="N99" i="2"/>
  <c r="N97" i="2"/>
  <c r="N96" i="2"/>
  <c r="N95" i="2"/>
  <c r="N94" i="2"/>
  <c r="N93" i="2"/>
  <c r="N92" i="2"/>
  <c r="N91" i="2"/>
  <c r="N90" i="2"/>
  <c r="N88" i="2"/>
  <c r="N87" i="2"/>
  <c r="N86" i="2"/>
  <c r="N84" i="2"/>
  <c r="N83" i="2"/>
  <c r="N82" i="2"/>
  <c r="N81" i="2"/>
  <c r="N80" i="2"/>
  <c r="N78" i="2"/>
  <c r="N77" i="2"/>
  <c r="N76" i="2"/>
  <c r="N73" i="2"/>
  <c r="N75" i="2"/>
  <c r="N72" i="2"/>
  <c r="N71" i="2"/>
  <c r="N70" i="2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29" i="2"/>
  <c r="N28" i="2"/>
  <c r="N26" i="2"/>
  <c r="N25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F147" i="1"/>
  <c r="F130" i="1"/>
  <c r="F56" i="50" s="1"/>
  <c r="F121" i="1"/>
  <c r="B50" i="50" s="1"/>
  <c r="B121" i="1"/>
  <c r="B56" i="50" s="1"/>
  <c r="F114" i="1"/>
  <c r="F147" i="50" s="1"/>
  <c r="F143" i="50" s="1"/>
  <c r="B113" i="1"/>
  <c r="B147" i="50" s="1"/>
  <c r="B143" i="50" s="1"/>
  <c r="B86" i="1"/>
  <c r="B68" i="50" s="1"/>
  <c r="F61" i="1"/>
  <c r="F73" i="1"/>
  <c r="F106" i="50" s="1"/>
  <c r="F101" i="50" s="1"/>
  <c r="B50" i="1"/>
  <c r="B97" i="50" s="1"/>
  <c r="F39" i="1"/>
  <c r="F76" i="44" s="1"/>
  <c r="F158" i="50"/>
  <c r="F151" i="50" s="1"/>
  <c r="B9" i="1"/>
  <c r="B13" i="50" s="1"/>
  <c r="A7" i="50" s="1"/>
  <c r="B6" i="50" s="1"/>
  <c r="F8" i="50" s="1"/>
  <c r="F76" i="50" l="1"/>
  <c r="F72" i="50" s="1"/>
  <c r="B118" i="50"/>
  <c r="B111" i="50" s="1"/>
  <c r="B91" i="50"/>
  <c r="B92" i="50"/>
  <c r="F102" i="50"/>
  <c r="F103" i="50"/>
  <c r="F104" i="50"/>
  <c r="F105" i="50"/>
  <c r="B146" i="50"/>
  <c r="B145" i="50"/>
  <c r="B144" i="50"/>
  <c r="F153" i="50"/>
  <c r="F152" i="50"/>
  <c r="F154" i="50"/>
  <c r="F144" i="50"/>
  <c r="F145" i="50"/>
  <c r="F146" i="50"/>
  <c r="F28" i="50"/>
  <c r="F27" i="50"/>
  <c r="F36" i="50"/>
  <c r="E15" i="37"/>
  <c r="Q15" i="37" s="1"/>
  <c r="B62" i="50"/>
  <c r="B61" i="50"/>
  <c r="B63" i="50"/>
  <c r="B65" i="50"/>
  <c r="B66" i="50"/>
  <c r="B67" i="50"/>
  <c r="B64" i="50"/>
  <c r="F9" i="50"/>
  <c r="F10" i="50" s="1"/>
  <c r="F11" i="50"/>
  <c r="F12" i="50"/>
  <c r="E19" i="49"/>
  <c r="Q19" i="49" s="1"/>
  <c r="F28" i="48"/>
  <c r="F36" i="46"/>
  <c r="F28" i="40"/>
  <c r="F27" i="48"/>
  <c r="F27" i="46"/>
  <c r="F36" i="44"/>
  <c r="F36" i="42"/>
  <c r="F27" i="40"/>
  <c r="F28" i="44"/>
  <c r="F28" i="46"/>
  <c r="F27" i="44"/>
  <c r="F28" i="42"/>
  <c r="F36" i="40"/>
  <c r="F36" i="48"/>
  <c r="F27" i="42"/>
  <c r="F36" i="38"/>
  <c r="F28" i="38"/>
  <c r="F27" i="38"/>
  <c r="F106" i="40"/>
  <c r="F101" i="40" s="1"/>
  <c r="F106" i="48"/>
  <c r="F101" i="48" s="1"/>
  <c r="F106" i="38"/>
  <c r="F101" i="38" s="1"/>
  <c r="F106" i="44"/>
  <c r="F101" i="44" s="1"/>
  <c r="F106" i="42"/>
  <c r="F101" i="42" s="1"/>
  <c r="F106" i="46"/>
  <c r="F101" i="46" s="1"/>
  <c r="F56" i="48"/>
  <c r="F56" i="44"/>
  <c r="F56" i="46"/>
  <c r="F56" i="42"/>
  <c r="F56" i="40"/>
  <c r="F56" i="38"/>
  <c r="F158" i="44"/>
  <c r="F151" i="44" s="1"/>
  <c r="F158" i="48"/>
  <c r="F151" i="48" s="1"/>
  <c r="F158" i="42"/>
  <c r="F151" i="42" s="1"/>
  <c r="F158" i="38"/>
  <c r="F151" i="38" s="1"/>
  <c r="F158" i="46"/>
  <c r="F151" i="46" s="1"/>
  <c r="F158" i="40"/>
  <c r="F151" i="40" s="1"/>
  <c r="B118" i="46"/>
  <c r="B111" i="46" s="1"/>
  <c r="B118" i="38"/>
  <c r="B111" i="38" s="1"/>
  <c r="B118" i="42"/>
  <c r="B111" i="42" s="1"/>
  <c r="B118" i="44"/>
  <c r="B111" i="44" s="1"/>
  <c r="B118" i="40"/>
  <c r="B111" i="40" s="1"/>
  <c r="B118" i="48"/>
  <c r="B111" i="48" s="1"/>
  <c r="F147" i="42"/>
  <c r="F143" i="42" s="1"/>
  <c r="F147" i="46"/>
  <c r="F143" i="46" s="1"/>
  <c r="F147" i="48"/>
  <c r="F143" i="48" s="1"/>
  <c r="F147" i="40"/>
  <c r="F143" i="40" s="1"/>
  <c r="F147" i="38"/>
  <c r="F143" i="38" s="1"/>
  <c r="F147" i="44"/>
  <c r="F143" i="44" s="1"/>
  <c r="B97" i="44"/>
  <c r="B97" i="40"/>
  <c r="B97" i="42"/>
  <c r="B97" i="46"/>
  <c r="B97" i="38"/>
  <c r="B97" i="48"/>
  <c r="B50" i="46"/>
  <c r="B50" i="42"/>
  <c r="B50" i="40"/>
  <c r="B50" i="48"/>
  <c r="B50" i="44"/>
  <c r="B50" i="38"/>
  <c r="B13" i="44"/>
  <c r="A7" i="44" s="1"/>
  <c r="B6" i="44" s="1"/>
  <c r="F8" i="44" s="1"/>
  <c r="B13" i="42"/>
  <c r="A7" i="42" s="1"/>
  <c r="B6" i="42" s="1"/>
  <c r="F8" i="42" s="1"/>
  <c r="B13" i="46"/>
  <c r="A7" i="46" s="1"/>
  <c r="B6" i="46" s="1"/>
  <c r="F8" i="46" s="1"/>
  <c r="B13" i="38"/>
  <c r="A7" i="38" s="1"/>
  <c r="B6" i="38" s="1"/>
  <c r="F8" i="38" s="1"/>
  <c r="B13" i="48"/>
  <c r="A7" i="48" s="1"/>
  <c r="B6" i="48" s="1"/>
  <c r="F8" i="48" s="1"/>
  <c r="B13" i="40"/>
  <c r="A7" i="40" s="1"/>
  <c r="B6" i="40" s="1"/>
  <c r="F8" i="40" s="1"/>
  <c r="B147" i="44"/>
  <c r="B143" i="44" s="1"/>
  <c r="B146" i="44" s="1"/>
  <c r="B147" i="38"/>
  <c r="B143" i="38" s="1"/>
  <c r="B146" i="38" s="1"/>
  <c r="B147" i="46"/>
  <c r="B143" i="46" s="1"/>
  <c r="B146" i="46" s="1"/>
  <c r="B147" i="40"/>
  <c r="B143" i="40" s="1"/>
  <c r="B146" i="40" s="1"/>
  <c r="B147" i="42"/>
  <c r="B143" i="42" s="1"/>
  <c r="B146" i="42" s="1"/>
  <c r="B147" i="48"/>
  <c r="B143" i="48" s="1"/>
  <c r="B146" i="48" s="1"/>
  <c r="F139" i="42"/>
  <c r="F135" i="42" s="1"/>
  <c r="F138" i="42" s="1"/>
  <c r="F139" i="40"/>
  <c r="F135" i="40" s="1"/>
  <c r="F138" i="40" s="1"/>
  <c r="F139" i="44"/>
  <c r="F135" i="44" s="1"/>
  <c r="F138" i="44" s="1"/>
  <c r="F139" i="38"/>
  <c r="F139" i="46"/>
  <c r="F135" i="46" s="1"/>
  <c r="F138" i="46" s="1"/>
  <c r="F139" i="48"/>
  <c r="F135" i="48" s="1"/>
  <c r="F138" i="48" s="1"/>
  <c r="B68" i="44"/>
  <c r="B68" i="42"/>
  <c r="B68" i="40"/>
  <c r="B68" i="48"/>
  <c r="B68" i="38"/>
  <c r="B68" i="46"/>
  <c r="B56" i="48"/>
  <c r="B56" i="42"/>
  <c r="B56" i="40"/>
  <c r="B56" i="44"/>
  <c r="B56" i="38"/>
  <c r="B56" i="46"/>
  <c r="F76" i="48"/>
  <c r="F72" i="48" s="1"/>
  <c r="F76" i="46"/>
  <c r="F72" i="46" s="1"/>
  <c r="F72" i="44"/>
  <c r="F76" i="42"/>
  <c r="F72" i="42" s="1"/>
  <c r="F76" i="38"/>
  <c r="F72" i="38" s="1"/>
  <c r="F76" i="40"/>
  <c r="F72" i="40" s="1"/>
  <c r="E17" i="47"/>
  <c r="Q16" i="47"/>
  <c r="Q15" i="45"/>
  <c r="E16" i="45"/>
  <c r="E17" i="43"/>
  <c r="Q16" i="43"/>
  <c r="E17" i="41"/>
  <c r="Q16" i="41"/>
  <c r="Q16" i="39"/>
  <c r="E17" i="39"/>
  <c r="M1" i="2"/>
  <c r="B25" i="1"/>
  <c r="B44" i="50" s="1"/>
  <c r="B40" i="50" s="1"/>
  <c r="F73" i="50" l="1"/>
  <c r="F74" i="50"/>
  <c r="F75" i="50"/>
  <c r="B116" i="50"/>
  <c r="B114" i="50"/>
  <c r="B112" i="50"/>
  <c r="B115" i="50"/>
  <c r="B113" i="50"/>
  <c r="B42" i="50"/>
  <c r="B41" i="50"/>
  <c r="B43" i="50"/>
  <c r="E16" i="37"/>
  <c r="Q16" i="37" s="1"/>
  <c r="B96" i="50"/>
  <c r="B95" i="50"/>
  <c r="B93" i="50"/>
  <c r="B94" i="50"/>
  <c r="E20" i="49"/>
  <c r="Q20" i="49" s="1"/>
  <c r="F135" i="38"/>
  <c r="F138" i="38" s="1"/>
  <c r="F137" i="44"/>
  <c r="F136" i="44"/>
  <c r="B144" i="48"/>
  <c r="B145" i="48"/>
  <c r="B145" i="38"/>
  <c r="B144" i="38"/>
  <c r="B91" i="46"/>
  <c r="B92" i="46"/>
  <c r="B115" i="48"/>
  <c r="B114" i="48"/>
  <c r="B112" i="48"/>
  <c r="B116" i="48"/>
  <c r="B113" i="48"/>
  <c r="F154" i="38"/>
  <c r="F153" i="38"/>
  <c r="F152" i="38"/>
  <c r="B67" i="48"/>
  <c r="B62" i="48"/>
  <c r="B66" i="48"/>
  <c r="B61" i="48"/>
  <c r="B65" i="48"/>
  <c r="B64" i="48"/>
  <c r="B63" i="48"/>
  <c r="F137" i="48"/>
  <c r="F136" i="48"/>
  <c r="B145" i="42"/>
  <c r="B144" i="42"/>
  <c r="B145" i="44"/>
  <c r="B144" i="44"/>
  <c r="B91" i="42"/>
  <c r="B92" i="42"/>
  <c r="B115" i="40"/>
  <c r="B116" i="40"/>
  <c r="B113" i="40"/>
  <c r="B114" i="40"/>
  <c r="B112" i="40"/>
  <c r="B113" i="46"/>
  <c r="B116" i="46"/>
  <c r="B112" i="46"/>
  <c r="B114" i="46"/>
  <c r="B115" i="46"/>
  <c r="F104" i="38"/>
  <c r="F105" i="38"/>
  <c r="F103" i="38"/>
  <c r="F102" i="38"/>
  <c r="B44" i="48"/>
  <c r="B40" i="48" s="1"/>
  <c r="B44" i="38"/>
  <c r="B40" i="38" s="1"/>
  <c r="B44" i="46"/>
  <c r="B40" i="46" s="1"/>
  <c r="B44" i="42"/>
  <c r="B40" i="42" s="1"/>
  <c r="B44" i="40"/>
  <c r="B40" i="40" s="1"/>
  <c r="B44" i="44"/>
  <c r="B40" i="44" s="1"/>
  <c r="B64" i="40"/>
  <c r="B67" i="40"/>
  <c r="B63" i="40"/>
  <c r="B65" i="40"/>
  <c r="B62" i="40"/>
  <c r="B61" i="40"/>
  <c r="B66" i="40"/>
  <c r="F137" i="46"/>
  <c r="F136" i="46"/>
  <c r="F136" i="42"/>
  <c r="F137" i="42"/>
  <c r="B144" i="40"/>
  <c r="B145" i="40"/>
  <c r="F11" i="40"/>
  <c r="F12" i="40"/>
  <c r="F9" i="40"/>
  <c r="F10" i="40" s="1"/>
  <c r="F11" i="42"/>
  <c r="F12" i="42"/>
  <c r="F9" i="42"/>
  <c r="F10" i="42" s="1"/>
  <c r="B91" i="48"/>
  <c r="B92" i="48"/>
  <c r="B91" i="40"/>
  <c r="B92" i="40"/>
  <c r="F144" i="44"/>
  <c r="F146" i="44"/>
  <c r="F145" i="44"/>
  <c r="F144" i="46"/>
  <c r="F146" i="46"/>
  <c r="F145" i="46"/>
  <c r="B115" i="44"/>
  <c r="B116" i="44"/>
  <c r="B112" i="44"/>
  <c r="B113" i="44"/>
  <c r="B114" i="44"/>
  <c r="F154" i="40"/>
  <c r="F153" i="40"/>
  <c r="F152" i="40"/>
  <c r="F153" i="48"/>
  <c r="F154" i="48"/>
  <c r="F152" i="48"/>
  <c r="F104" i="46"/>
  <c r="F102" i="46"/>
  <c r="F103" i="46"/>
  <c r="F105" i="46"/>
  <c r="F103" i="48"/>
  <c r="F105" i="48"/>
  <c r="F102" i="48"/>
  <c r="F104" i="48"/>
  <c r="B65" i="38"/>
  <c r="B67" i="38"/>
  <c r="B63" i="38"/>
  <c r="B62" i="38"/>
  <c r="B61" i="38"/>
  <c r="B66" i="38"/>
  <c r="B64" i="38"/>
  <c r="B67" i="44"/>
  <c r="B63" i="44"/>
  <c r="B66" i="44"/>
  <c r="B62" i="44"/>
  <c r="B65" i="44"/>
  <c r="B61" i="44"/>
  <c r="B64" i="44"/>
  <c r="F11" i="38"/>
  <c r="F12" i="38"/>
  <c r="F9" i="38"/>
  <c r="F10" i="38" s="1"/>
  <c r="F146" i="40"/>
  <c r="F145" i="40"/>
  <c r="F144" i="40"/>
  <c r="B113" i="38"/>
  <c r="B114" i="38"/>
  <c r="B112" i="38"/>
  <c r="B115" i="38"/>
  <c r="B116" i="38"/>
  <c r="F104" i="44"/>
  <c r="F102" i="44"/>
  <c r="F103" i="44"/>
  <c r="F105" i="44"/>
  <c r="F137" i="40"/>
  <c r="F136" i="40"/>
  <c r="F11" i="46"/>
  <c r="F12" i="46"/>
  <c r="F9" i="46"/>
  <c r="F10" i="46" s="1"/>
  <c r="F146" i="48"/>
  <c r="F145" i="48"/>
  <c r="F144" i="48"/>
  <c r="F152" i="42"/>
  <c r="F154" i="42"/>
  <c r="F153" i="42"/>
  <c r="B66" i="46"/>
  <c r="B63" i="46"/>
  <c r="B67" i="46"/>
  <c r="B61" i="46"/>
  <c r="B65" i="46"/>
  <c r="B64" i="46"/>
  <c r="B62" i="46"/>
  <c r="B63" i="42"/>
  <c r="B62" i="42"/>
  <c r="B61" i="42"/>
  <c r="B67" i="42"/>
  <c r="B65" i="42"/>
  <c r="B66" i="42"/>
  <c r="B64" i="42"/>
  <c r="B144" i="46"/>
  <c r="B145" i="46"/>
  <c r="F12" i="48"/>
  <c r="F11" i="48"/>
  <c r="F9" i="48"/>
  <c r="F10" i="48" s="1"/>
  <c r="F12" i="44"/>
  <c r="F11" i="44"/>
  <c r="F9" i="44"/>
  <c r="F10" i="44" s="1"/>
  <c r="B91" i="38"/>
  <c r="B92" i="38"/>
  <c r="B91" i="44"/>
  <c r="B92" i="44"/>
  <c r="F145" i="38"/>
  <c r="F144" i="38"/>
  <c r="F146" i="38"/>
  <c r="F144" i="42"/>
  <c r="F145" i="42"/>
  <c r="F146" i="42"/>
  <c r="B115" i="42"/>
  <c r="B116" i="42"/>
  <c r="B112" i="42"/>
  <c r="B114" i="42"/>
  <c r="B113" i="42"/>
  <c r="F154" i="46"/>
  <c r="F152" i="46"/>
  <c r="F153" i="46"/>
  <c r="F154" i="44"/>
  <c r="F153" i="44"/>
  <c r="F152" i="44"/>
  <c r="F104" i="42"/>
  <c r="F102" i="42"/>
  <c r="F103" i="42"/>
  <c r="F105" i="42"/>
  <c r="F103" i="40"/>
  <c r="F104" i="40"/>
  <c r="F102" i="40"/>
  <c r="F105" i="40"/>
  <c r="F75" i="44"/>
  <c r="F73" i="44"/>
  <c r="F74" i="44"/>
  <c r="F73" i="40"/>
  <c r="F75" i="40"/>
  <c r="F74" i="40"/>
  <c r="F73" i="46"/>
  <c r="F74" i="46"/>
  <c r="F75" i="46"/>
  <c r="F73" i="38"/>
  <c r="F75" i="38"/>
  <c r="F74" i="38"/>
  <c r="F73" i="48"/>
  <c r="F74" i="48"/>
  <c r="F75" i="48"/>
  <c r="F73" i="42"/>
  <c r="F74" i="42"/>
  <c r="F75" i="42"/>
  <c r="E18" i="47"/>
  <c r="Q17" i="47"/>
  <c r="Q16" i="45"/>
  <c r="E17" i="45"/>
  <c r="E18" i="43"/>
  <c r="Q17" i="43"/>
  <c r="E18" i="41"/>
  <c r="Q17" i="41"/>
  <c r="Q17" i="39"/>
  <c r="E18" i="39"/>
  <c r="E17" i="37" l="1"/>
  <c r="Q17" i="37" s="1"/>
  <c r="E21" i="49"/>
  <c r="Q21" i="49" s="1"/>
  <c r="F137" i="38"/>
  <c r="F136" i="38"/>
  <c r="B43" i="48"/>
  <c r="B42" i="48"/>
  <c r="B41" i="48"/>
  <c r="B95" i="40"/>
  <c r="B93" i="40"/>
  <c r="B96" i="40"/>
  <c r="B94" i="40"/>
  <c r="B42" i="42"/>
  <c r="B41" i="42"/>
  <c r="B43" i="42"/>
  <c r="B93" i="46"/>
  <c r="B96" i="46"/>
  <c r="B95" i="46"/>
  <c r="B94" i="46"/>
  <c r="B93" i="38"/>
  <c r="B94" i="38"/>
  <c r="B96" i="38"/>
  <c r="B95" i="38"/>
  <c r="B43" i="46"/>
  <c r="B42" i="46"/>
  <c r="B41" i="46"/>
  <c r="B93" i="44"/>
  <c r="B96" i="44"/>
  <c r="B94" i="44"/>
  <c r="B95" i="44"/>
  <c r="B43" i="40"/>
  <c r="B41" i="40"/>
  <c r="B42" i="40"/>
  <c r="B93" i="42"/>
  <c r="B96" i="42"/>
  <c r="B95" i="42"/>
  <c r="B94" i="42"/>
  <c r="B95" i="48"/>
  <c r="B94" i="48"/>
  <c r="B93" i="48"/>
  <c r="B96" i="48"/>
  <c r="B43" i="44"/>
  <c r="B42" i="44"/>
  <c r="B41" i="44"/>
  <c r="B43" i="38"/>
  <c r="B41" i="38"/>
  <c r="B42" i="38"/>
  <c r="E19" i="47"/>
  <c r="Q18" i="47"/>
  <c r="Q17" i="45"/>
  <c r="E18" i="45"/>
  <c r="E19" i="43"/>
  <c r="Q18" i="43"/>
  <c r="E19" i="41"/>
  <c r="Q18" i="41"/>
  <c r="Q18" i="39"/>
  <c r="E19" i="39"/>
  <c r="E18" i="37" l="1"/>
  <c r="Q18" i="37" s="1"/>
  <c r="E22" i="49"/>
  <c r="Q22" i="49" s="1"/>
  <c r="E20" i="47"/>
  <c r="Q19" i="47"/>
  <c r="Q18" i="45"/>
  <c r="E19" i="45"/>
  <c r="E20" i="43"/>
  <c r="Q19" i="43"/>
  <c r="E20" i="41"/>
  <c r="Q19" i="41"/>
  <c r="E20" i="39"/>
  <c r="Q19" i="39"/>
  <c r="E19" i="37" l="1"/>
  <c r="Q19" i="37" s="1"/>
  <c r="E23" i="49"/>
  <c r="Q23" i="49" s="1"/>
  <c r="E21" i="47"/>
  <c r="Q20" i="47"/>
  <c r="E20" i="45"/>
  <c r="Q19" i="45"/>
  <c r="Q20" i="43"/>
  <c r="E21" i="43"/>
  <c r="Q20" i="41"/>
  <c r="E21" i="41"/>
  <c r="E21" i="39"/>
  <c r="Q20" i="39"/>
  <c r="E20" i="37" l="1"/>
  <c r="Q20" i="37" s="1"/>
  <c r="E24" i="49"/>
  <c r="E22" i="47"/>
  <c r="Q21" i="47"/>
  <c r="E21" i="45"/>
  <c r="Q20" i="45"/>
  <c r="Q21" i="43"/>
  <c r="E22" i="43"/>
  <c r="Q21" i="41"/>
  <c r="E22" i="41"/>
  <c r="E22" i="39"/>
  <c r="Q21" i="39"/>
  <c r="E21" i="37" l="1"/>
  <c r="Q21" i="37" s="1"/>
  <c r="E25" i="49"/>
  <c r="Q25" i="49" s="1"/>
  <c r="E23" i="47"/>
  <c r="Q22" i="47"/>
  <c r="E22" i="45"/>
  <c r="Q21" i="45"/>
  <c r="Q22" i="43"/>
  <c r="E23" i="43"/>
  <c r="Q22" i="41"/>
  <c r="E23" i="41"/>
  <c r="E23" i="39"/>
  <c r="Q22" i="39"/>
  <c r="E22" i="37" l="1"/>
  <c r="Q22" i="37" s="1"/>
  <c r="E26" i="49"/>
  <c r="Q26" i="49" s="1"/>
  <c r="E24" i="47"/>
  <c r="Q23" i="47"/>
  <c r="E23" i="45"/>
  <c r="Q22" i="45"/>
  <c r="Q23" i="43"/>
  <c r="E24" i="43"/>
  <c r="Q23" i="41"/>
  <c r="E24" i="41"/>
  <c r="E24" i="39"/>
  <c r="Q23" i="39"/>
  <c r="E23" i="37" l="1"/>
  <c r="Q23" i="37" s="1"/>
  <c r="E27" i="49"/>
  <c r="Q27" i="49" s="1"/>
  <c r="E25" i="47"/>
  <c r="E24" i="45"/>
  <c r="Q23" i="45"/>
  <c r="E25" i="43"/>
  <c r="E25" i="41"/>
  <c r="E25" i="39"/>
  <c r="E24" i="37" l="1"/>
  <c r="E28" i="49"/>
  <c r="Q28" i="49" s="1"/>
  <c r="E26" i="47"/>
  <c r="Q25" i="47"/>
  <c r="E25" i="45"/>
  <c r="E26" i="43"/>
  <c r="Q25" i="43"/>
  <c r="E26" i="41"/>
  <c r="Q25" i="41"/>
  <c r="Q25" i="39"/>
  <c r="E26" i="39"/>
  <c r="E25" i="37" l="1"/>
  <c r="Q25" i="37" s="1"/>
  <c r="E29" i="49"/>
  <c r="Q29" i="49" s="1"/>
  <c r="Q26" i="47"/>
  <c r="Q25" i="45"/>
  <c r="E26" i="45"/>
  <c r="Q26" i="43"/>
  <c r="Q26" i="41"/>
  <c r="Q26" i="39"/>
  <c r="E27" i="41" l="1"/>
  <c r="Q27" i="41" s="1"/>
  <c r="E26" i="37"/>
  <c r="Q26" i="37" s="1"/>
  <c r="E27" i="39"/>
  <c r="Q27" i="39" s="1"/>
  <c r="E27" i="43"/>
  <c r="Q27" i="43" s="1"/>
  <c r="E27" i="47"/>
  <c r="Q27" i="47" s="1"/>
  <c r="E30" i="49"/>
  <c r="Q26" i="45"/>
  <c r="E27" i="45" l="1"/>
  <c r="Q27" i="45" s="1"/>
  <c r="E28" i="47"/>
  <c r="Q28" i="47" s="1"/>
  <c r="E27" i="37"/>
  <c r="Q27" i="37" s="1"/>
  <c r="E28" i="43"/>
  <c r="Q28" i="43" s="1"/>
  <c r="E28" i="39"/>
  <c r="Q28" i="39" s="1"/>
  <c r="E28" i="41"/>
  <c r="Q28" i="41" s="1"/>
  <c r="E31" i="49"/>
  <c r="Q31" i="49" s="1"/>
  <c r="E29" i="43" l="1"/>
  <c r="E29" i="41"/>
  <c r="E29" i="47"/>
  <c r="E29" i="39"/>
  <c r="E28" i="37"/>
  <c r="Q28" i="37" s="1"/>
  <c r="E28" i="45"/>
  <c r="Q28" i="45" s="1"/>
  <c r="E32" i="49"/>
  <c r="E29" i="37" l="1"/>
  <c r="Q29" i="37" s="1"/>
  <c r="E29" i="45"/>
  <c r="E30" i="39"/>
  <c r="E30" i="41"/>
  <c r="E30" i="47"/>
  <c r="E30" i="43"/>
  <c r="E33" i="49"/>
  <c r="Q33" i="49" s="1"/>
  <c r="E31" i="47" l="1"/>
  <c r="E31" i="43"/>
  <c r="E31" i="41"/>
  <c r="E30" i="45"/>
  <c r="E31" i="39"/>
  <c r="E30" i="37"/>
  <c r="E34" i="49"/>
  <c r="Q29" i="47"/>
  <c r="Q29" i="43"/>
  <c r="Q29" i="41"/>
  <c r="Q29" i="39"/>
  <c r="E31" i="37" l="1"/>
  <c r="Q31" i="37" s="1"/>
  <c r="E31" i="45"/>
  <c r="E32" i="43"/>
  <c r="E32" i="39"/>
  <c r="E32" i="41"/>
  <c r="E32" i="47"/>
  <c r="E35" i="49"/>
  <c r="Q35" i="49" s="1"/>
  <c r="Q29" i="45"/>
  <c r="E33" i="47" l="1"/>
  <c r="E33" i="39"/>
  <c r="E32" i="45"/>
  <c r="E33" i="41"/>
  <c r="E33" i="43"/>
  <c r="E32" i="37"/>
  <c r="E36" i="49"/>
  <c r="Q36" i="49" s="1"/>
  <c r="Q31" i="47"/>
  <c r="Q31" i="43"/>
  <c r="Q31" i="41"/>
  <c r="Q31" i="39"/>
  <c r="E33" i="37" l="1"/>
  <c r="E34" i="39"/>
  <c r="E34" i="41"/>
  <c r="E34" i="43"/>
  <c r="E33" i="45"/>
  <c r="E34" i="47"/>
  <c r="E37" i="49"/>
  <c r="Q31" i="45"/>
  <c r="E35" i="47" l="1"/>
  <c r="E35" i="39"/>
  <c r="E35" i="43"/>
  <c r="E34" i="45"/>
  <c r="E35" i="41"/>
  <c r="E34" i="37"/>
  <c r="E38" i="49"/>
  <c r="Q38" i="49" s="1"/>
  <c r="E36" i="41" l="1"/>
  <c r="E35" i="37"/>
  <c r="E35" i="45"/>
  <c r="E36" i="39"/>
  <c r="E36" i="43"/>
  <c r="E36" i="47"/>
  <c r="E39" i="49"/>
  <c r="Q39" i="49" s="1"/>
  <c r="E37" i="47" l="1"/>
  <c r="E37" i="39"/>
  <c r="E36" i="37"/>
  <c r="E37" i="43"/>
  <c r="E36" i="45"/>
  <c r="E37" i="41"/>
  <c r="E40" i="49"/>
  <c r="Q40" i="49" s="1"/>
  <c r="E37" i="37" l="1"/>
  <c r="E38" i="41"/>
  <c r="E38" i="43"/>
  <c r="E38" i="39"/>
  <c r="E37" i="45"/>
  <c r="E38" i="47"/>
  <c r="E41" i="49"/>
  <c r="Q41" i="49" s="1"/>
  <c r="E39" i="43" l="1"/>
  <c r="E39" i="47"/>
  <c r="E39" i="39"/>
  <c r="E39" i="41"/>
  <c r="E38" i="45"/>
  <c r="E38" i="37"/>
  <c r="E42" i="49"/>
  <c r="E39" i="45" l="1"/>
  <c r="E39" i="37"/>
  <c r="E40" i="41"/>
  <c r="E40" i="47"/>
  <c r="E40" i="39"/>
  <c r="E40" i="43"/>
  <c r="E43" i="49"/>
  <c r="Q43" i="49" s="1"/>
  <c r="E41" i="43" l="1"/>
  <c r="E41" i="47"/>
  <c r="E40" i="37"/>
  <c r="E41" i="39"/>
  <c r="E41" i="41"/>
  <c r="E40" i="45"/>
  <c r="E44" i="49"/>
  <c r="E41" i="45" l="1"/>
  <c r="E42" i="39"/>
  <c r="E42" i="47"/>
  <c r="E42" i="41"/>
  <c r="E41" i="37"/>
  <c r="E42" i="43"/>
  <c r="E45" i="49"/>
  <c r="Q45" i="49" s="1"/>
  <c r="E43" i="47" l="1"/>
  <c r="E43" i="43"/>
  <c r="E43" i="41"/>
  <c r="E43" i="39"/>
  <c r="E42" i="37"/>
  <c r="E42" i="45"/>
  <c r="E46" i="49"/>
  <c r="Q46" i="49" s="1"/>
  <c r="E43" i="45" l="1"/>
  <c r="E44" i="39"/>
  <c r="E44" i="43"/>
  <c r="E43" i="37"/>
  <c r="E44" i="41"/>
  <c r="E44" i="47"/>
  <c r="E47" i="49"/>
  <c r="Q47" i="49" s="1"/>
  <c r="E45" i="41" l="1"/>
  <c r="E45" i="43"/>
  <c r="E45" i="47"/>
  <c r="E44" i="37"/>
  <c r="E45" i="39"/>
  <c r="E44" i="45"/>
  <c r="E48" i="49"/>
  <c r="E45" i="45" l="1"/>
  <c r="E45" i="37"/>
  <c r="Q45" i="37" s="1"/>
  <c r="E46" i="43"/>
  <c r="E46" i="39"/>
  <c r="E46" i="47"/>
  <c r="E46" i="41"/>
  <c r="E49" i="49"/>
  <c r="Q49" i="49" s="1"/>
  <c r="E47" i="47" l="1"/>
  <c r="E47" i="43"/>
  <c r="E47" i="41"/>
  <c r="E47" i="39"/>
  <c r="E46" i="37"/>
  <c r="Q46" i="37" s="1"/>
  <c r="E46" i="45"/>
  <c r="E50" i="49"/>
  <c r="Q50" i="49" s="1"/>
  <c r="Q45" i="47"/>
  <c r="Q45" i="43"/>
  <c r="Q45" i="41"/>
  <c r="Q45" i="39"/>
  <c r="E48" i="41" l="1"/>
  <c r="E47" i="45"/>
  <c r="E48" i="39"/>
  <c r="E48" i="43"/>
  <c r="E47" i="37"/>
  <c r="Q47" i="37" s="1"/>
  <c r="E48" i="47"/>
  <c r="E51" i="49"/>
  <c r="Q51" i="49" s="1"/>
  <c r="Q46" i="47"/>
  <c r="Q45" i="45"/>
  <c r="Q46" i="43"/>
  <c r="Q46" i="41"/>
  <c r="Q46" i="39"/>
  <c r="Q43" i="37"/>
  <c r="E49" i="47" l="1"/>
  <c r="Q49" i="47" s="1"/>
  <c r="E49" i="43"/>
  <c r="Q49" i="43" s="1"/>
  <c r="E48" i="45"/>
  <c r="E48" i="37"/>
  <c r="E49" i="39"/>
  <c r="Q49" i="39" s="1"/>
  <c r="E49" i="41"/>
  <c r="Q49" i="41" s="1"/>
  <c r="E52" i="49"/>
  <c r="Q52" i="49" s="1"/>
  <c r="Q47" i="47"/>
  <c r="Q43" i="47"/>
  <c r="Q46" i="45"/>
  <c r="Q47" i="43"/>
  <c r="Q43" i="43"/>
  <c r="Q47" i="41"/>
  <c r="Q43" i="41"/>
  <c r="Q47" i="39"/>
  <c r="Q43" i="39"/>
  <c r="E50" i="41" l="1"/>
  <c r="Q50" i="41" s="1"/>
  <c r="E49" i="37"/>
  <c r="Q49" i="37" s="1"/>
  <c r="E50" i="43"/>
  <c r="Q50" i="43" s="1"/>
  <c r="E50" i="39"/>
  <c r="Q50" i="39" s="1"/>
  <c r="E49" i="45"/>
  <c r="Q49" i="45" s="1"/>
  <c r="E50" i="47"/>
  <c r="Q50" i="47" s="1"/>
  <c r="E53" i="49"/>
  <c r="Q53" i="49" s="1"/>
  <c r="Q47" i="45"/>
  <c r="E51" i="39" l="1"/>
  <c r="Q51" i="39" s="1"/>
  <c r="E51" i="47"/>
  <c r="Q51" i="47" s="1"/>
  <c r="E50" i="37"/>
  <c r="Q50" i="37" s="1"/>
  <c r="E50" i="45"/>
  <c r="Q50" i="45" s="1"/>
  <c r="E51" i="43"/>
  <c r="Q51" i="43" s="1"/>
  <c r="E51" i="41"/>
  <c r="Q51" i="41" s="1"/>
  <c r="E54" i="49"/>
  <c r="Q54" i="49" s="1"/>
  <c r="Q43" i="45"/>
  <c r="E52" i="41" l="1"/>
  <c r="Q52" i="41" s="1"/>
  <c r="E51" i="45"/>
  <c r="Q51" i="45" s="1"/>
  <c r="E52" i="47"/>
  <c r="Q52" i="47" s="1"/>
  <c r="E52" i="43"/>
  <c r="Q52" i="43" s="1"/>
  <c r="E51" i="37"/>
  <c r="Q51" i="37" s="1"/>
  <c r="E52" i="39"/>
  <c r="Q52" i="39" s="1"/>
  <c r="E55" i="49"/>
  <c r="Q55" i="49" s="1"/>
  <c r="E53" i="39" l="1"/>
  <c r="Q53" i="39" s="1"/>
  <c r="E52" i="45"/>
  <c r="Q52" i="45" s="1"/>
  <c r="E53" i="43"/>
  <c r="Q53" i="43" s="1"/>
  <c r="E52" i="37"/>
  <c r="Q52" i="37" s="1"/>
  <c r="E53" i="47"/>
  <c r="Q53" i="47" s="1"/>
  <c r="E53" i="41"/>
  <c r="Q53" i="41" s="1"/>
  <c r="E56" i="49"/>
  <c r="Q56" i="49" s="1"/>
  <c r="E53" i="37" l="1"/>
  <c r="Q53" i="37" s="1"/>
  <c r="E54" i="41"/>
  <c r="Q54" i="41" s="1"/>
  <c r="E53" i="45"/>
  <c r="Q53" i="45" s="1"/>
  <c r="E54" i="47"/>
  <c r="Q54" i="47" s="1"/>
  <c r="E54" i="43"/>
  <c r="Q54" i="43" s="1"/>
  <c r="E54" i="39"/>
  <c r="Q54" i="39" s="1"/>
  <c r="E57" i="49"/>
  <c r="Q57" i="49" s="1"/>
  <c r="E55" i="39" l="1"/>
  <c r="Q55" i="39" s="1"/>
  <c r="E55" i="41"/>
  <c r="Q55" i="41" s="1"/>
  <c r="E55" i="47"/>
  <c r="Q55" i="47" s="1"/>
  <c r="E55" i="43"/>
  <c r="Q55" i="43" s="1"/>
  <c r="E54" i="45"/>
  <c r="Q54" i="45" s="1"/>
  <c r="E54" i="37"/>
  <c r="Q54" i="37" s="1"/>
  <c r="E55" i="37" l="1"/>
  <c r="Q55" i="37" s="1"/>
  <c r="E56" i="41"/>
  <c r="Q56" i="41" s="1"/>
  <c r="E56" i="43"/>
  <c r="Q56" i="43" s="1"/>
  <c r="E55" i="45"/>
  <c r="Q55" i="45" s="1"/>
  <c r="E56" i="47"/>
  <c r="Q56" i="47" s="1"/>
  <c r="E56" i="39"/>
  <c r="Q56" i="39" s="1"/>
  <c r="E58" i="49"/>
  <c r="E56" i="45" l="1"/>
  <c r="Q56" i="45" s="1"/>
  <c r="E57" i="39"/>
  <c r="Q57" i="39" s="1"/>
  <c r="E57" i="41"/>
  <c r="Q57" i="41" s="1"/>
  <c r="E57" i="47"/>
  <c r="Q57" i="47" s="1"/>
  <c r="E57" i="43"/>
  <c r="Q57" i="43" s="1"/>
  <c r="E56" i="37"/>
  <c r="Q56" i="37" s="1"/>
  <c r="E59" i="49"/>
  <c r="Q59" i="49" s="1"/>
  <c r="E57" i="37" l="1"/>
  <c r="Q57" i="37" s="1"/>
  <c r="E57" i="45"/>
  <c r="Q57" i="45" s="1"/>
  <c r="E60" i="49"/>
  <c r="Q60" i="49" s="1"/>
  <c r="E58" i="43" l="1"/>
  <c r="E58" i="41"/>
  <c r="E58" i="39"/>
  <c r="E58" i="47"/>
  <c r="E61" i="49"/>
  <c r="Q61" i="49" s="1"/>
  <c r="E59" i="47" l="1"/>
  <c r="E59" i="41"/>
  <c r="E58" i="45"/>
  <c r="E59" i="39"/>
  <c r="E58" i="37"/>
  <c r="E59" i="43"/>
  <c r="E62" i="49"/>
  <c r="Q62" i="49" s="1"/>
  <c r="Q33" i="47"/>
  <c r="Q35" i="39"/>
  <c r="Q33" i="39"/>
  <c r="Q33" i="43"/>
  <c r="Q33" i="37"/>
  <c r="Q33" i="41"/>
  <c r="Q35" i="43"/>
  <c r="Q35" i="47"/>
  <c r="Q35" i="41"/>
  <c r="Q35" i="45"/>
  <c r="Q36" i="37"/>
  <c r="Q33" i="45"/>
  <c r="Q36" i="43"/>
  <c r="Q36" i="39"/>
  <c r="Q35" i="37"/>
  <c r="Q36" i="47"/>
  <c r="Q36" i="45"/>
  <c r="Q36" i="41"/>
  <c r="E60" i="39" l="1"/>
  <c r="E60" i="43"/>
  <c r="E60" i="41"/>
  <c r="E59" i="37"/>
  <c r="E59" i="45"/>
  <c r="E60" i="47"/>
  <c r="E63" i="49"/>
  <c r="Q63" i="49" s="1"/>
  <c r="Q38" i="41"/>
  <c r="E61" i="47" l="1"/>
  <c r="E60" i="37"/>
  <c r="E61" i="43"/>
  <c r="E60" i="45"/>
  <c r="E61" i="41"/>
  <c r="E61" i="39"/>
  <c r="E64" i="49"/>
  <c r="Q64" i="49" s="1"/>
  <c r="Q39" i="41"/>
  <c r="Q38" i="47"/>
  <c r="Q38" i="37"/>
  <c r="E62" i="39" l="1"/>
  <c r="E61" i="45"/>
  <c r="E61" i="37"/>
  <c r="E62" i="41"/>
  <c r="E62" i="43"/>
  <c r="E62" i="47"/>
  <c r="E65" i="49"/>
  <c r="Q65" i="49" s="1"/>
  <c r="Q38" i="45"/>
  <c r="Q38" i="43"/>
  <c r="Q39" i="47"/>
  <c r="Q40" i="41"/>
  <c r="Q39" i="37"/>
  <c r="Q39" i="45"/>
  <c r="Q38" i="39"/>
  <c r="E63" i="41" l="1"/>
  <c r="E63" i="47"/>
  <c r="E62" i="45"/>
  <c r="E63" i="43"/>
  <c r="E62" i="37"/>
  <c r="E63" i="39"/>
  <c r="E66" i="49"/>
  <c r="Q66" i="49" s="1"/>
  <c r="Q39" i="39"/>
  <c r="Q40" i="37"/>
  <c r="Q39" i="43"/>
  <c r="Q41" i="41"/>
  <c r="Q40" i="47"/>
  <c r="Q40" i="45"/>
  <c r="E63" i="37" l="1"/>
  <c r="E63" i="45"/>
  <c r="E64" i="41"/>
  <c r="E64" i="39"/>
  <c r="E64" i="43"/>
  <c r="E64" i="47"/>
  <c r="E67" i="49"/>
  <c r="Q67" i="49" s="1"/>
  <c r="Q40" i="43"/>
  <c r="Q40" i="39"/>
  <c r="Q41" i="45"/>
  <c r="Q41" i="37"/>
  <c r="Q41" i="47"/>
  <c r="E65" i="43" l="1"/>
  <c r="E65" i="41"/>
  <c r="E65" i="47"/>
  <c r="E65" i="39"/>
  <c r="E64" i="45"/>
  <c r="E64" i="37"/>
  <c r="E68" i="49"/>
  <c r="Q68" i="49" s="1"/>
  <c r="Q41" i="43"/>
  <c r="Q59" i="41"/>
  <c r="Q41" i="39"/>
  <c r="E65" i="37" l="1"/>
  <c r="E66" i="39"/>
  <c r="E66" i="41"/>
  <c r="E65" i="45"/>
  <c r="E66" i="47"/>
  <c r="E66" i="43"/>
  <c r="E69" i="49"/>
  <c r="Q69" i="49" s="1"/>
  <c r="Q59" i="45"/>
  <c r="Q60" i="41"/>
  <c r="Q59" i="47"/>
  <c r="Q59" i="37"/>
  <c r="E67" i="43" l="1"/>
  <c r="E66" i="45"/>
  <c r="E67" i="39"/>
  <c r="E67" i="47"/>
  <c r="E67" i="41"/>
  <c r="E66" i="37"/>
  <c r="E70" i="49"/>
  <c r="Q70" i="49" s="1"/>
  <c r="Q59" i="43"/>
  <c r="Q60" i="45"/>
  <c r="Q60" i="47"/>
  <c r="Q60" i="37"/>
  <c r="Q61" i="41"/>
  <c r="Q59" i="39"/>
  <c r="E67" i="37" l="1"/>
  <c r="E68" i="47"/>
  <c r="E67" i="45"/>
  <c r="E68" i="41"/>
  <c r="E68" i="39"/>
  <c r="E68" i="43"/>
  <c r="E71" i="49"/>
  <c r="Q71" i="49" s="1"/>
  <c r="Q61" i="37"/>
  <c r="Q61" i="45"/>
  <c r="Q60" i="39"/>
  <c r="Q62" i="41"/>
  <c r="Q60" i="43"/>
  <c r="Q61" i="47"/>
  <c r="E69" i="43" l="1"/>
  <c r="E69" i="41"/>
  <c r="E69" i="47"/>
  <c r="E69" i="39"/>
  <c r="E68" i="45"/>
  <c r="E68" i="37"/>
  <c r="E72" i="49"/>
  <c r="Q72" i="49" s="1"/>
  <c r="Q61" i="43"/>
  <c r="Q61" i="39"/>
  <c r="Q62" i="37"/>
  <c r="Q62" i="47"/>
  <c r="Q63" i="41"/>
  <c r="Q62" i="45"/>
  <c r="E69" i="45" l="1"/>
  <c r="E70" i="47"/>
  <c r="E69" i="37"/>
  <c r="E70" i="39"/>
  <c r="E70" i="41"/>
  <c r="E70" i="43"/>
  <c r="E73" i="49"/>
  <c r="Q73" i="49" s="1"/>
  <c r="Q63" i="37"/>
  <c r="Q64" i="41"/>
  <c r="Q62" i="39"/>
  <c r="Q63" i="47"/>
  <c r="Q63" i="45"/>
  <c r="Q62" i="43"/>
  <c r="E71" i="43" l="1"/>
  <c r="E71" i="39"/>
  <c r="E71" i="47"/>
  <c r="E71" i="41"/>
  <c r="E70" i="37"/>
  <c r="E70" i="45"/>
  <c r="E74" i="49"/>
  <c r="Q63" i="43"/>
  <c r="Q64" i="37"/>
  <c r="Q64" i="45"/>
  <c r="Q63" i="39"/>
  <c r="Q65" i="41"/>
  <c r="Q64" i="47"/>
  <c r="E71" i="37" l="1"/>
  <c r="E71" i="45"/>
  <c r="E72" i="41"/>
  <c r="E72" i="39"/>
  <c r="E72" i="47"/>
  <c r="E72" i="43"/>
  <c r="E75" i="49"/>
  <c r="Q75" i="49" s="1"/>
  <c r="Q66" i="41"/>
  <c r="Q64" i="43"/>
  <c r="Q64" i="39"/>
  <c r="Q65" i="37"/>
  <c r="Q65" i="47"/>
  <c r="Q65" i="45"/>
  <c r="E73" i="43" l="1"/>
  <c r="E73" i="39"/>
  <c r="Q73" i="39" s="1"/>
  <c r="E72" i="45"/>
  <c r="E73" i="47"/>
  <c r="Q73" i="47" s="1"/>
  <c r="E73" i="41"/>
  <c r="Q73" i="41" s="1"/>
  <c r="E72" i="37"/>
  <c r="E76" i="49"/>
  <c r="Q66" i="45"/>
  <c r="Q66" i="37"/>
  <c r="Q66" i="47"/>
  <c r="Q65" i="43"/>
  <c r="Q67" i="41"/>
  <c r="Q65" i="39"/>
  <c r="E74" i="47" l="1"/>
  <c r="E73" i="37"/>
  <c r="Q73" i="37" s="1"/>
  <c r="E74" i="39"/>
  <c r="E74" i="41"/>
  <c r="E73" i="45"/>
  <c r="Q73" i="45" s="1"/>
  <c r="E74" i="43"/>
  <c r="E77" i="49"/>
  <c r="Q77" i="49" s="1"/>
  <c r="Q66" i="39"/>
  <c r="Q67" i="45"/>
  <c r="Q67" i="37"/>
  <c r="Q68" i="41"/>
  <c r="Q66" i="43"/>
  <c r="Q67" i="47"/>
  <c r="E75" i="43" l="1"/>
  <c r="E75" i="41"/>
  <c r="E74" i="37"/>
  <c r="E74" i="45"/>
  <c r="E75" i="39"/>
  <c r="E75" i="47"/>
  <c r="E78" i="49"/>
  <c r="Q78" i="49" s="1"/>
  <c r="Q69" i="41"/>
  <c r="Q68" i="45"/>
  <c r="Q67" i="39"/>
  <c r="Q67" i="43"/>
  <c r="Q68" i="37"/>
  <c r="Q68" i="47"/>
  <c r="E76" i="47" l="1"/>
  <c r="E75" i="45"/>
  <c r="E76" i="41"/>
  <c r="E76" i="39"/>
  <c r="E75" i="37"/>
  <c r="E76" i="43"/>
  <c r="E80" i="49"/>
  <c r="Q80" i="49" s="1"/>
  <c r="Q69" i="37"/>
  <c r="Q70" i="41"/>
  <c r="Q68" i="43"/>
  <c r="Q69" i="45"/>
  <c r="Q69" i="47"/>
  <c r="Q68" i="39"/>
  <c r="E77" i="43" l="1"/>
  <c r="E77" i="39"/>
  <c r="Q77" i="39" s="1"/>
  <c r="E76" i="45"/>
  <c r="E76" i="37"/>
  <c r="E77" i="41"/>
  <c r="Q77" i="41" s="1"/>
  <c r="E77" i="47"/>
  <c r="Q77" i="47" s="1"/>
  <c r="E81" i="49"/>
  <c r="Q81" i="49" s="1"/>
  <c r="Q69" i="39"/>
  <c r="Q70" i="47"/>
  <c r="Q70" i="45"/>
  <c r="Q71" i="41"/>
  <c r="Q69" i="43"/>
  <c r="Q70" i="37"/>
  <c r="E78" i="41" l="1"/>
  <c r="Q78" i="41" s="1"/>
  <c r="E77" i="45"/>
  <c r="Q77" i="45" s="1"/>
  <c r="E78" i="43"/>
  <c r="E78" i="47"/>
  <c r="Q78" i="47" s="1"/>
  <c r="E77" i="37"/>
  <c r="Q77" i="37" s="1"/>
  <c r="E78" i="39"/>
  <c r="Q78" i="39" s="1"/>
  <c r="E82" i="49"/>
  <c r="Q82" i="49" s="1"/>
  <c r="Q71" i="37"/>
  <c r="Q71" i="47"/>
  <c r="Q71" i="45"/>
  <c r="Q70" i="39"/>
  <c r="Q70" i="43"/>
  <c r="Q72" i="41"/>
  <c r="E80" i="47" l="1"/>
  <c r="Q80" i="47" s="1"/>
  <c r="E80" i="39"/>
  <c r="Q80" i="39" s="1"/>
  <c r="E78" i="45"/>
  <c r="Q78" i="45" s="1"/>
  <c r="E78" i="37"/>
  <c r="Q78" i="37" s="1"/>
  <c r="E80" i="43"/>
  <c r="E80" i="41"/>
  <c r="Q80" i="41" s="1"/>
  <c r="E83" i="49"/>
  <c r="Q83" i="49" s="1"/>
  <c r="Q75" i="41"/>
  <c r="Q71" i="39"/>
  <c r="Q72" i="37"/>
  <c r="Q71" i="43"/>
  <c r="Q72" i="45"/>
  <c r="Q72" i="47"/>
  <c r="E81" i="41" l="1"/>
  <c r="Q81" i="41" s="1"/>
  <c r="E80" i="37"/>
  <c r="Q80" i="37" s="1"/>
  <c r="E81" i="39"/>
  <c r="Q81" i="39" s="1"/>
  <c r="E81" i="43"/>
  <c r="E80" i="45"/>
  <c r="Q80" i="45" s="1"/>
  <c r="E81" i="47"/>
  <c r="Q81" i="47" s="1"/>
  <c r="E84" i="49"/>
  <c r="Q84" i="49" s="1"/>
  <c r="Q75" i="45"/>
  <c r="Q75" i="47"/>
  <c r="Q72" i="39"/>
  <c r="Q72" i="43"/>
  <c r="Q75" i="37"/>
  <c r="E82" i="47" l="1"/>
  <c r="Q82" i="47" s="1"/>
  <c r="E82" i="43"/>
  <c r="E81" i="37"/>
  <c r="Q81" i="37" s="1"/>
  <c r="E81" i="45"/>
  <c r="Q81" i="45" s="1"/>
  <c r="E82" i="39"/>
  <c r="Q82" i="39" s="1"/>
  <c r="E82" i="41"/>
  <c r="Q82" i="41" s="1"/>
  <c r="E85" i="49"/>
  <c r="Q85" i="49" s="1"/>
  <c r="Q81" i="43"/>
  <c r="Q75" i="39"/>
  <c r="Q75" i="43"/>
  <c r="E83" i="41" l="1"/>
  <c r="E82" i="45"/>
  <c r="Q82" i="45" s="1"/>
  <c r="E83" i="43"/>
  <c r="E83" i="39"/>
  <c r="E82" i="37"/>
  <c r="Q82" i="37" s="1"/>
  <c r="E83" i="47"/>
  <c r="E86" i="49"/>
  <c r="Q86" i="49" s="1"/>
  <c r="E83" i="37" l="1"/>
  <c r="E84" i="47"/>
  <c r="E84" i="39"/>
  <c r="E83" i="45"/>
  <c r="E84" i="43"/>
  <c r="E84" i="41"/>
  <c r="E87" i="49"/>
  <c r="E84" i="45" l="1"/>
  <c r="E85" i="41"/>
  <c r="E85" i="47"/>
  <c r="E85" i="43"/>
  <c r="E85" i="39"/>
  <c r="E84" i="37"/>
  <c r="E88" i="49"/>
  <c r="Q88" i="49" s="1"/>
  <c r="Q82" i="43"/>
  <c r="E86" i="39" l="1"/>
  <c r="E85" i="37"/>
  <c r="E86" i="43"/>
  <c r="E86" i="41"/>
  <c r="E86" i="47"/>
  <c r="E85" i="45"/>
  <c r="E89" i="49"/>
  <c r="Q89" i="49" s="1"/>
  <c r="Q77" i="43"/>
  <c r="E86" i="45" l="1"/>
  <c r="E87" i="41"/>
  <c r="E86" i="37"/>
  <c r="E87" i="47"/>
  <c r="E87" i="43"/>
  <c r="E87" i="39"/>
  <c r="E90" i="49"/>
  <c r="Q90" i="49" s="1"/>
  <c r="Q73" i="43"/>
  <c r="E88" i="43" l="1"/>
  <c r="E88" i="39"/>
  <c r="E88" i="47"/>
  <c r="E88" i="41"/>
  <c r="E87" i="37"/>
  <c r="E87" i="45"/>
  <c r="E91" i="49"/>
  <c r="Q91" i="49" s="1"/>
  <c r="Q78" i="43"/>
  <c r="E88" i="37" l="1"/>
  <c r="E88" i="45"/>
  <c r="E89" i="41"/>
  <c r="E89" i="39"/>
  <c r="E89" i="47"/>
  <c r="E89" i="43"/>
  <c r="E92" i="49"/>
  <c r="E90" i="41" l="1"/>
  <c r="E90" i="43"/>
  <c r="E90" i="39"/>
  <c r="E89" i="45"/>
  <c r="E90" i="47"/>
  <c r="E89" i="37"/>
  <c r="E93" i="49"/>
  <c r="Q93" i="49" s="1"/>
  <c r="Q80" i="43"/>
  <c r="E90" i="37" l="1"/>
  <c r="E90" i="45"/>
  <c r="E91" i="43"/>
  <c r="E91" i="47"/>
  <c r="E91" i="39"/>
  <c r="E91" i="41"/>
  <c r="E94" i="49"/>
  <c r="Q94" i="49" s="1"/>
  <c r="E92" i="41" l="1"/>
  <c r="E92" i="47"/>
  <c r="E91" i="45"/>
  <c r="E92" i="39"/>
  <c r="E92" i="43"/>
  <c r="E91" i="37"/>
  <c r="E95" i="49"/>
  <c r="Q95" i="49" s="1"/>
  <c r="E92" i="37" l="1"/>
  <c r="E93" i="39"/>
  <c r="E93" i="47"/>
  <c r="E93" i="43"/>
  <c r="E92" i="45"/>
  <c r="E93" i="41"/>
  <c r="E96" i="49"/>
  <c r="Q96" i="49" s="1"/>
  <c r="E94" i="41" l="1"/>
  <c r="E94" i="43"/>
  <c r="E94" i="39"/>
  <c r="E93" i="45"/>
  <c r="E94" i="47"/>
  <c r="E93" i="37"/>
  <c r="E97" i="49"/>
  <c r="Q97" i="49" s="1"/>
  <c r="E94" i="37" l="1"/>
  <c r="E94" i="45"/>
  <c r="Q94" i="45" s="1"/>
  <c r="E95" i="43"/>
  <c r="E95" i="47"/>
  <c r="E95" i="39"/>
  <c r="E95" i="41"/>
  <c r="E99" i="49"/>
  <c r="Q99" i="49" s="1"/>
  <c r="E96" i="41" l="1"/>
  <c r="E96" i="47"/>
  <c r="E95" i="45"/>
  <c r="Q95" i="45" s="1"/>
  <c r="E96" i="39"/>
  <c r="E96" i="43"/>
  <c r="E95" i="37"/>
  <c r="E100" i="49"/>
  <c r="Q100" i="49" s="1"/>
  <c r="E96" i="37" l="1"/>
  <c r="E97" i="39"/>
  <c r="E97" i="47"/>
  <c r="E97" i="43"/>
  <c r="E96" i="45"/>
  <c r="Q96" i="45" s="1"/>
  <c r="E97" i="41"/>
  <c r="E97" i="45" l="1"/>
  <c r="Q97" i="45" s="1"/>
  <c r="E99" i="47"/>
  <c r="E99" i="41"/>
  <c r="E99" i="43"/>
  <c r="E99" i="39"/>
  <c r="E97" i="37"/>
  <c r="E101" i="49"/>
  <c r="Q101" i="49" s="1"/>
  <c r="E100" i="39" l="1"/>
  <c r="E99" i="37"/>
  <c r="E100" i="43"/>
  <c r="E100" i="47"/>
  <c r="E100" i="41"/>
  <c r="E99" i="45"/>
  <c r="Q99" i="45" s="1"/>
  <c r="E102" i="49"/>
  <c r="Q102" i="49" s="1"/>
  <c r="E100" i="45" l="1"/>
  <c r="Q100" i="45" s="1"/>
  <c r="E101" i="47"/>
  <c r="E100" i="37"/>
  <c r="E101" i="41"/>
  <c r="E101" i="43"/>
  <c r="E101" i="39"/>
  <c r="E103" i="49"/>
  <c r="Q103" i="49" s="1"/>
  <c r="E102" i="39" l="1"/>
  <c r="E102" i="41"/>
  <c r="E102" i="47"/>
  <c r="E102" i="43"/>
  <c r="E101" i="37"/>
  <c r="E101" i="45"/>
  <c r="Q101" i="45" s="1"/>
  <c r="Q83" i="45"/>
  <c r="E102" i="45" l="1"/>
  <c r="Q102" i="45" s="1"/>
  <c r="E103" i="43"/>
  <c r="E103" i="41"/>
  <c r="E102" i="37"/>
  <c r="E103" i="47"/>
  <c r="E103" i="39"/>
  <c r="E104" i="49"/>
  <c r="Q104" i="49" s="1"/>
  <c r="Q84" i="45"/>
  <c r="E103" i="37" l="1"/>
  <c r="E103" i="45"/>
  <c r="Q103" i="45" s="1"/>
  <c r="E105" i="49"/>
  <c r="Q105" i="49" s="1"/>
  <c r="Q85" i="45"/>
  <c r="E104" i="47" l="1"/>
  <c r="E104" i="41"/>
  <c r="E104" i="43"/>
  <c r="E104" i="39"/>
  <c r="E106" i="49"/>
  <c r="Q106" i="49" s="1"/>
  <c r="Q86" i="45"/>
  <c r="E105" i="39" l="1"/>
  <c r="E105" i="41"/>
  <c r="E105" i="47"/>
  <c r="E105" i="43"/>
  <c r="E104" i="37"/>
  <c r="E104" i="45"/>
  <c r="Q104" i="45" s="1"/>
  <c r="E107" i="49"/>
  <c r="Q107" i="49" s="1"/>
  <c r="E105" i="45" l="1"/>
  <c r="Q105" i="45" s="1"/>
  <c r="E106" i="43"/>
  <c r="E106" i="41"/>
  <c r="E105" i="37"/>
  <c r="E106" i="47"/>
  <c r="E106" i="39"/>
  <c r="E108" i="49"/>
  <c r="Q88" i="45"/>
  <c r="E107" i="39" l="1"/>
  <c r="E106" i="37"/>
  <c r="E107" i="43"/>
  <c r="E107" i="47"/>
  <c r="E107" i="41"/>
  <c r="E106" i="45"/>
  <c r="Q106" i="45" s="1"/>
  <c r="E109" i="49"/>
  <c r="Q109" i="49" s="1"/>
  <c r="Q89" i="45"/>
  <c r="E107" i="45" l="1"/>
  <c r="Q107" i="45" s="1"/>
  <c r="E108" i="47"/>
  <c r="E107" i="37"/>
  <c r="E108" i="41"/>
  <c r="E108" i="43"/>
  <c r="E108" i="39"/>
  <c r="E110" i="49"/>
  <c r="Q110" i="49" s="1"/>
  <c r="Q90" i="45"/>
  <c r="E109" i="41" l="1"/>
  <c r="E109" i="39"/>
  <c r="E109" i="47"/>
  <c r="E109" i="43"/>
  <c r="E108" i="37"/>
  <c r="E108" i="45"/>
  <c r="E111" i="49"/>
  <c r="Q111" i="49" s="1"/>
  <c r="Q91" i="45"/>
  <c r="E109" i="45" l="1"/>
  <c r="Q109" i="45" s="1"/>
  <c r="E110" i="43"/>
  <c r="E110" i="39"/>
  <c r="E109" i="37"/>
  <c r="E110" i="47"/>
  <c r="E110" i="41"/>
  <c r="E111" i="41" l="1"/>
  <c r="E110" i="37"/>
  <c r="E111" i="43"/>
  <c r="E111" i="47"/>
  <c r="E111" i="39"/>
  <c r="E110" i="45"/>
  <c r="Q110" i="45" s="1"/>
  <c r="E112" i="49"/>
  <c r="Q112" i="49" s="1"/>
  <c r="Q93" i="45"/>
  <c r="Q83" i="43"/>
  <c r="Q95" i="43"/>
  <c r="Q100" i="43"/>
  <c r="Q97" i="43"/>
  <c r="Q109" i="43"/>
  <c r="Q110" i="43"/>
  <c r="Q111" i="43"/>
  <c r="Q101" i="43"/>
  <c r="Q84" i="43"/>
  <c r="Q103" i="43"/>
  <c r="Q102" i="43"/>
  <c r="Q96" i="43"/>
  <c r="Q106" i="43"/>
  <c r="Q105" i="43"/>
  <c r="Q86" i="43"/>
  <c r="Q99" i="43"/>
  <c r="Q94" i="43"/>
  <c r="Q104" i="43"/>
  <c r="Q85" i="43"/>
  <c r="Q107" i="43"/>
  <c r="E111" i="45" l="1"/>
  <c r="Q111" i="45" s="1"/>
  <c r="E111" i="37"/>
  <c r="E113" i="49"/>
  <c r="E112" i="41" l="1"/>
  <c r="E112" i="39"/>
  <c r="E112" i="43"/>
  <c r="Q112" i="43" s="1"/>
  <c r="E112" i="47"/>
  <c r="E114" i="49"/>
  <c r="Q114" i="49" s="1"/>
  <c r="Q88" i="43"/>
  <c r="E113" i="47" l="1"/>
  <c r="E113" i="43"/>
  <c r="E113" i="39"/>
  <c r="E112" i="37"/>
  <c r="E112" i="45"/>
  <c r="Q112" i="45" s="1"/>
  <c r="E113" i="41"/>
  <c r="E115" i="49"/>
  <c r="Q89" i="43"/>
  <c r="E114" i="47" l="1"/>
  <c r="E114" i="41"/>
  <c r="E114" i="43"/>
  <c r="Q114" i="43" s="1"/>
  <c r="E113" i="37"/>
  <c r="E114" i="39"/>
  <c r="E113" i="45"/>
  <c r="E116" i="49"/>
  <c r="Q116" i="49" s="1"/>
  <c r="Q90" i="43"/>
  <c r="E115" i="43" l="1"/>
  <c r="E114" i="45"/>
  <c r="Q114" i="45" s="1"/>
  <c r="E114" i="37"/>
  <c r="E115" i="41"/>
  <c r="E115" i="39"/>
  <c r="E115" i="47"/>
  <c r="E117" i="49"/>
  <c r="Q117" i="49" s="1"/>
  <c r="Q91" i="43"/>
  <c r="E116" i="39" l="1"/>
  <c r="E115" i="45"/>
  <c r="E116" i="47"/>
  <c r="E116" i="41"/>
  <c r="E115" i="37"/>
  <c r="E116" i="43"/>
  <c r="Q116" i="43" s="1"/>
  <c r="E118" i="49"/>
  <c r="Q118" i="49" s="1"/>
  <c r="E116" i="45" l="1"/>
  <c r="Q116" i="45" s="1"/>
  <c r="E117" i="43"/>
  <c r="Q117" i="43" s="1"/>
  <c r="E117" i="41"/>
  <c r="Q117" i="41" s="1"/>
  <c r="E116" i="37"/>
  <c r="Q116" i="37" s="1"/>
  <c r="E117" i="47"/>
  <c r="Q117" i="47" s="1"/>
  <c r="E117" i="39"/>
  <c r="Q117" i="39" s="1"/>
  <c r="E119" i="49"/>
  <c r="Q119" i="49" s="1"/>
  <c r="Q93" i="43"/>
  <c r="Q96" i="39"/>
  <c r="Q110" i="47"/>
  <c r="Q101" i="39"/>
  <c r="Q84" i="41"/>
  <c r="Q114" i="39"/>
  <c r="Q88" i="47"/>
  <c r="Q110" i="39"/>
  <c r="Q99" i="37"/>
  <c r="Q109" i="37"/>
  <c r="Q105" i="41"/>
  <c r="Q91" i="37"/>
  <c r="Q116" i="41"/>
  <c r="Q104" i="47"/>
  <c r="Q91" i="39"/>
  <c r="Q116" i="39"/>
  <c r="Q114" i="37"/>
  <c r="Q114" i="47"/>
  <c r="Q109" i="47"/>
  <c r="Q96" i="37"/>
  <c r="Q103" i="41"/>
  <c r="Q85" i="39"/>
  <c r="Q94" i="41"/>
  <c r="Q95" i="39"/>
  <c r="Q103" i="47"/>
  <c r="Q112" i="47"/>
  <c r="Q83" i="37"/>
  <c r="Q99" i="41"/>
  <c r="Q106" i="39"/>
  <c r="Q111" i="41"/>
  <c r="Q102" i="41"/>
  <c r="Q90" i="47"/>
  <c r="Q106" i="47"/>
  <c r="Q85" i="41"/>
  <c r="Q89" i="39"/>
  <c r="Q106" i="41"/>
  <c r="Q97" i="39"/>
  <c r="Q97" i="47"/>
  <c r="Q89" i="41"/>
  <c r="Q102" i="39"/>
  <c r="Q114" i="41"/>
  <c r="Q89" i="47"/>
  <c r="Q110" i="37"/>
  <c r="Q91" i="41"/>
  <c r="Q100" i="37"/>
  <c r="Q107" i="39"/>
  <c r="Q107" i="47"/>
  <c r="Q106" i="37"/>
  <c r="Q85" i="47"/>
  <c r="Q109" i="41"/>
  <c r="Q105" i="47"/>
  <c r="Q116" i="47"/>
  <c r="Q112" i="37"/>
  <c r="Q96" i="47"/>
  <c r="Q90" i="39"/>
  <c r="Q83" i="39"/>
  <c r="Q93" i="47"/>
  <c r="Q90" i="37"/>
  <c r="Q111" i="39"/>
  <c r="Q93" i="37"/>
  <c r="Q104" i="39"/>
  <c r="Q104" i="41"/>
  <c r="Q102" i="47"/>
  <c r="Q86" i="37"/>
  <c r="Q85" i="37"/>
  <c r="Q95" i="47"/>
  <c r="Q91" i="47"/>
  <c r="Q104" i="37"/>
  <c r="Q100" i="39"/>
  <c r="Q112" i="39"/>
  <c r="Q96" i="41"/>
  <c r="Q84" i="47"/>
  <c r="Q88" i="37"/>
  <c r="Q88" i="39"/>
  <c r="Q103" i="39"/>
  <c r="Q111" i="47"/>
  <c r="Q101" i="47"/>
  <c r="Q107" i="41"/>
  <c r="Q99" i="39"/>
  <c r="Q83" i="41"/>
  <c r="Q102" i="37"/>
  <c r="Q103" i="37"/>
  <c r="Q107" i="37"/>
  <c r="Q95" i="41"/>
  <c r="Q93" i="41"/>
  <c r="Q99" i="47"/>
  <c r="Q88" i="41"/>
  <c r="Q86" i="41"/>
  <c r="Q101" i="41"/>
  <c r="Q84" i="39"/>
  <c r="Q90" i="41"/>
  <c r="Q94" i="37"/>
  <c r="Q94" i="47"/>
  <c r="Q100" i="41"/>
  <c r="Q97" i="37"/>
  <c r="Q86" i="47"/>
  <c r="Q93" i="39"/>
  <c r="Q100" i="47"/>
  <c r="Q109" i="39"/>
  <c r="Q84" i="37"/>
  <c r="Q111" i="37"/>
  <c r="Q95" i="37"/>
  <c r="Q112" i="41"/>
  <c r="Q101" i="37"/>
  <c r="Q83" i="47"/>
  <c r="Q105" i="37"/>
  <c r="Q94" i="39"/>
  <c r="Q86" i="39"/>
  <c r="Q110" i="41"/>
  <c r="Q97" i="41"/>
  <c r="Q89" i="37"/>
  <c r="Q105" i="39"/>
  <c r="E117" i="37" l="1"/>
  <c r="Q117" i="37" s="1"/>
  <c r="E118" i="39"/>
  <c r="Q118" i="39" s="1"/>
  <c r="E118" i="43"/>
  <c r="Q118" i="43" s="1"/>
  <c r="E118" i="47"/>
  <c r="Q118" i="47" s="1"/>
  <c r="E118" i="41"/>
  <c r="Q118" i="41" s="1"/>
  <c r="E117" i="45"/>
  <c r="Q117" i="45" s="1"/>
  <c r="E120" i="49"/>
  <c r="Q120" i="49" s="1"/>
  <c r="E119" i="43" l="1"/>
  <c r="Q119" i="43" s="1"/>
  <c r="E118" i="45"/>
  <c r="Q118" i="45" s="1"/>
  <c r="E119" i="47"/>
  <c r="Q119" i="47" s="1"/>
  <c r="E119" i="39"/>
  <c r="Q119" i="39" s="1"/>
  <c r="E119" i="41"/>
  <c r="Q119" i="41" s="1"/>
  <c r="E118" i="37"/>
  <c r="Q118" i="37" s="1"/>
  <c r="E121" i="49"/>
  <c r="E120" i="41" l="1"/>
  <c r="Q120" i="41" s="1"/>
  <c r="E120" i="47"/>
  <c r="Q120" i="47" s="1"/>
  <c r="E120" i="43"/>
  <c r="Q120" i="43" s="1"/>
  <c r="E119" i="37"/>
  <c r="Q119" i="37" s="1"/>
  <c r="E120" i="39"/>
  <c r="Q120" i="39" s="1"/>
  <c r="E119" i="45"/>
  <c r="Q119" i="45" s="1"/>
  <c r="E122" i="49"/>
  <c r="Q122" i="49" s="1"/>
  <c r="E121" i="39" l="1"/>
  <c r="E121" i="43"/>
  <c r="E120" i="45"/>
  <c r="Q120" i="45" s="1"/>
  <c r="E120" i="37"/>
  <c r="Q120" i="37" s="1"/>
  <c r="E121" i="47"/>
  <c r="E121" i="41"/>
  <c r="E123" i="49"/>
  <c r="Q123" i="49" s="1"/>
  <c r="E122" i="47" l="1"/>
  <c r="Q122" i="47" s="1"/>
  <c r="E122" i="39"/>
  <c r="Q122" i="39" s="1"/>
  <c r="E122" i="41"/>
  <c r="Q122" i="41" s="1"/>
  <c r="E121" i="37"/>
  <c r="E122" i="43"/>
  <c r="Q122" i="43" s="1"/>
  <c r="E121" i="45"/>
  <c r="E124" i="49"/>
  <c r="Q124" i="49" s="1"/>
  <c r="E123" i="43" l="1"/>
  <c r="Q123" i="43" s="1"/>
  <c r="E122" i="45"/>
  <c r="Q122" i="45" s="1"/>
  <c r="E122" i="37"/>
  <c r="Q122" i="37" s="1"/>
  <c r="E123" i="39"/>
  <c r="Q123" i="39" s="1"/>
  <c r="E123" i="41"/>
  <c r="Q123" i="41" s="1"/>
  <c r="E123" i="47"/>
  <c r="Q123" i="47" s="1"/>
  <c r="E125" i="49"/>
  <c r="Q125" i="49" s="1"/>
  <c r="E124" i="47" l="1"/>
  <c r="Q124" i="47" s="1"/>
  <c r="E124" i="39"/>
  <c r="Q124" i="39" s="1"/>
  <c r="E123" i="45"/>
  <c r="Q123" i="45" s="1"/>
  <c r="E124" i="41"/>
  <c r="Q124" i="41" s="1"/>
  <c r="E123" i="37"/>
  <c r="Q123" i="37" s="1"/>
  <c r="E124" i="43"/>
  <c r="Q124" i="43" s="1"/>
  <c r="E126" i="49"/>
  <c r="Q126" i="49" s="1"/>
  <c r="E125" i="43" l="1"/>
  <c r="Q125" i="43" s="1"/>
  <c r="E125" i="41"/>
  <c r="Q125" i="41" s="1"/>
  <c r="E125" i="39"/>
  <c r="Q125" i="39" s="1"/>
  <c r="E124" i="37"/>
  <c r="Q124" i="37" s="1"/>
  <c r="E124" i="45"/>
  <c r="Q124" i="45" s="1"/>
  <c r="E125" i="47"/>
  <c r="Q125" i="47" s="1"/>
  <c r="E127" i="49"/>
  <c r="Q127" i="49" s="1"/>
  <c r="E125" i="45" l="1"/>
  <c r="Q125" i="45" s="1"/>
  <c r="E126" i="39"/>
  <c r="Q126" i="39" s="1"/>
  <c r="E126" i="47"/>
  <c r="Q126" i="47" s="1"/>
  <c r="E125" i="37"/>
  <c r="Q125" i="37" s="1"/>
  <c r="E126" i="41"/>
  <c r="Q126" i="41" s="1"/>
  <c r="E126" i="43"/>
  <c r="Q126" i="43" s="1"/>
  <c r="E128" i="49"/>
  <c r="Q128" i="49" s="1"/>
  <c r="E127" i="47" l="1"/>
  <c r="Q127" i="47" s="1"/>
  <c r="E127" i="43"/>
  <c r="Q127" i="43" s="1"/>
  <c r="E126" i="37"/>
  <c r="Q126" i="37" s="1"/>
  <c r="E127" i="39"/>
  <c r="Q127" i="39" s="1"/>
  <c r="E127" i="41"/>
  <c r="Q127" i="41" s="1"/>
  <c r="E126" i="45"/>
  <c r="Q126" i="45" s="1"/>
  <c r="E129" i="49"/>
  <c r="Q129" i="49" s="1"/>
  <c r="E127" i="45" l="1"/>
  <c r="Q127" i="45" s="1"/>
  <c r="E128" i="39"/>
  <c r="Q128" i="39" s="1"/>
  <c r="E128" i="43"/>
  <c r="Q128" i="43" s="1"/>
  <c r="E128" i="41"/>
  <c r="Q128" i="41" s="1"/>
  <c r="E127" i="37"/>
  <c r="Q127" i="37" s="1"/>
  <c r="E128" i="47"/>
  <c r="Q128" i="47" s="1"/>
  <c r="E130" i="49"/>
  <c r="Q130" i="49" s="1"/>
  <c r="E129" i="47" l="1"/>
  <c r="Q129" i="47" s="1"/>
  <c r="E129" i="41"/>
  <c r="Q129" i="41" s="1"/>
  <c r="E129" i="39"/>
  <c r="Q129" i="39" s="1"/>
  <c r="E128" i="37"/>
  <c r="Q128" i="37" s="1"/>
  <c r="E129" i="43"/>
  <c r="Q129" i="43" s="1"/>
  <c r="E128" i="45"/>
  <c r="Q128" i="45" s="1"/>
  <c r="E131" i="49"/>
  <c r="Q131" i="49" s="1"/>
  <c r="E129" i="37" l="1"/>
  <c r="Q129" i="37" s="1"/>
  <c r="E129" i="45"/>
  <c r="Q129" i="45" s="1"/>
  <c r="E130" i="41"/>
  <c r="Q130" i="41" s="1"/>
  <c r="E130" i="43"/>
  <c r="Q130" i="43" s="1"/>
  <c r="E130" i="39"/>
  <c r="Q130" i="39" s="1"/>
  <c r="E130" i="47"/>
  <c r="Q130" i="47" s="1"/>
  <c r="E132" i="49"/>
  <c r="Q132" i="49" s="1"/>
  <c r="E131" i="39" l="1"/>
  <c r="Q131" i="39" s="1"/>
  <c r="E131" i="47"/>
  <c r="Q131" i="47" s="1"/>
  <c r="E131" i="43"/>
  <c r="Q131" i="43" s="1"/>
  <c r="E130" i="45"/>
  <c r="Q130" i="45" s="1"/>
  <c r="E131" i="41"/>
  <c r="Q131" i="41" s="1"/>
  <c r="E130" i="37"/>
  <c r="Q130" i="37" s="1"/>
  <c r="E133" i="49"/>
  <c r="Q133" i="49" s="1"/>
  <c r="E131" i="45" l="1"/>
  <c r="Q131" i="45" s="1"/>
  <c r="E131" i="37"/>
  <c r="Q131" i="37" s="1"/>
  <c r="E132" i="47"/>
  <c r="Q132" i="47" s="1"/>
  <c r="E132" i="41"/>
  <c r="Q132" i="41" s="1"/>
  <c r="E132" i="43"/>
  <c r="Q132" i="43" s="1"/>
  <c r="E132" i="39"/>
  <c r="Q132" i="39" s="1"/>
  <c r="E134" i="49"/>
  <c r="Q134" i="49" s="1"/>
  <c r="E133" i="43" l="1"/>
  <c r="Q133" i="43" s="1"/>
  <c r="E133" i="39"/>
  <c r="Q133" i="39" s="1"/>
  <c r="E133" i="41"/>
  <c r="Q133" i="41" s="1"/>
  <c r="E132" i="37"/>
  <c r="Q132" i="37" s="1"/>
  <c r="E133" i="47"/>
  <c r="Q133" i="47" s="1"/>
  <c r="E132" i="45"/>
  <c r="Q132" i="45" s="1"/>
  <c r="E135" i="49"/>
  <c r="Q135" i="49" s="1"/>
  <c r="E133" i="37" l="1"/>
  <c r="Q133" i="37" s="1"/>
  <c r="E133" i="45"/>
  <c r="Q133" i="45" s="1"/>
  <c r="E134" i="39"/>
  <c r="Q134" i="39" s="1"/>
  <c r="E134" i="47"/>
  <c r="Q134" i="47" s="1"/>
  <c r="E134" i="41"/>
  <c r="Q134" i="41" s="1"/>
  <c r="E134" i="43"/>
  <c r="Q134" i="43" s="1"/>
  <c r="E136" i="49"/>
  <c r="Q136" i="49" s="1"/>
  <c r="E135" i="41" l="1"/>
  <c r="Q135" i="41" s="1"/>
  <c r="E135" i="39"/>
  <c r="Q135" i="39" s="1"/>
  <c r="E134" i="37"/>
  <c r="Q134" i="37" s="1"/>
  <c r="E135" i="43"/>
  <c r="Q135" i="43" s="1"/>
  <c r="E135" i="47"/>
  <c r="Q135" i="47" s="1"/>
  <c r="E134" i="45"/>
  <c r="Q134" i="45" s="1"/>
  <c r="E137" i="49"/>
  <c r="Q137" i="49" s="1"/>
  <c r="E135" i="37" l="1"/>
  <c r="Q135" i="37" s="1"/>
  <c r="E135" i="45"/>
  <c r="Q135" i="45" s="1"/>
  <c r="E136" i="43"/>
  <c r="Q136" i="43" s="1"/>
  <c r="E136" i="39"/>
  <c r="Q136" i="39" s="1"/>
  <c r="E136" i="47"/>
  <c r="Q136" i="47" s="1"/>
  <c r="E136" i="41"/>
  <c r="Q136" i="41" s="1"/>
  <c r="E138" i="49"/>
  <c r="Q138" i="49" s="1"/>
  <c r="E137" i="47" l="1"/>
  <c r="Q137" i="47" s="1"/>
  <c r="E137" i="43"/>
  <c r="Q137" i="43" s="1"/>
  <c r="E137" i="41"/>
  <c r="Q137" i="41" s="1"/>
  <c r="E137" i="39"/>
  <c r="Q137" i="39" s="1"/>
  <c r="E136" i="45"/>
  <c r="Q136" i="45" s="1"/>
  <c r="E136" i="37"/>
  <c r="Q136" i="37" s="1"/>
  <c r="E139" i="49"/>
  <c r="Q139" i="49" s="1"/>
  <c r="E137" i="37" l="1"/>
  <c r="Q137" i="37" s="1"/>
  <c r="E138" i="39"/>
  <c r="Q138" i="39" s="1"/>
  <c r="E138" i="43"/>
  <c r="Q138" i="43" s="1"/>
  <c r="E137" i="45"/>
  <c r="Q137" i="45" s="1"/>
  <c r="E138" i="41"/>
  <c r="Q138" i="41" s="1"/>
  <c r="E138" i="47"/>
  <c r="Q138" i="47" s="1"/>
  <c r="E140" i="49"/>
  <c r="Q140" i="49" s="1"/>
  <c r="E139" i="47" l="1"/>
  <c r="Q139" i="47" s="1"/>
  <c r="E138" i="45"/>
  <c r="Q138" i="45" s="1"/>
  <c r="E139" i="39"/>
  <c r="Q139" i="39" s="1"/>
  <c r="E139" i="41"/>
  <c r="Q139" i="41" s="1"/>
  <c r="E139" i="43"/>
  <c r="Q139" i="43" s="1"/>
  <c r="E138" i="37"/>
  <c r="Q138" i="37" s="1"/>
  <c r="E141" i="49"/>
  <c r="Q141" i="49" s="1"/>
  <c r="E140" i="41" l="1"/>
  <c r="Q140" i="41" s="1"/>
  <c r="E139" i="37"/>
  <c r="Q139" i="37" s="1"/>
  <c r="E139" i="45"/>
  <c r="Q139" i="45" s="1"/>
  <c r="E140" i="43"/>
  <c r="Q140" i="43" s="1"/>
  <c r="E140" i="39"/>
  <c r="Q140" i="39" s="1"/>
  <c r="E140" i="47"/>
  <c r="Q140" i="47" s="1"/>
  <c r="E142" i="49"/>
  <c r="Q142" i="49" s="1"/>
  <c r="E141" i="43" l="1"/>
  <c r="Q141" i="43" s="1"/>
  <c r="E141" i="47"/>
  <c r="Q141" i="47" s="1"/>
  <c r="E140" i="37"/>
  <c r="Q140" i="37" s="1"/>
  <c r="E141" i="39"/>
  <c r="Q141" i="39" s="1"/>
  <c r="E140" i="45"/>
  <c r="Q140" i="45" s="1"/>
  <c r="E141" i="41"/>
  <c r="Q141" i="41" s="1"/>
  <c r="E143" i="49"/>
  <c r="Q143" i="49" s="1"/>
  <c r="E141" i="45" l="1"/>
  <c r="Q141" i="45" s="1"/>
  <c r="E141" i="37"/>
  <c r="Q141" i="37" s="1"/>
  <c r="E142" i="41"/>
  <c r="Q142" i="41" s="1"/>
  <c r="E142" i="39"/>
  <c r="Q142" i="39" s="1"/>
  <c r="E142" i="47"/>
  <c r="Q142" i="47" s="1"/>
  <c r="E142" i="43"/>
  <c r="Q142" i="43" s="1"/>
  <c r="E144" i="49"/>
  <c r="Q144" i="49" s="1"/>
  <c r="E143" i="43" l="1"/>
  <c r="Q143" i="43" s="1"/>
  <c r="E143" i="39"/>
  <c r="Q143" i="39" s="1"/>
  <c r="E142" i="37"/>
  <c r="Q142" i="37" s="1"/>
  <c r="E143" i="47"/>
  <c r="Q143" i="47" s="1"/>
  <c r="E143" i="41"/>
  <c r="Q143" i="41" s="1"/>
  <c r="E142" i="45"/>
  <c r="Q142" i="45" s="1"/>
  <c r="E145" i="49"/>
  <c r="Q145" i="49" s="1"/>
  <c r="E144" i="47" l="1"/>
  <c r="Q144" i="47" s="1"/>
  <c r="E143" i="45"/>
  <c r="Q143" i="45" s="1"/>
  <c r="E144" i="39"/>
  <c r="Q144" i="39" s="1"/>
  <c r="E144" i="41"/>
  <c r="Q144" i="41" s="1"/>
  <c r="E143" i="37"/>
  <c r="Q143" i="37" s="1"/>
  <c r="E144" i="43"/>
  <c r="Q144" i="43" s="1"/>
  <c r="E146" i="49"/>
  <c r="Q146" i="49" s="1"/>
  <c r="E144" i="37" l="1"/>
  <c r="Q144" i="37" s="1"/>
  <c r="E145" i="43"/>
  <c r="Q145" i="43" s="1"/>
  <c r="E145" i="41"/>
  <c r="Q145" i="41" s="1"/>
  <c r="E144" i="45"/>
  <c r="Q144" i="45" s="1"/>
  <c r="E145" i="39"/>
  <c r="Q145" i="39" s="1"/>
  <c r="E145" i="47"/>
  <c r="Q145" i="47" s="1"/>
  <c r="E147" i="49"/>
  <c r="Q147" i="49" s="1"/>
  <c r="E146" i="39" l="1"/>
  <c r="Q146" i="39" s="1"/>
  <c r="E146" i="47"/>
  <c r="Q146" i="47" s="1"/>
  <c r="E145" i="45"/>
  <c r="Q145" i="45" s="1"/>
  <c r="E146" i="43"/>
  <c r="Q146" i="43" s="1"/>
  <c r="E146" i="41"/>
  <c r="Q146" i="41" s="1"/>
  <c r="E145" i="37"/>
  <c r="Q145" i="37" s="1"/>
  <c r="E148" i="49"/>
  <c r="Q148" i="49" s="1"/>
  <c r="E147" i="43" l="1"/>
  <c r="Q147" i="43" s="1"/>
  <c r="E146" i="37"/>
  <c r="Q146" i="37" s="1"/>
  <c r="E147" i="47"/>
  <c r="Q147" i="47" s="1"/>
  <c r="E147" i="41"/>
  <c r="Q147" i="41" s="1"/>
  <c r="E146" i="45"/>
  <c r="Q146" i="45" s="1"/>
  <c r="E147" i="39"/>
  <c r="Q147" i="39" s="1"/>
  <c r="E149" i="49"/>
  <c r="Q149" i="49" s="1"/>
  <c r="E147" i="45" l="1"/>
  <c r="Q147" i="45" s="1"/>
  <c r="E148" i="47"/>
  <c r="Q148" i="47" s="1"/>
  <c r="E148" i="39"/>
  <c r="Q148" i="39" s="1"/>
  <c r="E148" i="41"/>
  <c r="Q148" i="41" s="1"/>
  <c r="E147" i="37"/>
  <c r="Q147" i="37" s="1"/>
  <c r="E148" i="43"/>
  <c r="Q148" i="43" s="1"/>
  <c r="E150" i="49"/>
  <c r="Q150" i="49" s="1"/>
  <c r="E149" i="41" l="1"/>
  <c r="Q149" i="41" s="1"/>
  <c r="E149" i="43"/>
  <c r="Q149" i="43" s="1"/>
  <c r="E149" i="47"/>
  <c r="Q149" i="47" s="1"/>
  <c r="E148" i="37"/>
  <c r="Q148" i="37" s="1"/>
  <c r="E149" i="39"/>
  <c r="Q149" i="39" s="1"/>
  <c r="E148" i="45"/>
  <c r="Q148" i="45" s="1"/>
  <c r="E151" i="49"/>
  <c r="Q151" i="49" s="1"/>
  <c r="E150" i="43" l="1"/>
  <c r="Q150" i="43" s="1"/>
  <c r="E149" i="45"/>
  <c r="Q149" i="45" s="1"/>
  <c r="E149" i="37"/>
  <c r="Q149" i="37" s="1"/>
  <c r="E150" i="39"/>
  <c r="Q150" i="39" s="1"/>
  <c r="E150" i="47"/>
  <c r="Q150" i="47" s="1"/>
  <c r="E150" i="41"/>
  <c r="Q150" i="41" s="1"/>
  <c r="E151" i="41" l="1"/>
  <c r="Q151" i="41" s="1"/>
  <c r="E151" i="39"/>
  <c r="Q151" i="39" s="1"/>
  <c r="E150" i="45"/>
  <c r="Q150" i="45" s="1"/>
  <c r="E151" i="47"/>
  <c r="Q151" i="47" s="1"/>
  <c r="E150" i="37"/>
  <c r="Q150" i="37" s="1"/>
  <c r="E151" i="43"/>
  <c r="Q151" i="43" s="1"/>
  <c r="E152" i="49"/>
  <c r="Q152" i="49" s="1"/>
  <c r="E151" i="37" l="1"/>
  <c r="Q151" i="37" s="1"/>
  <c r="E151" i="45"/>
  <c r="Q151" i="45" s="1"/>
  <c r="E152" i="47" l="1"/>
  <c r="Q152" i="47" s="1"/>
  <c r="E152" i="41"/>
  <c r="Q152" i="41" s="1"/>
  <c r="E152" i="39"/>
  <c r="Q152" i="39" s="1"/>
  <c r="E152" i="43"/>
  <c r="Q152" i="43" s="1"/>
  <c r="E152" i="37" l="1"/>
  <c r="Q152" i="37" s="1"/>
  <c r="E152" i="45"/>
  <c r="Q152" i="45" s="1"/>
  <c r="F109" i="48"/>
  <c r="F118" i="48" s="1"/>
  <c r="F111" i="48" s="1"/>
  <c r="F109" i="50"/>
  <c r="F109" i="40"/>
  <c r="F118" i="40" s="1"/>
  <c r="F111" i="40" s="1"/>
  <c r="F109" i="38"/>
  <c r="F118" i="38" s="1"/>
  <c r="F111" i="38" s="1"/>
  <c r="F109" i="46"/>
  <c r="F118" i="46" s="1"/>
  <c r="F111" i="46" s="1"/>
  <c r="F109" i="44"/>
  <c r="F118" i="44" s="1"/>
  <c r="F111" i="44" s="1"/>
  <c r="F109" i="42"/>
  <c r="F118" i="42" s="1"/>
  <c r="F111" i="42" s="1"/>
  <c r="F118" i="50" l="1"/>
  <c r="F111" i="50" s="1"/>
  <c r="F112" i="50" s="1"/>
  <c r="F116" i="38"/>
  <c r="F112" i="38"/>
  <c r="F117" i="38"/>
  <c r="F115" i="38"/>
  <c r="F114" i="38"/>
  <c r="F113" i="38"/>
  <c r="F115" i="48"/>
  <c r="F116" i="48"/>
  <c r="F117" i="48"/>
  <c r="F113" i="48"/>
  <c r="F112" i="48"/>
  <c r="F114" i="48"/>
  <c r="F116" i="42"/>
  <c r="F114" i="42"/>
  <c r="F117" i="42"/>
  <c r="F112" i="42"/>
  <c r="F115" i="42"/>
  <c r="F113" i="42"/>
  <c r="F116" i="44"/>
  <c r="F112" i="44"/>
  <c r="F115" i="44"/>
  <c r="F114" i="44"/>
  <c r="F117" i="44"/>
  <c r="F113" i="44"/>
  <c r="F116" i="46"/>
  <c r="F112" i="46"/>
  <c r="F117" i="46"/>
  <c r="F113" i="46"/>
  <c r="F115" i="46"/>
  <c r="F114" i="46"/>
  <c r="F114" i="40"/>
  <c r="F115" i="40"/>
  <c r="F116" i="40"/>
  <c r="F117" i="40"/>
  <c r="F113" i="40"/>
  <c r="F112" i="40"/>
  <c r="F116" i="50" l="1"/>
  <c r="F117" i="50"/>
  <c r="F113" i="50"/>
  <c r="F115" i="50"/>
  <c r="F114" i="50"/>
</calcChain>
</file>

<file path=xl/sharedStrings.xml><?xml version="1.0" encoding="utf-8"?>
<sst xmlns="http://schemas.openxmlformats.org/spreadsheetml/2006/main" count="4465" uniqueCount="308">
  <si>
    <t>baguette dough</t>
  </si>
  <si>
    <t xml:space="preserve"> tradition baguette</t>
  </si>
  <si>
    <t>Flour</t>
  </si>
  <si>
    <t>water</t>
  </si>
  <si>
    <t>salt</t>
  </si>
  <si>
    <t>yeast</t>
  </si>
  <si>
    <t>improver</t>
  </si>
  <si>
    <t>country bread</t>
  </si>
  <si>
    <t>arabic bread</t>
  </si>
  <si>
    <t xml:space="preserve">flour </t>
  </si>
  <si>
    <t>flour</t>
  </si>
  <si>
    <t xml:space="preserve">water </t>
  </si>
  <si>
    <t>sugar</t>
  </si>
  <si>
    <t>croissant</t>
  </si>
  <si>
    <t>wholemeal sandwich</t>
  </si>
  <si>
    <t>croissant mix</t>
  </si>
  <si>
    <t>butter</t>
  </si>
  <si>
    <t>ciabatta</t>
  </si>
  <si>
    <t>rye bread</t>
  </si>
  <si>
    <t>rye flour</t>
  </si>
  <si>
    <t>arabic bread brown</t>
  </si>
  <si>
    <t>samoon dough</t>
  </si>
  <si>
    <t>Olives</t>
  </si>
  <si>
    <t>Désignation</t>
  </si>
  <si>
    <t>weight before baking</t>
  </si>
  <si>
    <t>Hard</t>
  </si>
  <si>
    <t>Médian</t>
  </si>
  <si>
    <t>Soft</t>
  </si>
  <si>
    <t>$37)</t>
  </si>
  <si>
    <t>FRENCH DEJEUNETTE X 5</t>
  </si>
  <si>
    <t>FRENCH DEJEUNETTE X 10</t>
  </si>
  <si>
    <t>SMALL BREAD X 5</t>
  </si>
  <si>
    <t>SMALL BREAD X 10</t>
  </si>
  <si>
    <t>MINI SPECIAL BREAD ASSORTED X 6</t>
  </si>
  <si>
    <t>MINI SPECIAL BREAD ASSORTED X 12</t>
  </si>
  <si>
    <t>FLAT BREAD SESAME</t>
  </si>
  <si>
    <t>GARLIC BREAD</t>
  </si>
  <si>
    <t>144)</t>
  </si>
  <si>
    <t>$61)</t>
  </si>
  <si>
    <t>172)</t>
  </si>
  <si>
    <t>$89)</t>
  </si>
  <si>
    <t>ARABIC BREAD LARGE X 6</t>
  </si>
  <si>
    <t>$87)</t>
  </si>
  <si>
    <t>BUNS CHEESE X 6</t>
  </si>
  <si>
    <t>136)</t>
  </si>
  <si>
    <t>BUNS ROUND X 6</t>
  </si>
  <si>
    <t>BUNS SESAME X 6</t>
  </si>
  <si>
    <t>PORTUGUESE BREAD X 5</t>
  </si>
  <si>
    <t>PORTUGUESE BREAD X 10</t>
  </si>
  <si>
    <t>SAMOON X 6</t>
  </si>
  <si>
    <t>SAMOON X 12</t>
  </si>
  <si>
    <t>PANDESAL X 5</t>
  </si>
  <si>
    <t>PANDESAL X 10</t>
  </si>
  <si>
    <t>152)</t>
  </si>
  <si>
    <t>133)</t>
  </si>
  <si>
    <t>CROISSANT BUTTER X 2</t>
  </si>
  <si>
    <t>224)</t>
  </si>
  <si>
    <t>CROISSANT BUTTER X 5</t>
  </si>
  <si>
    <t>CHOCOLATE BUNS X 2</t>
  </si>
  <si>
    <t>CHOCOLATE BUNS X 5</t>
  </si>
  <si>
    <t>CHEESE CROISSANT X 2</t>
  </si>
  <si>
    <t>CHEESE CROISSANT X 5</t>
  </si>
  <si>
    <t>ZAATAR CROISSANT X 2</t>
  </si>
  <si>
    <t>ZAATAR CROISSANT X 5</t>
  </si>
  <si>
    <t>ALMOND CROISSANT X 2</t>
  </si>
  <si>
    <t>ALMOND CROISSANT X 4</t>
  </si>
  <si>
    <t>CHOCOLATE ROLLS X 2</t>
  </si>
  <si>
    <t>CHOCOLATE ROLLS X 5</t>
  </si>
  <si>
    <t>RAISIN ROLL X 2</t>
  </si>
  <si>
    <t>RAISIN ROLL X 5</t>
  </si>
  <si>
    <t>CINNAMOON WALNUTS X2</t>
  </si>
  <si>
    <t>CINNAMOON WALNUTS X4</t>
  </si>
  <si>
    <t>CUSTARD PUFF PASTRY X 2</t>
  </si>
  <si>
    <t>CUSTARD PUFF PASTRY X 4</t>
  </si>
  <si>
    <t>BRIOCHETTES X 5</t>
  </si>
  <si>
    <t>SWISS ROLLS CHOCOLAT</t>
  </si>
  <si>
    <t>quantity of flour per mixer</t>
  </si>
  <si>
    <t>Monday</t>
  </si>
  <si>
    <t>weight</t>
  </si>
  <si>
    <t>PV</t>
  </si>
  <si>
    <t>price</t>
  </si>
  <si>
    <t>last month sales</t>
  </si>
  <si>
    <t xml:space="preserve">production </t>
  </si>
  <si>
    <t>turn over</t>
  </si>
  <si>
    <t>dough weight</t>
  </si>
  <si>
    <t>h</t>
  </si>
  <si>
    <t>Quantity to mix</t>
  </si>
  <si>
    <t>kg</t>
  </si>
  <si>
    <t>Quantity of flour</t>
  </si>
  <si>
    <t>quantity of mixing</t>
  </si>
  <si>
    <t>mixing</t>
  </si>
  <si>
    <t>Ingrédients</t>
  </si>
  <si>
    <t>l</t>
  </si>
  <si>
    <t>G</t>
  </si>
  <si>
    <t>g</t>
  </si>
  <si>
    <t xml:space="preserve"> multiseed</t>
  </si>
  <si>
    <t>Brioche au chocolat</t>
  </si>
  <si>
    <t>Viennoiserie</t>
  </si>
  <si>
    <t>number of trays</t>
  </si>
  <si>
    <t>Croissant plain x15</t>
  </si>
  <si>
    <t>Chocolat croissant x15</t>
  </si>
  <si>
    <t>Croissant cheese x15</t>
  </si>
  <si>
    <t xml:space="preserve"> </t>
  </si>
  <si>
    <t>1/2 BAGUETTE 125 G</t>
  </si>
  <si>
    <t>BAGUETTE UNSALTED</t>
  </si>
  <si>
    <t>FOUGASSE CHEESE 250GR</t>
  </si>
  <si>
    <t>FOUGASSE OLIVE 250GR</t>
  </si>
  <si>
    <t>FOUGASSE TOMATO &amp; CHEESE 250GR</t>
  </si>
  <si>
    <t>FOUGASSE ZAATAR 250GR</t>
  </si>
  <si>
    <t>FRENCH BAGUETTE 250GR</t>
  </si>
  <si>
    <t>FRENCH BAGUETTE SESAME 250GR</t>
  </si>
  <si>
    <t>FRENCH BREAD 400GR</t>
  </si>
  <si>
    <t>MINIGUETTE CHEESE 125GR</t>
  </si>
  <si>
    <t>SMALL BREAD PART BAKED X10</t>
  </si>
  <si>
    <t>SMALL BREAD PART BAKED X5</t>
  </si>
  <si>
    <t>BUNS ZAATAR X 6</t>
  </si>
  <si>
    <t>FRENCH VIENNESE BAGUETTE</t>
  </si>
  <si>
    <t>FRENCH VIENNESE DEJEUNETTE X 5</t>
  </si>
  <si>
    <t>MINI ROLL X 12</t>
  </si>
  <si>
    <t>SAMOON SESAME X6</t>
  </si>
  <si>
    <t>SOFT ROLL X15</t>
  </si>
  <si>
    <t>5 CEREAL BREAD</t>
  </si>
  <si>
    <t>BAGUETTE TRADITION</t>
  </si>
  <si>
    <t>PAVE BREAD</t>
  </si>
  <si>
    <t>TRADITIONAL SMALL FRENCH BREA ASSTD</t>
  </si>
  <si>
    <t>COUNTRY BAGUETTE 250GR</t>
  </si>
  <si>
    <t>COUNTRY BREAD OLIVES 400GR</t>
  </si>
  <si>
    <t>COUNTRY BREAD PER KG</t>
  </si>
  <si>
    <t>COUNTRY BREAD WALNUT 400GR</t>
  </si>
  <si>
    <t>COUNTRY DEJEUNETTE</t>
  </si>
  <si>
    <t>RAISIN COUNTRY BREAD 400GR</t>
  </si>
  <si>
    <t>SANDWICH BREAD BREAKFAST 400GR</t>
  </si>
  <si>
    <t>RYE BREAD 400GR</t>
  </si>
  <si>
    <t>pain rustique</t>
  </si>
  <si>
    <t>BUNS WHOLEMEAL X 6</t>
  </si>
  <si>
    <t>SAMOON WHOLEMEAL X6</t>
  </si>
  <si>
    <t>MULTISEEDS BREAD 400GR</t>
  </si>
  <si>
    <t>SPECIAL BAGUETTE 250GR</t>
  </si>
  <si>
    <t>ARABIC BREAD 1 LOAF</t>
  </si>
  <si>
    <t>ARABIC BREAD 700G</t>
  </si>
  <si>
    <t>ARABIC BREAD COCKTAIL X 10</t>
  </si>
  <si>
    <t>ARABIC BREAD MEDIUM X 4</t>
  </si>
  <si>
    <t>MINI MANAKISH</t>
  </si>
  <si>
    <t>MANAKISH CHEESE /PC</t>
  </si>
  <si>
    <t>MANAKISH CHEESE AND ZAATAR</t>
  </si>
  <si>
    <t>MANAKISH LABNEH</t>
  </si>
  <si>
    <t>MANAKISH SPICY</t>
  </si>
  <si>
    <t>MANAKISH ZAATAR /PC</t>
  </si>
  <si>
    <t>ARABIC BREAD WHOLEMEAL LARGE X 6</t>
  </si>
  <si>
    <t>ARABIC BREAD WHOLEMEAL MEDIUM X 6</t>
  </si>
  <si>
    <t>NORDLANDER BIG</t>
  </si>
  <si>
    <t>nordlander</t>
  </si>
  <si>
    <t>Nordlander</t>
  </si>
  <si>
    <t>CRISPY ROLL  PC</t>
  </si>
  <si>
    <t>CRISPY ROLL x6</t>
  </si>
  <si>
    <t>CRISPY ROLL X10</t>
  </si>
  <si>
    <t>crispy roll</t>
  </si>
  <si>
    <t>CIABATTA BREAD X6</t>
  </si>
  <si>
    <t>PAV BUN X6</t>
  </si>
  <si>
    <t>brioche</t>
  </si>
  <si>
    <t>milk bread</t>
  </si>
  <si>
    <t>CHEESE PLATE</t>
  </si>
  <si>
    <t>FRUIT BUN X2</t>
  </si>
  <si>
    <t>WURZOL BROT 350GR</t>
  </si>
  <si>
    <t>wurzel brot</t>
  </si>
  <si>
    <t>ALOO ROTI</t>
  </si>
  <si>
    <t>CHEESE ROTI</t>
  </si>
  <si>
    <t>IRANIAN BREAD</t>
  </si>
  <si>
    <t>ZATHER ROTI</t>
  </si>
  <si>
    <t>Iranian bread</t>
  </si>
  <si>
    <t>wurzel brot flour</t>
  </si>
  <si>
    <t>BRIOCHE 400GR</t>
  </si>
  <si>
    <t>BRIOCHE CHOCOLATE 400GR</t>
  </si>
  <si>
    <t>BRIOCHE PER KILO</t>
  </si>
  <si>
    <t>BRIOCHETTE CHOCOX5</t>
  </si>
  <si>
    <t>Brioche</t>
  </si>
  <si>
    <t>egg</t>
  </si>
  <si>
    <t>lemon juice</t>
  </si>
  <si>
    <t>BRAN BREAD 400GR</t>
  </si>
  <si>
    <t>PAIN AU LAIT X 4</t>
  </si>
  <si>
    <t>pain au lait</t>
  </si>
  <si>
    <t>Qt</t>
  </si>
  <si>
    <t>CROISSANT BUTTER X 8</t>
  </si>
  <si>
    <t>sales last year</t>
  </si>
  <si>
    <t>CHOCOLATE CROISSANT X 8</t>
  </si>
  <si>
    <t>CROISSANT CHEESE X 8</t>
  </si>
  <si>
    <t>CROISSANT ZAATAR X 8</t>
  </si>
  <si>
    <t>MINI CROISSANT ALMOND X10</t>
  </si>
  <si>
    <t>MINI CROISSANT CHEESE X10</t>
  </si>
  <si>
    <t>MINI CROISSANT PLAIN X10</t>
  </si>
  <si>
    <t>MINI CROISSANT CHOCOLATE X10</t>
  </si>
  <si>
    <t>CROISSANT X4 + CHOCO CROISSANT X4</t>
  </si>
  <si>
    <t>BUTTER + CHOCOLATE CROISSANT</t>
  </si>
  <si>
    <t>CHOCOLATE TWIST X 2</t>
  </si>
  <si>
    <t>CHOCOLATE TWIST X 5</t>
  </si>
  <si>
    <t>pain rusitque</t>
  </si>
  <si>
    <t>olive oil</t>
  </si>
  <si>
    <t>Krustica</t>
  </si>
  <si>
    <t>OR</t>
  </si>
  <si>
    <t>country dough</t>
  </si>
  <si>
    <t>mix seeds</t>
  </si>
  <si>
    <t>pumpkin seeds</t>
  </si>
  <si>
    <t>MULTISEED .</t>
  </si>
  <si>
    <t xml:space="preserve"> MULTISEED .</t>
  </si>
  <si>
    <t>wheat flour</t>
  </si>
  <si>
    <t>shortening</t>
  </si>
  <si>
    <t>khubs flour</t>
  </si>
  <si>
    <t>whole meal flour</t>
  </si>
  <si>
    <t xml:space="preserve">bran </t>
  </si>
  <si>
    <t>zaatar croissant x15</t>
  </si>
  <si>
    <t>mini Croissant plain x30</t>
  </si>
  <si>
    <t>wholemeal breads</t>
  </si>
  <si>
    <t>mini Chocolat croissant x30</t>
  </si>
  <si>
    <t>mini Croissant cheese x30</t>
  </si>
  <si>
    <t>Mini almond viennoiseriex30</t>
  </si>
  <si>
    <t>Chausson aux pommesx12</t>
  </si>
  <si>
    <t>swiss roll chocolat pc</t>
  </si>
  <si>
    <t>swiss roll sugar pc</t>
  </si>
  <si>
    <t>swiss roll fruit pc</t>
  </si>
  <si>
    <t>cinnamoon and walnuts x12</t>
  </si>
  <si>
    <t>chocolate twist*15</t>
  </si>
  <si>
    <t>almond croissantx15</t>
  </si>
  <si>
    <t>raisin rollx12</t>
  </si>
  <si>
    <t>brioche chocolate</t>
  </si>
  <si>
    <t>brioche dough</t>
  </si>
  <si>
    <t xml:space="preserve">Chocolat chips </t>
  </si>
  <si>
    <t>country walnut</t>
  </si>
  <si>
    <t>country raisins</t>
  </si>
  <si>
    <t>country olives</t>
  </si>
  <si>
    <t>country breakfast</t>
  </si>
  <si>
    <t>raisins</t>
  </si>
  <si>
    <t>walnut</t>
  </si>
  <si>
    <t>5 cereales bread</t>
  </si>
  <si>
    <t>pcs</t>
  </si>
  <si>
    <t>tradition baguette dough</t>
  </si>
  <si>
    <t>pc</t>
  </si>
  <si>
    <t>wallnut</t>
  </si>
  <si>
    <t>fresh milk</t>
  </si>
  <si>
    <t>eggs</t>
  </si>
  <si>
    <t>Wednesday</t>
  </si>
  <si>
    <t>Thursday</t>
  </si>
  <si>
    <t>Friday</t>
  </si>
  <si>
    <t>Tuesday</t>
  </si>
  <si>
    <t>opening</t>
  </si>
  <si>
    <t>SUNDAY</t>
  </si>
  <si>
    <t>SATURDAY</t>
  </si>
  <si>
    <t>local flour</t>
  </si>
  <si>
    <t>milk bread flour mix 50%</t>
  </si>
  <si>
    <t>hi fiber flour mix 50%</t>
  </si>
  <si>
    <t>white SW sliced bread</t>
  </si>
  <si>
    <t>White SW  bread</t>
  </si>
  <si>
    <t>blue blend flour mix 50%</t>
  </si>
  <si>
    <t>Krustika</t>
  </si>
  <si>
    <t>DEJEUNETTE PART BAKED X10</t>
  </si>
  <si>
    <t>DEJEUNETTE PART BAKED X5</t>
  </si>
  <si>
    <t>BAGUETTE SESAME 250GR</t>
  </si>
  <si>
    <t>DEJEUNETTE X10</t>
  </si>
  <si>
    <t>DEJEUNETTE X5</t>
  </si>
  <si>
    <t>GARLIC BREAD pc</t>
  </si>
  <si>
    <t>COUNTRY bread 400GR</t>
  </si>
  <si>
    <t>COUNTRY bread 800GR</t>
  </si>
  <si>
    <t>CHOCOLATE CROISSANT X 2</t>
  </si>
  <si>
    <t>CHOCOLATE CROISSANT X 5</t>
  </si>
  <si>
    <t>FARM HOUSE 400G</t>
  </si>
  <si>
    <t>FARM HOUSE 700G</t>
  </si>
  <si>
    <t>farm house white</t>
  </si>
  <si>
    <t>white SW flour mix 5%</t>
  </si>
  <si>
    <t>WHITE BREAD 700G</t>
  </si>
  <si>
    <t xml:space="preserve">WHOLE MEAL BREAD 700G     </t>
  </si>
  <si>
    <t>WHOLE MEAL FARM HOUSE 400G</t>
  </si>
  <si>
    <t>WHOLE MEAL FARM HOUSE 700G</t>
  </si>
  <si>
    <t>NORD LANDER 450G</t>
  </si>
  <si>
    <t>MILK BREAD 650G</t>
  </si>
  <si>
    <t>MULTI-SEED BREAD 400G</t>
  </si>
  <si>
    <t>Baking ready for:</t>
  </si>
  <si>
    <t>12pm</t>
  </si>
  <si>
    <t>9pm</t>
  </si>
  <si>
    <t>BRIOCHETTE CHOCOX15</t>
  </si>
  <si>
    <t>BRIOCHETTES X 15</t>
  </si>
  <si>
    <t>Manakish</t>
  </si>
  <si>
    <t>oil</t>
  </si>
  <si>
    <t>manakish</t>
  </si>
  <si>
    <t>bran</t>
  </si>
  <si>
    <t>fresh yeast</t>
  </si>
  <si>
    <t>Wholemeal bread mix 50%</t>
  </si>
  <si>
    <t>wholemeal bun/samoon</t>
  </si>
  <si>
    <t>COUNTRY BREAD 400GR</t>
  </si>
  <si>
    <t>COUNTRY BREAD 800GR</t>
  </si>
  <si>
    <t>COUNTRY BREAD OLIVE 400GR</t>
  </si>
  <si>
    <t>SW BREAD BREAKFAST 400GR</t>
  </si>
  <si>
    <t>VIENNESE DEJEUNETTE X 5</t>
  </si>
  <si>
    <t>W/MEAL FARM HOUSE 400G</t>
  </si>
  <si>
    <t>W/MEAL FARM HOUSE 700G</t>
  </si>
  <si>
    <t>ARABIC BREAD COCKTAIL X10</t>
  </si>
  <si>
    <t>ARABIC BREAD W/MEAL LARGE X6</t>
  </si>
  <si>
    <t>ARABIC BREAD W/MEAL MEDIUM X6</t>
  </si>
  <si>
    <t>MINI CROISSANT CHOCO X10</t>
  </si>
  <si>
    <t>CROISSANT X4 + CHOCO X4</t>
  </si>
  <si>
    <t>BUTTER + CHOCO CROISSANT</t>
  </si>
  <si>
    <t>MANAKISH CHEESE/ZAATAR</t>
  </si>
  <si>
    <t>TRADITIONAL SMALL BREAD ASSTD</t>
  </si>
  <si>
    <t>MINI SPECIAL BREAD X 12</t>
  </si>
  <si>
    <t>MINI SPECIAL BREAD X 6</t>
  </si>
  <si>
    <t>PART BAKED DEJEUNETTE X10</t>
  </si>
  <si>
    <t>PART BAKED DEJEUNETTE X5</t>
  </si>
  <si>
    <t>FOUGASSE TOMATO&amp;CHEESE 250GR</t>
  </si>
  <si>
    <t>4pm</t>
  </si>
  <si>
    <t>8pm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</si>
</sst>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#,##0.00\ &quot;€&quot;"/>
    <numFmt numFmtId="165" formatCode="0.0%"/>
    <numFmt numFmtId="166" formatCode="_-* #,##0.00\ _F_-;\-* #,##0.00\ _F_-;_-* &quot;-&quot;??\ _F_-;_-@_-"/>
    <numFmt numFmtId="167" formatCode="_-* #,##0\ _F_-;\-* #,##0\ _F_-;_-* &quot;-&quot;??\ _F_-;_-@_-"/>
    <numFmt numFmtId="168" formatCode="0.000"/>
    <numFmt numFmtId="169" formatCode="0.0"/>
    <numFmt numFmtId="170" formatCode="#,##0.0"/>
    <numFmt numFmtId="171" formatCode="_-* #,##0\ _B_F_-;\-* #,##0\ _B_F_-;_-* &quot;-&quot;\ _B_F_-;_-@_-"/>
    <numFmt numFmtId="172" formatCode="#,##0.000"/>
  </numFmts>
  <fonts count="41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sz val="8"/>
      <name val="Comic Sans MS"/>
      <family val="4"/>
    </font>
    <font>
      <b/>
      <sz val="10"/>
      <name val="Comic Sans MS"/>
      <family val="4"/>
    </font>
    <font>
      <b/>
      <sz val="8"/>
      <name val="Comic Sans MS"/>
      <family val="4"/>
    </font>
    <font>
      <sz val="10"/>
      <name val="Comic Sans MS"/>
      <family val="4"/>
    </font>
    <font>
      <b/>
      <sz val="10"/>
      <color indexed="9"/>
      <name val="Comic Sans MS"/>
      <family val="4"/>
    </font>
    <font>
      <b/>
      <sz val="8"/>
      <name val="Arial"/>
      <family val="2"/>
    </font>
    <font>
      <sz val="8"/>
      <color indexed="10"/>
      <name val="Comic Sans MS"/>
      <family val="4"/>
    </font>
    <font>
      <b/>
      <sz val="12"/>
      <color indexed="9"/>
      <name val="Comic Sans MS"/>
      <family val="4"/>
    </font>
    <font>
      <sz val="12"/>
      <name val="Comic Sans MS"/>
      <family val="4"/>
    </font>
    <font>
      <b/>
      <sz val="12"/>
      <name val="Comic Sans MS"/>
      <family val="4"/>
    </font>
    <font>
      <b/>
      <sz val="11"/>
      <name val="Arial"/>
      <family val="2"/>
    </font>
    <font>
      <sz val="10"/>
      <color rgb="FFFF0000"/>
      <name val="Comic Sans MS"/>
      <family val="4"/>
    </font>
    <font>
      <sz val="8"/>
      <color rgb="FFFF0000"/>
      <name val="Comic Sans MS"/>
      <family val="4"/>
    </font>
    <font>
      <b/>
      <u/>
      <sz val="12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20"/>
      <name val="Arial"/>
      <family val="2"/>
    </font>
    <font>
      <sz val="12"/>
      <name val="Arial"/>
      <family val="2"/>
    </font>
    <font>
      <sz val="8"/>
      <color theme="1"/>
      <name val="Arial"/>
      <family val="2"/>
    </font>
    <font>
      <sz val="14"/>
      <name val="Arial"/>
      <family val="2"/>
    </font>
    <font>
      <b/>
      <sz val="12"/>
      <color theme="0"/>
      <name val="Arial"/>
      <family val="2"/>
    </font>
    <font>
      <sz val="14"/>
      <color theme="0"/>
      <name val="Arial"/>
      <family val="2"/>
    </font>
    <font>
      <b/>
      <sz val="9"/>
      <color theme="1"/>
      <name val="Arial"/>
      <family val="2"/>
    </font>
    <font>
      <b/>
      <i/>
      <sz val="9"/>
      <color theme="1"/>
      <name val="Arial"/>
      <family val="2"/>
    </font>
    <font>
      <sz val="10"/>
      <color theme="1"/>
      <name val="Comic Sans MS"/>
      <family val="4"/>
    </font>
    <font>
      <sz val="10"/>
      <color theme="0"/>
      <name val="Arial"/>
      <family val="2"/>
    </font>
    <font>
      <b/>
      <sz val="14"/>
      <name val="Comic Sans MS"/>
      <family val="4"/>
    </font>
    <font>
      <b/>
      <sz val="8"/>
      <color theme="1"/>
      <name val="Verdana"/>
      <family val="2"/>
    </font>
    <font>
      <b/>
      <sz val="12"/>
      <color theme="1"/>
      <name val="Verdana"/>
      <family val="2"/>
    </font>
    <font>
      <b/>
      <sz val="14"/>
      <name val="Verdana"/>
      <family val="2"/>
    </font>
    <font>
      <b/>
      <sz val="14"/>
      <color theme="1"/>
      <name val="Verdana"/>
      <family val="2"/>
    </font>
    <font>
      <b/>
      <i/>
      <sz val="14"/>
      <color theme="1"/>
      <name val="Verdana"/>
      <family val="2"/>
    </font>
    <font>
      <b/>
      <sz val="18"/>
      <name val="Verdana"/>
      <family val="2"/>
    </font>
    <font>
      <sz val="14"/>
      <name val="Verdana"/>
      <family val="2"/>
    </font>
    <font>
      <sz val="28"/>
      <name val="Arial"/>
      <family val="2"/>
    </font>
    <font>
      <sz val="8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6"/>
        <bgColor theme="0"/>
      </patternFill>
    </fill>
    <fill>
      <patternFill patternType="gray0625">
        <fgColor indexed="26"/>
        <bgColor indexed="9"/>
      </patternFill>
    </fill>
    <fill>
      <patternFill patternType="solid">
        <fgColor indexed="1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B0F0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ashed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medium">
        <color theme="2" tint="-0.499984740745262"/>
      </left>
      <right style="thin">
        <color theme="2" tint="-0.499984740745262"/>
      </right>
      <top style="medium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medium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medium">
        <color theme="2" tint="-0.499984740745262"/>
      </right>
      <top style="medium">
        <color theme="2" tint="-0.499984740745262"/>
      </top>
      <bottom style="thin">
        <color theme="2" tint="-0.499984740745262"/>
      </bottom>
      <diagonal/>
    </border>
    <border>
      <left style="medium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medium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4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71" fontId="22" fillId="0" borderId="0" applyFont="0" applyFill="0" applyBorder="0" applyAlignment="0" applyProtection="0"/>
  </cellStyleXfs>
  <cellXfs count="424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2" fillId="2" borderId="3" xfId="0" applyFont="1" applyFill="1" applyBorder="1" applyAlignment="1" applyProtection="1">
      <alignment horizontal="center"/>
      <protection locked="0"/>
    </xf>
    <xf numFmtId="0" fontId="2" fillId="0" borderId="5" xfId="0" applyFont="1" applyBorder="1"/>
    <xf numFmtId="0" fontId="2" fillId="4" borderId="5" xfId="0" applyFont="1" applyFill="1" applyBorder="1" applyAlignment="1" applyProtection="1">
      <alignment horizontal="center"/>
      <protection locked="0"/>
    </xf>
    <xf numFmtId="0" fontId="2" fillId="2" borderId="5" xfId="0" applyFont="1" applyFill="1" applyBorder="1" applyAlignment="1" applyProtection="1">
      <alignment horizontal="center"/>
      <protection locked="0"/>
    </xf>
    <xf numFmtId="0" fontId="2" fillId="0" borderId="7" xfId="0" applyFont="1" applyBorder="1"/>
    <xf numFmtId="0" fontId="2" fillId="0" borderId="8" xfId="0" applyFont="1" applyBorder="1"/>
    <xf numFmtId="0" fontId="2" fillId="6" borderId="5" xfId="0" applyFont="1" applyFill="1" applyBorder="1" applyAlignment="1" applyProtection="1">
      <alignment horizontal="center"/>
      <protection locked="0"/>
    </xf>
    <xf numFmtId="0" fontId="2" fillId="6" borderId="5" xfId="0" applyFont="1" applyFill="1" applyBorder="1"/>
    <xf numFmtId="0" fontId="2" fillId="6" borderId="3" xfId="0" applyFont="1" applyFill="1" applyBorder="1"/>
    <xf numFmtId="0" fontId="2" fillId="0" borderId="10" xfId="0" applyFont="1" applyBorder="1"/>
    <xf numFmtId="0" fontId="2" fillId="0" borderId="11" xfId="0" applyFont="1" applyBorder="1"/>
    <xf numFmtId="0" fontId="2" fillId="2" borderId="11" xfId="0" applyFont="1" applyFill="1" applyBorder="1" applyAlignment="1" applyProtection="1">
      <alignment horizontal="center"/>
      <protection locked="0"/>
    </xf>
    <xf numFmtId="0" fontId="2" fillId="0" borderId="0" xfId="0" applyFont="1" applyFill="1" applyBorder="1"/>
    <xf numFmtId="0" fontId="2" fillId="0" borderId="12" xfId="0" applyFont="1" applyBorder="1"/>
    <xf numFmtId="0" fontId="5" fillId="6" borderId="0" xfId="0" applyFont="1" applyFill="1" applyAlignment="1">
      <alignment vertical="center"/>
    </xf>
    <xf numFmtId="0" fontId="5" fillId="0" borderId="0" xfId="0" applyFont="1" applyFill="1" applyAlignment="1">
      <alignment horizontal="center" vertical="center"/>
    </xf>
    <xf numFmtId="167" fontId="5" fillId="0" borderId="0" xfId="1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8" borderId="0" xfId="0" applyFont="1" applyFill="1" applyAlignment="1">
      <alignment vertical="center"/>
    </xf>
    <xf numFmtId="0" fontId="5" fillId="0" borderId="0" xfId="0" applyFont="1" applyAlignment="1">
      <alignment horizontal="center" vertical="center"/>
    </xf>
    <xf numFmtId="167" fontId="8" fillId="0" borderId="0" xfId="1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167" fontId="6" fillId="0" borderId="0" xfId="1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8" borderId="0" xfId="0" applyFont="1" applyFill="1" applyBorder="1" applyAlignment="1">
      <alignment vertical="center"/>
    </xf>
    <xf numFmtId="167" fontId="5" fillId="0" borderId="0" xfId="1" applyNumberFormat="1" applyFont="1" applyBorder="1" applyAlignment="1">
      <alignment horizontal="center" vertical="center"/>
    </xf>
    <xf numFmtId="166" fontId="5" fillId="0" borderId="0" xfId="1" applyNumberFormat="1" applyFont="1" applyFill="1" applyBorder="1" applyAlignment="1">
      <alignment horizontal="center" vertical="center"/>
    </xf>
    <xf numFmtId="2" fontId="7" fillId="2" borderId="18" xfId="1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>
      <alignment horizontal="center" vertical="center"/>
    </xf>
    <xf numFmtId="167" fontId="7" fillId="0" borderId="0" xfId="1" applyNumberFormat="1" applyFont="1" applyFill="1" applyBorder="1" applyAlignment="1">
      <alignment horizontal="center" vertical="center"/>
    </xf>
    <xf numFmtId="167" fontId="5" fillId="0" borderId="0" xfId="1" applyNumberFormat="1" applyFont="1" applyFill="1" applyBorder="1" applyAlignment="1">
      <alignment horizontal="center" vertical="center" wrapText="1"/>
    </xf>
    <xf numFmtId="0" fontId="5" fillId="0" borderId="0" xfId="0" applyFont="1" applyFill="1" applyAlignment="1">
      <alignment vertical="center"/>
    </xf>
    <xf numFmtId="167" fontId="5" fillId="0" borderId="0" xfId="1" applyNumberFormat="1" applyFont="1" applyFill="1" applyBorder="1" applyAlignment="1">
      <alignment horizontal="center" vertical="center"/>
    </xf>
    <xf numFmtId="167" fontId="5" fillId="0" borderId="0" xfId="1" applyNumberFormat="1" applyFont="1" applyBorder="1" applyAlignment="1">
      <alignment horizontal="right" vertical="center"/>
    </xf>
    <xf numFmtId="166" fontId="11" fillId="0" borderId="0" xfId="1" applyNumberFormat="1" applyFont="1" applyFill="1" applyBorder="1" applyAlignment="1">
      <alignment horizontal="center" vertical="center"/>
    </xf>
    <xf numFmtId="0" fontId="12" fillId="5" borderId="0" xfId="0" applyFont="1" applyFill="1" applyAlignment="1" applyProtection="1">
      <alignment horizontal="center" vertical="center"/>
      <protection locked="0"/>
    </xf>
    <xf numFmtId="0" fontId="0" fillId="0" borderId="0" xfId="0" applyBorder="1" applyAlignment="1">
      <alignment vertical="center" wrapText="1"/>
    </xf>
    <xf numFmtId="0" fontId="8" fillId="2" borderId="1" xfId="0" applyFont="1" applyFill="1" applyBorder="1" applyAlignment="1" applyProtection="1">
      <alignment horizontal="center" vertical="center"/>
      <protection locked="0"/>
    </xf>
    <xf numFmtId="2" fontId="8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 applyProtection="1">
      <alignment horizontal="center" vertical="center"/>
      <protection locked="0"/>
    </xf>
    <xf numFmtId="2" fontId="8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Fill="1" applyAlignment="1">
      <alignment vertical="center"/>
    </xf>
    <xf numFmtId="0" fontId="17" fillId="0" borderId="0" xfId="0" applyFont="1" applyAlignment="1">
      <alignment vertical="center"/>
    </xf>
    <xf numFmtId="1" fontId="17" fillId="0" borderId="0" xfId="0" applyNumberFormat="1" applyFont="1" applyAlignment="1">
      <alignment vertical="center"/>
    </xf>
    <xf numFmtId="0" fontId="18" fillId="0" borderId="0" xfId="0" applyFont="1" applyAlignment="1">
      <alignment horizontal="center"/>
    </xf>
    <xf numFmtId="16" fontId="18" fillId="0" borderId="0" xfId="0" applyNumberFormat="1" applyFont="1" applyAlignment="1">
      <alignment horizontal="center"/>
    </xf>
    <xf numFmtId="1" fontId="4" fillId="18" borderId="0" xfId="0" applyNumberFormat="1" applyFont="1" applyFill="1"/>
    <xf numFmtId="0" fontId="4" fillId="18" borderId="0" xfId="0" applyFont="1" applyFill="1" applyBorder="1" applyAlignment="1">
      <alignment horizontal="left"/>
    </xf>
    <xf numFmtId="0" fontId="15" fillId="0" borderId="0" xfId="0" applyFont="1" applyFill="1" applyBorder="1" applyAlignment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Border="1" applyAlignment="1"/>
    <xf numFmtId="0" fontId="15" fillId="0" borderId="0" xfId="0" applyFont="1"/>
    <xf numFmtId="1" fontId="19" fillId="0" borderId="0" xfId="0" applyNumberFormat="1" applyFont="1" applyAlignment="1">
      <alignment horizontal="right"/>
    </xf>
    <xf numFmtId="0" fontId="19" fillId="0" borderId="0" xfId="0" applyFont="1" applyAlignment="1">
      <alignment horizontal="right"/>
    </xf>
    <xf numFmtId="0" fontId="20" fillId="0" borderId="0" xfId="0" applyFont="1" applyAlignment="1">
      <alignment horizontal="left"/>
    </xf>
    <xf numFmtId="0" fontId="2" fillId="0" borderId="32" xfId="0" applyFont="1" applyBorder="1"/>
    <xf numFmtId="0" fontId="2" fillId="0" borderId="0" xfId="0" applyFont="1" applyBorder="1"/>
    <xf numFmtId="2" fontId="4" fillId="18" borderId="0" xfId="0" applyNumberFormat="1" applyFont="1" applyFill="1"/>
    <xf numFmtId="0" fontId="2" fillId="6" borderId="8" xfId="0" applyFont="1" applyFill="1" applyBorder="1"/>
    <xf numFmtId="169" fontId="4" fillId="18" borderId="0" xfId="0" applyNumberFormat="1" applyFont="1" applyFill="1" applyAlignment="1">
      <alignment horizontal="right"/>
    </xf>
    <xf numFmtId="0" fontId="4" fillId="18" borderId="0" xfId="0" applyFont="1" applyFill="1" applyAlignment="1">
      <alignment horizontal="right"/>
    </xf>
    <xf numFmtId="2" fontId="4" fillId="18" borderId="0" xfId="0" applyNumberFormat="1" applyFont="1" applyFill="1" applyAlignment="1">
      <alignment horizontal="right"/>
    </xf>
    <xf numFmtId="2" fontId="1" fillId="0" borderId="7" xfId="0" applyNumberFormat="1" applyFont="1" applyBorder="1" applyAlignment="1">
      <alignment horizontal="right"/>
    </xf>
    <xf numFmtId="2" fontId="1" fillId="0" borderId="7" xfId="0" applyNumberFormat="1" applyFont="1" applyBorder="1" applyAlignment="1">
      <alignment horizontal="left"/>
    </xf>
    <xf numFmtId="2" fontId="1" fillId="0" borderId="33" xfId="0" applyNumberFormat="1" applyFont="1" applyBorder="1" applyAlignment="1">
      <alignment horizontal="left"/>
    </xf>
    <xf numFmtId="1" fontId="1" fillId="0" borderId="7" xfId="0" applyNumberFormat="1" applyFont="1" applyBorder="1" applyAlignment="1">
      <alignment horizontal="right"/>
    </xf>
    <xf numFmtId="0" fontId="4" fillId="0" borderId="0" xfId="0" applyFont="1" applyFill="1" applyAlignment="1">
      <alignment horizontal="center" vertical="center"/>
    </xf>
    <xf numFmtId="0" fontId="2" fillId="0" borderId="0" xfId="0" applyFont="1" applyFill="1"/>
    <xf numFmtId="0" fontId="21" fillId="0" borderId="0" xfId="0" applyFont="1" applyAlignment="1">
      <alignment horizontal="right"/>
    </xf>
    <xf numFmtId="0" fontId="21" fillId="0" borderId="0" xfId="0" applyFont="1" applyFill="1" applyAlignment="1">
      <alignment horizontal="left"/>
    </xf>
    <xf numFmtId="0" fontId="21" fillId="0" borderId="0" xfId="0" applyFont="1" applyFill="1"/>
    <xf numFmtId="0" fontId="21" fillId="0" borderId="0" xfId="0" applyFont="1"/>
    <xf numFmtId="0" fontId="21" fillId="0" borderId="0" xfId="0" applyFont="1" applyAlignment="1">
      <alignment horizontal="left"/>
    </xf>
    <xf numFmtId="0" fontId="2" fillId="0" borderId="0" xfId="0" applyFont="1" applyFill="1" applyBorder="1" applyAlignment="1">
      <alignment horizontal="center"/>
    </xf>
    <xf numFmtId="166" fontId="5" fillId="6" borderId="0" xfId="1" applyNumberFormat="1" applyFont="1" applyFill="1" applyBorder="1" applyAlignment="1">
      <alignment horizontal="center" vertical="center"/>
    </xf>
    <xf numFmtId="167" fontId="7" fillId="0" borderId="1" xfId="1" applyNumberFormat="1" applyFont="1" applyFill="1" applyBorder="1" applyAlignment="1">
      <alignment horizontal="center" vertical="center"/>
    </xf>
    <xf numFmtId="167" fontId="5" fillId="6" borderId="0" xfId="1" applyNumberFormat="1" applyFont="1" applyFill="1" applyBorder="1" applyAlignment="1">
      <alignment horizontal="center" vertical="center"/>
    </xf>
    <xf numFmtId="0" fontId="2" fillId="0" borderId="34" xfId="0" applyFont="1" applyBorder="1"/>
    <xf numFmtId="168" fontId="23" fillId="13" borderId="20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167" fontId="5" fillId="0" borderId="1" xfId="1" applyNumberFormat="1" applyFont="1" applyFill="1" applyBorder="1" applyAlignment="1">
      <alignment horizontal="center" vertical="center"/>
    </xf>
    <xf numFmtId="166" fontId="5" fillId="0" borderId="1" xfId="1" applyNumberFormat="1" applyFont="1" applyFill="1" applyBorder="1" applyAlignment="1">
      <alignment horizontal="center" vertical="center"/>
    </xf>
    <xf numFmtId="167" fontId="5" fillId="0" borderId="1" xfId="1" applyNumberFormat="1" applyFont="1" applyBorder="1" applyAlignment="1">
      <alignment horizontal="center" vertical="center"/>
    </xf>
    <xf numFmtId="0" fontId="2" fillId="0" borderId="1" xfId="0" applyFont="1" applyBorder="1"/>
    <xf numFmtId="168" fontId="2" fillId="2" borderId="5" xfId="0" applyNumberFormat="1" applyFont="1" applyFill="1" applyBorder="1" applyAlignment="1" applyProtection="1">
      <alignment horizontal="center"/>
      <protection locked="0"/>
    </xf>
    <xf numFmtId="0" fontId="2" fillId="0" borderId="27" xfId="0" applyFont="1" applyBorder="1" applyAlignment="1">
      <alignment horizontal="center"/>
    </xf>
    <xf numFmtId="0" fontId="2" fillId="0" borderId="4" xfId="0" applyFont="1" applyBorder="1"/>
    <xf numFmtId="1" fontId="2" fillId="6" borderId="6" xfId="0" applyNumberFormat="1" applyFont="1" applyFill="1" applyBorder="1" applyAlignment="1">
      <alignment horizontal="center"/>
    </xf>
    <xf numFmtId="172" fontId="1" fillId="6" borderId="8" xfId="0" applyNumberFormat="1" applyFont="1" applyFill="1" applyBorder="1" applyAlignment="1">
      <alignment horizontal="right"/>
    </xf>
    <xf numFmtId="4" fontId="1" fillId="0" borderId="0" xfId="0" applyNumberFormat="1" applyFont="1" applyBorder="1" applyAlignment="1">
      <alignment horizontal="center"/>
    </xf>
    <xf numFmtId="0" fontId="1" fillId="0" borderId="0" xfId="0" applyFont="1"/>
    <xf numFmtId="0" fontId="4" fillId="0" borderId="0" xfId="0" applyFont="1" applyFill="1" applyBorder="1" applyAlignment="1">
      <alignment horizontal="center"/>
    </xf>
    <xf numFmtId="172" fontId="1" fillId="6" borderId="9" xfId="0" applyNumberFormat="1" applyFont="1" applyFill="1" applyBorder="1" applyAlignment="1">
      <alignment horizontal="center"/>
    </xf>
    <xf numFmtId="164" fontId="1" fillId="0" borderId="32" xfId="0" applyNumberFormat="1" applyFont="1" applyFill="1" applyBorder="1" applyAlignment="1">
      <alignment horizontal="left"/>
    </xf>
    <xf numFmtId="164" fontId="1" fillId="0" borderId="0" xfId="0" applyNumberFormat="1" applyFont="1" applyFill="1" applyBorder="1" applyAlignment="1">
      <alignment horizontal="center"/>
    </xf>
    <xf numFmtId="0" fontId="1" fillId="0" borderId="0" xfId="0" applyFont="1" applyFill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0" fontId="4" fillId="0" borderId="0" xfId="0" applyFont="1" applyFill="1" applyAlignment="1">
      <alignment horizontal="center"/>
    </xf>
    <xf numFmtId="0" fontId="1" fillId="0" borderId="2" xfId="0" applyFont="1" applyBorder="1" applyAlignment="1">
      <alignment horizontal="center"/>
    </xf>
    <xf numFmtId="2" fontId="1" fillId="0" borderId="4" xfId="0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168" fontId="1" fillId="0" borderId="5" xfId="0" applyNumberFormat="1" applyFont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168" fontId="1" fillId="0" borderId="4" xfId="0" applyNumberFormat="1" applyFont="1" applyBorder="1" applyAlignment="1">
      <alignment horizontal="center"/>
    </xf>
    <xf numFmtId="165" fontId="1" fillId="0" borderId="0" xfId="2" applyNumberFormat="1" applyFont="1"/>
    <xf numFmtId="2" fontId="1" fillId="0" borderId="0" xfId="0" applyNumberFormat="1" applyFont="1"/>
    <xf numFmtId="0" fontId="1" fillId="0" borderId="5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168" fontId="1" fillId="0" borderId="2" xfId="0" applyNumberFormat="1" applyFont="1" applyBorder="1" applyAlignment="1">
      <alignment horizontal="center"/>
    </xf>
    <xf numFmtId="168" fontId="1" fillId="0" borderId="5" xfId="0" applyNumberFormat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2" xfId="0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0" fontId="4" fillId="0" borderId="0" xfId="0" applyFont="1" applyFill="1" applyAlignment="1"/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24" fillId="0" borderId="0" xfId="0" applyFont="1" applyFill="1"/>
    <xf numFmtId="0" fontId="14" fillId="5" borderId="0" xfId="0" applyFont="1" applyFill="1" applyAlignment="1" applyProtection="1">
      <alignment horizontal="center" vertical="center"/>
      <protection locked="0"/>
    </xf>
    <xf numFmtId="0" fontId="4" fillId="19" borderId="0" xfId="0" applyFont="1" applyFill="1" applyBorder="1" applyAlignment="1"/>
    <xf numFmtId="1" fontId="4" fillId="19" borderId="0" xfId="0" applyNumberFormat="1" applyFont="1" applyFill="1"/>
    <xf numFmtId="1" fontId="1" fillId="0" borderId="7" xfId="0" applyNumberFormat="1" applyFont="1" applyBorder="1"/>
    <xf numFmtId="1" fontId="1" fillId="0" borderId="7" xfId="0" applyNumberFormat="1" applyFont="1" applyBorder="1" applyAlignment="1">
      <alignment horizontal="left"/>
    </xf>
    <xf numFmtId="1" fontId="1" fillId="0" borderId="8" xfId="0" applyNumberFormat="1" applyFont="1" applyBorder="1" applyAlignment="1">
      <alignment horizontal="right"/>
    </xf>
    <xf numFmtId="1" fontId="1" fillId="0" borderId="8" xfId="0" applyNumberFormat="1" applyFont="1" applyBorder="1" applyAlignment="1">
      <alignment horizontal="left"/>
    </xf>
    <xf numFmtId="169" fontId="1" fillId="0" borderId="8" xfId="0" applyNumberFormat="1" applyFont="1" applyBorder="1" applyAlignment="1">
      <alignment horizontal="right"/>
    </xf>
    <xf numFmtId="168" fontId="1" fillId="0" borderId="8" xfId="0" applyNumberFormat="1" applyFont="1" applyBorder="1" applyAlignment="1">
      <alignment horizontal="right"/>
    </xf>
    <xf numFmtId="2" fontId="1" fillId="0" borderId="8" xfId="0" applyNumberFormat="1" applyFont="1" applyBorder="1" applyAlignment="1">
      <alignment horizontal="left"/>
    </xf>
    <xf numFmtId="1" fontId="1" fillId="0" borderId="0" xfId="0" applyNumberFormat="1" applyFont="1"/>
    <xf numFmtId="164" fontId="1" fillId="0" borderId="0" xfId="0" applyNumberFormat="1" applyFont="1" applyFill="1" applyBorder="1" applyAlignment="1">
      <alignment horizontal="left"/>
    </xf>
    <xf numFmtId="168" fontId="1" fillId="0" borderId="7" xfId="0" applyNumberFormat="1" applyFont="1" applyBorder="1" applyAlignment="1">
      <alignment horizontal="right"/>
    </xf>
    <xf numFmtId="1" fontId="1" fillId="0" borderId="32" xfId="0" applyNumberFormat="1" applyFont="1" applyBorder="1" applyAlignment="1">
      <alignment horizontal="left"/>
    </xf>
    <xf numFmtId="2" fontId="1" fillId="0" borderId="32" xfId="0" applyNumberFormat="1" applyFont="1" applyBorder="1" applyAlignment="1">
      <alignment horizontal="right"/>
    </xf>
    <xf numFmtId="169" fontId="1" fillId="0" borderId="7" xfId="0" applyNumberFormat="1" applyFont="1" applyBorder="1" applyAlignment="1">
      <alignment horizontal="right"/>
    </xf>
    <xf numFmtId="168" fontId="1" fillId="0" borderId="32" xfId="0" applyNumberFormat="1" applyFont="1" applyBorder="1" applyAlignment="1">
      <alignment horizontal="right"/>
    </xf>
    <xf numFmtId="164" fontId="1" fillId="0" borderId="7" xfId="0" applyNumberFormat="1" applyFont="1" applyFill="1" applyBorder="1" applyAlignment="1">
      <alignment horizontal="left"/>
    </xf>
    <xf numFmtId="164" fontId="1" fillId="0" borderId="8" xfId="0" applyNumberFormat="1" applyFont="1" applyFill="1" applyBorder="1" applyAlignment="1">
      <alignment horizontal="left"/>
    </xf>
    <xf numFmtId="1" fontId="1" fillId="0" borderId="0" xfId="0" applyNumberFormat="1" applyFont="1" applyBorder="1" applyAlignment="1">
      <alignment horizontal="left"/>
    </xf>
    <xf numFmtId="3" fontId="1" fillId="0" borderId="8" xfId="0" applyNumberFormat="1" applyFont="1" applyBorder="1" applyAlignment="1">
      <alignment horizontal="right"/>
    </xf>
    <xf numFmtId="170" fontId="1" fillId="0" borderId="8" xfId="0" applyNumberFormat="1" applyFont="1" applyBorder="1" applyAlignment="1">
      <alignment horizontal="right"/>
    </xf>
    <xf numFmtId="4" fontId="1" fillId="0" borderId="23" xfId="0" applyNumberFormat="1" applyFont="1" applyBorder="1" applyAlignment="1">
      <alignment horizontal="right"/>
    </xf>
    <xf numFmtId="0" fontId="1" fillId="0" borderId="0" xfId="0" applyFont="1" applyFill="1" applyBorder="1" applyAlignment="1">
      <alignment horizontal="left"/>
    </xf>
    <xf numFmtId="4" fontId="1" fillId="0" borderId="7" xfId="0" applyNumberFormat="1" applyFont="1" applyBorder="1" applyAlignment="1">
      <alignment horizontal="right"/>
    </xf>
    <xf numFmtId="2" fontId="1" fillId="0" borderId="8" xfId="0" applyNumberFormat="1" applyFont="1" applyBorder="1" applyAlignment="1">
      <alignment horizontal="right"/>
    </xf>
    <xf numFmtId="2" fontId="1" fillId="0" borderId="32" xfId="0" applyNumberFormat="1" applyFont="1" applyBorder="1" applyAlignment="1">
      <alignment horizontal="left"/>
    </xf>
    <xf numFmtId="170" fontId="1" fillId="0" borderId="7" xfId="0" applyNumberFormat="1" applyFont="1" applyBorder="1" applyAlignment="1">
      <alignment horizontal="right"/>
    </xf>
    <xf numFmtId="2" fontId="1" fillId="0" borderId="0" xfId="0" applyNumberFormat="1" applyFont="1" applyBorder="1" applyAlignment="1">
      <alignment horizontal="left"/>
    </xf>
    <xf numFmtId="2" fontId="1" fillId="0" borderId="0" xfId="0" applyNumberFormat="1" applyFont="1" applyBorder="1" applyAlignment="1">
      <alignment horizontal="right"/>
    </xf>
    <xf numFmtId="2" fontId="1" fillId="0" borderId="34" xfId="0" applyNumberFormat="1" applyFont="1" applyBorder="1" applyAlignment="1">
      <alignment horizontal="left"/>
    </xf>
    <xf numFmtId="1" fontId="1" fillId="0" borderId="32" xfId="0" applyNumberFormat="1" applyFont="1" applyBorder="1" applyAlignment="1">
      <alignment horizontal="right"/>
    </xf>
    <xf numFmtId="4" fontId="1" fillId="0" borderId="8" xfId="0" applyNumberFormat="1" applyFont="1" applyBorder="1" applyAlignment="1">
      <alignment horizontal="right"/>
    </xf>
    <xf numFmtId="2" fontId="1" fillId="0" borderId="23" xfId="0" applyNumberFormat="1" applyFont="1" applyBorder="1" applyAlignment="1">
      <alignment horizontal="right"/>
    </xf>
    <xf numFmtId="4" fontId="1" fillId="0" borderId="32" xfId="0" applyNumberFormat="1" applyFont="1" applyBorder="1" applyAlignment="1">
      <alignment horizontal="right"/>
    </xf>
    <xf numFmtId="2" fontId="1" fillId="0" borderId="0" xfId="0" applyNumberFormat="1" applyFont="1" applyAlignment="1">
      <alignment horizontal="right"/>
    </xf>
    <xf numFmtId="2" fontId="1" fillId="0" borderId="0" xfId="0" applyNumberFormat="1" applyFont="1" applyAlignment="1">
      <alignment horizontal="left"/>
    </xf>
    <xf numFmtId="0" fontId="10" fillId="0" borderId="0" xfId="0" applyFont="1" applyFill="1" applyBorder="1" applyAlignment="1">
      <alignment horizontal="left"/>
    </xf>
    <xf numFmtId="164" fontId="1" fillId="0" borderId="0" xfId="0" applyNumberFormat="1" applyFont="1" applyFill="1" applyAlignment="1">
      <alignment horizontal="center"/>
    </xf>
    <xf numFmtId="0" fontId="25" fillId="17" borderId="0" xfId="0" applyFont="1" applyFill="1" applyBorder="1" applyAlignment="1"/>
    <xf numFmtId="0" fontId="26" fillId="16" borderId="0" xfId="0" applyFont="1" applyFill="1"/>
    <xf numFmtId="2" fontId="1" fillId="0" borderId="0" xfId="0" applyNumberFormat="1" applyFont="1" applyBorder="1" applyAlignment="1">
      <alignment horizontal="center"/>
    </xf>
    <xf numFmtId="0" fontId="2" fillId="0" borderId="0" xfId="0" applyFont="1"/>
    <xf numFmtId="170" fontId="1" fillId="0" borderId="0" xfId="0" applyNumberFormat="1" applyFont="1" applyAlignment="1">
      <alignment horizontal="right"/>
    </xf>
    <xf numFmtId="3" fontId="1" fillId="0" borderId="0" xfId="0" applyNumberFormat="1" applyFont="1" applyBorder="1" applyAlignment="1">
      <alignment horizontal="right"/>
    </xf>
    <xf numFmtId="0" fontId="2" fillId="6" borderId="11" xfId="0" applyFont="1" applyFill="1" applyBorder="1"/>
    <xf numFmtId="0" fontId="1" fillId="0" borderId="11" xfId="0" applyFont="1" applyFill="1" applyBorder="1" applyAlignment="1">
      <alignment horizontal="center"/>
    </xf>
    <xf numFmtId="170" fontId="1" fillId="0" borderId="0" xfId="0" applyNumberFormat="1" applyFont="1" applyBorder="1" applyAlignment="1">
      <alignment horizontal="right"/>
    </xf>
    <xf numFmtId="0" fontId="27" fillId="6" borderId="18" xfId="0" applyFont="1" applyFill="1" applyBorder="1" applyAlignment="1">
      <alignment horizontal="left"/>
    </xf>
    <xf numFmtId="0" fontId="27" fillId="6" borderId="17" xfId="0" applyFont="1" applyFill="1" applyBorder="1" applyAlignment="1">
      <alignment horizontal="left"/>
    </xf>
    <xf numFmtId="0" fontId="27" fillId="6" borderId="1" xfId="0" applyFont="1" applyFill="1" applyBorder="1" applyAlignment="1">
      <alignment horizontal="left"/>
    </xf>
    <xf numFmtId="0" fontId="27" fillId="6" borderId="1" xfId="0" applyFont="1" applyFill="1" applyBorder="1" applyAlignment="1">
      <alignment horizontal="left" vertical="center" wrapText="1"/>
    </xf>
    <xf numFmtId="0" fontId="27" fillId="15" borderId="1" xfId="0" applyFont="1" applyFill="1" applyBorder="1" applyAlignment="1">
      <alignment horizontal="left" vertical="center"/>
    </xf>
    <xf numFmtId="0" fontId="27" fillId="0" borderId="1" xfId="0" applyFont="1" applyFill="1" applyBorder="1" applyAlignment="1">
      <alignment vertical="center"/>
    </xf>
    <xf numFmtId="0" fontId="27" fillId="6" borderId="1" xfId="0" applyFont="1" applyFill="1" applyBorder="1" applyAlignment="1">
      <alignment horizontal="left" vertical="center"/>
    </xf>
    <xf numFmtId="167" fontId="27" fillId="0" borderId="1" xfId="1" applyNumberFormat="1" applyFont="1" applyFill="1" applyBorder="1" applyAlignment="1">
      <alignment horizontal="left" vertical="center"/>
    </xf>
    <xf numFmtId="0" fontId="27" fillId="0" borderId="1" xfId="0" applyFont="1" applyFill="1" applyBorder="1" applyAlignment="1">
      <alignment horizontal="left" vertical="center"/>
    </xf>
    <xf numFmtId="0" fontId="27" fillId="6" borderId="27" xfId="0" applyFont="1" applyFill="1" applyBorder="1" applyAlignment="1">
      <alignment horizontal="left"/>
    </xf>
    <xf numFmtId="0" fontId="27" fillId="0" borderId="1" xfId="0" applyFont="1" applyBorder="1" applyAlignment="1">
      <alignment horizontal="left"/>
    </xf>
    <xf numFmtId="0" fontId="27" fillId="6" borderId="22" xfId="0" applyFont="1" applyFill="1" applyBorder="1" applyAlignment="1">
      <alignment horizontal="left"/>
    </xf>
    <xf numFmtId="0" fontId="27" fillId="6" borderId="1" xfId="0" applyFont="1" applyFill="1" applyBorder="1" applyAlignment="1">
      <alignment vertical="center"/>
    </xf>
    <xf numFmtId="167" fontId="28" fillId="0" borderId="1" xfId="1" applyNumberFormat="1" applyFont="1" applyFill="1" applyBorder="1" applyAlignment="1">
      <alignment horizontal="center" vertical="center"/>
    </xf>
    <xf numFmtId="0" fontId="27" fillId="0" borderId="1" xfId="0" applyFont="1" applyBorder="1" applyAlignment="1">
      <alignment vertical="center"/>
    </xf>
    <xf numFmtId="0" fontId="27" fillId="0" borderId="1" xfId="0" applyFont="1" applyBorder="1"/>
    <xf numFmtId="0" fontId="27" fillId="6" borderId="1" xfId="0" applyFont="1" applyFill="1" applyBorder="1"/>
    <xf numFmtId="0" fontId="27" fillId="6" borderId="1" xfId="0" applyFont="1" applyFill="1" applyBorder="1" applyAlignment="1"/>
    <xf numFmtId="0" fontId="27" fillId="6" borderId="19" xfId="0" applyFont="1" applyFill="1" applyBorder="1"/>
    <xf numFmtId="0" fontId="27" fillId="6" borderId="22" xfId="0" applyFont="1" applyFill="1" applyBorder="1"/>
    <xf numFmtId="0" fontId="27" fillId="6" borderId="23" xfId="0" applyFont="1" applyFill="1" applyBorder="1" applyAlignment="1"/>
    <xf numFmtId="168" fontId="27" fillId="0" borderId="1" xfId="0" applyNumberFormat="1" applyFont="1" applyFill="1" applyBorder="1" applyAlignment="1">
      <alignment horizontal="center" vertical="center"/>
    </xf>
    <xf numFmtId="168" fontId="27" fillId="0" borderId="1" xfId="1" applyNumberFormat="1" applyFont="1" applyFill="1" applyBorder="1" applyAlignment="1">
      <alignment horizontal="center" vertical="center"/>
    </xf>
    <xf numFmtId="168" fontId="27" fillId="0" borderId="27" xfId="0" applyNumberFormat="1" applyFont="1" applyFill="1" applyBorder="1" applyAlignment="1">
      <alignment horizontal="center" vertical="center"/>
    </xf>
    <xf numFmtId="0" fontId="27" fillId="6" borderId="15" xfId="0" applyFont="1" applyFill="1" applyBorder="1" applyAlignment="1">
      <alignment horizontal="left"/>
    </xf>
    <xf numFmtId="0" fontId="27" fillId="6" borderId="30" xfId="0" applyFont="1" applyFill="1" applyBorder="1"/>
    <xf numFmtId="0" fontId="27" fillId="6" borderId="30" xfId="0" applyFont="1" applyFill="1" applyBorder="1" applyAlignment="1">
      <alignment horizontal="left"/>
    </xf>
    <xf numFmtId="168" fontId="27" fillId="0" borderId="25" xfId="0" applyNumberFormat="1" applyFont="1" applyFill="1" applyBorder="1" applyAlignment="1">
      <alignment horizontal="center" vertical="center"/>
    </xf>
    <xf numFmtId="168" fontId="27" fillId="0" borderId="25" xfId="0" applyNumberFormat="1" applyFont="1" applyFill="1" applyBorder="1" applyAlignment="1" applyProtection="1">
      <alignment horizontal="center" vertical="center"/>
      <protection locked="0"/>
    </xf>
    <xf numFmtId="168" fontId="27" fillId="13" borderId="20" xfId="0" applyNumberFormat="1" applyFont="1" applyFill="1" applyBorder="1" applyAlignment="1">
      <alignment horizontal="center" vertical="center"/>
    </xf>
    <xf numFmtId="168" fontId="27" fillId="13" borderId="21" xfId="0" applyNumberFormat="1" applyFont="1" applyFill="1" applyBorder="1" applyAlignment="1">
      <alignment horizontal="center" vertical="center"/>
    </xf>
    <xf numFmtId="168" fontId="27" fillId="0" borderId="21" xfId="0" applyNumberFormat="1" applyFont="1" applyFill="1" applyBorder="1" applyAlignment="1">
      <alignment horizontal="center" vertical="center"/>
    </xf>
    <xf numFmtId="168" fontId="27" fillId="0" borderId="24" xfId="0" applyNumberFormat="1" applyFont="1" applyFill="1" applyBorder="1" applyAlignment="1">
      <alignment horizontal="center" vertical="center"/>
    </xf>
    <xf numFmtId="0" fontId="27" fillId="14" borderId="25" xfId="0" applyFont="1" applyFill="1" applyBorder="1" applyAlignment="1">
      <alignment horizontal="left" vertical="center"/>
    </xf>
    <xf numFmtId="1" fontId="27" fillId="6" borderId="1" xfId="0" applyNumberFormat="1" applyFont="1" applyFill="1" applyBorder="1" applyAlignment="1">
      <alignment horizontal="left" vertical="center" wrapText="1"/>
    </xf>
    <xf numFmtId="0" fontId="27" fillId="14" borderId="31" xfId="0" applyFont="1" applyFill="1" applyBorder="1" applyAlignment="1">
      <alignment horizontal="left" vertical="center"/>
    </xf>
    <xf numFmtId="168" fontId="27" fillId="6" borderId="24" xfId="0" applyNumberFormat="1" applyFont="1" applyFill="1" applyBorder="1" applyAlignment="1">
      <alignment horizontal="center" vertical="center"/>
    </xf>
    <xf numFmtId="168" fontId="27" fillId="0" borderId="26" xfId="0" applyNumberFormat="1" applyFont="1" applyFill="1" applyBorder="1" applyAlignment="1">
      <alignment horizontal="center" vertical="center"/>
    </xf>
    <xf numFmtId="0" fontId="27" fillId="14" borderId="1" xfId="0" applyFont="1" applyFill="1" applyBorder="1" applyAlignment="1">
      <alignment horizontal="left" vertical="center"/>
    </xf>
    <xf numFmtId="168" fontId="27" fillId="6" borderId="1" xfId="0" applyNumberFormat="1" applyFont="1" applyFill="1" applyBorder="1" applyAlignment="1">
      <alignment horizontal="center" vertical="center"/>
    </xf>
    <xf numFmtId="168" fontId="27" fillId="6" borderId="20" xfId="0" applyNumberFormat="1" applyFont="1" applyFill="1" applyBorder="1" applyAlignment="1">
      <alignment horizontal="center" vertical="center"/>
    </xf>
    <xf numFmtId="168" fontId="28" fillId="0" borderId="1" xfId="1" applyNumberFormat="1" applyFont="1" applyFill="1" applyBorder="1" applyAlignment="1">
      <alignment horizontal="center" vertical="center"/>
    </xf>
    <xf numFmtId="0" fontId="25" fillId="6" borderId="0" xfId="0" applyFont="1" applyFill="1" applyBorder="1" applyAlignment="1"/>
    <xf numFmtId="0" fontId="4" fillId="6" borderId="0" xfId="0" applyFont="1" applyFill="1" applyBorder="1" applyAlignment="1">
      <alignment horizontal="right"/>
    </xf>
    <xf numFmtId="0" fontId="4" fillId="6" borderId="0" xfId="0" applyFont="1" applyFill="1" applyBorder="1" applyAlignment="1">
      <alignment horizontal="left"/>
    </xf>
    <xf numFmtId="0" fontId="1" fillId="6" borderId="0" xfId="0" applyFont="1" applyFill="1" applyBorder="1"/>
    <xf numFmtId="0" fontId="2" fillId="6" borderId="0" xfId="0" applyFont="1" applyFill="1" applyBorder="1"/>
    <xf numFmtId="2" fontId="1" fillId="6" borderId="0" xfId="0" applyNumberFormat="1" applyFont="1" applyFill="1" applyBorder="1" applyAlignment="1">
      <alignment horizontal="right"/>
    </xf>
    <xf numFmtId="0" fontId="1" fillId="6" borderId="0" xfId="0" applyFont="1" applyFill="1" applyBorder="1" applyAlignment="1">
      <alignment horizontal="left"/>
    </xf>
    <xf numFmtId="164" fontId="1" fillId="6" borderId="0" xfId="0" applyNumberFormat="1" applyFont="1" applyFill="1" applyBorder="1" applyAlignment="1">
      <alignment horizontal="left"/>
    </xf>
    <xf numFmtId="1" fontId="1" fillId="6" borderId="0" xfId="0" applyNumberFormat="1" applyFont="1" applyFill="1" applyBorder="1" applyAlignment="1">
      <alignment horizontal="right"/>
    </xf>
    <xf numFmtId="164" fontId="2" fillId="6" borderId="0" xfId="0" applyNumberFormat="1" applyFont="1" applyFill="1" applyBorder="1" applyAlignment="1">
      <alignment horizontal="right"/>
    </xf>
    <xf numFmtId="0" fontId="1" fillId="6" borderId="0" xfId="0" applyFont="1" applyFill="1" applyBorder="1" applyAlignment="1">
      <alignment horizontal="right"/>
    </xf>
    <xf numFmtId="1" fontId="1" fillId="6" borderId="0" xfId="0" applyNumberFormat="1" applyFont="1" applyFill="1" applyBorder="1" applyAlignment="1">
      <alignment horizontal="left"/>
    </xf>
    <xf numFmtId="2" fontId="1" fillId="6" borderId="0" xfId="0" applyNumberFormat="1" applyFont="1" applyFill="1" applyBorder="1" applyAlignment="1">
      <alignment horizontal="left"/>
    </xf>
    <xf numFmtId="0" fontId="3" fillId="21" borderId="0" xfId="0" applyFont="1" applyFill="1" applyBorder="1" applyAlignment="1"/>
    <xf numFmtId="0" fontId="2" fillId="0" borderId="35" xfId="0" applyFont="1" applyBorder="1"/>
    <xf numFmtId="0" fontId="2" fillId="0" borderId="6" xfId="0" applyFont="1" applyBorder="1"/>
    <xf numFmtId="0" fontId="2" fillId="0" borderId="9" xfId="0" applyFont="1" applyBorder="1"/>
    <xf numFmtId="0" fontId="2" fillId="0" borderId="28" xfId="0" applyFont="1" applyBorder="1"/>
    <xf numFmtId="0" fontId="1" fillId="0" borderId="28" xfId="0" applyFont="1" applyBorder="1" applyAlignment="1">
      <alignment horizontal="left"/>
    </xf>
    <xf numFmtId="2" fontId="1" fillId="0" borderId="28" xfId="0" applyNumberFormat="1" applyFont="1" applyBorder="1" applyAlignment="1">
      <alignment horizontal="left"/>
    </xf>
    <xf numFmtId="0" fontId="1" fillId="0" borderId="22" xfId="0" applyFont="1" applyBorder="1" applyAlignment="1">
      <alignment horizontal="right"/>
    </xf>
    <xf numFmtId="1" fontId="1" fillId="0" borderId="22" xfId="0" applyNumberFormat="1" applyFont="1" applyBorder="1" applyAlignment="1">
      <alignment horizontal="right"/>
    </xf>
    <xf numFmtId="0" fontId="2" fillId="0" borderId="22" xfId="0" applyFont="1" applyFill="1" applyBorder="1"/>
    <xf numFmtId="2" fontId="1" fillId="0" borderId="36" xfId="0" applyNumberFormat="1" applyFont="1" applyBorder="1" applyAlignment="1">
      <alignment horizontal="right"/>
    </xf>
    <xf numFmtId="1" fontId="1" fillId="0" borderId="36" xfId="0" applyNumberFormat="1" applyFont="1" applyBorder="1" applyAlignment="1">
      <alignment horizontal="right"/>
    </xf>
    <xf numFmtId="170" fontId="1" fillId="0" borderId="36" xfId="0" applyNumberFormat="1" applyFont="1" applyBorder="1" applyAlignment="1">
      <alignment horizontal="right"/>
    </xf>
    <xf numFmtId="170" fontId="1" fillId="0" borderId="37" xfId="0" applyNumberFormat="1" applyFont="1" applyBorder="1" applyAlignment="1">
      <alignment horizontal="right"/>
    </xf>
    <xf numFmtId="3" fontId="1" fillId="0" borderId="37" xfId="0" applyNumberFormat="1" applyFont="1" applyBorder="1" applyAlignment="1">
      <alignment horizontal="right"/>
    </xf>
    <xf numFmtId="4" fontId="1" fillId="0" borderId="36" xfId="0" applyNumberFormat="1" applyFont="1" applyBorder="1" applyAlignment="1">
      <alignment horizontal="right"/>
    </xf>
    <xf numFmtId="3" fontId="1" fillId="0" borderId="22" xfId="0" applyNumberFormat="1" applyFont="1" applyBorder="1" applyAlignment="1">
      <alignment horizontal="right"/>
    </xf>
    <xf numFmtId="164" fontId="1" fillId="0" borderId="34" xfId="0" applyNumberFormat="1" applyFont="1" applyFill="1" applyBorder="1" applyAlignment="1">
      <alignment horizontal="left"/>
    </xf>
    <xf numFmtId="169" fontId="1" fillId="0" borderId="37" xfId="0" applyNumberFormat="1" applyFont="1" applyBorder="1" applyAlignment="1">
      <alignment horizontal="right"/>
    </xf>
    <xf numFmtId="168" fontId="1" fillId="0" borderId="37" xfId="0" applyNumberFormat="1" applyFont="1" applyBorder="1" applyAlignment="1">
      <alignment horizontal="right"/>
    </xf>
    <xf numFmtId="1" fontId="1" fillId="0" borderId="37" xfId="0" applyNumberFormat="1" applyFont="1" applyBorder="1" applyAlignment="1">
      <alignment horizontal="right"/>
    </xf>
    <xf numFmtId="1" fontId="1" fillId="0" borderId="38" xfId="0" applyNumberFormat="1" applyFont="1" applyBorder="1" applyAlignment="1">
      <alignment horizontal="right"/>
    </xf>
    <xf numFmtId="2" fontId="1" fillId="0" borderId="38" xfId="0" applyNumberFormat="1" applyFont="1" applyBorder="1" applyAlignment="1">
      <alignment horizontal="right"/>
    </xf>
    <xf numFmtId="4" fontId="1" fillId="0" borderId="22" xfId="0" applyNumberFormat="1" applyFont="1" applyBorder="1" applyAlignment="1">
      <alignment horizontal="right"/>
    </xf>
    <xf numFmtId="170" fontId="1" fillId="0" borderId="22" xfId="0" applyNumberFormat="1" applyFont="1" applyBorder="1" applyAlignment="1">
      <alignment horizontal="right"/>
    </xf>
    <xf numFmtId="0" fontId="1" fillId="0" borderId="38" xfId="0" applyFont="1" applyBorder="1" applyAlignment="1">
      <alignment horizontal="right"/>
    </xf>
    <xf numFmtId="0" fontId="1" fillId="0" borderId="36" xfId="0" applyFont="1" applyBorder="1" applyAlignment="1">
      <alignment horizontal="right"/>
    </xf>
    <xf numFmtId="169" fontId="1" fillId="0" borderId="36" xfId="0" applyNumberFormat="1" applyFont="1" applyBorder="1" applyAlignment="1">
      <alignment horizontal="right"/>
    </xf>
    <xf numFmtId="168" fontId="1" fillId="0" borderId="40" xfId="0" applyNumberFormat="1" applyFont="1" applyBorder="1" applyAlignment="1">
      <alignment horizontal="right"/>
    </xf>
    <xf numFmtId="169" fontId="1" fillId="0" borderId="40" xfId="0" applyNumberFormat="1" applyFont="1" applyBorder="1" applyAlignment="1">
      <alignment horizontal="right"/>
    </xf>
    <xf numFmtId="1" fontId="1" fillId="0" borderId="40" xfId="0" applyNumberFormat="1" applyFont="1" applyBorder="1" applyAlignment="1">
      <alignment horizontal="right"/>
    </xf>
    <xf numFmtId="0" fontId="8" fillId="6" borderId="22" xfId="0" applyFont="1" applyFill="1" applyBorder="1" applyAlignment="1">
      <alignment vertical="center"/>
    </xf>
    <xf numFmtId="0" fontId="5" fillId="6" borderId="0" xfId="0" applyFont="1" applyFill="1" applyAlignment="1">
      <alignment horizontal="left" vertical="center"/>
    </xf>
    <xf numFmtId="0" fontId="5" fillId="6" borderId="0" xfId="0" applyFont="1" applyFill="1" applyBorder="1" applyAlignment="1">
      <alignment horizontal="left" vertical="center"/>
    </xf>
    <xf numFmtId="0" fontId="27" fillId="6" borderId="27" xfId="0" applyFont="1" applyFill="1" applyBorder="1" applyAlignment="1">
      <alignment horizontal="left" vertical="center" wrapText="1"/>
    </xf>
    <xf numFmtId="0" fontId="8" fillId="0" borderId="22" xfId="0" applyFont="1" applyBorder="1" applyAlignment="1">
      <alignment vertical="center"/>
    </xf>
    <xf numFmtId="0" fontId="8" fillId="6" borderId="30" xfId="0" applyFont="1" applyFill="1" applyBorder="1" applyAlignment="1">
      <alignment vertical="center"/>
    </xf>
    <xf numFmtId="0" fontId="8" fillId="6" borderId="19" xfId="0" applyFont="1" applyFill="1" applyBorder="1" applyAlignment="1">
      <alignment vertical="center"/>
    </xf>
    <xf numFmtId="2" fontId="8" fillId="0" borderId="22" xfId="0" applyNumberFormat="1" applyFont="1" applyFill="1" applyBorder="1" applyAlignment="1">
      <alignment horizontal="center" vertical="center"/>
    </xf>
    <xf numFmtId="0" fontId="8" fillId="0" borderId="19" xfId="0" applyFont="1" applyBorder="1" applyAlignment="1">
      <alignment vertical="center"/>
    </xf>
    <xf numFmtId="168" fontId="8" fillId="0" borderId="22" xfId="2" applyNumberFormat="1" applyFont="1" applyBorder="1" applyAlignment="1">
      <alignment vertical="center"/>
    </xf>
    <xf numFmtId="168" fontId="16" fillId="0" borderId="22" xfId="2" applyNumberFormat="1" applyFont="1" applyBorder="1" applyAlignment="1">
      <alignment vertical="center"/>
    </xf>
    <xf numFmtId="168" fontId="11" fillId="0" borderId="22" xfId="2" applyNumberFormat="1" applyFont="1" applyBorder="1" applyAlignment="1">
      <alignment vertical="center"/>
    </xf>
    <xf numFmtId="168" fontId="17" fillId="0" borderId="22" xfId="2" applyNumberFormat="1" applyFont="1" applyBorder="1" applyAlignment="1">
      <alignment vertical="center"/>
    </xf>
    <xf numFmtId="168" fontId="17" fillId="6" borderId="22" xfId="2" applyNumberFormat="1" applyFont="1" applyFill="1" applyBorder="1" applyAlignment="1">
      <alignment vertical="center"/>
    </xf>
    <xf numFmtId="168" fontId="29" fillId="0" borderId="22" xfId="2" applyNumberFormat="1" applyFont="1" applyBorder="1" applyAlignment="1">
      <alignment vertical="center"/>
    </xf>
    <xf numFmtId="1" fontId="8" fillId="0" borderId="22" xfId="2" applyNumberFormat="1" applyFont="1" applyBorder="1" applyAlignment="1">
      <alignment vertical="center"/>
    </xf>
    <xf numFmtId="1" fontId="16" fillId="0" borderId="22" xfId="2" applyNumberFormat="1" applyFont="1" applyBorder="1" applyAlignment="1">
      <alignment vertical="center"/>
    </xf>
    <xf numFmtId="0" fontId="2" fillId="2" borderId="1" xfId="0" applyFont="1" applyFill="1" applyBorder="1" applyAlignment="1" applyProtection="1">
      <alignment horizontal="center"/>
      <protection locked="0"/>
    </xf>
    <xf numFmtId="1" fontId="30" fillId="6" borderId="29" xfId="0" applyNumberFormat="1" applyFont="1" applyFill="1" applyBorder="1" applyAlignment="1">
      <alignment horizontal="right"/>
    </xf>
    <xf numFmtId="1" fontId="5" fillId="0" borderId="0" xfId="0" applyNumberFormat="1" applyFont="1" applyFill="1" applyAlignment="1" applyProtection="1">
      <alignment horizontal="center" vertical="center"/>
      <protection locked="0"/>
    </xf>
    <xf numFmtId="1" fontId="8" fillId="0" borderId="1" xfId="0" applyNumberFormat="1" applyFont="1" applyFill="1" applyBorder="1" applyAlignment="1" applyProtection="1">
      <alignment horizontal="center" vertical="center"/>
      <protection locked="0"/>
    </xf>
    <xf numFmtId="1" fontId="5" fillId="0" borderId="0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 applyProtection="1">
      <alignment horizontal="center" vertical="center"/>
      <protection locked="0"/>
    </xf>
    <xf numFmtId="1" fontId="8" fillId="0" borderId="0" xfId="0" applyNumberFormat="1" applyFont="1" applyAlignment="1">
      <alignment vertical="center"/>
    </xf>
    <xf numFmtId="1" fontId="6" fillId="8" borderId="29" xfId="0" applyNumberFormat="1" applyFont="1" applyFill="1" applyBorder="1" applyAlignment="1" applyProtection="1">
      <alignment vertical="center"/>
    </xf>
    <xf numFmtId="16" fontId="6" fillId="8" borderId="29" xfId="0" applyNumberFormat="1" applyFont="1" applyFill="1" applyBorder="1" applyAlignment="1" applyProtection="1">
      <alignment vertical="center"/>
    </xf>
    <xf numFmtId="0" fontId="2" fillId="0" borderId="29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1" fontId="14" fillId="0" borderId="39" xfId="0" applyNumberFormat="1" applyFont="1" applyBorder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Fill="1" applyAlignment="1">
      <alignment vertical="center"/>
    </xf>
    <xf numFmtId="0" fontId="31" fillId="0" borderId="0" xfId="0" applyFont="1" applyFill="1" applyBorder="1" applyAlignment="1">
      <alignment vertical="center"/>
    </xf>
    <xf numFmtId="0" fontId="5" fillId="0" borderId="0" xfId="0" applyFont="1" applyAlignment="1" applyProtection="1">
      <alignment vertical="center"/>
    </xf>
    <xf numFmtId="0" fontId="8" fillId="0" borderId="0" xfId="0" applyFont="1" applyAlignment="1" applyProtection="1">
      <alignment vertical="center"/>
    </xf>
    <xf numFmtId="0" fontId="8" fillId="0" borderId="0" xfId="0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vertical="center"/>
    </xf>
    <xf numFmtId="166" fontId="5" fillId="0" borderId="0" xfId="1" applyNumberFormat="1" applyFont="1" applyFill="1" applyBorder="1" applyAlignment="1" applyProtection="1">
      <alignment horizontal="center" vertical="center"/>
    </xf>
    <xf numFmtId="166" fontId="5" fillId="6" borderId="0" xfId="1" applyNumberFormat="1" applyFont="1" applyFill="1" applyBorder="1" applyAlignment="1" applyProtection="1">
      <alignment horizontal="center" vertical="center"/>
    </xf>
    <xf numFmtId="0" fontId="5" fillId="6" borderId="0" xfId="0" applyFont="1" applyFill="1" applyAlignment="1" applyProtection="1">
      <alignment vertical="center"/>
    </xf>
    <xf numFmtId="0" fontId="5" fillId="0" borderId="0" xfId="0" applyFont="1" applyFill="1" applyAlignment="1" applyProtection="1">
      <alignment vertical="center"/>
    </xf>
    <xf numFmtId="167" fontId="5" fillId="0" borderId="0" xfId="1" applyNumberFormat="1" applyFont="1" applyFill="1" applyBorder="1" applyAlignment="1" applyProtection="1">
      <alignment horizontal="center" vertical="center" wrapText="1"/>
    </xf>
    <xf numFmtId="166" fontId="5" fillId="0" borderId="1" xfId="1" applyNumberFormat="1" applyFont="1" applyFill="1" applyBorder="1" applyAlignment="1" applyProtection="1">
      <alignment horizontal="center" vertical="center"/>
    </xf>
    <xf numFmtId="166" fontId="11" fillId="0" borderId="0" xfId="1" applyNumberFormat="1" applyFont="1" applyFill="1" applyBorder="1" applyAlignment="1" applyProtection="1">
      <alignment horizontal="center" vertical="center"/>
    </xf>
    <xf numFmtId="0" fontId="2" fillId="2" borderId="10" xfId="0" applyFont="1" applyFill="1" applyBorder="1" applyAlignment="1" applyProtection="1">
      <alignment horizontal="center"/>
      <protection locked="0"/>
    </xf>
    <xf numFmtId="0" fontId="2" fillId="0" borderId="29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168" fontId="16" fillId="0" borderId="0" xfId="0" applyNumberFormat="1" applyFont="1" applyAlignment="1">
      <alignment vertical="center"/>
    </xf>
    <xf numFmtId="1" fontId="6" fillId="3" borderId="27" xfId="1" applyNumberFormat="1" applyFont="1" applyFill="1" applyBorder="1" applyAlignment="1" applyProtection="1">
      <alignment horizontal="center" vertical="center" wrapText="1"/>
      <protection locked="0"/>
    </xf>
    <xf numFmtId="1" fontId="6" fillId="3" borderId="4" xfId="1" applyNumberFormat="1" applyFont="1" applyFill="1" applyBorder="1" applyAlignment="1" applyProtection="1">
      <alignment horizontal="center" vertical="center" wrapText="1"/>
      <protection locked="0"/>
    </xf>
    <xf numFmtId="2" fontId="1" fillId="0" borderId="2" xfId="0" applyNumberFormat="1" applyFont="1" applyBorder="1" applyAlignment="1">
      <alignment horizontal="center"/>
    </xf>
    <xf numFmtId="2" fontId="2" fillId="6" borderId="5" xfId="0" applyNumberFormat="1" applyFont="1" applyFill="1" applyBorder="1" applyAlignment="1" applyProtection="1">
      <alignment horizontal="center"/>
      <protection locked="0"/>
    </xf>
    <xf numFmtId="0" fontId="1" fillId="6" borderId="0" xfId="0" applyFont="1" applyFill="1"/>
    <xf numFmtId="164" fontId="2" fillId="6" borderId="0" xfId="0" applyNumberFormat="1" applyFont="1" applyFill="1" applyBorder="1" applyAlignment="1">
      <alignment horizontal="left"/>
    </xf>
    <xf numFmtId="0" fontId="1" fillId="6" borderId="0" xfId="0" applyFont="1" applyFill="1" applyAlignment="1">
      <alignment horizontal="left"/>
    </xf>
    <xf numFmtId="168" fontId="1" fillId="0" borderId="3" xfId="0" applyNumberFormat="1" applyFont="1" applyBorder="1" applyAlignment="1">
      <alignment horizontal="center"/>
    </xf>
    <xf numFmtId="1" fontId="14" fillId="0" borderId="42" xfId="0" applyNumberFormat="1" applyFont="1" applyBorder="1" applyAlignment="1" applyProtection="1">
      <alignment horizontal="center" vertical="center"/>
      <protection locked="0"/>
    </xf>
    <xf numFmtId="1" fontId="14" fillId="0" borderId="43" xfId="2" applyNumberFormat="1" applyFont="1" applyBorder="1" applyAlignment="1" applyProtection="1">
      <alignment horizontal="center" vertical="center"/>
      <protection locked="0"/>
    </xf>
    <xf numFmtId="1" fontId="14" fillId="0" borderId="43" xfId="0" applyNumberFormat="1" applyFont="1" applyBorder="1" applyAlignment="1" applyProtection="1">
      <alignment horizontal="center" vertical="center"/>
      <protection locked="0"/>
    </xf>
    <xf numFmtId="1" fontId="14" fillId="0" borderId="44" xfId="0" applyNumberFormat="1" applyFont="1" applyBorder="1" applyAlignment="1" applyProtection="1">
      <alignment horizontal="center" vertical="center"/>
      <protection locked="0"/>
    </xf>
    <xf numFmtId="1" fontId="14" fillId="0" borderId="45" xfId="0" applyNumberFormat="1" applyFont="1" applyBorder="1" applyAlignment="1" applyProtection="1">
      <alignment horizontal="center" vertical="center"/>
      <protection locked="0"/>
    </xf>
    <xf numFmtId="1" fontId="14" fillId="0" borderId="41" xfId="2" applyNumberFormat="1" applyFont="1" applyBorder="1" applyAlignment="1" applyProtection="1">
      <alignment horizontal="center" vertical="center"/>
      <protection locked="0"/>
    </xf>
    <xf numFmtId="1" fontId="14" fillId="0" borderId="41" xfId="0" applyNumberFormat="1" applyFont="1" applyBorder="1" applyAlignment="1" applyProtection="1">
      <alignment horizontal="center" vertical="center"/>
      <protection locked="0"/>
    </xf>
    <xf numFmtId="1" fontId="14" fillId="0" borderId="46" xfId="0" applyNumberFormat="1" applyFont="1" applyBorder="1" applyAlignment="1" applyProtection="1">
      <alignment horizontal="center" vertical="center"/>
      <protection locked="0"/>
    </xf>
    <xf numFmtId="0" fontId="32" fillId="6" borderId="1" xfId="0" applyFont="1" applyFill="1" applyBorder="1" applyAlignment="1">
      <alignment horizontal="center"/>
    </xf>
    <xf numFmtId="0" fontId="33" fillId="15" borderId="22" xfId="0" applyFont="1" applyFill="1" applyBorder="1" applyAlignment="1">
      <alignment horizontal="left" vertical="center"/>
    </xf>
    <xf numFmtId="0" fontId="33" fillId="15" borderId="1" xfId="0" applyFont="1" applyFill="1" applyBorder="1" applyAlignment="1">
      <alignment horizontal="left" vertical="center"/>
    </xf>
    <xf numFmtId="0" fontId="33" fillId="0" borderId="1" xfId="0" applyFont="1" applyBorder="1" applyAlignment="1">
      <alignment horizontal="left"/>
    </xf>
    <xf numFmtId="0" fontId="33" fillId="14" borderId="22" xfId="0" applyFont="1" applyFill="1" applyBorder="1" applyAlignment="1">
      <alignment horizontal="left" vertical="center"/>
    </xf>
    <xf numFmtId="0" fontId="34" fillId="0" borderId="0" xfId="0" applyFont="1" applyAlignment="1">
      <alignment vertical="center"/>
    </xf>
    <xf numFmtId="0" fontId="35" fillId="15" borderId="22" xfId="0" applyFont="1" applyFill="1" applyBorder="1" applyAlignment="1">
      <alignment horizontal="left" vertical="center"/>
    </xf>
    <xf numFmtId="0" fontId="35" fillId="15" borderId="30" xfId="0" applyFont="1" applyFill="1" applyBorder="1" applyAlignment="1">
      <alignment horizontal="left" vertical="center"/>
    </xf>
    <xf numFmtId="0" fontId="35" fillId="15" borderId="1" xfId="0" applyFont="1" applyFill="1" applyBorder="1" applyAlignment="1">
      <alignment horizontal="left" vertical="center"/>
    </xf>
    <xf numFmtId="167" fontId="35" fillId="0" borderId="1" xfId="1" applyNumberFormat="1" applyFont="1" applyFill="1" applyBorder="1" applyAlignment="1">
      <alignment horizontal="left" vertical="center"/>
    </xf>
    <xf numFmtId="0" fontId="35" fillId="15" borderId="19" xfId="0" applyFont="1" applyFill="1" applyBorder="1" applyAlignment="1">
      <alignment horizontal="left" vertical="center"/>
    </xf>
    <xf numFmtId="0" fontId="35" fillId="0" borderId="1" xfId="0" applyFont="1" applyBorder="1" applyAlignment="1">
      <alignment horizontal="left"/>
    </xf>
    <xf numFmtId="0" fontId="35" fillId="0" borderId="1" xfId="0" applyFont="1" applyFill="1" applyBorder="1" applyAlignment="1">
      <alignment vertical="center"/>
    </xf>
    <xf numFmtId="0" fontId="35" fillId="15" borderId="4" xfId="0" applyFont="1" applyFill="1" applyBorder="1" applyAlignment="1">
      <alignment horizontal="left" vertical="center"/>
    </xf>
    <xf numFmtId="0" fontId="35" fillId="0" borderId="23" xfId="0" applyFont="1" applyFill="1" applyBorder="1" applyAlignment="1">
      <alignment vertical="center"/>
    </xf>
    <xf numFmtId="0" fontId="35" fillId="14" borderId="22" xfId="0" applyFont="1" applyFill="1" applyBorder="1" applyAlignment="1">
      <alignment horizontal="left" vertical="center"/>
    </xf>
    <xf numFmtId="0" fontId="35" fillId="6" borderId="22" xfId="0" applyFont="1" applyFill="1" applyBorder="1" applyAlignment="1">
      <alignment horizontal="left"/>
    </xf>
    <xf numFmtId="0" fontId="35" fillId="6" borderId="1" xfId="0" applyFont="1" applyFill="1" applyBorder="1" applyAlignment="1">
      <alignment horizontal="left"/>
    </xf>
    <xf numFmtId="0" fontId="35" fillId="6" borderId="1" xfId="0" applyFont="1" applyFill="1" applyBorder="1" applyAlignment="1">
      <alignment horizontal="center"/>
    </xf>
    <xf numFmtId="0" fontId="35" fillId="0" borderId="1" xfId="0" applyFont="1" applyFill="1" applyBorder="1" applyAlignment="1">
      <alignment horizontal="left" vertical="center"/>
    </xf>
    <xf numFmtId="167" fontId="35" fillId="0" borderId="1" xfId="1" applyNumberFormat="1" applyFont="1" applyFill="1" applyBorder="1" applyAlignment="1">
      <alignment vertical="center"/>
    </xf>
    <xf numFmtId="167" fontId="36" fillId="0" borderId="1" xfId="1" applyNumberFormat="1" applyFont="1" applyFill="1" applyBorder="1" applyAlignment="1">
      <alignment horizontal="center" vertical="center"/>
    </xf>
    <xf numFmtId="0" fontId="35" fillId="6" borderId="27" xfId="0" applyFont="1" applyFill="1" applyBorder="1" applyAlignment="1">
      <alignment horizontal="left"/>
    </xf>
    <xf numFmtId="0" fontId="35" fillId="0" borderId="1" xfId="0" applyFont="1" applyBorder="1" applyAlignment="1">
      <alignment vertical="center"/>
    </xf>
    <xf numFmtId="0" fontId="35" fillId="0" borderId="1" xfId="0" applyFont="1" applyBorder="1"/>
    <xf numFmtId="0" fontId="35" fillId="6" borderId="1" xfId="0" applyFont="1" applyFill="1" applyBorder="1"/>
    <xf numFmtId="0" fontId="34" fillId="0" borderId="0" xfId="0" applyFont="1" applyBorder="1" applyAlignment="1">
      <alignment horizontal="center" vertical="center"/>
    </xf>
    <xf numFmtId="0" fontId="34" fillId="0" borderId="0" xfId="0" applyFont="1" applyBorder="1" applyAlignment="1">
      <alignment vertical="center"/>
    </xf>
    <xf numFmtId="0" fontId="37" fillId="0" borderId="8" xfId="0" applyFont="1" applyBorder="1" applyAlignment="1">
      <alignment horizontal="left"/>
    </xf>
    <xf numFmtId="0" fontId="37" fillId="0" borderId="8" xfId="0" applyFont="1" applyBorder="1" applyAlignment="1"/>
    <xf numFmtId="0" fontId="38" fillId="0" borderId="0" xfId="0" applyFont="1" applyAlignment="1">
      <alignment horizontal="center"/>
    </xf>
    <xf numFmtId="0" fontId="38" fillId="0" borderId="0" xfId="0" applyFont="1" applyFill="1" applyBorder="1" applyAlignment="1">
      <alignment horizontal="center"/>
    </xf>
    <xf numFmtId="0" fontId="38" fillId="0" borderId="0" xfId="0" applyFont="1"/>
    <xf numFmtId="164" fontId="38" fillId="0" borderId="0" xfId="0" applyNumberFormat="1" applyFont="1" applyAlignment="1">
      <alignment horizontal="center"/>
    </xf>
    <xf numFmtId="164" fontId="34" fillId="0" borderId="0" xfId="0" applyNumberFormat="1" applyFont="1" applyFill="1" applyBorder="1" applyAlignment="1">
      <alignment horizontal="center"/>
    </xf>
    <xf numFmtId="0" fontId="34" fillId="18" borderId="0" xfId="0" applyFont="1" applyFill="1"/>
    <xf numFmtId="169" fontId="39" fillId="0" borderId="33" xfId="0" applyNumberFormat="1" applyFont="1" applyBorder="1"/>
    <xf numFmtId="1" fontId="39" fillId="0" borderId="33" xfId="0" applyNumberFormat="1" applyFont="1" applyBorder="1"/>
    <xf numFmtId="0" fontId="31" fillId="2" borderId="1" xfId="0" applyFont="1" applyFill="1" applyBorder="1" applyAlignment="1" applyProtection="1">
      <alignment horizontal="center" vertical="center"/>
      <protection locked="0"/>
    </xf>
    <xf numFmtId="0" fontId="40" fillId="6" borderId="0" xfId="0" applyFont="1" applyFill="1" applyAlignment="1">
      <alignment horizontal="center" vertical="center"/>
    </xf>
    <xf numFmtId="0" fontId="40" fillId="6" borderId="0" xfId="0" applyFont="1" applyFill="1" applyBorder="1" applyAlignment="1">
      <alignment horizontal="center" vertical="center"/>
    </xf>
    <xf numFmtId="0" fontId="32" fillId="6" borderId="18" xfId="0" applyFont="1" applyFill="1" applyBorder="1" applyAlignment="1">
      <alignment horizontal="center"/>
    </xf>
    <xf numFmtId="0" fontId="32" fillId="6" borderId="17" xfId="0" applyFont="1" applyFill="1" applyBorder="1" applyAlignment="1">
      <alignment horizontal="center"/>
    </xf>
    <xf numFmtId="0" fontId="32" fillId="6" borderId="27" xfId="0" applyFont="1" applyFill="1" applyBorder="1" applyAlignment="1">
      <alignment horizontal="center" vertical="center" textRotation="180" wrapText="1"/>
    </xf>
    <xf numFmtId="0" fontId="32" fillId="6" borderId="1" xfId="0" applyFont="1" applyFill="1" applyBorder="1" applyAlignment="1">
      <alignment horizontal="center" vertical="center" wrapText="1"/>
    </xf>
    <xf numFmtId="0" fontId="32" fillId="6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/>
    </xf>
    <xf numFmtId="0" fontId="32" fillId="6" borderId="1" xfId="0" applyFont="1" applyFill="1" applyBorder="1" applyAlignment="1">
      <alignment horizontal="center" vertical="center" textRotation="180" wrapText="1"/>
    </xf>
    <xf numFmtId="0" fontId="32" fillId="6" borderId="4" xfId="0" applyFont="1" applyFill="1" applyBorder="1" applyAlignment="1">
      <alignment horizontal="center"/>
    </xf>
    <xf numFmtId="0" fontId="32" fillId="6" borderId="0" xfId="0" applyFont="1" applyFill="1" applyBorder="1" applyAlignment="1">
      <alignment horizontal="center" vertical="center" textRotation="180" wrapText="1"/>
    </xf>
    <xf numFmtId="0" fontId="32" fillId="6" borderId="27" xfId="0" applyFont="1" applyFill="1" applyBorder="1" applyAlignment="1">
      <alignment horizontal="center"/>
    </xf>
    <xf numFmtId="16" fontId="6" fillId="8" borderId="29" xfId="0" applyNumberFormat="1" applyFont="1" applyFill="1" applyBorder="1" applyAlignment="1" applyProtection="1">
      <alignment vertical="center"/>
      <protection locked="0"/>
    </xf>
    <xf numFmtId="1" fontId="6" fillId="3" borderId="27" xfId="1" applyNumberFormat="1" applyFont="1" applyFill="1" applyBorder="1" applyAlignment="1" applyProtection="1">
      <alignment horizontal="center" vertical="center" wrapText="1"/>
      <protection locked="0"/>
    </xf>
    <xf numFmtId="1" fontId="6" fillId="3" borderId="4" xfId="1" applyNumberFormat="1" applyFont="1" applyFill="1" applyBorder="1" applyAlignment="1" applyProtection="1">
      <alignment horizontal="center" vertical="center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 applyBorder="1" applyAlignment="1">
      <alignment horizontal="center"/>
    </xf>
    <xf numFmtId="167" fontId="6" fillId="8" borderId="13" xfId="1" applyNumberFormat="1" applyFont="1" applyFill="1" applyBorder="1" applyAlignment="1">
      <alignment horizontal="center" vertical="center"/>
    </xf>
    <xf numFmtId="167" fontId="6" fillId="8" borderId="15" xfId="1" applyNumberFormat="1" applyFont="1" applyFill="1" applyBorder="1" applyAlignment="1">
      <alignment horizontal="center" vertical="center"/>
    </xf>
    <xf numFmtId="167" fontId="7" fillId="9" borderId="14" xfId="1" applyNumberFormat="1" applyFont="1" applyFill="1" applyBorder="1" applyAlignment="1">
      <alignment horizontal="center" vertical="center" wrapText="1"/>
    </xf>
    <xf numFmtId="167" fontId="7" fillId="9" borderId="16" xfId="1" applyNumberFormat="1" applyFont="1" applyFill="1" applyBorder="1" applyAlignment="1">
      <alignment horizontal="center" vertical="center" wrapText="1"/>
    </xf>
    <xf numFmtId="0" fontId="9" fillId="10" borderId="13" xfId="0" applyFont="1" applyFill="1" applyBorder="1" applyAlignment="1">
      <alignment horizontal="center" vertical="center" wrapText="1"/>
    </xf>
    <xf numFmtId="0" fontId="9" fillId="10" borderId="17" xfId="0" applyFont="1" applyFill="1" applyBorder="1" applyAlignment="1">
      <alignment horizontal="center" vertical="center" wrapText="1"/>
    </xf>
    <xf numFmtId="0" fontId="9" fillId="11" borderId="13" xfId="0" applyFont="1" applyFill="1" applyBorder="1" applyAlignment="1" applyProtection="1">
      <alignment horizontal="center" vertical="center" wrapText="1"/>
    </xf>
    <xf numFmtId="0" fontId="9" fillId="11" borderId="17" xfId="0" applyFont="1" applyFill="1" applyBorder="1" applyAlignment="1" applyProtection="1">
      <alignment horizontal="center" vertical="center" wrapText="1"/>
    </xf>
    <xf numFmtId="0" fontId="9" fillId="12" borderId="13" xfId="0" applyFont="1" applyFill="1" applyBorder="1" applyAlignment="1" applyProtection="1">
      <alignment horizontal="center" vertical="center" wrapText="1"/>
    </xf>
    <xf numFmtId="0" fontId="9" fillId="12" borderId="17" xfId="0" applyFont="1" applyFill="1" applyBorder="1" applyAlignment="1" applyProtection="1">
      <alignment horizontal="center" vertical="center" wrapText="1"/>
    </xf>
    <xf numFmtId="1" fontId="14" fillId="7" borderId="30" xfId="0" applyNumberFormat="1" applyFont="1" applyFill="1" applyBorder="1" applyAlignment="1">
      <alignment horizontal="center" vertical="center"/>
    </xf>
    <xf numFmtId="1" fontId="14" fillId="7" borderId="23" xfId="0" applyNumberFormat="1" applyFont="1" applyFill="1" applyBorder="1" applyAlignment="1">
      <alignment horizontal="center" vertical="center"/>
    </xf>
    <xf numFmtId="167" fontId="34" fillId="3" borderId="1" xfId="1" applyNumberFormat="1" applyFont="1" applyFill="1" applyBorder="1" applyAlignment="1">
      <alignment horizontal="left" vertical="center"/>
    </xf>
    <xf numFmtId="167" fontId="6" fillId="3" borderId="1" xfId="1" applyNumberFormat="1" applyFont="1" applyFill="1" applyBorder="1" applyAlignment="1">
      <alignment horizontal="center" vertical="center"/>
    </xf>
    <xf numFmtId="167" fontId="7" fillId="0" borderId="27" xfId="1" applyNumberFormat="1" applyFont="1" applyFill="1" applyBorder="1" applyAlignment="1">
      <alignment horizontal="center" vertical="center"/>
    </xf>
    <xf numFmtId="167" fontId="7" fillId="0" borderId="4" xfId="1" applyNumberFormat="1" applyFont="1" applyFill="1" applyBorder="1" applyAlignment="1">
      <alignment horizontal="center" vertical="center"/>
    </xf>
    <xf numFmtId="1" fontId="6" fillId="3" borderId="1" xfId="1" applyNumberFormat="1" applyFont="1" applyFill="1" applyBorder="1" applyAlignment="1" applyProtection="1">
      <alignment horizontal="center" vertical="center" wrapText="1"/>
      <protection locked="0"/>
    </xf>
    <xf numFmtId="1" fontId="6" fillId="3" borderId="27" xfId="1" applyNumberFormat="1" applyFont="1" applyFill="1" applyBorder="1" applyAlignment="1" applyProtection="1">
      <alignment horizontal="center" vertical="center" wrapText="1"/>
      <protection locked="0"/>
    </xf>
    <xf numFmtId="1" fontId="6" fillId="3" borderId="4" xfId="1" applyNumberFormat="1" applyFont="1" applyFill="1" applyBorder="1" applyAlignment="1" applyProtection="1">
      <alignment horizontal="center" vertical="center" wrapText="1"/>
      <protection locked="0"/>
    </xf>
    <xf numFmtId="167" fontId="6" fillId="3" borderId="1" xfId="1" applyNumberFormat="1" applyFont="1" applyFill="1" applyBorder="1" applyAlignment="1" applyProtection="1">
      <alignment horizontal="center" vertical="center"/>
      <protection locked="0"/>
    </xf>
    <xf numFmtId="1" fontId="14" fillId="7" borderId="1" xfId="0" applyNumberFormat="1" applyFont="1" applyFill="1" applyBorder="1" applyAlignment="1">
      <alignment horizontal="center" vertical="center" wrapText="1"/>
    </xf>
    <xf numFmtId="1" fontId="14" fillId="7" borderId="27" xfId="0" applyNumberFormat="1" applyFont="1" applyFill="1" applyBorder="1" applyAlignment="1">
      <alignment horizontal="center" vertical="center" wrapText="1"/>
    </xf>
    <xf numFmtId="167" fontId="5" fillId="3" borderId="30" xfId="1" applyNumberFormat="1" applyFont="1" applyFill="1" applyBorder="1" applyAlignment="1">
      <alignment horizontal="center" vertical="center" wrapText="1"/>
    </xf>
    <xf numFmtId="167" fontId="5" fillId="3" borderId="19" xfId="1" applyNumberFormat="1" applyFont="1" applyFill="1" applyBorder="1" applyAlignment="1">
      <alignment horizontal="center" vertical="center" wrapText="1"/>
    </xf>
    <xf numFmtId="0" fontId="5" fillId="0" borderId="22" xfId="0" applyFont="1" applyBorder="1" applyAlignment="1">
      <alignment horizontal="center" vertical="center" wrapText="1"/>
    </xf>
    <xf numFmtId="0" fontId="10" fillId="0" borderId="0" xfId="0" applyNumberFormat="1" applyFont="1" applyBorder="1" applyAlignment="1">
      <alignment horizontal="center" vertical="center"/>
    </xf>
    <xf numFmtId="0" fontId="2" fillId="0" borderId="29" xfId="0" applyFont="1" applyBorder="1" applyAlignment="1">
      <alignment horizontal="center"/>
    </xf>
    <xf numFmtId="0" fontId="25" fillId="17" borderId="0" xfId="0" applyFont="1" applyFill="1" applyBorder="1" applyAlignment="1">
      <alignment horizontal="center"/>
    </xf>
    <xf numFmtId="0" fontId="2" fillId="6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37" fillId="0" borderId="8" xfId="0" applyFont="1" applyBorder="1" applyAlignment="1">
      <alignment horizontal="left"/>
    </xf>
    <xf numFmtId="0" fontId="34" fillId="20" borderId="0" xfId="0" applyFont="1" applyFill="1" applyAlignment="1">
      <alignment horizontal="center" vertical="center"/>
    </xf>
    <xf numFmtId="0" fontId="37" fillId="0" borderId="33" xfId="0" applyFont="1" applyBorder="1" applyAlignment="1">
      <alignment horizontal="left"/>
    </xf>
  </cellXfs>
  <cellStyles count="4">
    <cellStyle name="Comma" xfId="1" builtinId="3"/>
    <cellStyle name="Normal" xfId="0" builtinId="0"/>
    <cellStyle name="Normal 3" xfId="3"/>
    <cellStyle name="Percent" xfId="2" builtinId="5"/>
  </cellStyles>
  <dxfs count="8"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bsaiso/Desktop/Work%20Folders/Projects/Production%20Sheet/MEA/Planning-prod-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ipe"/>
      <sheetName val="PV"/>
      <sheetName val="monday"/>
      <sheetName val="P.MON"/>
      <sheetName val="tuesday"/>
      <sheetName val="P.TUE"/>
      <sheetName val="wesdnesday"/>
      <sheetName val="P.WES"/>
      <sheetName val="thursday"/>
      <sheetName val="P.TH"/>
      <sheetName val="friday"/>
      <sheetName val="P.FR"/>
      <sheetName val="saturday"/>
      <sheetName val="P.SAT"/>
      <sheetName val="sunday"/>
      <sheetName val="P.SUN"/>
      <sheetName val="monday3 "/>
      <sheetName val="P.monday3"/>
    </sheetNames>
    <sheetDataSet>
      <sheetData sheetId="0"/>
      <sheetData sheetId="1"/>
      <sheetData sheetId="2"/>
      <sheetData sheetId="3"/>
      <sheetData sheetId="4"/>
      <sheetData sheetId="5">
        <row r="9">
          <cell r="B9">
            <v>50</v>
          </cell>
          <cell r="F9">
            <v>0</v>
          </cell>
        </row>
        <row r="15">
          <cell r="B15">
            <v>0</v>
          </cell>
        </row>
        <row r="21">
          <cell r="B21">
            <v>0</v>
          </cell>
          <cell r="F21">
            <v>0</v>
          </cell>
        </row>
        <row r="27">
          <cell r="B27">
            <v>0</v>
          </cell>
          <cell r="F27">
            <v>0</v>
          </cell>
        </row>
        <row r="31">
          <cell r="B31">
            <v>0</v>
          </cell>
          <cell r="F31">
            <v>0</v>
          </cell>
        </row>
        <row r="38">
          <cell r="B38">
            <v>0</v>
          </cell>
          <cell r="F38">
            <v>0</v>
          </cell>
        </row>
        <row r="42">
          <cell r="B42">
            <v>0</v>
          </cell>
        </row>
        <row r="49">
          <cell r="B49">
            <v>0</v>
          </cell>
        </row>
        <row r="53">
          <cell r="B53">
            <v>0</v>
          </cell>
          <cell r="F53">
            <v>0</v>
          </cell>
        </row>
        <row r="59">
          <cell r="F59">
            <v>0</v>
          </cell>
        </row>
        <row r="63">
          <cell r="B63">
            <v>0</v>
          </cell>
        </row>
        <row r="69">
          <cell r="B69">
            <v>0</v>
          </cell>
        </row>
        <row r="84">
          <cell r="B84">
            <v>0</v>
          </cell>
          <cell r="F84">
            <v>0</v>
          </cell>
        </row>
        <row r="87">
          <cell r="B87">
            <v>0</v>
          </cell>
          <cell r="F87">
            <v>0</v>
          </cell>
        </row>
        <row r="91">
          <cell r="B91">
            <v>0</v>
          </cell>
          <cell r="F91" t="e">
            <v>#REF!</v>
          </cell>
        </row>
        <row r="97">
          <cell r="B97">
            <v>0</v>
          </cell>
          <cell r="F97" t="e">
            <v>#REF!</v>
          </cell>
        </row>
        <row r="101">
          <cell r="B101">
            <v>0</v>
          </cell>
          <cell r="F101" t="e">
            <v>#REF!</v>
          </cell>
        </row>
        <row r="110">
          <cell r="B110">
            <v>0</v>
          </cell>
          <cell r="F110" t="e">
            <v>#REF!</v>
          </cell>
        </row>
        <row r="117">
          <cell r="B117">
            <v>0</v>
          </cell>
          <cell r="F117">
            <v>0</v>
          </cell>
        </row>
        <row r="122">
          <cell r="B122">
            <v>0</v>
          </cell>
          <cell r="F122">
            <v>0</v>
          </cell>
        </row>
        <row r="131">
          <cell r="B131">
            <v>0</v>
          </cell>
          <cell r="F131">
            <v>0</v>
          </cell>
        </row>
        <row r="135">
          <cell r="B135">
            <v>0</v>
          </cell>
        </row>
        <row r="140">
          <cell r="B140">
            <v>0</v>
          </cell>
          <cell r="F140">
            <v>0</v>
          </cell>
        </row>
        <row r="146">
          <cell r="B146">
            <v>0</v>
          </cell>
          <cell r="F146">
            <v>0</v>
          </cell>
        </row>
        <row r="152">
          <cell r="B152">
            <v>0</v>
          </cell>
          <cell r="F152">
            <v>0</v>
          </cell>
        </row>
        <row r="158">
          <cell r="B158">
            <v>0</v>
          </cell>
          <cell r="F158">
            <v>0</v>
          </cell>
        </row>
        <row r="165">
          <cell r="B165">
            <v>0</v>
          </cell>
          <cell r="F165">
            <v>0</v>
          </cell>
        </row>
      </sheetData>
      <sheetData sheetId="6"/>
      <sheetData sheetId="7">
        <row r="9">
          <cell r="B9">
            <v>50</v>
          </cell>
          <cell r="F9">
            <v>26</v>
          </cell>
        </row>
        <row r="15">
          <cell r="B15">
            <v>25.688073394495412</v>
          </cell>
        </row>
        <row r="21">
          <cell r="B21">
            <v>0</v>
          </cell>
          <cell r="F21">
            <v>0</v>
          </cell>
        </row>
        <row r="27">
          <cell r="B27">
            <v>0</v>
          </cell>
          <cell r="F27">
            <v>0</v>
          </cell>
        </row>
        <row r="31">
          <cell r="B31">
            <v>0</v>
          </cell>
          <cell r="F31">
            <v>0</v>
          </cell>
        </row>
        <row r="38">
          <cell r="B38">
            <v>0</v>
          </cell>
          <cell r="F38">
            <v>0</v>
          </cell>
        </row>
        <row r="42">
          <cell r="B42">
            <v>0</v>
          </cell>
        </row>
        <row r="49">
          <cell r="B49">
            <v>0</v>
          </cell>
        </row>
        <row r="53">
          <cell r="B53">
            <v>0</v>
          </cell>
          <cell r="F53">
            <v>0</v>
          </cell>
        </row>
        <row r="59">
          <cell r="B59">
            <v>0</v>
          </cell>
          <cell r="F59">
            <v>0</v>
          </cell>
        </row>
        <row r="63">
          <cell r="B63">
            <v>0</v>
          </cell>
        </row>
        <row r="69">
          <cell r="B69">
            <v>0</v>
          </cell>
        </row>
        <row r="84">
          <cell r="B84">
            <v>0</v>
          </cell>
          <cell r="F84">
            <v>0</v>
          </cell>
        </row>
        <row r="87">
          <cell r="B87">
            <v>0</v>
          </cell>
          <cell r="F87">
            <v>0</v>
          </cell>
        </row>
        <row r="91">
          <cell r="B91">
            <v>0</v>
          </cell>
          <cell r="F91" t="e">
            <v>#REF!</v>
          </cell>
        </row>
        <row r="97">
          <cell r="B97">
            <v>0</v>
          </cell>
          <cell r="F97" t="e">
            <v>#REF!</v>
          </cell>
        </row>
        <row r="101">
          <cell r="B101">
            <v>0</v>
          </cell>
          <cell r="F101" t="e">
            <v>#REF!</v>
          </cell>
        </row>
        <row r="110">
          <cell r="B110">
            <v>0</v>
          </cell>
          <cell r="F110" t="e">
            <v>#REF!</v>
          </cell>
        </row>
        <row r="117">
          <cell r="B117">
            <v>0</v>
          </cell>
          <cell r="F117">
            <v>0</v>
          </cell>
        </row>
        <row r="122">
          <cell r="B122">
            <v>0</v>
          </cell>
          <cell r="F122">
            <v>0</v>
          </cell>
        </row>
        <row r="131">
          <cell r="B131">
            <v>0</v>
          </cell>
          <cell r="F131">
            <v>0</v>
          </cell>
        </row>
        <row r="135">
          <cell r="B135">
            <v>0</v>
          </cell>
        </row>
        <row r="140">
          <cell r="B140">
            <v>0</v>
          </cell>
          <cell r="F140">
            <v>0</v>
          </cell>
        </row>
        <row r="146">
          <cell r="B146">
            <v>0</v>
          </cell>
          <cell r="F146">
            <v>0</v>
          </cell>
        </row>
        <row r="152">
          <cell r="B152">
            <v>0</v>
          </cell>
          <cell r="F152">
            <v>0</v>
          </cell>
        </row>
        <row r="158">
          <cell r="B158">
            <v>0</v>
          </cell>
          <cell r="F158">
            <v>0</v>
          </cell>
        </row>
        <row r="165">
          <cell r="B165">
            <v>0</v>
          </cell>
          <cell r="F165">
            <v>0</v>
          </cell>
        </row>
      </sheetData>
      <sheetData sheetId="8"/>
      <sheetData sheetId="9">
        <row r="9">
          <cell r="B9">
            <v>50</v>
          </cell>
          <cell r="F9">
            <v>0</v>
          </cell>
        </row>
        <row r="15">
          <cell r="B15">
            <v>0</v>
          </cell>
        </row>
        <row r="21">
          <cell r="B21">
            <v>0</v>
          </cell>
          <cell r="F21">
            <v>0</v>
          </cell>
        </row>
        <row r="27">
          <cell r="B27">
            <v>0</v>
          </cell>
          <cell r="F27">
            <v>0</v>
          </cell>
        </row>
        <row r="31">
          <cell r="B31">
            <v>0</v>
          </cell>
          <cell r="F31">
            <v>0</v>
          </cell>
        </row>
        <row r="38">
          <cell r="B38">
            <v>0</v>
          </cell>
          <cell r="F38">
            <v>0</v>
          </cell>
        </row>
        <row r="42">
          <cell r="B42">
            <v>0</v>
          </cell>
        </row>
        <row r="49">
          <cell r="B49">
            <v>0</v>
          </cell>
        </row>
        <row r="53">
          <cell r="B53">
            <v>0</v>
          </cell>
          <cell r="F53">
            <v>0</v>
          </cell>
        </row>
        <row r="59">
          <cell r="B59">
            <v>0</v>
          </cell>
          <cell r="F59">
            <v>0</v>
          </cell>
        </row>
        <row r="63">
          <cell r="B63">
            <v>0</v>
          </cell>
        </row>
        <row r="69">
          <cell r="B69">
            <v>0</v>
          </cell>
        </row>
        <row r="84">
          <cell r="B84">
            <v>0</v>
          </cell>
          <cell r="F84" t="e">
            <v>#REF!</v>
          </cell>
        </row>
        <row r="87">
          <cell r="B87">
            <v>0</v>
          </cell>
          <cell r="F87" t="e">
            <v>#REF!</v>
          </cell>
        </row>
        <row r="91">
          <cell r="B91">
            <v>0</v>
          </cell>
          <cell r="F91" t="e">
            <v>#REF!</v>
          </cell>
        </row>
        <row r="97">
          <cell r="B97">
            <v>0</v>
          </cell>
          <cell r="F97" t="e">
            <v>#REF!</v>
          </cell>
        </row>
        <row r="101">
          <cell r="B101">
            <v>0</v>
          </cell>
          <cell r="F101" t="e">
            <v>#REF!</v>
          </cell>
        </row>
        <row r="110">
          <cell r="B110">
            <v>0</v>
          </cell>
          <cell r="F110" t="e">
            <v>#REF!</v>
          </cell>
        </row>
        <row r="117">
          <cell r="B117">
            <v>0</v>
          </cell>
          <cell r="F117">
            <v>0</v>
          </cell>
        </row>
        <row r="122">
          <cell r="B122">
            <v>0</v>
          </cell>
          <cell r="F122">
            <v>0</v>
          </cell>
        </row>
        <row r="131">
          <cell r="B131">
            <v>0</v>
          </cell>
          <cell r="F131">
            <v>0</v>
          </cell>
        </row>
        <row r="135">
          <cell r="B135">
            <v>0</v>
          </cell>
        </row>
        <row r="140">
          <cell r="B140">
            <v>0</v>
          </cell>
          <cell r="F140">
            <v>0</v>
          </cell>
        </row>
        <row r="146">
          <cell r="B146">
            <v>0</v>
          </cell>
          <cell r="F146">
            <v>0</v>
          </cell>
        </row>
        <row r="152">
          <cell r="B152">
            <v>0</v>
          </cell>
          <cell r="F152">
            <v>0</v>
          </cell>
        </row>
        <row r="158">
          <cell r="B158">
            <v>0</v>
          </cell>
          <cell r="F158">
            <v>0</v>
          </cell>
        </row>
        <row r="165">
          <cell r="B165">
            <v>0</v>
          </cell>
          <cell r="F165">
            <v>0</v>
          </cell>
        </row>
      </sheetData>
      <sheetData sheetId="10"/>
      <sheetData sheetId="11">
        <row r="9">
          <cell r="B9">
            <v>50</v>
          </cell>
          <cell r="F9">
            <v>0</v>
          </cell>
        </row>
        <row r="15">
          <cell r="B15">
            <v>0</v>
          </cell>
        </row>
        <row r="21">
          <cell r="B21">
            <v>0</v>
          </cell>
          <cell r="F21">
            <v>0</v>
          </cell>
        </row>
        <row r="27">
          <cell r="B27">
            <v>0</v>
          </cell>
          <cell r="F27">
            <v>0</v>
          </cell>
        </row>
        <row r="31">
          <cell r="B31">
            <v>0</v>
          </cell>
          <cell r="F31">
            <v>0</v>
          </cell>
        </row>
        <row r="38">
          <cell r="B38">
            <v>0</v>
          </cell>
          <cell r="F38">
            <v>0</v>
          </cell>
        </row>
        <row r="42">
          <cell r="B42">
            <v>0</v>
          </cell>
        </row>
        <row r="49">
          <cell r="B49">
            <v>0</v>
          </cell>
        </row>
        <row r="53">
          <cell r="B53">
            <v>0</v>
          </cell>
          <cell r="F53">
            <v>0</v>
          </cell>
        </row>
        <row r="59">
          <cell r="B59">
            <v>0</v>
          </cell>
          <cell r="F59">
            <v>0</v>
          </cell>
        </row>
        <row r="63">
          <cell r="B63">
            <v>0</v>
          </cell>
        </row>
        <row r="69">
          <cell r="B69">
            <v>0</v>
          </cell>
        </row>
        <row r="84">
          <cell r="B84">
            <v>0</v>
          </cell>
          <cell r="F84">
            <v>0</v>
          </cell>
        </row>
        <row r="87">
          <cell r="B87">
            <v>0</v>
          </cell>
          <cell r="F87">
            <v>0</v>
          </cell>
        </row>
        <row r="91">
          <cell r="B91">
            <v>0</v>
          </cell>
          <cell r="F91" t="e">
            <v>#REF!</v>
          </cell>
        </row>
        <row r="97">
          <cell r="B97">
            <v>0</v>
          </cell>
          <cell r="F97" t="e">
            <v>#REF!</v>
          </cell>
        </row>
        <row r="101">
          <cell r="B101">
            <v>0</v>
          </cell>
          <cell r="F101" t="e">
            <v>#REF!</v>
          </cell>
        </row>
        <row r="110">
          <cell r="B110">
            <v>0</v>
          </cell>
          <cell r="F110" t="e">
            <v>#REF!</v>
          </cell>
        </row>
        <row r="117">
          <cell r="B117">
            <v>0</v>
          </cell>
          <cell r="F117">
            <v>0</v>
          </cell>
        </row>
        <row r="122">
          <cell r="B122">
            <v>0</v>
          </cell>
          <cell r="F122">
            <v>0</v>
          </cell>
        </row>
        <row r="131">
          <cell r="B131">
            <v>0</v>
          </cell>
          <cell r="F131">
            <v>0</v>
          </cell>
        </row>
        <row r="135">
          <cell r="B135">
            <v>0</v>
          </cell>
        </row>
        <row r="140">
          <cell r="B140">
            <v>0</v>
          </cell>
          <cell r="F140">
            <v>0</v>
          </cell>
        </row>
        <row r="146">
          <cell r="B146">
            <v>0</v>
          </cell>
          <cell r="F146">
            <v>0</v>
          </cell>
        </row>
        <row r="152">
          <cell r="B152">
            <v>0</v>
          </cell>
          <cell r="F152">
            <v>0</v>
          </cell>
        </row>
        <row r="158">
          <cell r="B158">
            <v>0</v>
          </cell>
          <cell r="F158">
            <v>0</v>
          </cell>
        </row>
        <row r="165">
          <cell r="B165">
            <v>0</v>
          </cell>
          <cell r="F165">
            <v>0</v>
          </cell>
        </row>
      </sheetData>
      <sheetData sheetId="12"/>
      <sheetData sheetId="13">
        <row r="9">
          <cell r="B9">
            <v>50</v>
          </cell>
          <cell r="F9">
            <v>0</v>
          </cell>
        </row>
        <row r="15">
          <cell r="B15">
            <v>0</v>
          </cell>
        </row>
        <row r="21">
          <cell r="B21">
            <v>0</v>
          </cell>
          <cell r="F21">
            <v>0</v>
          </cell>
        </row>
        <row r="27">
          <cell r="B27">
            <v>0</v>
          </cell>
          <cell r="F27">
            <v>0</v>
          </cell>
        </row>
        <row r="31">
          <cell r="B31">
            <v>0</v>
          </cell>
          <cell r="F31">
            <v>0</v>
          </cell>
        </row>
        <row r="38">
          <cell r="B38">
            <v>0</v>
          </cell>
          <cell r="F38">
            <v>0</v>
          </cell>
        </row>
        <row r="42">
          <cell r="B42">
            <v>0</v>
          </cell>
        </row>
        <row r="49">
          <cell r="B49">
            <v>0</v>
          </cell>
        </row>
        <row r="53">
          <cell r="B53">
            <v>0</v>
          </cell>
          <cell r="F53">
            <v>0</v>
          </cell>
        </row>
        <row r="59">
          <cell r="B59">
            <v>0</v>
          </cell>
          <cell r="F59">
            <v>0</v>
          </cell>
        </row>
        <row r="63">
          <cell r="B63">
            <v>0</v>
          </cell>
        </row>
        <row r="69">
          <cell r="B69">
            <v>0</v>
          </cell>
        </row>
        <row r="84">
          <cell r="B84">
            <v>0</v>
          </cell>
          <cell r="F84">
            <v>0</v>
          </cell>
        </row>
        <row r="87">
          <cell r="B87">
            <v>0</v>
          </cell>
          <cell r="F87">
            <v>0</v>
          </cell>
        </row>
        <row r="91">
          <cell r="B91">
            <v>0</v>
          </cell>
          <cell r="F91" t="e">
            <v>#REF!</v>
          </cell>
        </row>
        <row r="97">
          <cell r="B97">
            <v>0</v>
          </cell>
          <cell r="F97" t="e">
            <v>#REF!</v>
          </cell>
        </row>
        <row r="101">
          <cell r="B101">
            <v>0</v>
          </cell>
          <cell r="F101" t="e">
            <v>#REF!</v>
          </cell>
        </row>
        <row r="110">
          <cell r="B110">
            <v>0</v>
          </cell>
          <cell r="F110" t="e">
            <v>#REF!</v>
          </cell>
        </row>
        <row r="117">
          <cell r="B117">
            <v>0</v>
          </cell>
          <cell r="F117">
            <v>0</v>
          </cell>
        </row>
        <row r="122">
          <cell r="B122">
            <v>0</v>
          </cell>
          <cell r="F122">
            <v>0</v>
          </cell>
        </row>
        <row r="131">
          <cell r="B131">
            <v>0</v>
          </cell>
          <cell r="F131">
            <v>0</v>
          </cell>
        </row>
        <row r="135">
          <cell r="B135">
            <v>0</v>
          </cell>
        </row>
        <row r="140">
          <cell r="B140">
            <v>0</v>
          </cell>
          <cell r="F140">
            <v>0</v>
          </cell>
        </row>
        <row r="146">
          <cell r="B146">
            <v>0</v>
          </cell>
          <cell r="F146">
            <v>0</v>
          </cell>
        </row>
        <row r="152">
          <cell r="B152">
            <v>0</v>
          </cell>
          <cell r="F152">
            <v>0</v>
          </cell>
        </row>
        <row r="158">
          <cell r="B158">
            <v>0</v>
          </cell>
          <cell r="F158">
            <v>0</v>
          </cell>
        </row>
        <row r="165">
          <cell r="B165">
            <v>0</v>
          </cell>
          <cell r="F165">
            <v>0</v>
          </cell>
        </row>
      </sheetData>
      <sheetData sheetId="14"/>
      <sheetData sheetId="15">
        <row r="9">
          <cell r="B9">
            <v>50</v>
          </cell>
          <cell r="F9">
            <v>0</v>
          </cell>
        </row>
        <row r="15">
          <cell r="B15">
            <v>0</v>
          </cell>
        </row>
        <row r="21">
          <cell r="B21">
            <v>0</v>
          </cell>
          <cell r="F21">
            <v>0</v>
          </cell>
        </row>
        <row r="27">
          <cell r="B27">
            <v>0</v>
          </cell>
          <cell r="F27">
            <v>0</v>
          </cell>
        </row>
        <row r="31">
          <cell r="B31">
            <v>0</v>
          </cell>
          <cell r="F31">
            <v>0</v>
          </cell>
        </row>
        <row r="38">
          <cell r="B38">
            <v>0</v>
          </cell>
          <cell r="F38">
            <v>0</v>
          </cell>
        </row>
        <row r="42">
          <cell r="B42">
            <v>0</v>
          </cell>
        </row>
        <row r="49">
          <cell r="B49">
            <v>0</v>
          </cell>
        </row>
        <row r="53">
          <cell r="B53">
            <v>0</v>
          </cell>
          <cell r="F53">
            <v>0</v>
          </cell>
        </row>
        <row r="59">
          <cell r="B59">
            <v>0</v>
          </cell>
          <cell r="F59">
            <v>0</v>
          </cell>
        </row>
        <row r="63">
          <cell r="B63">
            <v>0</v>
          </cell>
        </row>
        <row r="69">
          <cell r="B69">
            <v>0</v>
          </cell>
        </row>
        <row r="84">
          <cell r="B84">
            <v>0</v>
          </cell>
          <cell r="F84">
            <v>0</v>
          </cell>
        </row>
        <row r="87">
          <cell r="B87">
            <v>0</v>
          </cell>
          <cell r="F87">
            <v>0</v>
          </cell>
        </row>
        <row r="91">
          <cell r="B91">
            <v>0</v>
          </cell>
          <cell r="F91" t="e">
            <v>#REF!</v>
          </cell>
        </row>
        <row r="97">
          <cell r="B97">
            <v>0</v>
          </cell>
          <cell r="F97" t="e">
            <v>#REF!</v>
          </cell>
        </row>
        <row r="101">
          <cell r="B101">
            <v>0</v>
          </cell>
          <cell r="F101" t="e">
            <v>#REF!</v>
          </cell>
        </row>
        <row r="110">
          <cell r="B110">
            <v>0</v>
          </cell>
          <cell r="F110" t="e">
            <v>#REF!</v>
          </cell>
        </row>
        <row r="117">
          <cell r="B117">
            <v>0</v>
          </cell>
          <cell r="F117">
            <v>0</v>
          </cell>
        </row>
        <row r="122">
          <cell r="B122">
            <v>0</v>
          </cell>
          <cell r="F122">
            <v>0</v>
          </cell>
        </row>
        <row r="131">
          <cell r="B131">
            <v>0</v>
          </cell>
          <cell r="F131">
            <v>0</v>
          </cell>
        </row>
        <row r="135">
          <cell r="B135">
            <v>0</v>
          </cell>
        </row>
        <row r="140">
          <cell r="B140">
            <v>0</v>
          </cell>
          <cell r="F140">
            <v>0</v>
          </cell>
        </row>
        <row r="146">
          <cell r="B146">
            <v>0</v>
          </cell>
          <cell r="F146">
            <v>0</v>
          </cell>
        </row>
        <row r="152">
          <cell r="B152">
            <v>0</v>
          </cell>
          <cell r="F152">
            <v>0</v>
          </cell>
        </row>
        <row r="158">
          <cell r="B158">
            <v>0</v>
          </cell>
          <cell r="F158">
            <v>0</v>
          </cell>
        </row>
        <row r="165">
          <cell r="B165">
            <v>0</v>
          </cell>
          <cell r="F165">
            <v>0</v>
          </cell>
        </row>
      </sheetData>
      <sheetData sheetId="16"/>
      <sheetData sheetId="17">
        <row r="21">
          <cell r="F21">
            <v>0</v>
          </cell>
        </row>
        <row r="31">
          <cell r="B31">
            <v>0</v>
          </cell>
        </row>
        <row r="38">
          <cell r="F38">
            <v>0</v>
          </cell>
        </row>
        <row r="152">
          <cell r="B152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indexed="35"/>
  </sheetPr>
  <dimension ref="A1:J174"/>
  <sheetViews>
    <sheetView zoomScaleNormal="100" workbookViewId="0">
      <selection activeCell="J166" sqref="J166"/>
    </sheetView>
  </sheetViews>
  <sheetFormatPr defaultColWidth="11.42578125" defaultRowHeight="12.75" x14ac:dyDescent="0.2"/>
  <cols>
    <col min="1" max="1" width="24.5703125" style="97" customWidth="1"/>
    <col min="2" max="2" width="8.5703125" style="97" customWidth="1"/>
    <col min="3" max="3" width="8.28515625" style="97" hidden="1" customWidth="1"/>
    <col min="4" max="4" width="10.42578125" style="104" customWidth="1"/>
    <col min="5" max="5" width="24.7109375" style="97" bestFit="1" customWidth="1"/>
    <col min="6" max="6" width="7.140625" style="97" bestFit="1" customWidth="1"/>
    <col min="7" max="7" width="8.140625" style="97" hidden="1" customWidth="1"/>
    <col min="8" max="8" width="8" style="97" customWidth="1"/>
    <col min="9" max="16384" width="11.42578125" style="97"/>
  </cols>
  <sheetData>
    <row r="1" spans="1:10" ht="15.75" x14ac:dyDescent="0.25">
      <c r="A1" s="390" t="s">
        <v>0</v>
      </c>
      <c r="B1" s="390"/>
      <c r="D1" s="98"/>
      <c r="E1" s="390" t="s">
        <v>1</v>
      </c>
      <c r="F1" s="390"/>
    </row>
    <row r="2" spans="1:10" ht="10.5" customHeight="1" x14ac:dyDescent="0.25">
      <c r="A2" s="98"/>
      <c r="B2" s="98"/>
      <c r="D2" s="98"/>
      <c r="E2" s="98"/>
      <c r="F2" s="98"/>
    </row>
    <row r="3" spans="1:10" x14ac:dyDescent="0.2">
      <c r="B3" s="1" t="s">
        <v>181</v>
      </c>
      <c r="D3" s="80"/>
      <c r="F3" s="1" t="s">
        <v>181</v>
      </c>
    </row>
    <row r="4" spans="1:10" x14ac:dyDescent="0.2">
      <c r="A4" s="2" t="s">
        <v>2</v>
      </c>
      <c r="B4" s="109">
        <v>1</v>
      </c>
      <c r="D4" s="101"/>
      <c r="E4" s="2" t="s">
        <v>2</v>
      </c>
      <c r="F4" s="106">
        <v>9</v>
      </c>
    </row>
    <row r="5" spans="1:10" x14ac:dyDescent="0.2">
      <c r="A5" s="5" t="s">
        <v>3</v>
      </c>
      <c r="B5" s="6">
        <v>0.61</v>
      </c>
      <c r="C5" s="97">
        <f>B5/farine</f>
        <v>0.61</v>
      </c>
      <c r="D5" s="101"/>
      <c r="E5" s="5" t="s">
        <v>3</v>
      </c>
      <c r="F5" s="7">
        <v>7</v>
      </c>
      <c r="G5" s="97">
        <f>F5/ftf</f>
        <v>0.77777777777777779</v>
      </c>
    </row>
    <row r="6" spans="1:10" x14ac:dyDescent="0.2">
      <c r="A6" s="5" t="s">
        <v>4</v>
      </c>
      <c r="B6" s="110">
        <v>0.02</v>
      </c>
      <c r="C6" s="97">
        <f>B6/farine</f>
        <v>0.02</v>
      </c>
      <c r="D6" s="101"/>
      <c r="E6" s="5" t="s">
        <v>4</v>
      </c>
      <c r="F6" s="111">
        <v>0.2</v>
      </c>
      <c r="G6" s="97">
        <f>F6/ftf</f>
        <v>2.2222222222222223E-2</v>
      </c>
    </row>
    <row r="7" spans="1:10" x14ac:dyDescent="0.2">
      <c r="A7" s="5" t="s">
        <v>5</v>
      </c>
      <c r="B7" s="6">
        <v>0.01</v>
      </c>
      <c r="C7" s="97">
        <f>B7/farine</f>
        <v>0.01</v>
      </c>
      <c r="D7" s="101"/>
      <c r="E7" s="5" t="s">
        <v>5</v>
      </c>
      <c r="F7" s="91">
        <v>7.0000000000000007E-2</v>
      </c>
      <c r="G7" s="97">
        <f>F7/ftf</f>
        <v>7.7777777777777784E-3</v>
      </c>
    </row>
    <row r="8" spans="1:10" x14ac:dyDescent="0.2">
      <c r="A8" s="5" t="s">
        <v>6</v>
      </c>
      <c r="B8" s="6">
        <v>0.01</v>
      </c>
      <c r="C8" s="97">
        <f>B8/farine</f>
        <v>0.01</v>
      </c>
      <c r="D8" s="101"/>
      <c r="E8" s="5" t="s">
        <v>195</v>
      </c>
      <c r="F8" s="94">
        <v>1</v>
      </c>
      <c r="G8" s="97">
        <f>F8/ftf</f>
        <v>0.1111111111111111</v>
      </c>
    </row>
    <row r="9" spans="1:10" x14ac:dyDescent="0.2">
      <c r="B9" s="112">
        <f>SUM(B4:B8)</f>
        <v>1.65</v>
      </c>
      <c r="D9" s="101"/>
      <c r="F9" s="113">
        <f>SUM(F4:F8)</f>
        <v>17.27</v>
      </c>
    </row>
    <row r="10" spans="1:10" x14ac:dyDescent="0.2">
      <c r="B10" s="108"/>
      <c r="D10" s="102"/>
      <c r="F10" s="108"/>
    </row>
    <row r="13" spans="1:10" ht="15.75" x14ac:dyDescent="0.25">
      <c r="A13" s="390" t="s">
        <v>7</v>
      </c>
      <c r="B13" s="390"/>
      <c r="D13" s="98"/>
      <c r="E13" s="390" t="s">
        <v>175</v>
      </c>
      <c r="F13" s="390"/>
      <c r="H13" s="114"/>
      <c r="J13" s="115"/>
    </row>
    <row r="14" spans="1:10" ht="6" customHeight="1" x14ac:dyDescent="0.25">
      <c r="A14" s="98"/>
      <c r="B14" s="98"/>
      <c r="D14" s="98"/>
      <c r="E14" s="98"/>
      <c r="F14" s="98"/>
      <c r="H14" s="114"/>
      <c r="J14" s="115"/>
    </row>
    <row r="15" spans="1:10" x14ac:dyDescent="0.2">
      <c r="B15" s="1" t="s">
        <v>181</v>
      </c>
      <c r="D15" s="80"/>
      <c r="F15" s="1" t="s">
        <v>181</v>
      </c>
      <c r="H15" s="114"/>
      <c r="J15" s="115"/>
    </row>
    <row r="16" spans="1:10" x14ac:dyDescent="0.2">
      <c r="A16" s="8" t="s">
        <v>9</v>
      </c>
      <c r="B16" s="106">
        <v>2.7</v>
      </c>
      <c r="D16" s="101"/>
      <c r="E16" s="2" t="s">
        <v>10</v>
      </c>
      <c r="F16" s="106">
        <v>1</v>
      </c>
      <c r="H16" s="114"/>
      <c r="J16" s="115"/>
    </row>
    <row r="17" spans="1:10" x14ac:dyDescent="0.2">
      <c r="A17" s="9" t="s">
        <v>197</v>
      </c>
      <c r="B17" s="116">
        <v>0.3</v>
      </c>
      <c r="C17" s="97">
        <f>B17/fcr</f>
        <v>0.1111111111111111</v>
      </c>
      <c r="D17" s="101"/>
      <c r="E17" s="5" t="s">
        <v>3</v>
      </c>
      <c r="F17" s="10">
        <v>0.125</v>
      </c>
      <c r="G17" s="97">
        <f t="shared" ref="G17:G24" si="0">F17/flr</f>
        <v>0.125</v>
      </c>
      <c r="H17" s="114"/>
      <c r="J17" s="115"/>
    </row>
    <row r="18" spans="1:10" x14ac:dyDescent="0.2">
      <c r="A18" s="9" t="s">
        <v>11</v>
      </c>
      <c r="B18" s="7">
        <v>1.8</v>
      </c>
      <c r="C18" s="97">
        <f t="shared" ref="C18:C22" si="1">B18/fcr</f>
        <v>0.66666666666666663</v>
      </c>
      <c r="D18" s="101"/>
      <c r="E18" s="5" t="s">
        <v>176</v>
      </c>
      <c r="F18" s="116">
        <v>0.5</v>
      </c>
      <c r="G18" s="97">
        <f t="shared" si="0"/>
        <v>0.5</v>
      </c>
      <c r="H18" s="114"/>
      <c r="J18" s="115"/>
    </row>
    <row r="19" spans="1:10" x14ac:dyDescent="0.2">
      <c r="A19" s="9" t="s">
        <v>5</v>
      </c>
      <c r="B19" s="116">
        <v>0.03</v>
      </c>
      <c r="C19" s="97">
        <f t="shared" si="1"/>
        <v>1.111111111111111E-2</v>
      </c>
      <c r="D19" s="101"/>
      <c r="E19" s="5" t="s">
        <v>12</v>
      </c>
      <c r="F19" s="116">
        <v>0.14000000000000001</v>
      </c>
      <c r="G19" s="97">
        <f t="shared" si="0"/>
        <v>0.14000000000000001</v>
      </c>
      <c r="H19" s="114"/>
      <c r="J19" s="115"/>
    </row>
    <row r="20" spans="1:10" x14ac:dyDescent="0.2">
      <c r="A20" s="5"/>
      <c r="B20" s="117"/>
      <c r="C20" s="97">
        <f t="shared" si="1"/>
        <v>0</v>
      </c>
      <c r="D20" s="101"/>
      <c r="E20" s="5" t="s">
        <v>4</v>
      </c>
      <c r="F20" s="116">
        <v>1.4999999999999999E-2</v>
      </c>
      <c r="G20" s="97">
        <f t="shared" si="0"/>
        <v>1.4999999999999999E-2</v>
      </c>
      <c r="J20" s="115"/>
    </row>
    <row r="21" spans="1:10" x14ac:dyDescent="0.2">
      <c r="A21" s="5"/>
      <c r="B21" s="117"/>
      <c r="C21" s="97">
        <f t="shared" si="1"/>
        <v>0</v>
      </c>
      <c r="D21" s="101"/>
      <c r="E21" s="14" t="s">
        <v>6</v>
      </c>
      <c r="F21" s="116">
        <v>0.01</v>
      </c>
      <c r="G21" s="97">
        <f t="shared" si="0"/>
        <v>0.01</v>
      </c>
    </row>
    <row r="22" spans="1:10" x14ac:dyDescent="0.2">
      <c r="A22" s="5"/>
      <c r="B22" s="117"/>
      <c r="C22" s="97">
        <f t="shared" si="1"/>
        <v>0</v>
      </c>
      <c r="D22" s="101"/>
      <c r="E22" s="90" t="s">
        <v>5</v>
      </c>
      <c r="F22" s="117">
        <v>0.05</v>
      </c>
      <c r="G22" s="97">
        <f t="shared" si="0"/>
        <v>0.05</v>
      </c>
    </row>
    <row r="23" spans="1:10" x14ac:dyDescent="0.2">
      <c r="A23" s="63"/>
      <c r="B23" s="118"/>
      <c r="D23" s="101"/>
      <c r="E23" s="90" t="s">
        <v>177</v>
      </c>
      <c r="F23" s="118">
        <v>0.03</v>
      </c>
      <c r="G23" s="97">
        <f t="shared" si="0"/>
        <v>0.03</v>
      </c>
    </row>
    <row r="24" spans="1:10" x14ac:dyDescent="0.2">
      <c r="A24" s="63"/>
      <c r="B24" s="118"/>
      <c r="D24" s="101"/>
      <c r="E24" s="90" t="s">
        <v>16</v>
      </c>
      <c r="F24" s="118">
        <v>0.4</v>
      </c>
      <c r="G24" s="97">
        <f t="shared" si="0"/>
        <v>0.4</v>
      </c>
    </row>
    <row r="25" spans="1:10" x14ac:dyDescent="0.2">
      <c r="B25" s="107">
        <f>SUM(B16:B22)</f>
        <v>4.83</v>
      </c>
      <c r="D25" s="101"/>
      <c r="F25" s="107">
        <f>SUM(F16:F24)</f>
        <v>2.27</v>
      </c>
    </row>
    <row r="26" spans="1:10" x14ac:dyDescent="0.2">
      <c r="B26" s="108"/>
      <c r="D26" s="102"/>
      <c r="F26" s="108"/>
    </row>
    <row r="29" spans="1:10" ht="15.75" x14ac:dyDescent="0.25">
      <c r="A29" s="390" t="s">
        <v>13</v>
      </c>
      <c r="B29" s="390"/>
      <c r="D29" s="98"/>
      <c r="E29" s="390" t="s">
        <v>14</v>
      </c>
      <c r="F29" s="390"/>
    </row>
    <row r="30" spans="1:10" ht="15.75" x14ac:dyDescent="0.25">
      <c r="A30" s="98"/>
      <c r="B30" s="98"/>
      <c r="D30" s="98"/>
      <c r="E30" s="98"/>
      <c r="F30" s="98"/>
    </row>
    <row r="31" spans="1:10" x14ac:dyDescent="0.2">
      <c r="B31" s="1" t="s">
        <v>181</v>
      </c>
      <c r="D31" s="80"/>
      <c r="F31" s="1" t="s">
        <v>181</v>
      </c>
    </row>
    <row r="32" spans="1:10" x14ac:dyDescent="0.2">
      <c r="A32" s="2" t="s">
        <v>15</v>
      </c>
      <c r="B32" s="106">
        <v>1</v>
      </c>
      <c r="D32" s="101"/>
      <c r="E32" s="2" t="s">
        <v>284</v>
      </c>
      <c r="F32" s="106">
        <v>0.5</v>
      </c>
    </row>
    <row r="33" spans="1:7" x14ac:dyDescent="0.2">
      <c r="A33" s="5" t="s">
        <v>3</v>
      </c>
      <c r="B33" s="7">
        <v>0.52</v>
      </c>
      <c r="C33" s="97">
        <f>B33/frr</f>
        <v>0.52</v>
      </c>
      <c r="D33" s="101"/>
      <c r="E33" s="5" t="s">
        <v>246</v>
      </c>
      <c r="F33" s="7">
        <v>0.5</v>
      </c>
      <c r="G33" s="97">
        <f t="shared" ref="G33:G38" si="2">F33/fpbr</f>
        <v>1</v>
      </c>
    </row>
    <row r="34" spans="1:7" x14ac:dyDescent="0.2">
      <c r="A34" s="5" t="s">
        <v>5</v>
      </c>
      <c r="B34" s="116">
        <v>0.02</v>
      </c>
      <c r="C34" s="97">
        <f>B34/frr</f>
        <v>0.02</v>
      </c>
      <c r="D34" s="101"/>
      <c r="E34" s="5" t="s">
        <v>3</v>
      </c>
      <c r="F34" s="116">
        <v>0.62</v>
      </c>
      <c r="G34" s="97">
        <f t="shared" si="2"/>
        <v>1.24</v>
      </c>
    </row>
    <row r="35" spans="1:7" x14ac:dyDescent="0.2">
      <c r="A35" s="5" t="s">
        <v>16</v>
      </c>
      <c r="B35" s="116">
        <v>0.4</v>
      </c>
      <c r="C35" s="97">
        <f>B35/frr</f>
        <v>0.4</v>
      </c>
      <c r="D35" s="101"/>
      <c r="E35" s="5" t="s">
        <v>5</v>
      </c>
      <c r="F35" s="116">
        <v>0.02</v>
      </c>
      <c r="G35" s="97">
        <f t="shared" si="2"/>
        <v>0.04</v>
      </c>
    </row>
    <row r="36" spans="1:7" x14ac:dyDescent="0.2">
      <c r="A36" s="11"/>
      <c r="B36" s="119"/>
      <c r="C36" s="97">
        <f>B36/frr</f>
        <v>0</v>
      </c>
      <c r="D36" s="101"/>
      <c r="E36" s="5"/>
      <c r="F36" s="116"/>
      <c r="G36" s="97">
        <f t="shared" si="2"/>
        <v>0</v>
      </c>
    </row>
    <row r="37" spans="1:7" x14ac:dyDescent="0.2">
      <c r="A37" s="182"/>
      <c r="B37" s="119"/>
      <c r="D37" s="101"/>
      <c r="E37" s="14"/>
      <c r="F37" s="183"/>
      <c r="G37" s="97">
        <f t="shared" si="2"/>
        <v>0</v>
      </c>
    </row>
    <row r="38" spans="1:7" x14ac:dyDescent="0.2">
      <c r="A38" s="12"/>
      <c r="B38" s="119"/>
      <c r="D38" s="101"/>
      <c r="E38" s="3"/>
      <c r="F38" s="120"/>
      <c r="G38" s="97">
        <f t="shared" si="2"/>
        <v>0</v>
      </c>
    </row>
    <row r="39" spans="1:7" x14ac:dyDescent="0.2">
      <c r="B39" s="107">
        <f>SUM(B32:B38)</f>
        <v>1.94</v>
      </c>
      <c r="D39" s="101"/>
      <c r="F39" s="107">
        <f>SUM(F32:F38)</f>
        <v>1.6400000000000001</v>
      </c>
    </row>
    <row r="40" spans="1:7" x14ac:dyDescent="0.2">
      <c r="B40" s="178"/>
      <c r="D40" s="101"/>
      <c r="F40" s="178"/>
    </row>
    <row r="41" spans="1:7" ht="15.75" x14ac:dyDescent="0.25">
      <c r="A41" s="390" t="s">
        <v>203</v>
      </c>
      <c r="B41" s="390"/>
      <c r="D41" s="101"/>
      <c r="E41" s="390" t="s">
        <v>202</v>
      </c>
      <c r="F41" s="390"/>
    </row>
    <row r="42" spans="1:7" ht="15.75" x14ac:dyDescent="0.25">
      <c r="A42" s="98"/>
      <c r="B42" s="98"/>
      <c r="D42" s="101"/>
      <c r="E42" s="98"/>
      <c r="F42" s="98"/>
    </row>
    <row r="43" spans="1:7" x14ac:dyDescent="0.2">
      <c r="B43" s="1" t="s">
        <v>181</v>
      </c>
      <c r="D43" s="101"/>
      <c r="F43" s="1" t="s">
        <v>181</v>
      </c>
    </row>
    <row r="44" spans="1:7" x14ac:dyDescent="0.2">
      <c r="A44" s="2" t="s">
        <v>9</v>
      </c>
      <c r="B44" s="106">
        <v>2.7</v>
      </c>
      <c r="D44" s="101"/>
      <c r="E44" s="2" t="s">
        <v>199</v>
      </c>
      <c r="F44" s="106">
        <v>1</v>
      </c>
    </row>
    <row r="45" spans="1:7" x14ac:dyDescent="0.2">
      <c r="A45" s="5" t="s">
        <v>197</v>
      </c>
      <c r="B45" s="7">
        <v>0.3</v>
      </c>
      <c r="C45" s="115">
        <f>B45/fpcr</f>
        <v>0.1111111111111111</v>
      </c>
      <c r="D45" s="101"/>
      <c r="E45" s="5" t="s">
        <v>200</v>
      </c>
      <c r="F45" s="7">
        <v>0.06</v>
      </c>
    </row>
    <row r="46" spans="1:7" x14ac:dyDescent="0.2">
      <c r="A46" s="5" t="s">
        <v>11</v>
      </c>
      <c r="B46" s="116">
        <v>2.1</v>
      </c>
      <c r="C46" s="115">
        <f>B46/fpcr</f>
        <v>0.77777777777777779</v>
      </c>
      <c r="D46" s="101"/>
      <c r="E46" s="5" t="s">
        <v>201</v>
      </c>
      <c r="F46" s="116">
        <v>0.01</v>
      </c>
    </row>
    <row r="47" spans="1:7" x14ac:dyDescent="0.2">
      <c r="A47" s="5" t="s">
        <v>5</v>
      </c>
      <c r="B47" s="116">
        <v>0.03</v>
      </c>
      <c r="C47" s="115">
        <f>B47/fpcr</f>
        <v>1.111111111111111E-2</v>
      </c>
      <c r="D47" s="101"/>
      <c r="E47" s="5"/>
      <c r="F47" s="116"/>
    </row>
    <row r="48" spans="1:7" x14ac:dyDescent="0.2">
      <c r="A48" s="5" t="s">
        <v>200</v>
      </c>
      <c r="B48" s="116">
        <v>0.31</v>
      </c>
      <c r="C48" s="115">
        <f>B48/fpcr</f>
        <v>0.1148148148148148</v>
      </c>
      <c r="D48" s="102"/>
      <c r="E48" s="5"/>
      <c r="F48" s="116"/>
    </row>
    <row r="49" spans="1:7" x14ac:dyDescent="0.2">
      <c r="A49" s="3" t="s">
        <v>201</v>
      </c>
      <c r="B49" s="120">
        <v>0.05</v>
      </c>
      <c r="C49" s="115">
        <f>B49/fpcr</f>
        <v>1.8518518518518517E-2</v>
      </c>
      <c r="E49" s="3"/>
      <c r="F49" s="120"/>
    </row>
    <row r="50" spans="1:7" x14ac:dyDescent="0.2">
      <c r="B50" s="107">
        <f>SUM(B44:B49)</f>
        <v>5.4899999999999993</v>
      </c>
      <c r="F50" s="107">
        <f>SUM(F44:F49)</f>
        <v>1.07</v>
      </c>
    </row>
    <row r="51" spans="1:7" x14ac:dyDescent="0.2">
      <c r="B51" s="178"/>
    </row>
    <row r="52" spans="1:7" ht="15.75" x14ac:dyDescent="0.25">
      <c r="A52" s="390" t="s">
        <v>17</v>
      </c>
      <c r="B52" s="390"/>
      <c r="D52" s="98"/>
      <c r="E52" s="390" t="s">
        <v>20</v>
      </c>
      <c r="F52" s="390"/>
    </row>
    <row r="53" spans="1:7" ht="6" customHeight="1" x14ac:dyDescent="0.25">
      <c r="A53" s="98"/>
      <c r="B53" s="98"/>
      <c r="D53" s="98"/>
      <c r="E53" s="98"/>
      <c r="F53" s="98"/>
    </row>
    <row r="54" spans="1:7" x14ac:dyDescent="0.2">
      <c r="B54" s="1" t="s">
        <v>181</v>
      </c>
      <c r="D54" s="80"/>
      <c r="F54" s="1" t="s">
        <v>181</v>
      </c>
    </row>
    <row r="55" spans="1:7" x14ac:dyDescent="0.2">
      <c r="A55" s="2" t="s">
        <v>10</v>
      </c>
      <c r="B55" s="121">
        <v>2.7</v>
      </c>
      <c r="D55" s="101"/>
      <c r="E55" s="241" t="s">
        <v>206</v>
      </c>
      <c r="F55" s="106">
        <v>15</v>
      </c>
    </row>
    <row r="56" spans="1:7" x14ac:dyDescent="0.2">
      <c r="A56" s="5" t="s">
        <v>3</v>
      </c>
      <c r="B56" s="91">
        <v>2.1</v>
      </c>
      <c r="C56" s="97">
        <f>B56/fbr</f>
        <v>0.77777777777777779</v>
      </c>
      <c r="D56" s="101"/>
      <c r="E56" s="242" t="s">
        <v>207</v>
      </c>
      <c r="F56" s="116">
        <v>7.5</v>
      </c>
      <c r="G56" s="97">
        <f>F56/fasr</f>
        <v>0.5</v>
      </c>
    </row>
    <row r="57" spans="1:7" x14ac:dyDescent="0.2">
      <c r="A57" s="5" t="s">
        <v>5</v>
      </c>
      <c r="B57" s="122">
        <v>0.03</v>
      </c>
      <c r="C57" s="97">
        <f>B57/fbr</f>
        <v>1.111111111111111E-2</v>
      </c>
      <c r="D57" s="101"/>
      <c r="E57" s="242" t="s">
        <v>3</v>
      </c>
      <c r="F57" s="7">
        <v>14</v>
      </c>
      <c r="G57" s="97">
        <f>F57/fasr</f>
        <v>0.93333333333333335</v>
      </c>
    </row>
    <row r="58" spans="1:7" x14ac:dyDescent="0.2">
      <c r="A58" s="5" t="s">
        <v>196</v>
      </c>
      <c r="B58" s="122">
        <v>0.15</v>
      </c>
      <c r="C58" s="97">
        <f>B58/fbr</f>
        <v>5.5555555555555552E-2</v>
      </c>
      <c r="D58" s="101"/>
      <c r="E58" s="242" t="s">
        <v>4</v>
      </c>
      <c r="F58" s="116">
        <v>0.22500000000000001</v>
      </c>
      <c r="G58" s="97">
        <f>F58/fasr</f>
        <v>1.5000000000000001E-2</v>
      </c>
    </row>
    <row r="59" spans="1:7" x14ac:dyDescent="0.2">
      <c r="A59" s="5" t="s">
        <v>133</v>
      </c>
      <c r="B59" s="122">
        <v>0.24</v>
      </c>
      <c r="C59" s="97">
        <f>B59/fbr</f>
        <v>8.8888888888888878E-2</v>
      </c>
      <c r="D59" s="101"/>
      <c r="E59" s="242" t="s">
        <v>5</v>
      </c>
      <c r="F59" s="7">
        <v>0.22500000000000001</v>
      </c>
      <c r="G59" s="97">
        <f>F59/fasr</f>
        <v>1.5000000000000001E-2</v>
      </c>
    </row>
    <row r="60" spans="1:7" x14ac:dyDescent="0.2">
      <c r="A60" s="3" t="s">
        <v>4</v>
      </c>
      <c r="B60" s="99">
        <v>0.06</v>
      </c>
      <c r="C60" s="97">
        <f>B60/fbr</f>
        <v>2.222222222222222E-2</v>
      </c>
      <c r="D60" s="101"/>
      <c r="E60" s="243" t="s">
        <v>208</v>
      </c>
      <c r="F60" s="120">
        <v>1</v>
      </c>
      <c r="G60" s="97">
        <f>F60/fasr</f>
        <v>6.6666666666666666E-2</v>
      </c>
    </row>
    <row r="61" spans="1:7" x14ac:dyDescent="0.2">
      <c r="B61" s="107">
        <f>SUM(B55:B60)</f>
        <v>5.2800000000000011</v>
      </c>
      <c r="D61" s="101"/>
      <c r="F61" s="107">
        <f>SUM(F55:F60)</f>
        <v>37.950000000000003</v>
      </c>
    </row>
    <row r="62" spans="1:7" x14ac:dyDescent="0.2">
      <c r="B62" s="108"/>
      <c r="D62" s="102"/>
      <c r="F62" s="108"/>
    </row>
    <row r="65" spans="1:7" ht="15.75" x14ac:dyDescent="0.25">
      <c r="A65" s="390" t="s">
        <v>18</v>
      </c>
      <c r="B65" s="390"/>
      <c r="D65" s="98"/>
      <c r="E65" s="390" t="s">
        <v>152</v>
      </c>
      <c r="F65" s="390"/>
    </row>
    <row r="66" spans="1:7" ht="6" customHeight="1" x14ac:dyDescent="0.25">
      <c r="A66" s="98"/>
      <c r="B66" s="98"/>
      <c r="D66" s="98"/>
      <c r="E66" s="98"/>
      <c r="F66" s="98"/>
    </row>
    <row r="67" spans="1:7" x14ac:dyDescent="0.2">
      <c r="B67" s="1" t="s">
        <v>181</v>
      </c>
      <c r="D67" s="80"/>
      <c r="F67" s="1" t="s">
        <v>181</v>
      </c>
    </row>
    <row r="68" spans="1:7" x14ac:dyDescent="0.2">
      <c r="A68" s="179" t="s">
        <v>204</v>
      </c>
      <c r="B68" s="126">
        <v>1.5</v>
      </c>
      <c r="D68" s="101"/>
      <c r="E68" s="90" t="s">
        <v>152</v>
      </c>
      <c r="F68" s="126">
        <v>5</v>
      </c>
    </row>
    <row r="69" spans="1:7" x14ac:dyDescent="0.2">
      <c r="A69" s="2" t="s">
        <v>19</v>
      </c>
      <c r="B69" s="126">
        <v>1.2</v>
      </c>
      <c r="C69" s="97">
        <f>B69/psr</f>
        <v>0.79999999999999993</v>
      </c>
      <c r="D69" s="101"/>
      <c r="E69" s="90" t="s">
        <v>10</v>
      </c>
      <c r="F69" s="126">
        <v>5</v>
      </c>
      <c r="G69" s="97">
        <f>F69/fcre</f>
        <v>1</v>
      </c>
    </row>
    <row r="70" spans="1:7" x14ac:dyDescent="0.2">
      <c r="A70" s="5" t="s">
        <v>252</v>
      </c>
      <c r="B70" s="126">
        <v>0.3</v>
      </c>
      <c r="C70" s="97">
        <f>B70/psr</f>
        <v>0.19999999999999998</v>
      </c>
      <c r="D70" s="101"/>
      <c r="E70" s="90" t="s">
        <v>5</v>
      </c>
      <c r="F70" s="126">
        <v>0.15</v>
      </c>
      <c r="G70" s="97">
        <f>F70/fcre</f>
        <v>0.03</v>
      </c>
    </row>
    <row r="71" spans="1:7" x14ac:dyDescent="0.2">
      <c r="A71" s="5" t="s">
        <v>3</v>
      </c>
      <c r="B71" s="129">
        <v>2</v>
      </c>
      <c r="C71" s="97">
        <f>B71/psr</f>
        <v>1.3333333333333333</v>
      </c>
      <c r="D71" s="101"/>
      <c r="E71" s="90" t="s">
        <v>3</v>
      </c>
      <c r="F71" s="288">
        <v>6.2</v>
      </c>
      <c r="G71" s="97">
        <f>F71/fcre</f>
        <v>1.24</v>
      </c>
    </row>
    <row r="72" spans="1:7" x14ac:dyDescent="0.2">
      <c r="A72" s="5" t="s">
        <v>5</v>
      </c>
      <c r="B72" s="288">
        <v>0.03</v>
      </c>
      <c r="C72" s="97">
        <f>B72/psr</f>
        <v>0.02</v>
      </c>
      <c r="D72" s="101"/>
      <c r="E72" s="90" t="s">
        <v>4</v>
      </c>
      <c r="F72" s="288">
        <v>0.1</v>
      </c>
      <c r="G72" s="97">
        <f>F72/fcre</f>
        <v>0.02</v>
      </c>
    </row>
    <row r="73" spans="1:7" x14ac:dyDescent="0.2">
      <c r="B73" s="107">
        <f>SUM(B68:B72)</f>
        <v>5.03</v>
      </c>
      <c r="D73" s="102"/>
      <c r="F73" s="107">
        <f>SUM(F68:F71)</f>
        <v>16.350000000000001</v>
      </c>
    </row>
    <row r="76" spans="1:7" ht="15.75" x14ac:dyDescent="0.25">
      <c r="A76" s="389" t="s">
        <v>21</v>
      </c>
      <c r="B76" s="389"/>
      <c r="D76" s="105"/>
      <c r="E76" s="389" t="s">
        <v>8</v>
      </c>
      <c r="F76" s="389"/>
    </row>
    <row r="77" spans="1:7" ht="6" customHeight="1" x14ac:dyDescent="0.25">
      <c r="A77" s="98"/>
      <c r="B77" s="98"/>
      <c r="D77" s="98"/>
      <c r="E77" s="98"/>
      <c r="F77" s="98"/>
    </row>
    <row r="78" spans="1:7" x14ac:dyDescent="0.2">
      <c r="B78" s="1" t="s">
        <v>181</v>
      </c>
      <c r="D78" s="80"/>
      <c r="F78" s="1" t="s">
        <v>181</v>
      </c>
    </row>
    <row r="79" spans="1:7" x14ac:dyDescent="0.2">
      <c r="A79" s="2" t="s">
        <v>10</v>
      </c>
      <c r="B79" s="106">
        <v>50</v>
      </c>
      <c r="D79" s="101"/>
      <c r="E79" s="2" t="s">
        <v>10</v>
      </c>
      <c r="F79" s="106">
        <v>1</v>
      </c>
    </row>
    <row r="80" spans="1:7" x14ac:dyDescent="0.2">
      <c r="A80" s="5" t="s">
        <v>3</v>
      </c>
      <c r="B80" s="7">
        <v>30</v>
      </c>
      <c r="C80" s="97">
        <f t="shared" ref="C80:C85" si="3">B80/fvr</f>
        <v>0.6</v>
      </c>
      <c r="D80" s="101"/>
      <c r="E80" s="5" t="s">
        <v>3</v>
      </c>
      <c r="F80" s="10">
        <v>0.56000000000000005</v>
      </c>
      <c r="G80" s="97">
        <f>F80/fpsfgr</f>
        <v>0.56000000000000005</v>
      </c>
    </row>
    <row r="81" spans="1:8" x14ac:dyDescent="0.2">
      <c r="A81" s="5" t="s">
        <v>4</v>
      </c>
      <c r="B81" s="124">
        <v>1</v>
      </c>
      <c r="C81" s="97">
        <f t="shared" si="3"/>
        <v>0.02</v>
      </c>
      <c r="D81" s="101"/>
      <c r="E81" s="5" t="s">
        <v>205</v>
      </c>
      <c r="F81" s="116">
        <v>0.03</v>
      </c>
      <c r="G81" s="97">
        <f>F82/fpsfgr</f>
        <v>1.2E-2</v>
      </c>
    </row>
    <row r="82" spans="1:8" x14ac:dyDescent="0.2">
      <c r="A82" s="5" t="s">
        <v>5</v>
      </c>
      <c r="B82" s="7">
        <v>0.5</v>
      </c>
      <c r="C82" s="97">
        <f t="shared" si="3"/>
        <v>0.01</v>
      </c>
      <c r="D82" s="101"/>
      <c r="E82" s="5" t="s">
        <v>4</v>
      </c>
      <c r="F82" s="116">
        <v>1.2E-2</v>
      </c>
      <c r="G82" s="97">
        <f>F83/fpsfgr</f>
        <v>1.2E-2</v>
      </c>
    </row>
    <row r="83" spans="1:8" x14ac:dyDescent="0.2">
      <c r="A83" s="5" t="s">
        <v>6</v>
      </c>
      <c r="B83" s="7">
        <v>0.5</v>
      </c>
      <c r="C83" s="97">
        <f t="shared" si="3"/>
        <v>0.01</v>
      </c>
      <c r="D83" s="101"/>
      <c r="E83" s="5" t="s">
        <v>5</v>
      </c>
      <c r="F83" s="116">
        <v>1.2E-2</v>
      </c>
      <c r="G83" s="97">
        <f>F84/fpsfgr</f>
        <v>0.01</v>
      </c>
    </row>
    <row r="84" spans="1:8" x14ac:dyDescent="0.2">
      <c r="A84" s="5" t="s">
        <v>12</v>
      </c>
      <c r="B84" s="124">
        <v>5</v>
      </c>
      <c r="C84" s="97">
        <f t="shared" si="3"/>
        <v>0.1</v>
      </c>
      <c r="D84" s="101"/>
      <c r="E84" s="5" t="s">
        <v>6</v>
      </c>
      <c r="F84" s="116">
        <v>0.01</v>
      </c>
      <c r="G84" s="97">
        <f>F81/fpsfgr</f>
        <v>0.03</v>
      </c>
    </row>
    <row r="85" spans="1:8" x14ac:dyDescent="0.2">
      <c r="A85" s="5" t="s">
        <v>205</v>
      </c>
      <c r="B85" s="124">
        <v>2.5</v>
      </c>
      <c r="C85" s="97">
        <f t="shared" si="3"/>
        <v>0.05</v>
      </c>
      <c r="D85" s="101"/>
      <c r="E85" s="3" t="s">
        <v>12</v>
      </c>
      <c r="F85" s="117">
        <v>0.01</v>
      </c>
      <c r="G85" s="97">
        <f>F85/fpsfgr</f>
        <v>0.01</v>
      </c>
    </row>
    <row r="86" spans="1:8" x14ac:dyDescent="0.2">
      <c r="B86" s="112">
        <f>SUM(B79:B85)</f>
        <v>89.5</v>
      </c>
      <c r="D86" s="101"/>
      <c r="F86" s="112">
        <f>SUM(F79:F85)</f>
        <v>1.6340000000000001</v>
      </c>
    </row>
    <row r="87" spans="1:8" x14ac:dyDescent="0.2">
      <c r="B87" s="108"/>
      <c r="D87" s="102"/>
    </row>
    <row r="90" spans="1:8" ht="15.75" x14ac:dyDescent="0.25">
      <c r="A90" s="389" t="s">
        <v>180</v>
      </c>
      <c r="B90" s="389"/>
      <c r="D90" s="105"/>
      <c r="E90" s="389" t="s">
        <v>160</v>
      </c>
      <c r="F90" s="389"/>
      <c r="H90" s="230"/>
    </row>
    <row r="91" spans="1:8" ht="6" customHeight="1" x14ac:dyDescent="0.25">
      <c r="A91" s="98"/>
      <c r="B91" s="98"/>
      <c r="D91" s="98"/>
      <c r="E91" s="98"/>
      <c r="F91" s="98"/>
      <c r="H91" s="230"/>
    </row>
    <row r="92" spans="1:8" x14ac:dyDescent="0.2">
      <c r="B92" s="92" t="s">
        <v>181</v>
      </c>
      <c r="D92" s="80"/>
      <c r="F92" s="1" t="s">
        <v>181</v>
      </c>
      <c r="H92" s="230"/>
    </row>
    <row r="93" spans="1:8" x14ac:dyDescent="0.2">
      <c r="A93" s="90" t="s">
        <v>10</v>
      </c>
      <c r="B93" s="1">
        <v>5</v>
      </c>
      <c r="D93" s="80"/>
      <c r="E93" s="2" t="s">
        <v>247</v>
      </c>
      <c r="F93" s="106">
        <v>0.5</v>
      </c>
      <c r="H93" s="230"/>
    </row>
    <row r="94" spans="1:8" x14ac:dyDescent="0.2">
      <c r="A94" s="90" t="s">
        <v>237</v>
      </c>
      <c r="B94" s="1">
        <v>2.7</v>
      </c>
      <c r="C94" s="97">
        <f>B94/B93</f>
        <v>0.54</v>
      </c>
      <c r="D94" s="80"/>
      <c r="E94" s="5" t="s">
        <v>246</v>
      </c>
      <c r="F94" s="124">
        <v>0.5</v>
      </c>
      <c r="G94" s="97">
        <f>F94/fmnp</f>
        <v>1</v>
      </c>
      <c r="H94" s="230"/>
    </row>
    <row r="95" spans="1:8" x14ac:dyDescent="0.2">
      <c r="A95" s="90" t="s">
        <v>238</v>
      </c>
      <c r="B95" s="1">
        <v>0.5</v>
      </c>
      <c r="C95" s="97">
        <f>B95/B93</f>
        <v>0.1</v>
      </c>
      <c r="D95" s="80"/>
      <c r="E95" s="5" t="s">
        <v>3</v>
      </c>
      <c r="F95" s="124">
        <v>0.42</v>
      </c>
      <c r="G95" s="97">
        <f t="shared" ref="G95:G100" si="4">F95/fmnp</f>
        <v>0.84</v>
      </c>
      <c r="H95" s="230"/>
    </row>
    <row r="96" spans="1:8" x14ac:dyDescent="0.2">
      <c r="A96" s="90" t="s">
        <v>16</v>
      </c>
      <c r="B96" s="1">
        <v>1</v>
      </c>
      <c r="C96" s="97">
        <f>B96/B93</f>
        <v>0.2</v>
      </c>
      <c r="D96" s="80"/>
      <c r="E96" s="5" t="s">
        <v>5</v>
      </c>
      <c r="F96" s="124">
        <v>1.4999999999999999E-2</v>
      </c>
      <c r="G96" s="97">
        <f t="shared" si="4"/>
        <v>0.03</v>
      </c>
      <c r="H96" s="230"/>
    </row>
    <row r="97" spans="1:8" x14ac:dyDescent="0.2">
      <c r="A97" s="90" t="s">
        <v>12</v>
      </c>
      <c r="B97" s="1">
        <v>0.6</v>
      </c>
      <c r="C97" s="97">
        <f>B97/B93</f>
        <v>0.12</v>
      </c>
      <c r="D97" s="80"/>
      <c r="E97" s="5"/>
      <c r="F97" s="117"/>
      <c r="G97" s="97">
        <f t="shared" si="4"/>
        <v>0</v>
      </c>
      <c r="H97" s="230"/>
    </row>
    <row r="98" spans="1:8" x14ac:dyDescent="0.2">
      <c r="A98" s="90" t="s">
        <v>5</v>
      </c>
      <c r="B98" s="1">
        <v>0.1</v>
      </c>
      <c r="C98" s="97">
        <f>B98/B93</f>
        <v>0.02</v>
      </c>
      <c r="D98" s="80"/>
      <c r="E98" s="5"/>
      <c r="F98" s="124"/>
      <c r="G98" s="97">
        <f t="shared" si="4"/>
        <v>0</v>
      </c>
      <c r="H98" s="230"/>
    </row>
    <row r="99" spans="1:8" x14ac:dyDescent="0.2">
      <c r="A99" s="90" t="s">
        <v>4</v>
      </c>
      <c r="B99" s="126">
        <v>0.1</v>
      </c>
      <c r="C99" s="97">
        <f>B99/B93</f>
        <v>0.02</v>
      </c>
      <c r="D99" s="101"/>
      <c r="E99" s="5"/>
      <c r="F99" s="7"/>
      <c r="G99" s="97">
        <f t="shared" si="4"/>
        <v>0</v>
      </c>
      <c r="H99" s="230"/>
    </row>
    <row r="100" spans="1:8" x14ac:dyDescent="0.2">
      <c r="A100" s="93" t="s">
        <v>6</v>
      </c>
      <c r="B100" s="127">
        <v>0.05</v>
      </c>
      <c r="C100" s="97">
        <f>B100/B93</f>
        <v>0.01</v>
      </c>
      <c r="D100" s="101"/>
      <c r="E100" s="5"/>
      <c r="F100" s="7"/>
      <c r="G100" s="97">
        <f t="shared" si="4"/>
        <v>0</v>
      </c>
      <c r="H100" s="230"/>
    </row>
    <row r="101" spans="1:8" x14ac:dyDescent="0.2">
      <c r="B101" s="107">
        <f>SUM(B93:B100)</f>
        <v>10.049999999999999</v>
      </c>
      <c r="D101" s="101"/>
      <c r="E101" s="3"/>
      <c r="F101" s="112">
        <f>SUM(F93:F100)</f>
        <v>1.4349999999999998</v>
      </c>
      <c r="H101" s="230"/>
    </row>
    <row r="102" spans="1:8" x14ac:dyDescent="0.2">
      <c r="B102" s="108"/>
      <c r="D102" s="102"/>
      <c r="H102" s="230"/>
    </row>
    <row r="105" spans="1:8" ht="15" customHeight="1" x14ac:dyDescent="0.25">
      <c r="A105" s="389" t="s">
        <v>156</v>
      </c>
      <c r="B105" s="389"/>
      <c r="D105" s="105"/>
      <c r="E105" s="389" t="s">
        <v>164</v>
      </c>
      <c r="F105" s="389"/>
    </row>
    <row r="106" spans="1:8" ht="15.75" x14ac:dyDescent="0.25">
      <c r="A106" s="98"/>
      <c r="B106" s="98"/>
      <c r="D106" s="98"/>
      <c r="E106" s="98"/>
      <c r="F106" s="98"/>
    </row>
    <row r="107" spans="1:8" x14ac:dyDescent="0.2">
      <c r="B107" s="1" t="s">
        <v>181</v>
      </c>
      <c r="D107" s="80"/>
      <c r="F107" s="1" t="s">
        <v>181</v>
      </c>
    </row>
    <row r="108" spans="1:8" x14ac:dyDescent="0.2">
      <c r="A108" s="2" t="s">
        <v>251</v>
      </c>
      <c r="B108" s="106">
        <v>0.5</v>
      </c>
      <c r="D108" s="101"/>
      <c r="E108" s="2" t="s">
        <v>10</v>
      </c>
      <c r="F108" s="106">
        <v>9</v>
      </c>
    </row>
    <row r="109" spans="1:8" x14ac:dyDescent="0.2">
      <c r="A109" s="5" t="s">
        <v>3</v>
      </c>
      <c r="B109" s="7">
        <v>0.6</v>
      </c>
      <c r="C109" s="97">
        <f>B109/fbpp</f>
        <v>1.2</v>
      </c>
      <c r="D109" s="101"/>
      <c r="E109" s="5" t="s">
        <v>170</v>
      </c>
      <c r="F109" s="124">
        <v>1</v>
      </c>
      <c r="G109" s="97">
        <f>F109/pssp</f>
        <v>0.1111111111111111</v>
      </c>
    </row>
    <row r="110" spans="1:8" x14ac:dyDescent="0.2">
      <c r="A110" s="5" t="s">
        <v>5</v>
      </c>
      <c r="B110" s="7">
        <v>0.01</v>
      </c>
      <c r="C110" s="97">
        <f>B110/fbpp</f>
        <v>0.02</v>
      </c>
      <c r="D110" s="101"/>
      <c r="E110" s="5" t="s">
        <v>3</v>
      </c>
      <c r="F110" s="124">
        <v>7.5</v>
      </c>
      <c r="G110" s="97">
        <f>F110/pssp</f>
        <v>0.83333333333333337</v>
      </c>
    </row>
    <row r="111" spans="1:8" x14ac:dyDescent="0.2">
      <c r="A111" s="14" t="s">
        <v>246</v>
      </c>
      <c r="B111" s="15">
        <v>0.5</v>
      </c>
      <c r="C111" s="97">
        <f>B111/fbpp</f>
        <v>1</v>
      </c>
      <c r="D111" s="101"/>
      <c r="E111" s="5" t="s">
        <v>5</v>
      </c>
      <c r="F111" s="124">
        <v>0.1</v>
      </c>
      <c r="G111" s="97">
        <f>F111/pssp</f>
        <v>1.1111111111111112E-2</v>
      </c>
    </row>
    <row r="112" spans="1:8" x14ac:dyDescent="0.2">
      <c r="A112" s="3"/>
      <c r="B112" s="4"/>
      <c r="D112" s="101"/>
      <c r="E112" s="14"/>
      <c r="F112" s="128"/>
    </row>
    <row r="113" spans="1:7" x14ac:dyDescent="0.2">
      <c r="B113" s="107">
        <f>SUM(B108:B112)</f>
        <v>1.61</v>
      </c>
      <c r="D113" s="101"/>
      <c r="E113" s="3"/>
      <c r="F113" s="117"/>
    </row>
    <row r="114" spans="1:7" x14ac:dyDescent="0.2">
      <c r="B114" s="108"/>
      <c r="D114" s="102"/>
      <c r="F114" s="107">
        <f>SUM(F108:F113)</f>
        <v>17.600000000000001</v>
      </c>
    </row>
    <row r="116" spans="1:7" ht="15.75" x14ac:dyDescent="0.25">
      <c r="A116" s="389" t="s">
        <v>227</v>
      </c>
      <c r="B116" s="389"/>
      <c r="D116" s="105"/>
      <c r="E116" s="389" t="s">
        <v>226</v>
      </c>
      <c r="F116" s="389"/>
    </row>
    <row r="117" spans="1:7" ht="6" customHeight="1" x14ac:dyDescent="0.25">
      <c r="A117" s="98"/>
      <c r="B117" s="98"/>
      <c r="D117" s="98"/>
      <c r="E117" s="98"/>
      <c r="F117" s="98"/>
    </row>
    <row r="118" spans="1:7" x14ac:dyDescent="0.2">
      <c r="B118" s="1" t="s">
        <v>181</v>
      </c>
      <c r="D118" s="80"/>
      <c r="F118" s="1" t="s">
        <v>181</v>
      </c>
    </row>
    <row r="119" spans="1:7" x14ac:dyDescent="0.2">
      <c r="A119" s="2" t="s">
        <v>199</v>
      </c>
      <c r="B119" s="106">
        <v>0.43636364</v>
      </c>
      <c r="D119" s="101"/>
      <c r="E119" s="2" t="s">
        <v>199</v>
      </c>
      <c r="F119" s="106">
        <v>0.43636364</v>
      </c>
    </row>
    <row r="120" spans="1:7" x14ac:dyDescent="0.2">
      <c r="A120" s="3" t="s">
        <v>230</v>
      </c>
      <c r="B120" s="120">
        <v>4.3636363999999997E-2</v>
      </c>
      <c r="C120" s="97">
        <f>B120/B119</f>
        <v>9.9999999999999992E-2</v>
      </c>
      <c r="D120" s="101"/>
      <c r="E120" s="3" t="s">
        <v>231</v>
      </c>
      <c r="F120" s="120">
        <v>4.3636363999999997E-2</v>
      </c>
      <c r="G120" s="97">
        <f>F120/F119</f>
        <v>9.9999999999999992E-2</v>
      </c>
    </row>
    <row r="121" spans="1:7" x14ac:dyDescent="0.2">
      <c r="B121" s="107">
        <f>SUM(B119:B120)</f>
        <v>0.48000000399999998</v>
      </c>
      <c r="D121" s="101"/>
      <c r="F121" s="107">
        <f>SUM(F119:F120)</f>
        <v>0.48000000399999998</v>
      </c>
    </row>
    <row r="122" spans="1:7" x14ac:dyDescent="0.2">
      <c r="B122" s="108"/>
      <c r="D122" s="102"/>
      <c r="F122" s="108"/>
    </row>
    <row r="125" spans="1:7" ht="15.75" x14ac:dyDescent="0.25">
      <c r="A125" s="389" t="s">
        <v>229</v>
      </c>
      <c r="B125" s="389"/>
      <c r="D125" s="105"/>
      <c r="E125" s="389" t="s">
        <v>228</v>
      </c>
      <c r="F125" s="389"/>
    </row>
    <row r="126" spans="1:7" ht="6" customHeight="1" x14ac:dyDescent="0.25">
      <c r="A126" s="98"/>
      <c r="B126" s="98"/>
      <c r="D126" s="98"/>
      <c r="E126" s="98"/>
      <c r="F126" s="98"/>
    </row>
    <row r="127" spans="1:7" x14ac:dyDescent="0.2">
      <c r="B127" s="1" t="s">
        <v>181</v>
      </c>
      <c r="D127" s="80"/>
      <c r="F127" s="1" t="s">
        <v>181</v>
      </c>
    </row>
    <row r="128" spans="1:7" x14ac:dyDescent="0.2">
      <c r="A128" s="2" t="s">
        <v>199</v>
      </c>
      <c r="B128" s="106">
        <v>0.63636363636363635</v>
      </c>
      <c r="D128" s="101"/>
      <c r="E128" s="2" t="s">
        <v>199</v>
      </c>
      <c r="F128" s="106">
        <v>0.43636364</v>
      </c>
    </row>
    <row r="129" spans="1:7" x14ac:dyDescent="0.2">
      <c r="A129" s="3" t="s">
        <v>230</v>
      </c>
      <c r="B129" s="120">
        <v>3.1818181818181815E-2</v>
      </c>
      <c r="C129" s="97">
        <f>B129/B128</f>
        <v>4.9999999999999996E-2</v>
      </c>
      <c r="D129" s="101"/>
      <c r="E129" s="3" t="s">
        <v>22</v>
      </c>
      <c r="F129" s="106">
        <v>4.3636363999999997E-2</v>
      </c>
      <c r="G129" s="97">
        <f>F129/F128</f>
        <v>9.9999999999999992E-2</v>
      </c>
    </row>
    <row r="130" spans="1:7" x14ac:dyDescent="0.2">
      <c r="A130" s="3" t="s">
        <v>231</v>
      </c>
      <c r="B130" s="120">
        <v>3.1818181818181815E-2</v>
      </c>
      <c r="C130" s="97">
        <f>B130/B128</f>
        <v>4.9999999999999996E-2</v>
      </c>
      <c r="D130" s="101"/>
      <c r="F130" s="107">
        <f>SUM(F128:F129)</f>
        <v>0.48000000399999998</v>
      </c>
    </row>
    <row r="131" spans="1:7" x14ac:dyDescent="0.2">
      <c r="A131" s="63"/>
      <c r="B131" s="133">
        <f>SUM(B128:B130)</f>
        <v>0.70000000000000007</v>
      </c>
      <c r="D131" s="101"/>
      <c r="F131" s="178"/>
    </row>
    <row r="133" spans="1:7" ht="15.75" x14ac:dyDescent="0.25">
      <c r="A133" s="389" t="s">
        <v>232</v>
      </c>
      <c r="B133" s="389"/>
      <c r="D133" s="105"/>
      <c r="E133" s="389" t="s">
        <v>169</v>
      </c>
      <c r="F133" s="389"/>
    </row>
    <row r="134" spans="1:7" ht="6" customHeight="1" x14ac:dyDescent="0.25">
      <c r="A134" s="98"/>
      <c r="B134" s="98"/>
      <c r="D134" s="98"/>
      <c r="E134" s="98"/>
      <c r="F134" s="98"/>
    </row>
    <row r="135" spans="1:7" x14ac:dyDescent="0.2">
      <c r="B135" s="1" t="s">
        <v>181</v>
      </c>
      <c r="D135" s="80"/>
      <c r="F135" s="1" t="s">
        <v>181</v>
      </c>
    </row>
    <row r="136" spans="1:7" x14ac:dyDescent="0.2">
      <c r="A136" s="2" t="s">
        <v>234</v>
      </c>
      <c r="B136" s="106">
        <v>0.45300000000000001</v>
      </c>
      <c r="D136" s="101"/>
      <c r="E136" s="2" t="s">
        <v>10</v>
      </c>
      <c r="F136" s="106">
        <v>1</v>
      </c>
    </row>
    <row r="137" spans="1:7" x14ac:dyDescent="0.2">
      <c r="A137" s="5" t="s">
        <v>200</v>
      </c>
      <c r="B137" s="124">
        <v>2.7E-2</v>
      </c>
      <c r="C137" s="97" t="e">
        <f>#REF!/pmppm3</f>
        <v>#REF!</v>
      </c>
      <c r="D137" s="101"/>
      <c r="E137" s="13" t="s">
        <v>3</v>
      </c>
      <c r="F137" s="123">
        <v>0.6</v>
      </c>
      <c r="G137" s="97">
        <f>F137/prnr</f>
        <v>0.6</v>
      </c>
    </row>
    <row r="138" spans="1:7" x14ac:dyDescent="0.2">
      <c r="A138" s="16"/>
      <c r="B138" s="107">
        <f>SUM(B136:B137)</f>
        <v>0.48000000000000004</v>
      </c>
      <c r="C138" s="97" t="e">
        <f>#REF!/pmppm3</f>
        <v>#REF!</v>
      </c>
      <c r="D138" s="101"/>
      <c r="E138" s="90" t="s">
        <v>4</v>
      </c>
      <c r="F138" s="129">
        <v>0.02</v>
      </c>
      <c r="G138" s="97">
        <f>F138/prnr</f>
        <v>0.02</v>
      </c>
    </row>
    <row r="139" spans="1:7" x14ac:dyDescent="0.2">
      <c r="B139" s="107"/>
      <c r="D139" s="101"/>
      <c r="E139" s="125" t="s">
        <v>5</v>
      </c>
      <c r="F139" s="125">
        <v>2.5000000000000001E-2</v>
      </c>
      <c r="G139" s="97">
        <f>F139/prnr</f>
        <v>2.5000000000000001E-2</v>
      </c>
    </row>
    <row r="140" spans="1:7" x14ac:dyDescent="0.2">
      <c r="B140" s="108"/>
      <c r="D140" s="102"/>
      <c r="F140" s="113">
        <f>SUM(F136:F139)</f>
        <v>1.645</v>
      </c>
    </row>
    <row r="142" spans="1:7" ht="15.75" x14ac:dyDescent="0.25">
      <c r="A142" s="389" t="s">
        <v>265</v>
      </c>
      <c r="B142" s="389"/>
      <c r="E142" s="389" t="s">
        <v>223</v>
      </c>
      <c r="F142" s="389"/>
    </row>
    <row r="143" spans="1:7" ht="15.75" x14ac:dyDescent="0.25">
      <c r="E143" s="98"/>
      <c r="F143" s="98"/>
    </row>
    <row r="144" spans="1:7" x14ac:dyDescent="0.2">
      <c r="B144" s="1" t="s">
        <v>181</v>
      </c>
      <c r="F144" s="1" t="s">
        <v>181</v>
      </c>
    </row>
    <row r="145" spans="1:7" x14ac:dyDescent="0.2">
      <c r="A145" s="2" t="s">
        <v>248</v>
      </c>
      <c r="B145" s="106">
        <v>5</v>
      </c>
      <c r="E145" s="2" t="s">
        <v>224</v>
      </c>
      <c r="F145" s="106">
        <v>10</v>
      </c>
    </row>
    <row r="146" spans="1:7" x14ac:dyDescent="0.2">
      <c r="A146" s="17" t="s">
        <v>3</v>
      </c>
      <c r="B146" s="130">
        <v>6.4</v>
      </c>
      <c r="C146" s="97">
        <f>B146/B145</f>
        <v>1.28</v>
      </c>
      <c r="E146" s="3" t="s">
        <v>225</v>
      </c>
      <c r="F146" s="120">
        <v>1.5</v>
      </c>
      <c r="G146" s="97">
        <f>F146/F145</f>
        <v>0.15</v>
      </c>
    </row>
    <row r="147" spans="1:7" x14ac:dyDescent="0.2">
      <c r="A147" s="5" t="s">
        <v>5</v>
      </c>
      <c r="B147" s="7">
        <v>0.2</v>
      </c>
      <c r="C147" s="97">
        <f>B147/B145</f>
        <v>0.04</v>
      </c>
      <c r="F147" s="107">
        <f>SUM(F145:F146)</f>
        <v>11.5</v>
      </c>
    </row>
    <row r="148" spans="1:7" x14ac:dyDescent="0.2">
      <c r="A148" s="63" t="s">
        <v>246</v>
      </c>
      <c r="B148" s="315">
        <v>5</v>
      </c>
      <c r="C148" s="97">
        <f>B148/B145</f>
        <v>1</v>
      </c>
      <c r="F148" s="178"/>
    </row>
    <row r="149" spans="1:7" x14ac:dyDescent="0.2">
      <c r="B149" s="107">
        <f>SUM(B145:B148)</f>
        <v>16.600000000000001</v>
      </c>
    </row>
    <row r="152" spans="1:7" ht="15.75" x14ac:dyDescent="0.25">
      <c r="A152" s="389" t="s">
        <v>249</v>
      </c>
      <c r="B152" s="389"/>
      <c r="E152" s="389" t="s">
        <v>279</v>
      </c>
      <c r="F152" s="389"/>
    </row>
    <row r="153" spans="1:7" ht="15.75" x14ac:dyDescent="0.25">
      <c r="E153" s="98"/>
      <c r="F153" s="98"/>
    </row>
    <row r="154" spans="1:7" x14ac:dyDescent="0.2">
      <c r="B154" s="1" t="s">
        <v>181</v>
      </c>
      <c r="F154" s="1" t="s">
        <v>181</v>
      </c>
    </row>
    <row r="155" spans="1:7" x14ac:dyDescent="0.2">
      <c r="A155" s="2" t="s">
        <v>266</v>
      </c>
      <c r="B155" s="106">
        <v>0.05</v>
      </c>
      <c r="E155" s="2" t="s">
        <v>10</v>
      </c>
      <c r="F155" s="106">
        <v>1</v>
      </c>
    </row>
    <row r="156" spans="1:7" x14ac:dyDescent="0.2">
      <c r="A156" s="17" t="s">
        <v>3</v>
      </c>
      <c r="B156" s="130">
        <v>6</v>
      </c>
      <c r="C156" s="97">
        <f>B156/B155</f>
        <v>120</v>
      </c>
      <c r="E156" s="5" t="s">
        <v>3</v>
      </c>
      <c r="F156" s="10">
        <v>0.52</v>
      </c>
      <c r="G156" s="97">
        <f>F156/F155</f>
        <v>0.52</v>
      </c>
    </row>
    <row r="157" spans="1:7" x14ac:dyDescent="0.2">
      <c r="A157" s="5" t="s">
        <v>5</v>
      </c>
      <c r="B157" s="7">
        <v>0.2</v>
      </c>
      <c r="C157" s="97">
        <f>B157/B155</f>
        <v>4</v>
      </c>
      <c r="E157" s="5" t="s">
        <v>16</v>
      </c>
      <c r="F157" s="116">
        <v>0.02</v>
      </c>
      <c r="G157" s="97">
        <f>F157/F155</f>
        <v>0.02</v>
      </c>
    </row>
    <row r="158" spans="1:7" x14ac:dyDescent="0.2">
      <c r="A158" s="63" t="s">
        <v>246</v>
      </c>
      <c r="B158" s="315">
        <v>10</v>
      </c>
      <c r="C158" s="97">
        <f>B158/B155</f>
        <v>200</v>
      </c>
      <c r="E158" s="5" t="s">
        <v>4</v>
      </c>
      <c r="F158" s="116">
        <v>0.02</v>
      </c>
      <c r="G158" s="97">
        <f>F158/F155</f>
        <v>0.02</v>
      </c>
    </row>
    <row r="159" spans="1:7" x14ac:dyDescent="0.2">
      <c r="B159" s="107">
        <f>SUM(B155:B158)</f>
        <v>16.25</v>
      </c>
      <c r="E159" s="5" t="s">
        <v>5</v>
      </c>
      <c r="F159" s="116">
        <v>1.6E-2</v>
      </c>
      <c r="G159" s="97">
        <f>F159/F155</f>
        <v>1.6E-2</v>
      </c>
    </row>
    <row r="160" spans="1:7" x14ac:dyDescent="0.2">
      <c r="E160" s="5" t="s">
        <v>280</v>
      </c>
      <c r="F160" s="116">
        <v>2E-3</v>
      </c>
      <c r="G160" s="97">
        <f>F160/F155</f>
        <v>2E-3</v>
      </c>
    </row>
    <row r="161" spans="5:7" x14ac:dyDescent="0.2">
      <c r="E161" s="3" t="s">
        <v>12</v>
      </c>
      <c r="F161" s="117">
        <v>1.7999999999999999E-2</v>
      </c>
      <c r="G161" s="97">
        <f>F161/F155</f>
        <v>1.7999999999999999E-2</v>
      </c>
    </row>
    <row r="162" spans="5:7" x14ac:dyDescent="0.2">
      <c r="F162" s="112">
        <f>SUM(F155:F161)</f>
        <v>1.5960000000000001</v>
      </c>
    </row>
    <row r="164" spans="5:7" ht="15.75" x14ac:dyDescent="0.25">
      <c r="E164" s="389" t="s">
        <v>285</v>
      </c>
      <c r="F164" s="389"/>
    </row>
    <row r="165" spans="5:7" ht="15.75" x14ac:dyDescent="0.25">
      <c r="E165" s="98"/>
      <c r="F165" s="98"/>
    </row>
    <row r="166" spans="5:7" x14ac:dyDescent="0.2">
      <c r="F166" s="1" t="s">
        <v>181</v>
      </c>
    </row>
    <row r="167" spans="5:7" x14ac:dyDescent="0.2">
      <c r="E167" s="2" t="s">
        <v>10</v>
      </c>
      <c r="F167" s="321">
        <v>1</v>
      </c>
    </row>
    <row r="168" spans="5:7" x14ac:dyDescent="0.2">
      <c r="E168" s="5" t="s">
        <v>282</v>
      </c>
      <c r="F168" s="322">
        <v>0.111111</v>
      </c>
      <c r="G168" s="97">
        <f>F168/F167</f>
        <v>0.111111</v>
      </c>
    </row>
    <row r="169" spans="5:7" x14ac:dyDescent="0.2">
      <c r="E169" s="3" t="s">
        <v>3</v>
      </c>
      <c r="F169" s="326">
        <v>0.66666700000000001</v>
      </c>
      <c r="G169" s="97">
        <f>F169/F167</f>
        <v>0.66666700000000001</v>
      </c>
    </row>
    <row r="170" spans="5:7" x14ac:dyDescent="0.2">
      <c r="E170" s="5" t="s">
        <v>4</v>
      </c>
      <c r="F170" s="122">
        <v>2.2221999999999999E-2</v>
      </c>
      <c r="G170" s="97">
        <f>F170/F167</f>
        <v>2.2221999999999999E-2</v>
      </c>
    </row>
    <row r="171" spans="5:7" x14ac:dyDescent="0.2">
      <c r="E171" s="5" t="s">
        <v>6</v>
      </c>
      <c r="F171" s="122">
        <v>1.1110999999999999E-2</v>
      </c>
      <c r="G171" s="97">
        <f>F171/F167</f>
        <v>1.1110999999999999E-2</v>
      </c>
    </row>
    <row r="172" spans="5:7" x14ac:dyDescent="0.2">
      <c r="E172" s="5" t="s">
        <v>205</v>
      </c>
      <c r="F172" s="122">
        <v>5.5556000000000001E-2</v>
      </c>
      <c r="G172" s="97">
        <f>F172/F167</f>
        <v>5.5556000000000001E-2</v>
      </c>
    </row>
    <row r="173" spans="5:7" x14ac:dyDescent="0.2">
      <c r="E173" s="5" t="s">
        <v>283</v>
      </c>
      <c r="F173" s="122">
        <v>1.6667000000000001E-2</v>
      </c>
      <c r="G173" s="97">
        <f>F173/F167</f>
        <v>1.6667000000000001E-2</v>
      </c>
    </row>
    <row r="174" spans="5:7" x14ac:dyDescent="0.2">
      <c r="F174" s="112">
        <f>SUM(F167:F172)</f>
        <v>1.8666670000000001</v>
      </c>
    </row>
  </sheetData>
  <sheetProtection password="C71F" sheet="1" objects="1" scenarios="1" selectLockedCells="1" selectUnlockedCells="1"/>
  <mergeCells count="29">
    <mergeCell ref="E41:F41"/>
    <mergeCell ref="A13:B13"/>
    <mergeCell ref="E13:F13"/>
    <mergeCell ref="A1:B1"/>
    <mergeCell ref="E1:F1"/>
    <mergeCell ref="A29:B29"/>
    <mergeCell ref="E29:F29"/>
    <mergeCell ref="A41:B41"/>
    <mergeCell ref="E90:F90"/>
    <mergeCell ref="A105:B105"/>
    <mergeCell ref="E105:F105"/>
    <mergeCell ref="E52:F52"/>
    <mergeCell ref="A76:B76"/>
    <mergeCell ref="E76:F76"/>
    <mergeCell ref="A90:B90"/>
    <mergeCell ref="A52:B52"/>
    <mergeCell ref="A65:B65"/>
    <mergeCell ref="E65:F65"/>
    <mergeCell ref="A116:B116"/>
    <mergeCell ref="E116:F116"/>
    <mergeCell ref="A125:B125"/>
    <mergeCell ref="E125:F125"/>
    <mergeCell ref="E133:F133"/>
    <mergeCell ref="E164:F164"/>
    <mergeCell ref="A152:B152"/>
    <mergeCell ref="A133:B133"/>
    <mergeCell ref="A142:B142"/>
    <mergeCell ref="E142:F142"/>
    <mergeCell ref="E152:F152"/>
  </mergeCells>
  <pageMargins left="0.75" right="0.75" top="1" bottom="1" header="0.4921259845" footer="0.4921259845"/>
  <pageSetup paperSize="9" scale="65" orientation="portrait" r:id="rId1"/>
  <headerFooter alignWithMargins="0"/>
  <rowBreaks count="2" manualBreakCount="2">
    <brk id="104" max="9" man="1"/>
    <brk id="140" max="9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122">
    <tabColor indexed="10"/>
    <pageSetUpPr fitToPage="1"/>
  </sheetPr>
  <dimension ref="A1:N168"/>
  <sheetViews>
    <sheetView showGridLines="0" zoomScale="115" zoomScaleNormal="115" zoomScaleSheetLayoutView="100" workbookViewId="0">
      <pane xSplit="2" ySplit="3" topLeftCell="C147" activePane="bottomRight" state="frozen"/>
      <selection activeCell="A152" sqref="A152:B152"/>
      <selection pane="topRight" activeCell="A152" sqref="A152:B152"/>
      <selection pane="bottomLeft" activeCell="A152" sqref="A152:B152"/>
      <selection pane="bottomRight" activeCell="J166" sqref="J166"/>
    </sheetView>
  </sheetViews>
  <sheetFormatPr defaultColWidth="11.42578125" defaultRowHeight="15" customHeight="1" x14ac:dyDescent="0.2"/>
  <cols>
    <col min="1" max="1" width="11.85546875" style="272" bestFit="1" customWidth="1"/>
    <col min="2" max="2" width="33.42578125" style="21" bestFit="1" customWidth="1"/>
    <col min="3" max="3" width="11.140625" style="23" customWidth="1"/>
    <col min="4" max="4" width="2.42578125" style="20" customWidth="1"/>
    <col min="5" max="5" width="6.140625" style="21" customWidth="1"/>
    <col min="6" max="6" width="1.7109375" style="21" customWidth="1"/>
    <col min="7" max="7" width="7.42578125" style="304" bestFit="1" customWidth="1"/>
    <col min="8" max="8" width="1.7109375" style="304" customWidth="1"/>
    <col min="9" max="9" width="10.85546875" style="304" bestFit="1" customWidth="1"/>
    <col min="10" max="10" width="11.42578125" style="304" customWidth="1"/>
    <col min="11" max="13" width="11.42578125" style="22" hidden="1" customWidth="1"/>
    <col min="14" max="14" width="11.5703125" style="22" hidden="1" customWidth="1"/>
    <col min="15" max="16384" width="11.42578125" style="21"/>
  </cols>
  <sheetData>
    <row r="1" spans="1:14" ht="6" customHeight="1" thickBot="1" x14ac:dyDescent="0.25">
      <c r="M1" s="22">
        <f>SUM(N:N)</f>
        <v>0</v>
      </c>
    </row>
    <row r="2" spans="1:14" ht="12" customHeight="1" x14ac:dyDescent="0.2">
      <c r="B2" s="391" t="s">
        <v>23</v>
      </c>
      <c r="C2" s="393" t="s">
        <v>24</v>
      </c>
      <c r="D2" s="24"/>
      <c r="E2" s="395" t="s">
        <v>25</v>
      </c>
      <c r="F2" s="25"/>
      <c r="G2" s="397" t="s">
        <v>26</v>
      </c>
      <c r="H2" s="305"/>
      <c r="I2" s="399" t="s">
        <v>27</v>
      </c>
    </row>
    <row r="3" spans="1:14" s="28" customFormat="1" ht="18" customHeight="1" thickBot="1" x14ac:dyDescent="0.25">
      <c r="A3" s="273"/>
      <c r="B3" s="392"/>
      <c r="C3" s="394"/>
      <c r="D3" s="26"/>
      <c r="E3" s="396"/>
      <c r="F3" s="27"/>
      <c r="G3" s="398"/>
      <c r="H3" s="306"/>
      <c r="I3" s="400"/>
      <c r="J3" s="307"/>
      <c r="K3" s="29"/>
      <c r="L3" s="29"/>
      <c r="M3" s="29"/>
      <c r="N3" s="29"/>
    </row>
    <row r="4" spans="1:14" ht="15" customHeight="1" x14ac:dyDescent="0.2">
      <c r="A4" s="185">
        <v>755730</v>
      </c>
      <c r="B4" s="203" t="s">
        <v>103</v>
      </c>
      <c r="C4" s="214">
        <v>0.17499999999999999</v>
      </c>
      <c r="D4" s="30"/>
      <c r="E4" s="32">
        <v>1.1000000000000001</v>
      </c>
      <c r="F4" s="31"/>
      <c r="G4" s="32">
        <v>1.2100000000000002</v>
      </c>
      <c r="H4" s="308"/>
      <c r="I4" s="32">
        <v>1.32</v>
      </c>
      <c r="L4" s="22" t="s">
        <v>28</v>
      </c>
      <c r="M4" s="22" t="s">
        <v>28</v>
      </c>
      <c r="N4" s="22">
        <f t="shared" ref="N4:N62" si="0">IF(L4=0,0,IF(L4=M4,0,1))</f>
        <v>0</v>
      </c>
    </row>
    <row r="5" spans="1:14" ht="15" customHeight="1" x14ac:dyDescent="0.2">
      <c r="A5" s="185">
        <v>65846</v>
      </c>
      <c r="B5" s="203" t="s">
        <v>104</v>
      </c>
      <c r="C5" s="215">
        <v>0.35</v>
      </c>
      <c r="D5" s="30"/>
      <c r="E5" s="32">
        <v>1.8</v>
      </c>
      <c r="F5" s="31"/>
      <c r="G5" s="32">
        <v>1.9800000000000002</v>
      </c>
      <c r="H5" s="308"/>
      <c r="I5" s="32">
        <v>2.16</v>
      </c>
      <c r="L5" s="22" t="s">
        <v>28</v>
      </c>
      <c r="M5" s="22" t="s">
        <v>28</v>
      </c>
      <c r="N5" s="22">
        <f t="shared" si="0"/>
        <v>0</v>
      </c>
    </row>
    <row r="6" spans="1:14" ht="15" customHeight="1" x14ac:dyDescent="0.2">
      <c r="A6" s="186">
        <v>358700</v>
      </c>
      <c r="B6" s="204" t="s">
        <v>35</v>
      </c>
      <c r="C6" s="215">
        <v>0.35</v>
      </c>
      <c r="D6" s="30"/>
      <c r="E6" s="32">
        <v>3.45</v>
      </c>
      <c r="F6" s="31"/>
      <c r="G6" s="32">
        <v>3.7950000000000004</v>
      </c>
      <c r="H6" s="308"/>
      <c r="I6" s="32">
        <v>4.1399999999999997</v>
      </c>
      <c r="L6" s="22" t="s">
        <v>28</v>
      </c>
      <c r="M6" s="22" t="s">
        <v>28</v>
      </c>
      <c r="N6" s="22">
        <f t="shared" si="0"/>
        <v>0</v>
      </c>
    </row>
    <row r="7" spans="1:14" ht="15" customHeight="1" x14ac:dyDescent="0.2">
      <c r="A7" s="186">
        <v>348164</v>
      </c>
      <c r="B7" s="204" t="s">
        <v>105</v>
      </c>
      <c r="C7" s="215">
        <v>0.35</v>
      </c>
      <c r="D7" s="30"/>
      <c r="E7" s="32">
        <v>5.95</v>
      </c>
      <c r="F7" s="31"/>
      <c r="G7" s="32">
        <v>6.5450000000000008</v>
      </c>
      <c r="H7" s="308"/>
      <c r="I7" s="32">
        <v>7.14</v>
      </c>
      <c r="L7" s="22" t="s">
        <v>28</v>
      </c>
      <c r="M7" s="22" t="s">
        <v>28</v>
      </c>
      <c r="N7" s="22">
        <f t="shared" si="0"/>
        <v>0</v>
      </c>
    </row>
    <row r="8" spans="1:14" ht="15" customHeight="1" x14ac:dyDescent="0.2">
      <c r="A8" s="186">
        <v>358194</v>
      </c>
      <c r="B8" s="204" t="s">
        <v>106</v>
      </c>
      <c r="C8" s="216">
        <v>0.35</v>
      </c>
      <c r="D8" s="30"/>
      <c r="E8" s="32">
        <v>5.5</v>
      </c>
      <c r="F8" s="31"/>
      <c r="G8" s="32">
        <v>6.0500000000000007</v>
      </c>
      <c r="H8" s="308"/>
      <c r="I8" s="32">
        <v>6.6</v>
      </c>
      <c r="L8" s="22" t="s">
        <v>28</v>
      </c>
      <c r="M8" s="22" t="s">
        <v>28</v>
      </c>
      <c r="N8" s="22">
        <f t="shared" si="0"/>
        <v>0</v>
      </c>
    </row>
    <row r="9" spans="1:14" ht="15" customHeight="1" x14ac:dyDescent="0.2">
      <c r="A9" s="186">
        <v>65888</v>
      </c>
      <c r="B9" s="204" t="s">
        <v>107</v>
      </c>
      <c r="C9" s="216">
        <v>0.35</v>
      </c>
      <c r="D9" s="30"/>
      <c r="E9" s="32">
        <v>5.5</v>
      </c>
      <c r="F9" s="31"/>
      <c r="G9" s="32">
        <v>6.0500000000000007</v>
      </c>
      <c r="H9" s="308"/>
      <c r="I9" s="32">
        <v>6.6</v>
      </c>
      <c r="L9" s="22" t="s">
        <v>28</v>
      </c>
      <c r="M9" s="22" t="s">
        <v>28</v>
      </c>
      <c r="N9" s="22">
        <f t="shared" si="0"/>
        <v>0</v>
      </c>
    </row>
    <row r="10" spans="1:14" ht="15" customHeight="1" x14ac:dyDescent="0.2">
      <c r="A10" s="186">
        <v>65850</v>
      </c>
      <c r="B10" s="204" t="s">
        <v>108</v>
      </c>
      <c r="C10" s="216">
        <v>0.35</v>
      </c>
      <c r="D10" s="30"/>
      <c r="E10" s="32">
        <v>3.45</v>
      </c>
      <c r="F10" s="31"/>
      <c r="G10" s="32">
        <v>3.7950000000000004</v>
      </c>
      <c r="H10" s="308"/>
      <c r="I10" s="32">
        <v>4.1399999999999997</v>
      </c>
      <c r="L10" s="22" t="s">
        <v>28</v>
      </c>
      <c r="M10" s="22" t="s">
        <v>28</v>
      </c>
      <c r="N10" s="22">
        <f t="shared" si="0"/>
        <v>0</v>
      </c>
    </row>
    <row r="11" spans="1:14" ht="15" customHeight="1" x14ac:dyDescent="0.2">
      <c r="A11" s="186">
        <v>65852</v>
      </c>
      <c r="B11" s="204" t="s">
        <v>109</v>
      </c>
      <c r="C11" s="216">
        <v>0.35</v>
      </c>
      <c r="D11" s="30"/>
      <c r="E11" s="32">
        <v>1.95</v>
      </c>
      <c r="F11" s="31"/>
      <c r="G11" s="32">
        <v>2.145</v>
      </c>
      <c r="H11" s="308"/>
      <c r="I11" s="32">
        <v>2.34</v>
      </c>
      <c r="L11" s="22" t="s">
        <v>28</v>
      </c>
      <c r="M11" s="22" t="s">
        <v>28</v>
      </c>
      <c r="N11" s="22">
        <f t="shared" si="0"/>
        <v>0</v>
      </c>
    </row>
    <row r="12" spans="1:14" ht="15" customHeight="1" x14ac:dyDescent="0.2">
      <c r="A12" s="186">
        <v>303831</v>
      </c>
      <c r="B12" s="204" t="s">
        <v>255</v>
      </c>
      <c r="C12" s="216">
        <v>0.35</v>
      </c>
      <c r="D12" s="30"/>
      <c r="E12" s="32">
        <v>2.5</v>
      </c>
      <c r="F12" s="31"/>
      <c r="G12" s="32">
        <v>2.75</v>
      </c>
      <c r="H12" s="308"/>
      <c r="I12" s="32">
        <v>3</v>
      </c>
      <c r="L12" s="22" t="s">
        <v>28</v>
      </c>
      <c r="M12" s="22" t="s">
        <v>28</v>
      </c>
      <c r="N12" s="22">
        <f t="shared" si="0"/>
        <v>0</v>
      </c>
    </row>
    <row r="13" spans="1:14" ht="15" customHeight="1" x14ac:dyDescent="0.2">
      <c r="A13" s="186">
        <v>292745</v>
      </c>
      <c r="B13" s="204" t="s">
        <v>111</v>
      </c>
      <c r="C13" s="216">
        <v>0.48</v>
      </c>
      <c r="D13" s="30"/>
      <c r="E13" s="32">
        <v>2.95</v>
      </c>
      <c r="F13" s="31"/>
      <c r="G13" s="32">
        <v>3.2450000000000006</v>
      </c>
      <c r="H13" s="308"/>
      <c r="I13" s="32">
        <v>3.54</v>
      </c>
      <c r="L13" s="22" t="s">
        <v>28</v>
      </c>
      <c r="M13" s="22" t="s">
        <v>28</v>
      </c>
      <c r="N13" s="22">
        <f t="shared" si="0"/>
        <v>0</v>
      </c>
    </row>
    <row r="14" spans="1:14" ht="15" customHeight="1" x14ac:dyDescent="0.2">
      <c r="A14" s="186">
        <v>65890</v>
      </c>
      <c r="B14" s="204" t="s">
        <v>256</v>
      </c>
      <c r="C14" s="216">
        <v>1.165</v>
      </c>
      <c r="D14" s="30"/>
      <c r="E14" s="32">
        <v>8.4499999999999993</v>
      </c>
      <c r="F14" s="31"/>
      <c r="G14" s="32">
        <v>9.2949999999999999</v>
      </c>
      <c r="H14" s="308"/>
      <c r="I14" s="32">
        <v>10.139999999999999</v>
      </c>
      <c r="L14" s="22" t="s">
        <v>28</v>
      </c>
      <c r="M14" s="22" t="s">
        <v>28</v>
      </c>
      <c r="N14" s="22">
        <f t="shared" si="0"/>
        <v>0</v>
      </c>
    </row>
    <row r="15" spans="1:14" ht="15" customHeight="1" x14ac:dyDescent="0.2">
      <c r="A15" s="186">
        <v>65892</v>
      </c>
      <c r="B15" s="204" t="s">
        <v>257</v>
      </c>
      <c r="C15" s="216">
        <v>0.58499999999999996</v>
      </c>
      <c r="D15" s="30"/>
      <c r="E15" s="32">
        <v>5.5</v>
      </c>
      <c r="F15" s="31"/>
      <c r="G15" s="32">
        <v>6.0500000000000007</v>
      </c>
      <c r="H15" s="308"/>
      <c r="I15" s="32">
        <v>6.6</v>
      </c>
      <c r="L15" s="22" t="s">
        <v>28</v>
      </c>
      <c r="M15" s="22" t="s">
        <v>28</v>
      </c>
      <c r="N15" s="22">
        <f t="shared" si="0"/>
        <v>0</v>
      </c>
    </row>
    <row r="16" spans="1:14" ht="15" customHeight="1" x14ac:dyDescent="0.2">
      <c r="A16" s="186">
        <v>886852</v>
      </c>
      <c r="B16" s="204" t="s">
        <v>253</v>
      </c>
      <c r="C16" s="216">
        <v>1.165</v>
      </c>
      <c r="D16" s="30"/>
      <c r="E16" s="32">
        <v>8.4499999999999993</v>
      </c>
      <c r="F16" s="31"/>
      <c r="G16" s="32">
        <v>9.2949999999999999</v>
      </c>
      <c r="H16" s="308"/>
      <c r="I16" s="32">
        <v>10.139999999999999</v>
      </c>
      <c r="L16" s="22" t="s">
        <v>28</v>
      </c>
      <c r="M16" s="22" t="s">
        <v>28</v>
      </c>
      <c r="N16" s="22">
        <f t="shared" si="0"/>
        <v>0</v>
      </c>
    </row>
    <row r="17" spans="1:14" ht="15" customHeight="1" x14ac:dyDescent="0.2">
      <c r="A17" s="186">
        <v>886849</v>
      </c>
      <c r="B17" s="204" t="s">
        <v>254</v>
      </c>
      <c r="C17" s="216">
        <v>0.58499999999999996</v>
      </c>
      <c r="D17" s="30"/>
      <c r="E17" s="32">
        <v>5.5</v>
      </c>
      <c r="F17" s="31"/>
      <c r="G17" s="32">
        <v>6.0500000000000007</v>
      </c>
      <c r="H17" s="308"/>
      <c r="I17" s="32">
        <v>6.6</v>
      </c>
      <c r="L17" s="22" t="s">
        <v>28</v>
      </c>
      <c r="M17" s="22" t="s">
        <v>28</v>
      </c>
      <c r="N17" s="22">
        <f t="shared" si="0"/>
        <v>0</v>
      </c>
    </row>
    <row r="18" spans="1:14" ht="15" customHeight="1" x14ac:dyDescent="0.2">
      <c r="A18" s="186">
        <v>65897</v>
      </c>
      <c r="B18" s="204" t="s">
        <v>258</v>
      </c>
      <c r="C18" s="216">
        <v>0.24</v>
      </c>
      <c r="D18" s="30"/>
      <c r="E18" s="32">
        <v>3</v>
      </c>
      <c r="F18" s="31"/>
      <c r="G18" s="32">
        <v>3.3000000000000003</v>
      </c>
      <c r="H18" s="308"/>
      <c r="I18" s="32">
        <v>3.5999999999999996</v>
      </c>
      <c r="L18" s="22" t="s">
        <v>28</v>
      </c>
      <c r="M18" s="22" t="s">
        <v>28</v>
      </c>
      <c r="N18" s="22">
        <f t="shared" si="0"/>
        <v>0</v>
      </c>
    </row>
    <row r="19" spans="1:14" ht="15" customHeight="1" x14ac:dyDescent="0.2">
      <c r="A19" s="186">
        <v>403773</v>
      </c>
      <c r="B19" s="204" t="s">
        <v>112</v>
      </c>
      <c r="C19" s="216">
        <v>0.24</v>
      </c>
      <c r="D19" s="30"/>
      <c r="E19" s="32">
        <v>3.75</v>
      </c>
      <c r="F19" s="31"/>
      <c r="G19" s="32">
        <v>4.125</v>
      </c>
      <c r="H19" s="308"/>
      <c r="I19" s="32">
        <v>4.5</v>
      </c>
      <c r="L19" s="22" t="s">
        <v>28</v>
      </c>
      <c r="M19" s="22" t="s">
        <v>28</v>
      </c>
      <c r="N19" s="22">
        <f t="shared" si="0"/>
        <v>0</v>
      </c>
    </row>
    <row r="20" spans="1:14" ht="15" customHeight="1" x14ac:dyDescent="0.2">
      <c r="A20" s="186">
        <v>886858</v>
      </c>
      <c r="B20" s="204" t="s">
        <v>113</v>
      </c>
      <c r="C20" s="216">
        <v>0.7</v>
      </c>
      <c r="D20" s="30"/>
      <c r="E20" s="32">
        <v>6.45</v>
      </c>
      <c r="F20" s="31"/>
      <c r="G20" s="32">
        <v>7.0950000000000006</v>
      </c>
      <c r="H20" s="308"/>
      <c r="I20" s="32">
        <v>7.74</v>
      </c>
      <c r="L20" s="22" t="s">
        <v>28</v>
      </c>
      <c r="M20" s="22" t="s">
        <v>28</v>
      </c>
      <c r="N20" s="22">
        <f t="shared" si="0"/>
        <v>0</v>
      </c>
    </row>
    <row r="21" spans="1:14" ht="15" customHeight="1" x14ac:dyDescent="0.2">
      <c r="A21" s="186">
        <v>886854</v>
      </c>
      <c r="B21" s="204" t="s">
        <v>114</v>
      </c>
      <c r="C21" s="216">
        <v>0.35</v>
      </c>
      <c r="D21" s="30"/>
      <c r="E21" s="32">
        <v>3.75</v>
      </c>
      <c r="F21" s="31"/>
      <c r="G21" s="32">
        <v>4.125</v>
      </c>
      <c r="H21" s="308"/>
      <c r="I21" s="32">
        <v>4.5</v>
      </c>
      <c r="L21" s="22" t="s">
        <v>28</v>
      </c>
      <c r="M21" s="22" t="s">
        <v>28</v>
      </c>
      <c r="N21" s="22">
        <f t="shared" si="0"/>
        <v>0</v>
      </c>
    </row>
    <row r="22" spans="1:14" ht="15" customHeight="1" x14ac:dyDescent="0.2">
      <c r="A22" s="186">
        <v>65929</v>
      </c>
      <c r="B22" s="196" t="s">
        <v>32</v>
      </c>
      <c r="C22" s="216">
        <v>0.7</v>
      </c>
      <c r="D22" s="30"/>
      <c r="E22" s="32">
        <v>6.45</v>
      </c>
      <c r="F22" s="31"/>
      <c r="G22" s="32">
        <v>7.0950000000000006</v>
      </c>
      <c r="H22" s="308"/>
      <c r="I22" s="32">
        <v>7.74</v>
      </c>
      <c r="L22" s="22" t="s">
        <v>28</v>
      </c>
      <c r="M22" s="22" t="s">
        <v>28</v>
      </c>
      <c r="N22" s="22">
        <f t="shared" si="0"/>
        <v>0</v>
      </c>
    </row>
    <row r="23" spans="1:14" ht="14.25" customHeight="1" x14ac:dyDescent="0.2">
      <c r="A23" s="187">
        <v>65926</v>
      </c>
      <c r="B23" s="205" t="s">
        <v>31</v>
      </c>
      <c r="C23" s="217">
        <v>0.35</v>
      </c>
      <c r="D23" s="30"/>
      <c r="E23" s="32">
        <v>3.75</v>
      </c>
      <c r="F23" s="31"/>
      <c r="G23" s="32">
        <v>4.125</v>
      </c>
      <c r="H23" s="308"/>
      <c r="I23" s="32">
        <v>4.5</v>
      </c>
      <c r="L23" s="22" t="s">
        <v>37</v>
      </c>
      <c r="M23" s="22" t="s">
        <v>37</v>
      </c>
      <c r="N23" s="22">
        <f t="shared" si="0"/>
        <v>0</v>
      </c>
    </row>
    <row r="24" spans="1:14" ht="14.25" customHeight="1" x14ac:dyDescent="0.2">
      <c r="A24" s="187"/>
      <c r="B24" s="205"/>
      <c r="C24" s="217"/>
      <c r="D24" s="30"/>
      <c r="E24" s="32"/>
      <c r="F24" s="31"/>
      <c r="G24" s="32"/>
      <c r="H24" s="308"/>
      <c r="I24" s="32"/>
    </row>
    <row r="25" spans="1:14" ht="15" customHeight="1" x14ac:dyDescent="0.2">
      <c r="A25" s="188">
        <v>206112</v>
      </c>
      <c r="B25" s="218" t="s">
        <v>34</v>
      </c>
      <c r="C25" s="216">
        <v>0.72</v>
      </c>
      <c r="D25" s="30"/>
      <c r="E25" s="32">
        <v>7.95</v>
      </c>
      <c r="F25" s="31"/>
      <c r="G25" s="32">
        <v>8.745000000000001</v>
      </c>
      <c r="H25" s="308"/>
      <c r="I25" s="32">
        <v>7.95</v>
      </c>
      <c r="L25" s="22" t="s">
        <v>28</v>
      </c>
      <c r="M25" s="22" t="s">
        <v>28</v>
      </c>
      <c r="N25" s="22">
        <f t="shared" si="0"/>
        <v>0</v>
      </c>
    </row>
    <row r="26" spans="1:14" ht="14.25" x14ac:dyDescent="0.2">
      <c r="A26" s="188">
        <v>206120</v>
      </c>
      <c r="B26" s="189" t="s">
        <v>33</v>
      </c>
      <c r="C26" s="206">
        <v>0.36</v>
      </c>
      <c r="D26" s="30"/>
      <c r="E26" s="32">
        <v>4.95</v>
      </c>
      <c r="F26" s="31"/>
      <c r="G26" s="32">
        <v>5.4450000000000003</v>
      </c>
      <c r="H26" s="308"/>
      <c r="I26" s="32">
        <v>4.95</v>
      </c>
      <c r="L26" s="22" t="s">
        <v>28</v>
      </c>
      <c r="M26" s="22" t="s">
        <v>28</v>
      </c>
      <c r="N26" s="22">
        <f t="shared" si="0"/>
        <v>0</v>
      </c>
    </row>
    <row r="27" spans="1:14" ht="14.25" x14ac:dyDescent="0.2">
      <c r="A27" s="188">
        <v>65864</v>
      </c>
      <c r="B27" s="189" t="s">
        <v>136</v>
      </c>
      <c r="C27" s="206">
        <v>0.48</v>
      </c>
      <c r="D27" s="30"/>
      <c r="E27" s="32">
        <v>5.5</v>
      </c>
      <c r="F27" s="31"/>
      <c r="G27" s="32">
        <v>6.0500000000000007</v>
      </c>
      <c r="H27" s="308"/>
      <c r="I27" s="32">
        <v>5.5</v>
      </c>
    </row>
    <row r="28" spans="1:14" ht="14.25" x14ac:dyDescent="0.2">
      <c r="A28" s="188">
        <v>1263736</v>
      </c>
      <c r="B28" s="190" t="s">
        <v>273</v>
      </c>
      <c r="C28" s="206">
        <v>0.47499999999999998</v>
      </c>
      <c r="D28" s="30"/>
      <c r="E28" s="32">
        <v>5.5</v>
      </c>
      <c r="F28" s="31"/>
      <c r="G28" s="32">
        <v>6.0500000000000007</v>
      </c>
      <c r="H28" s="308"/>
      <c r="I28" s="32">
        <v>5.5</v>
      </c>
      <c r="L28" s="22" t="s">
        <v>28</v>
      </c>
      <c r="M28" s="22" t="s">
        <v>28</v>
      </c>
      <c r="N28" s="22">
        <f t="shared" si="0"/>
        <v>0</v>
      </c>
    </row>
    <row r="29" spans="1:14" ht="12.75" customHeight="1" x14ac:dyDescent="0.2">
      <c r="A29" s="188">
        <v>68789</v>
      </c>
      <c r="B29" s="218" t="s">
        <v>137</v>
      </c>
      <c r="C29" s="216">
        <v>0.35</v>
      </c>
      <c r="D29" s="30"/>
      <c r="E29" s="32">
        <v>3.5</v>
      </c>
      <c r="F29" s="31"/>
      <c r="G29" s="32">
        <v>3.8500000000000005</v>
      </c>
      <c r="H29" s="308"/>
      <c r="I29" s="32">
        <v>3.5</v>
      </c>
      <c r="L29" s="22" t="s">
        <v>28</v>
      </c>
      <c r="M29" s="22" t="s">
        <v>28</v>
      </c>
      <c r="N29" s="22">
        <f t="shared" si="0"/>
        <v>0</v>
      </c>
    </row>
    <row r="30" spans="1:14" ht="12.75" customHeight="1" x14ac:dyDescent="0.2">
      <c r="A30" s="188"/>
      <c r="B30" s="218"/>
      <c r="C30" s="216"/>
      <c r="D30" s="30"/>
      <c r="E30" s="32"/>
      <c r="F30" s="31"/>
      <c r="G30" s="32"/>
      <c r="H30" s="308"/>
      <c r="I30" s="32"/>
    </row>
    <row r="31" spans="1:14" ht="13.5" customHeight="1" x14ac:dyDescent="0.2">
      <c r="A31" s="219">
        <v>445146</v>
      </c>
      <c r="B31" s="218" t="s">
        <v>132</v>
      </c>
      <c r="C31" s="216">
        <v>0.48</v>
      </c>
      <c r="D31" s="30"/>
      <c r="E31" s="32">
        <v>5.95</v>
      </c>
      <c r="F31" s="31"/>
      <c r="G31" s="32">
        <v>6.5450000000000008</v>
      </c>
      <c r="H31" s="308"/>
      <c r="I31" s="32">
        <v>5.95</v>
      </c>
      <c r="L31" s="22" t="s">
        <v>28</v>
      </c>
      <c r="M31" s="22" t="s">
        <v>28</v>
      </c>
      <c r="N31" s="22">
        <f t="shared" si="0"/>
        <v>0</v>
      </c>
    </row>
    <row r="32" spans="1:14" ht="14.25" x14ac:dyDescent="0.2">
      <c r="A32" s="274"/>
      <c r="B32" s="220"/>
      <c r="C32" s="221"/>
      <c r="D32" s="83"/>
      <c r="E32" s="32"/>
      <c r="F32" s="81"/>
      <c r="G32" s="32"/>
      <c r="H32" s="309"/>
      <c r="I32" s="32"/>
      <c r="J32" s="310"/>
      <c r="L32" s="22" t="s">
        <v>28</v>
      </c>
      <c r="M32" s="22" t="s">
        <v>28</v>
      </c>
      <c r="N32" s="22">
        <f t="shared" si="0"/>
        <v>0</v>
      </c>
    </row>
    <row r="33" spans="1:14" ht="15" customHeight="1" x14ac:dyDescent="0.2">
      <c r="A33" s="191">
        <v>951452</v>
      </c>
      <c r="B33" s="190" t="s">
        <v>163</v>
      </c>
      <c r="C33" s="206">
        <v>0.45</v>
      </c>
      <c r="D33" s="30"/>
      <c r="E33" s="32">
        <v>4.95</v>
      </c>
      <c r="F33" s="31"/>
      <c r="G33" s="32">
        <v>5.4450000000000003</v>
      </c>
      <c r="H33" s="308"/>
      <c r="I33" s="32">
        <v>4.95</v>
      </c>
      <c r="N33" s="22">
        <f t="shared" si="0"/>
        <v>0</v>
      </c>
    </row>
    <row r="34" spans="1:14" ht="15" customHeight="1" x14ac:dyDescent="0.2">
      <c r="A34" s="191"/>
      <c r="B34" s="190"/>
      <c r="C34" s="206"/>
      <c r="D34" s="30"/>
      <c r="E34" s="32"/>
      <c r="F34" s="31"/>
      <c r="G34" s="32">
        <v>0</v>
      </c>
      <c r="H34" s="308"/>
      <c r="I34" s="32"/>
      <c r="N34" s="22">
        <f t="shared" si="0"/>
        <v>0</v>
      </c>
    </row>
    <row r="35" spans="1:14" s="36" customFormat="1" ht="15" customHeight="1" x14ac:dyDescent="0.2">
      <c r="A35" s="191">
        <v>1263737</v>
      </c>
      <c r="B35" s="192" t="s">
        <v>271</v>
      </c>
      <c r="C35" s="207">
        <v>0.5</v>
      </c>
      <c r="D35" s="34"/>
      <c r="E35" s="32">
        <v>6.5</v>
      </c>
      <c r="F35" s="31"/>
      <c r="G35" s="32">
        <v>7.15</v>
      </c>
      <c r="H35" s="308"/>
      <c r="I35" s="32">
        <v>6.5</v>
      </c>
      <c r="J35" s="311"/>
      <c r="K35" s="22"/>
      <c r="L35" s="22"/>
      <c r="M35" s="22"/>
      <c r="N35" s="22">
        <f t="shared" si="0"/>
        <v>0</v>
      </c>
    </row>
    <row r="36" spans="1:14" ht="15" customHeight="1" x14ac:dyDescent="0.2">
      <c r="A36" s="187">
        <v>1098038</v>
      </c>
      <c r="B36" s="201" t="s">
        <v>150</v>
      </c>
      <c r="C36" s="206">
        <v>0.7</v>
      </c>
      <c r="D36" s="30"/>
      <c r="E36" s="32">
        <v>8.9499999999999993</v>
      </c>
      <c r="F36" s="31"/>
      <c r="G36" s="32">
        <v>9.8450000000000006</v>
      </c>
      <c r="H36" s="308"/>
      <c r="I36" s="32">
        <v>8.9499999999999993</v>
      </c>
      <c r="L36" s="22" t="s">
        <v>38</v>
      </c>
      <c r="M36" s="22" t="s">
        <v>38</v>
      </c>
      <c r="N36" s="22">
        <f t="shared" si="0"/>
        <v>0</v>
      </c>
    </row>
    <row r="37" spans="1:14" ht="15" customHeight="1" x14ac:dyDescent="0.2">
      <c r="A37" s="186"/>
      <c r="B37" s="204"/>
      <c r="C37" s="216"/>
      <c r="D37" s="30"/>
      <c r="E37" s="32"/>
      <c r="F37" s="31"/>
      <c r="G37" s="32"/>
      <c r="H37" s="308"/>
      <c r="I37" s="32"/>
      <c r="L37" s="22" t="s">
        <v>38</v>
      </c>
      <c r="M37" s="22" t="s">
        <v>38</v>
      </c>
      <c r="N37" s="22">
        <f t="shared" si="0"/>
        <v>0</v>
      </c>
    </row>
    <row r="38" spans="1:14" ht="15" customHeight="1" x14ac:dyDescent="0.2">
      <c r="A38" s="186">
        <v>1079156</v>
      </c>
      <c r="B38" s="204" t="s">
        <v>121</v>
      </c>
      <c r="C38" s="216">
        <v>0.45</v>
      </c>
      <c r="D38" s="30"/>
      <c r="E38" s="32">
        <v>6.5</v>
      </c>
      <c r="F38" s="31"/>
      <c r="G38" s="32">
        <v>7.15</v>
      </c>
      <c r="H38" s="308"/>
      <c r="I38" s="32">
        <v>6.5</v>
      </c>
      <c r="L38" s="22" t="s">
        <v>38</v>
      </c>
      <c r="M38" s="22" t="s">
        <v>38</v>
      </c>
      <c r="N38" s="22">
        <f t="shared" si="0"/>
        <v>0</v>
      </c>
    </row>
    <row r="39" spans="1:14" ht="15" customHeight="1" x14ac:dyDescent="0.2">
      <c r="A39" s="186">
        <v>65857</v>
      </c>
      <c r="B39" s="204" t="s">
        <v>122</v>
      </c>
      <c r="C39" s="216">
        <v>0.5</v>
      </c>
      <c r="D39" s="30"/>
      <c r="E39" s="32">
        <v>3.15</v>
      </c>
      <c r="F39" s="31"/>
      <c r="G39" s="32">
        <v>3.4650000000000003</v>
      </c>
      <c r="H39" s="308"/>
      <c r="I39" s="32">
        <v>3.15</v>
      </c>
      <c r="L39" s="22" t="s">
        <v>38</v>
      </c>
      <c r="M39" s="22" t="s">
        <v>38</v>
      </c>
      <c r="N39" s="22">
        <f t="shared" si="0"/>
        <v>0</v>
      </c>
    </row>
    <row r="40" spans="1:14" ht="15" customHeight="1" x14ac:dyDescent="0.2">
      <c r="A40" s="186">
        <v>645788</v>
      </c>
      <c r="B40" s="204" t="s">
        <v>123</v>
      </c>
      <c r="C40" s="216">
        <v>0.5</v>
      </c>
      <c r="D40" s="30"/>
      <c r="E40" s="32">
        <v>5.95</v>
      </c>
      <c r="F40" s="31"/>
      <c r="G40" s="32">
        <v>6.5450000000000008</v>
      </c>
      <c r="H40" s="308"/>
      <c r="I40" s="32">
        <v>5.95</v>
      </c>
      <c r="L40" s="22" t="s">
        <v>38</v>
      </c>
      <c r="M40" s="22" t="s">
        <v>38</v>
      </c>
      <c r="N40" s="22">
        <f t="shared" si="0"/>
        <v>0</v>
      </c>
    </row>
    <row r="41" spans="1:14" ht="15" customHeight="1" x14ac:dyDescent="0.2">
      <c r="A41" s="186">
        <v>95901</v>
      </c>
      <c r="B41" s="204" t="s">
        <v>124</v>
      </c>
      <c r="C41" s="216">
        <v>0.11</v>
      </c>
      <c r="D41" s="30"/>
      <c r="E41" s="32">
        <v>1.5</v>
      </c>
      <c r="F41" s="31"/>
      <c r="G41" s="32">
        <v>1.6500000000000001</v>
      </c>
      <c r="H41" s="308"/>
      <c r="I41" s="32">
        <v>1.5</v>
      </c>
      <c r="L41" s="22" t="s">
        <v>38</v>
      </c>
      <c r="M41" s="22" t="s">
        <v>38</v>
      </c>
      <c r="N41" s="22">
        <f t="shared" si="0"/>
        <v>0</v>
      </c>
    </row>
    <row r="42" spans="1:14" ht="15" customHeight="1" x14ac:dyDescent="0.2">
      <c r="A42" s="186"/>
      <c r="B42" s="204"/>
      <c r="C42" s="216"/>
      <c r="D42" s="30"/>
      <c r="E42" s="32"/>
      <c r="F42" s="31"/>
      <c r="G42" s="32"/>
      <c r="H42" s="308"/>
      <c r="I42" s="32"/>
      <c r="L42" s="22" t="s">
        <v>38</v>
      </c>
      <c r="M42" s="22" t="s">
        <v>38</v>
      </c>
      <c r="N42" s="22">
        <f t="shared" si="0"/>
        <v>0</v>
      </c>
    </row>
    <row r="43" spans="1:14" ht="15" customHeight="1" x14ac:dyDescent="0.2">
      <c r="A43" s="186">
        <v>65882</v>
      </c>
      <c r="B43" s="204" t="s">
        <v>157</v>
      </c>
      <c r="C43" s="216">
        <v>0.72</v>
      </c>
      <c r="D43" s="30"/>
      <c r="E43" s="32">
        <v>6.5</v>
      </c>
      <c r="F43" s="31"/>
      <c r="G43" s="32">
        <v>7.15</v>
      </c>
      <c r="H43" s="308"/>
      <c r="I43" s="32">
        <v>6.5</v>
      </c>
      <c r="L43" s="22" t="s">
        <v>38</v>
      </c>
      <c r="M43" s="22" t="s">
        <v>38</v>
      </c>
      <c r="N43" s="22">
        <f t="shared" si="0"/>
        <v>0</v>
      </c>
    </row>
    <row r="44" spans="1:14" ht="15" customHeight="1" x14ac:dyDescent="0.2">
      <c r="A44" s="187"/>
      <c r="B44" s="187"/>
      <c r="C44" s="206"/>
      <c r="D44" s="30"/>
      <c r="E44" s="32"/>
      <c r="F44" s="31"/>
      <c r="G44" s="32"/>
      <c r="H44" s="308"/>
      <c r="I44" s="32"/>
      <c r="L44" s="22" t="s">
        <v>39</v>
      </c>
      <c r="M44" s="22" t="s">
        <v>39</v>
      </c>
      <c r="N44" s="22">
        <f t="shared" si="0"/>
        <v>0</v>
      </c>
    </row>
    <row r="45" spans="1:14" ht="15" customHeight="1" x14ac:dyDescent="0.2">
      <c r="A45" s="187">
        <v>951448</v>
      </c>
      <c r="B45" s="187" t="s">
        <v>153</v>
      </c>
      <c r="C45" s="206">
        <v>0.06</v>
      </c>
      <c r="D45" s="30"/>
      <c r="E45" s="32">
        <v>0.5</v>
      </c>
      <c r="F45" s="31"/>
      <c r="G45" s="32">
        <v>0.55000000000000004</v>
      </c>
      <c r="H45" s="308"/>
      <c r="I45" s="32">
        <v>0.5</v>
      </c>
      <c r="L45" s="22" t="s">
        <v>38</v>
      </c>
      <c r="M45" s="22" t="s">
        <v>38</v>
      </c>
      <c r="N45" s="22">
        <f t="shared" si="0"/>
        <v>0</v>
      </c>
    </row>
    <row r="46" spans="1:14" ht="15" customHeight="1" x14ac:dyDescent="0.2">
      <c r="A46" s="187">
        <v>1037864</v>
      </c>
      <c r="B46" s="187" t="s">
        <v>154</v>
      </c>
      <c r="C46" s="206">
        <v>0.36</v>
      </c>
      <c r="D46" s="30"/>
      <c r="E46" s="32">
        <v>3</v>
      </c>
      <c r="F46" s="31"/>
      <c r="G46" s="32">
        <v>3.3000000000000003</v>
      </c>
      <c r="H46" s="308"/>
      <c r="I46" s="32">
        <v>3</v>
      </c>
      <c r="L46" s="22" t="s">
        <v>38</v>
      </c>
      <c r="M46" s="22" t="s">
        <v>38</v>
      </c>
      <c r="N46" s="22">
        <f t="shared" si="0"/>
        <v>0</v>
      </c>
    </row>
    <row r="47" spans="1:14" ht="15" customHeight="1" x14ac:dyDescent="0.2">
      <c r="A47" s="187">
        <v>1022414</v>
      </c>
      <c r="B47" s="187" t="s">
        <v>155</v>
      </c>
      <c r="C47" s="206">
        <v>0.6</v>
      </c>
      <c r="D47" s="30"/>
      <c r="E47" s="32">
        <v>5</v>
      </c>
      <c r="F47" s="31"/>
      <c r="G47" s="32">
        <v>5.5</v>
      </c>
      <c r="H47" s="308"/>
      <c r="I47" s="32">
        <v>5</v>
      </c>
      <c r="L47" s="22" t="s">
        <v>39</v>
      </c>
      <c r="M47" s="22" t="s">
        <v>39</v>
      </c>
      <c r="N47" s="22">
        <f t="shared" si="0"/>
        <v>0</v>
      </c>
    </row>
    <row r="48" spans="1:14" ht="15" customHeight="1" x14ac:dyDescent="0.2">
      <c r="A48" s="187"/>
      <c r="B48" s="187"/>
      <c r="C48" s="206"/>
      <c r="D48" s="30"/>
      <c r="E48" s="32"/>
      <c r="F48" s="31"/>
      <c r="G48" s="32"/>
      <c r="H48" s="308"/>
      <c r="I48" s="32"/>
      <c r="L48" s="22" t="s">
        <v>38</v>
      </c>
      <c r="M48" s="22" t="s">
        <v>38</v>
      </c>
      <c r="N48" s="22">
        <f t="shared" si="0"/>
        <v>0</v>
      </c>
    </row>
    <row r="49" spans="1:14" ht="15" customHeight="1" x14ac:dyDescent="0.2">
      <c r="A49" s="188">
        <v>65860</v>
      </c>
      <c r="B49" s="193" t="s">
        <v>259</v>
      </c>
      <c r="C49" s="206">
        <v>0.48</v>
      </c>
      <c r="D49" s="30"/>
      <c r="E49" s="32">
        <v>6.45</v>
      </c>
      <c r="F49" s="31"/>
      <c r="G49" s="32">
        <v>7.0950000000000006</v>
      </c>
      <c r="H49" s="308"/>
      <c r="I49" s="32">
        <v>6.45</v>
      </c>
      <c r="N49" s="22">
        <f t="shared" si="0"/>
        <v>0</v>
      </c>
    </row>
    <row r="50" spans="1:14" s="28" customFormat="1" ht="15" customHeight="1" x14ac:dyDescent="0.2">
      <c r="A50" s="191">
        <v>65859</v>
      </c>
      <c r="B50" s="192" t="s">
        <v>260</v>
      </c>
      <c r="C50" s="207">
        <v>0.96</v>
      </c>
      <c r="D50" s="34"/>
      <c r="E50" s="32">
        <v>10.75</v>
      </c>
      <c r="F50" s="35"/>
      <c r="G50" s="32">
        <v>11.825000000000001</v>
      </c>
      <c r="H50" s="312"/>
      <c r="I50" s="32">
        <v>10.75</v>
      </c>
      <c r="J50" s="307"/>
      <c r="K50" s="29"/>
      <c r="L50" s="29"/>
      <c r="M50" s="29"/>
      <c r="N50" s="22">
        <f t="shared" si="0"/>
        <v>0</v>
      </c>
    </row>
    <row r="51" spans="1:14" ht="15" customHeight="1" x14ac:dyDescent="0.2">
      <c r="A51" s="187">
        <v>270450</v>
      </c>
      <c r="B51" s="187" t="s">
        <v>125</v>
      </c>
      <c r="C51" s="206">
        <v>0.35</v>
      </c>
      <c r="D51" s="30"/>
      <c r="E51" s="32">
        <v>3.95</v>
      </c>
      <c r="F51" s="31"/>
      <c r="G51" s="32">
        <v>4.3450000000000006</v>
      </c>
      <c r="H51" s="308"/>
      <c r="I51" s="32">
        <v>3.95</v>
      </c>
      <c r="L51" s="22" t="s">
        <v>40</v>
      </c>
      <c r="M51" s="22" t="s">
        <v>40</v>
      </c>
      <c r="N51" s="22">
        <f t="shared" si="0"/>
        <v>0</v>
      </c>
    </row>
    <row r="52" spans="1:14" ht="15" customHeight="1" x14ac:dyDescent="0.2">
      <c r="A52" s="187">
        <v>270462</v>
      </c>
      <c r="B52" s="187" t="s">
        <v>126</v>
      </c>
      <c r="C52" s="206">
        <v>0.43636364</v>
      </c>
      <c r="D52" s="30"/>
      <c r="E52" s="32">
        <v>7.5</v>
      </c>
      <c r="F52" s="31"/>
      <c r="G52" s="32">
        <v>8.25</v>
      </c>
      <c r="H52" s="308"/>
      <c r="I52" s="32">
        <v>7.5</v>
      </c>
      <c r="L52" s="22" t="s">
        <v>40</v>
      </c>
      <c r="M52" s="22" t="s">
        <v>40</v>
      </c>
      <c r="N52" s="22">
        <f t="shared" si="0"/>
        <v>0</v>
      </c>
    </row>
    <row r="53" spans="1:14" ht="15" customHeight="1" x14ac:dyDescent="0.2">
      <c r="A53" s="187">
        <v>305568</v>
      </c>
      <c r="B53" s="187" t="s">
        <v>127</v>
      </c>
      <c r="C53" s="206">
        <v>1</v>
      </c>
      <c r="D53" s="30"/>
      <c r="E53" s="32">
        <v>13.5</v>
      </c>
      <c r="F53" s="31"/>
      <c r="G53" s="32">
        <v>14.850000000000001</v>
      </c>
      <c r="H53" s="308"/>
      <c r="I53" s="32">
        <v>13.5</v>
      </c>
      <c r="L53" s="22" t="s">
        <v>40</v>
      </c>
      <c r="M53" s="22" t="s">
        <v>40</v>
      </c>
      <c r="N53" s="22">
        <f t="shared" si="0"/>
        <v>0</v>
      </c>
    </row>
    <row r="54" spans="1:14" ht="15" customHeight="1" x14ac:dyDescent="0.2">
      <c r="A54" s="187">
        <v>65865</v>
      </c>
      <c r="B54" s="187" t="s">
        <v>128</v>
      </c>
      <c r="C54" s="206">
        <v>0.43636364</v>
      </c>
      <c r="D54" s="30"/>
      <c r="E54" s="32">
        <v>7.95</v>
      </c>
      <c r="F54" s="31"/>
      <c r="G54" s="32">
        <v>8.745000000000001</v>
      </c>
      <c r="H54" s="308"/>
      <c r="I54" s="32">
        <v>7.95</v>
      </c>
      <c r="L54" s="22" t="s">
        <v>40</v>
      </c>
      <c r="M54" s="22" t="s">
        <v>40</v>
      </c>
      <c r="N54" s="22">
        <f t="shared" si="0"/>
        <v>0</v>
      </c>
    </row>
    <row r="55" spans="1:14" ht="15" customHeight="1" x14ac:dyDescent="0.2">
      <c r="A55" s="187">
        <v>308648</v>
      </c>
      <c r="B55" s="187" t="s">
        <v>129</v>
      </c>
      <c r="C55" s="206">
        <v>0.58499999999999996</v>
      </c>
      <c r="D55" s="30"/>
      <c r="E55" s="32">
        <v>5.75</v>
      </c>
      <c r="F55" s="31"/>
      <c r="G55" s="32">
        <v>6.3250000000000002</v>
      </c>
      <c r="H55" s="308"/>
      <c r="I55" s="32">
        <v>5.75</v>
      </c>
      <c r="L55" s="22" t="s">
        <v>40</v>
      </c>
      <c r="M55" s="22" t="s">
        <v>40</v>
      </c>
      <c r="N55" s="22">
        <f t="shared" si="0"/>
        <v>0</v>
      </c>
    </row>
    <row r="56" spans="1:14" ht="15" customHeight="1" x14ac:dyDescent="0.2">
      <c r="A56" s="194">
        <v>270459</v>
      </c>
      <c r="B56" s="194" t="s">
        <v>130</v>
      </c>
      <c r="C56" s="208">
        <v>0.43636364</v>
      </c>
      <c r="D56" s="30"/>
      <c r="E56" s="32">
        <v>7.95</v>
      </c>
      <c r="F56" s="31"/>
      <c r="G56" s="32">
        <v>8.745000000000001</v>
      </c>
      <c r="H56" s="308"/>
      <c r="I56" s="32">
        <v>7.95</v>
      </c>
      <c r="L56" s="22" t="s">
        <v>40</v>
      </c>
      <c r="M56" s="22" t="s">
        <v>40</v>
      </c>
      <c r="N56" s="22">
        <f t="shared" si="0"/>
        <v>0</v>
      </c>
    </row>
    <row r="57" spans="1:14" s="36" customFormat="1" ht="15" customHeight="1" x14ac:dyDescent="0.2">
      <c r="A57" s="187">
        <v>65855</v>
      </c>
      <c r="B57" s="202" t="s">
        <v>131</v>
      </c>
      <c r="C57" s="206">
        <v>0.63600000000000001</v>
      </c>
      <c r="D57" s="87"/>
      <c r="E57" s="32">
        <v>6.75</v>
      </c>
      <c r="F57" s="88"/>
      <c r="G57" s="32">
        <v>7.4250000000000007</v>
      </c>
      <c r="H57" s="313"/>
      <c r="I57" s="32">
        <v>6.75</v>
      </c>
      <c r="J57" s="311"/>
      <c r="K57" s="22"/>
      <c r="L57" s="22" t="s">
        <v>40</v>
      </c>
      <c r="M57" s="22" t="s">
        <v>40</v>
      </c>
      <c r="N57" s="22">
        <f t="shared" si="0"/>
        <v>0</v>
      </c>
    </row>
    <row r="58" spans="1:14" s="36" customFormat="1" ht="15" customHeight="1" x14ac:dyDescent="0.2">
      <c r="A58" s="188"/>
      <c r="B58" s="202"/>
      <c r="C58" s="206"/>
      <c r="D58" s="87"/>
      <c r="E58" s="32"/>
      <c r="F58" s="88"/>
      <c r="G58" s="32"/>
      <c r="H58" s="313"/>
      <c r="I58" s="32"/>
      <c r="J58" s="311"/>
      <c r="K58" s="22"/>
      <c r="L58" s="22" t="s">
        <v>40</v>
      </c>
      <c r="M58" s="22" t="s">
        <v>40</v>
      </c>
      <c r="N58" s="22">
        <f t="shared" si="0"/>
        <v>0</v>
      </c>
    </row>
    <row r="59" spans="1:14" ht="15" customHeight="1" x14ac:dyDescent="0.2">
      <c r="A59" s="188">
        <v>65928</v>
      </c>
      <c r="B59" s="202" t="s">
        <v>43</v>
      </c>
      <c r="C59" s="206">
        <v>0.36</v>
      </c>
      <c r="D59" s="89"/>
      <c r="E59" s="32">
        <v>3.5</v>
      </c>
      <c r="F59" s="88"/>
      <c r="G59" s="32">
        <v>3.8500000000000005</v>
      </c>
      <c r="H59" s="313"/>
      <c r="I59" s="32">
        <v>3.5</v>
      </c>
      <c r="L59" s="22" t="s">
        <v>40</v>
      </c>
      <c r="M59" s="22" t="s">
        <v>40</v>
      </c>
      <c r="N59" s="22">
        <f t="shared" si="0"/>
        <v>0</v>
      </c>
    </row>
    <row r="60" spans="1:14" ht="15" customHeight="1" x14ac:dyDescent="0.2">
      <c r="A60" s="188">
        <v>65894</v>
      </c>
      <c r="B60" s="189" t="s">
        <v>45</v>
      </c>
      <c r="C60" s="206">
        <v>0.36</v>
      </c>
      <c r="D60" s="89"/>
      <c r="E60" s="32">
        <v>2.25</v>
      </c>
      <c r="F60" s="88"/>
      <c r="G60" s="32">
        <v>2.4750000000000001</v>
      </c>
      <c r="H60" s="313"/>
      <c r="I60" s="32">
        <v>2.25</v>
      </c>
      <c r="N60" s="22">
        <f t="shared" si="0"/>
        <v>0</v>
      </c>
    </row>
    <row r="61" spans="1:14" ht="15" customHeight="1" x14ac:dyDescent="0.2">
      <c r="A61" s="188">
        <v>65927</v>
      </c>
      <c r="B61" s="189" t="s">
        <v>46</v>
      </c>
      <c r="C61" s="206">
        <v>0.36</v>
      </c>
      <c r="D61" s="87"/>
      <c r="E61" s="32">
        <v>2.95</v>
      </c>
      <c r="F61" s="88"/>
      <c r="G61" s="32">
        <v>3.2450000000000006</v>
      </c>
      <c r="H61" s="313"/>
      <c r="I61" s="32">
        <v>2.95</v>
      </c>
      <c r="N61" s="22">
        <f t="shared" si="0"/>
        <v>0</v>
      </c>
    </row>
    <row r="62" spans="1:14" ht="15" customHeight="1" x14ac:dyDescent="0.2">
      <c r="A62" s="187">
        <v>425032</v>
      </c>
      <c r="B62" s="202" t="s">
        <v>115</v>
      </c>
      <c r="C62" s="206">
        <v>0.36</v>
      </c>
      <c r="D62" s="89"/>
      <c r="E62" s="32">
        <v>2.75</v>
      </c>
      <c r="F62" s="88"/>
      <c r="G62" s="32">
        <v>3.0250000000000004</v>
      </c>
      <c r="H62" s="313"/>
      <c r="I62" s="32">
        <v>2.75</v>
      </c>
      <c r="L62" s="22" t="s">
        <v>42</v>
      </c>
      <c r="M62" s="22" t="s">
        <v>42</v>
      </c>
      <c r="N62" s="22">
        <f t="shared" si="0"/>
        <v>0</v>
      </c>
    </row>
    <row r="63" spans="1:14" ht="15" customHeight="1" x14ac:dyDescent="0.2">
      <c r="A63" s="187">
        <v>270448</v>
      </c>
      <c r="B63" s="189" t="s">
        <v>116</v>
      </c>
      <c r="C63" s="206">
        <v>0.35</v>
      </c>
      <c r="D63" s="30"/>
      <c r="E63" s="32">
        <v>2.95</v>
      </c>
      <c r="F63" s="31"/>
      <c r="G63" s="32">
        <v>3.2450000000000006</v>
      </c>
      <c r="H63" s="308"/>
      <c r="I63" s="32">
        <v>2.95</v>
      </c>
      <c r="L63" s="22" t="s">
        <v>42</v>
      </c>
      <c r="M63" s="22" t="s">
        <v>42</v>
      </c>
      <c r="N63" s="22">
        <f t="shared" ref="N63:N111" si="1">IF(L63=0,0,IF(L63=M63,0,1))</f>
        <v>0</v>
      </c>
    </row>
    <row r="64" spans="1:14" ht="15" customHeight="1" x14ac:dyDescent="0.2">
      <c r="A64" s="187">
        <v>65871</v>
      </c>
      <c r="B64" s="189" t="s">
        <v>117</v>
      </c>
      <c r="C64" s="206">
        <v>0.58499999999999996</v>
      </c>
      <c r="D64" s="30"/>
      <c r="E64" s="32">
        <v>6.45</v>
      </c>
      <c r="F64" s="31"/>
      <c r="G64" s="32">
        <v>7.0950000000000006</v>
      </c>
      <c r="H64" s="308"/>
      <c r="I64" s="32">
        <v>6.45</v>
      </c>
      <c r="N64" s="22">
        <f t="shared" si="1"/>
        <v>0</v>
      </c>
    </row>
    <row r="65" spans="1:14" ht="15" customHeight="1" x14ac:dyDescent="0.2">
      <c r="A65" s="188">
        <v>286631</v>
      </c>
      <c r="B65" s="189" t="s">
        <v>118</v>
      </c>
      <c r="C65" s="206">
        <v>0.4</v>
      </c>
      <c r="D65" s="37"/>
      <c r="E65" s="32">
        <v>4.75</v>
      </c>
      <c r="F65" s="31"/>
      <c r="G65" s="32">
        <v>5.2250000000000005</v>
      </c>
      <c r="H65" s="308"/>
      <c r="I65" s="32">
        <v>4.75</v>
      </c>
      <c r="N65" s="22">
        <f t="shared" si="1"/>
        <v>0</v>
      </c>
    </row>
    <row r="66" spans="1:14" ht="15" customHeight="1" x14ac:dyDescent="0.2">
      <c r="A66" s="188">
        <v>306903</v>
      </c>
      <c r="B66" s="189" t="s">
        <v>52</v>
      </c>
      <c r="C66" s="206">
        <v>0.6</v>
      </c>
      <c r="D66" s="38"/>
      <c r="E66" s="32">
        <v>6.95</v>
      </c>
      <c r="F66" s="31"/>
      <c r="G66" s="32">
        <v>7.6450000000000005</v>
      </c>
      <c r="H66" s="308"/>
      <c r="I66" s="32">
        <v>6.95</v>
      </c>
      <c r="L66" s="22" t="s">
        <v>42</v>
      </c>
      <c r="M66" s="22" t="s">
        <v>42</v>
      </c>
      <c r="N66" s="22">
        <f t="shared" si="1"/>
        <v>0</v>
      </c>
    </row>
    <row r="67" spans="1:14" ht="15" customHeight="1" thickBot="1" x14ac:dyDescent="0.25">
      <c r="A67" s="186">
        <v>330142</v>
      </c>
      <c r="B67" s="204" t="s">
        <v>51</v>
      </c>
      <c r="C67" s="216">
        <v>0.3</v>
      </c>
      <c r="D67" s="38"/>
      <c r="E67" s="32">
        <v>4.5</v>
      </c>
      <c r="F67" s="81"/>
      <c r="G67" s="32">
        <v>4.95</v>
      </c>
      <c r="H67" s="309"/>
      <c r="I67" s="32">
        <v>4.5</v>
      </c>
      <c r="L67" s="22" t="s">
        <v>42</v>
      </c>
      <c r="M67" s="22" t="s">
        <v>42</v>
      </c>
      <c r="N67" s="22">
        <f t="shared" si="1"/>
        <v>0</v>
      </c>
    </row>
    <row r="68" spans="1:14" ht="15" customHeight="1" thickBot="1" x14ac:dyDescent="0.25">
      <c r="A68" s="186">
        <v>65877</v>
      </c>
      <c r="B68" s="204" t="s">
        <v>48</v>
      </c>
      <c r="C68" s="222">
        <v>0.7</v>
      </c>
      <c r="D68" s="30"/>
      <c r="E68" s="32">
        <v>7.95</v>
      </c>
      <c r="F68" s="31"/>
      <c r="G68" s="32">
        <v>8.745000000000001</v>
      </c>
      <c r="H68" s="308"/>
      <c r="I68" s="32">
        <v>7.95</v>
      </c>
      <c r="L68" s="22" t="s">
        <v>44</v>
      </c>
      <c r="M68" s="22" t="s">
        <v>44</v>
      </c>
      <c r="N68" s="22">
        <f t="shared" si="1"/>
        <v>0</v>
      </c>
    </row>
    <row r="69" spans="1:14" ht="15" customHeight="1" thickBot="1" x14ac:dyDescent="0.25">
      <c r="A69" s="186">
        <v>206123</v>
      </c>
      <c r="B69" s="204" t="s">
        <v>47</v>
      </c>
      <c r="C69" s="222">
        <v>0.35</v>
      </c>
      <c r="D69" s="30"/>
      <c r="E69" s="32">
        <v>4.95</v>
      </c>
      <c r="F69" s="31"/>
      <c r="G69" s="32">
        <v>5.4450000000000003</v>
      </c>
      <c r="H69" s="308"/>
      <c r="I69" s="32">
        <v>4.95</v>
      </c>
      <c r="L69" s="22" t="s">
        <v>44</v>
      </c>
      <c r="M69" s="22" t="s">
        <v>44</v>
      </c>
      <c r="N69" s="22">
        <f t="shared" si="1"/>
        <v>0</v>
      </c>
    </row>
    <row r="70" spans="1:14" ht="15" customHeight="1" thickBot="1" x14ac:dyDescent="0.25">
      <c r="A70" s="186">
        <v>830252</v>
      </c>
      <c r="B70" s="204" t="s">
        <v>119</v>
      </c>
      <c r="C70" s="222">
        <v>0.36</v>
      </c>
      <c r="D70" s="30"/>
      <c r="E70" s="32">
        <v>2.75</v>
      </c>
      <c r="F70" s="31"/>
      <c r="G70" s="32">
        <v>3.0250000000000004</v>
      </c>
      <c r="H70" s="308"/>
      <c r="I70" s="32">
        <v>2.75</v>
      </c>
      <c r="L70" s="22" t="s">
        <v>44</v>
      </c>
      <c r="M70" s="22" t="s">
        <v>44</v>
      </c>
      <c r="N70" s="22">
        <f t="shared" si="1"/>
        <v>0</v>
      </c>
    </row>
    <row r="71" spans="1:14" ht="15" customHeight="1" thickBot="1" x14ac:dyDescent="0.25">
      <c r="A71" s="186">
        <v>425026</v>
      </c>
      <c r="B71" s="204" t="s">
        <v>50</v>
      </c>
      <c r="C71" s="222">
        <v>0.72</v>
      </c>
      <c r="D71" s="30"/>
      <c r="E71" s="32">
        <v>3.95</v>
      </c>
      <c r="F71" s="31"/>
      <c r="G71" s="32">
        <v>4.3450000000000006</v>
      </c>
      <c r="H71" s="308"/>
      <c r="I71" s="32">
        <v>3.95</v>
      </c>
      <c r="L71" s="22" t="s">
        <v>44</v>
      </c>
      <c r="M71" s="22" t="s">
        <v>44</v>
      </c>
      <c r="N71" s="22">
        <f t="shared" si="1"/>
        <v>0</v>
      </c>
    </row>
    <row r="72" spans="1:14" ht="15" customHeight="1" x14ac:dyDescent="0.2">
      <c r="A72" s="186">
        <v>286632</v>
      </c>
      <c r="B72" s="204" t="s">
        <v>49</v>
      </c>
      <c r="C72" s="222">
        <v>0.36</v>
      </c>
      <c r="D72" s="30"/>
      <c r="E72" s="32">
        <v>1</v>
      </c>
      <c r="F72" s="31"/>
      <c r="G72" s="32">
        <v>1.1000000000000001</v>
      </c>
      <c r="H72" s="308"/>
      <c r="I72" s="32">
        <v>1</v>
      </c>
      <c r="L72" s="22" t="s">
        <v>44</v>
      </c>
      <c r="M72" s="22" t="s">
        <v>44</v>
      </c>
      <c r="N72" s="22">
        <f t="shared" si="1"/>
        <v>0</v>
      </c>
    </row>
    <row r="73" spans="1:14" ht="15" customHeight="1" x14ac:dyDescent="0.2">
      <c r="A73" s="186">
        <v>1008121</v>
      </c>
      <c r="B73" s="204" t="s">
        <v>120</v>
      </c>
      <c r="C73" s="216">
        <v>0.5</v>
      </c>
      <c r="D73" s="30"/>
      <c r="E73" s="32">
        <v>3.95</v>
      </c>
      <c r="F73" s="31"/>
      <c r="G73" s="32">
        <v>4.3450000000000006</v>
      </c>
      <c r="H73" s="308"/>
      <c r="I73" s="32">
        <v>3.95</v>
      </c>
      <c r="L73" s="22" t="s">
        <v>44</v>
      </c>
      <c r="M73" s="22" t="s">
        <v>44</v>
      </c>
      <c r="N73" s="22">
        <f t="shared" si="1"/>
        <v>0</v>
      </c>
    </row>
    <row r="74" spans="1:14" ht="15" customHeight="1" x14ac:dyDescent="0.2">
      <c r="A74" s="186"/>
      <c r="B74" s="204"/>
      <c r="C74" s="216"/>
      <c r="D74" s="30"/>
      <c r="E74" s="32"/>
      <c r="F74" s="31"/>
      <c r="G74" s="32"/>
      <c r="H74" s="308"/>
      <c r="I74" s="32"/>
    </row>
    <row r="75" spans="1:14" ht="15" customHeight="1" x14ac:dyDescent="0.2">
      <c r="A75" s="186">
        <v>1263740</v>
      </c>
      <c r="B75" s="204" t="s">
        <v>267</v>
      </c>
      <c r="C75" s="216">
        <v>0.8</v>
      </c>
      <c r="D75" s="30"/>
      <c r="E75" s="32">
        <v>4.75</v>
      </c>
      <c r="F75" s="31"/>
      <c r="G75" s="32">
        <v>5.2250000000000005</v>
      </c>
      <c r="H75" s="308"/>
      <c r="I75" s="32">
        <v>4.75</v>
      </c>
      <c r="L75" s="22" t="s">
        <v>44</v>
      </c>
      <c r="M75" s="22" t="s">
        <v>44</v>
      </c>
      <c r="N75" s="22">
        <f>IF(L75=0,0,IF(L75=M75,0,1))</f>
        <v>0</v>
      </c>
    </row>
    <row r="76" spans="1:14" ht="15" customHeight="1" x14ac:dyDescent="0.2">
      <c r="A76" s="186"/>
      <c r="B76" s="204"/>
      <c r="C76" s="216"/>
      <c r="D76" s="30"/>
      <c r="E76" s="32"/>
      <c r="F76" s="31"/>
      <c r="G76" s="32"/>
      <c r="H76" s="308"/>
      <c r="I76" s="32"/>
      <c r="L76" s="22" t="s">
        <v>44</v>
      </c>
      <c r="M76" s="22" t="s">
        <v>44</v>
      </c>
      <c r="N76" s="22">
        <f t="shared" si="1"/>
        <v>0</v>
      </c>
    </row>
    <row r="77" spans="1:14" ht="15" customHeight="1" x14ac:dyDescent="0.2">
      <c r="A77" s="186">
        <v>364629</v>
      </c>
      <c r="B77" s="204" t="s">
        <v>134</v>
      </c>
      <c r="C77" s="216">
        <v>0.36</v>
      </c>
      <c r="D77" s="30"/>
      <c r="E77" s="32">
        <v>2.5</v>
      </c>
      <c r="F77" s="31"/>
      <c r="G77" s="32">
        <v>2.75</v>
      </c>
      <c r="H77" s="308"/>
      <c r="I77" s="32">
        <v>2.5</v>
      </c>
      <c r="L77" s="22" t="s">
        <v>44</v>
      </c>
      <c r="M77" s="22" t="s">
        <v>44</v>
      </c>
      <c r="N77" s="22">
        <f t="shared" si="1"/>
        <v>0</v>
      </c>
    </row>
    <row r="78" spans="1:14" ht="15" customHeight="1" x14ac:dyDescent="0.2">
      <c r="A78" s="186">
        <v>370600</v>
      </c>
      <c r="B78" s="204" t="s">
        <v>135</v>
      </c>
      <c r="C78" s="216">
        <v>0.36</v>
      </c>
      <c r="D78" s="30"/>
      <c r="E78" s="32">
        <v>2.5</v>
      </c>
      <c r="F78" s="31"/>
      <c r="G78" s="32">
        <v>2.75</v>
      </c>
      <c r="H78" s="308"/>
      <c r="I78" s="32">
        <v>2.5</v>
      </c>
      <c r="L78" s="22" t="s">
        <v>44</v>
      </c>
      <c r="M78" s="22" t="s">
        <v>44</v>
      </c>
      <c r="N78" s="22">
        <f t="shared" si="1"/>
        <v>0</v>
      </c>
    </row>
    <row r="79" spans="1:14" ht="15" customHeight="1" x14ac:dyDescent="0.2">
      <c r="A79" s="186"/>
      <c r="B79" s="204"/>
      <c r="C79" s="216"/>
      <c r="D79" s="30"/>
      <c r="E79" s="32"/>
      <c r="F79" s="31"/>
      <c r="G79" s="32"/>
      <c r="H79" s="308"/>
      <c r="I79" s="32"/>
    </row>
    <row r="80" spans="1:14" ht="15" customHeight="1" x14ac:dyDescent="0.2">
      <c r="A80" s="186">
        <v>1263741</v>
      </c>
      <c r="B80" s="204" t="s">
        <v>268</v>
      </c>
      <c r="C80" s="216">
        <v>0.8</v>
      </c>
      <c r="D80" s="30"/>
      <c r="E80" s="32">
        <v>5.75</v>
      </c>
      <c r="F80" s="31"/>
      <c r="G80" s="32">
        <v>6.3250000000000002</v>
      </c>
      <c r="H80" s="308"/>
      <c r="I80" s="32">
        <v>5.75</v>
      </c>
      <c r="L80" s="22" t="s">
        <v>44</v>
      </c>
      <c r="M80" s="22" t="s">
        <v>44</v>
      </c>
      <c r="N80" s="22">
        <f t="shared" si="1"/>
        <v>0</v>
      </c>
    </row>
    <row r="81" spans="1:14" ht="15" customHeight="1" x14ac:dyDescent="0.2">
      <c r="A81" s="186">
        <v>1263742</v>
      </c>
      <c r="B81" s="204" t="s">
        <v>269</v>
      </c>
      <c r="C81" s="216">
        <v>0.47</v>
      </c>
      <c r="D81" s="30"/>
      <c r="E81" s="32">
        <v>3.6</v>
      </c>
      <c r="F81" s="31"/>
      <c r="G81" s="32">
        <v>3.9600000000000004</v>
      </c>
      <c r="H81" s="308"/>
      <c r="I81" s="32">
        <v>3.6</v>
      </c>
      <c r="L81" s="22" t="s">
        <v>44</v>
      </c>
      <c r="M81" s="22" t="s">
        <v>44</v>
      </c>
      <c r="N81" s="22">
        <f t="shared" si="1"/>
        <v>0</v>
      </c>
    </row>
    <row r="82" spans="1:14" ht="15" customHeight="1" x14ac:dyDescent="0.2">
      <c r="A82" s="186">
        <v>1263743</v>
      </c>
      <c r="B82" s="204" t="s">
        <v>270</v>
      </c>
      <c r="C82" s="216">
        <v>0.8</v>
      </c>
      <c r="D82" s="30"/>
      <c r="E82" s="32">
        <v>5.75</v>
      </c>
      <c r="F82" s="31"/>
      <c r="G82" s="32">
        <v>6.3250000000000002</v>
      </c>
      <c r="H82" s="308"/>
      <c r="I82" s="32">
        <v>5.75</v>
      </c>
      <c r="L82" s="22" t="s">
        <v>44</v>
      </c>
      <c r="M82" s="22" t="s">
        <v>44</v>
      </c>
      <c r="N82" s="22">
        <f t="shared" si="1"/>
        <v>0</v>
      </c>
    </row>
    <row r="83" spans="1:14" ht="15" customHeight="1" x14ac:dyDescent="0.2">
      <c r="A83" s="209">
        <v>65862</v>
      </c>
      <c r="B83" s="210" t="s">
        <v>178</v>
      </c>
      <c r="C83" s="217">
        <v>0.48</v>
      </c>
      <c r="D83" s="30"/>
      <c r="E83" s="32">
        <v>3.95</v>
      </c>
      <c r="F83" s="31"/>
      <c r="G83" s="32">
        <v>4.3450000000000006</v>
      </c>
      <c r="H83" s="308"/>
      <c r="I83" s="32">
        <v>3.95</v>
      </c>
      <c r="L83" s="22" t="s">
        <v>44</v>
      </c>
      <c r="M83" s="22" t="s">
        <v>44</v>
      </c>
      <c r="N83" s="22">
        <f t="shared" si="1"/>
        <v>0</v>
      </c>
    </row>
    <row r="84" spans="1:14" ht="15" customHeight="1" x14ac:dyDescent="0.2">
      <c r="A84" s="188"/>
      <c r="B84" s="223"/>
      <c r="C84" s="206"/>
      <c r="D84" s="89"/>
      <c r="E84" s="32"/>
      <c r="F84" s="88"/>
      <c r="G84" s="32"/>
      <c r="H84" s="313"/>
      <c r="I84" s="32"/>
      <c r="L84" s="22" t="s">
        <v>44</v>
      </c>
      <c r="M84" s="22" t="s">
        <v>44</v>
      </c>
      <c r="N84" s="22">
        <f t="shared" si="1"/>
        <v>0</v>
      </c>
    </row>
    <row r="85" spans="1:14" ht="15" customHeight="1" x14ac:dyDescent="0.2">
      <c r="A85" s="188">
        <v>1263732</v>
      </c>
      <c r="B85" s="223" t="s">
        <v>263</v>
      </c>
      <c r="C85" s="206">
        <v>0.47</v>
      </c>
      <c r="D85" s="89"/>
      <c r="E85" s="32">
        <v>2.75</v>
      </c>
      <c r="F85" s="88"/>
      <c r="G85" s="32">
        <v>3.0250000000000004</v>
      </c>
      <c r="H85" s="313"/>
      <c r="I85" s="32">
        <v>2.75</v>
      </c>
    </row>
    <row r="86" spans="1:14" ht="15" customHeight="1" x14ac:dyDescent="0.2">
      <c r="A86" s="188">
        <v>1263733</v>
      </c>
      <c r="B86" s="223" t="s">
        <v>264</v>
      </c>
      <c r="C86" s="206">
        <v>0.8</v>
      </c>
      <c r="D86" s="89"/>
      <c r="E86" s="32">
        <v>5.5</v>
      </c>
      <c r="F86" s="88"/>
      <c r="G86" s="32">
        <v>6.0500000000000007</v>
      </c>
      <c r="H86" s="313"/>
      <c r="I86" s="32">
        <v>5.5</v>
      </c>
      <c r="L86" s="22" t="s">
        <v>37</v>
      </c>
      <c r="M86" s="22" t="s">
        <v>37</v>
      </c>
      <c r="N86" s="22">
        <f t="shared" si="1"/>
        <v>0</v>
      </c>
    </row>
    <row r="87" spans="1:14" ht="15" customHeight="1" x14ac:dyDescent="0.2">
      <c r="A87" s="188"/>
      <c r="B87" s="223"/>
      <c r="C87" s="206"/>
      <c r="D87" s="89"/>
      <c r="E87" s="32"/>
      <c r="F87" s="88"/>
      <c r="G87" s="32"/>
      <c r="H87" s="313"/>
      <c r="I87" s="32"/>
      <c r="L87" s="22" t="s">
        <v>44</v>
      </c>
      <c r="M87" s="22" t="s">
        <v>44</v>
      </c>
      <c r="N87" s="22">
        <f t="shared" si="1"/>
        <v>0</v>
      </c>
    </row>
    <row r="88" spans="1:14" ht="14.25" customHeight="1" x14ac:dyDescent="0.2">
      <c r="A88" s="188">
        <v>1095099</v>
      </c>
      <c r="B88" s="223" t="s">
        <v>161</v>
      </c>
      <c r="C88" s="206">
        <v>0.15</v>
      </c>
      <c r="D88" s="89"/>
      <c r="E88" s="32">
        <v>2.5</v>
      </c>
      <c r="F88" s="88"/>
      <c r="G88" s="32">
        <v>2.75</v>
      </c>
      <c r="H88" s="313"/>
      <c r="I88" s="32">
        <v>2.5</v>
      </c>
      <c r="L88" s="22" t="s">
        <v>38</v>
      </c>
      <c r="M88" s="22" t="s">
        <v>38</v>
      </c>
      <c r="N88" s="22">
        <f t="shared" si="1"/>
        <v>0</v>
      </c>
    </row>
    <row r="89" spans="1:14" ht="14.25" customHeight="1" x14ac:dyDescent="0.2">
      <c r="A89" s="188">
        <v>1008120</v>
      </c>
      <c r="B89" s="223" t="s">
        <v>162</v>
      </c>
      <c r="C89" s="206">
        <v>0.12</v>
      </c>
      <c r="D89" s="89"/>
      <c r="E89" s="32">
        <v>2.5</v>
      </c>
      <c r="F89" s="88"/>
      <c r="G89" s="32">
        <v>2.75</v>
      </c>
      <c r="H89" s="313"/>
      <c r="I89" s="32">
        <v>2.5</v>
      </c>
    </row>
    <row r="90" spans="1:14" ht="15" customHeight="1" x14ac:dyDescent="0.2">
      <c r="A90" s="188">
        <v>1263735</v>
      </c>
      <c r="B90" s="197" t="s">
        <v>272</v>
      </c>
      <c r="C90" s="224">
        <v>0.7</v>
      </c>
      <c r="D90" s="89"/>
      <c r="E90" s="32">
        <v>6.2</v>
      </c>
      <c r="F90" s="88"/>
      <c r="G90" s="32">
        <v>6.8200000000000012</v>
      </c>
      <c r="H90" s="313"/>
      <c r="I90" s="32">
        <v>6.2</v>
      </c>
      <c r="N90" s="22">
        <f t="shared" si="1"/>
        <v>0</v>
      </c>
    </row>
    <row r="91" spans="1:14" ht="15" customHeight="1" x14ac:dyDescent="0.2">
      <c r="A91" s="185">
        <v>1008119</v>
      </c>
      <c r="B91" s="203" t="s">
        <v>158</v>
      </c>
      <c r="C91" s="225">
        <v>0.3</v>
      </c>
      <c r="D91" s="30"/>
      <c r="E91" s="32">
        <v>2.7</v>
      </c>
      <c r="F91" s="31"/>
      <c r="G91" s="32">
        <v>2.9700000000000006</v>
      </c>
      <c r="H91" s="308"/>
      <c r="I91" s="32">
        <v>2.7</v>
      </c>
      <c r="L91" s="22" t="s">
        <v>53</v>
      </c>
      <c r="M91" s="22" t="s">
        <v>53</v>
      </c>
      <c r="N91" s="22">
        <f t="shared" si="1"/>
        <v>0</v>
      </c>
    </row>
    <row r="92" spans="1:14" ht="15" customHeight="1" thickBot="1" x14ac:dyDescent="0.25">
      <c r="A92" s="186"/>
      <c r="B92" s="204"/>
      <c r="C92" s="216"/>
      <c r="D92" s="30"/>
      <c r="E92" s="32"/>
      <c r="F92" s="31"/>
      <c r="G92" s="32"/>
      <c r="H92" s="308"/>
      <c r="I92" s="32"/>
      <c r="L92" s="22" t="s">
        <v>53</v>
      </c>
      <c r="M92" s="22" t="s">
        <v>53</v>
      </c>
      <c r="N92" s="22">
        <f t="shared" si="1"/>
        <v>0</v>
      </c>
    </row>
    <row r="93" spans="1:14" ht="15" customHeight="1" x14ac:dyDescent="0.2">
      <c r="A93" s="186">
        <v>401788</v>
      </c>
      <c r="B93" s="196" t="s">
        <v>138</v>
      </c>
      <c r="C93" s="222">
        <v>0.2</v>
      </c>
      <c r="D93" s="30"/>
      <c r="E93" s="32">
        <v>0.5</v>
      </c>
      <c r="F93" s="31"/>
      <c r="G93" s="32">
        <v>0.55000000000000004</v>
      </c>
      <c r="H93" s="308"/>
      <c r="I93" s="32">
        <v>0.5</v>
      </c>
      <c r="L93" s="22" t="s">
        <v>53</v>
      </c>
      <c r="M93" s="22" t="s">
        <v>53</v>
      </c>
      <c r="N93" s="22">
        <f t="shared" si="1"/>
        <v>0</v>
      </c>
    </row>
    <row r="94" spans="1:14" ht="15" customHeight="1" x14ac:dyDescent="0.2">
      <c r="A94" s="186">
        <v>391720</v>
      </c>
      <c r="B94" s="196" t="s">
        <v>139</v>
      </c>
      <c r="C94" s="216">
        <v>0.84</v>
      </c>
      <c r="D94" s="30"/>
      <c r="E94" s="32">
        <v>3.5</v>
      </c>
      <c r="F94" s="31"/>
      <c r="G94" s="32">
        <v>3.8500000000000005</v>
      </c>
      <c r="H94" s="308"/>
      <c r="I94" s="32">
        <v>3.5</v>
      </c>
      <c r="N94" s="22">
        <f t="shared" si="1"/>
        <v>0</v>
      </c>
    </row>
    <row r="95" spans="1:14" ht="15" customHeight="1" x14ac:dyDescent="0.2">
      <c r="A95" s="186">
        <v>438079</v>
      </c>
      <c r="B95" s="196" t="s">
        <v>140</v>
      </c>
      <c r="C95" s="216">
        <v>0.3</v>
      </c>
      <c r="D95" s="30"/>
      <c r="E95" s="32">
        <v>2.65</v>
      </c>
      <c r="F95" s="31"/>
      <c r="G95" s="32">
        <v>2.915</v>
      </c>
      <c r="H95" s="308"/>
      <c r="I95" s="32">
        <v>2.65</v>
      </c>
      <c r="N95" s="22">
        <f t="shared" si="1"/>
        <v>0</v>
      </c>
    </row>
    <row r="96" spans="1:14" ht="15" customHeight="1" x14ac:dyDescent="0.2">
      <c r="A96" s="209">
        <v>391741</v>
      </c>
      <c r="B96" s="211" t="s">
        <v>41</v>
      </c>
      <c r="C96" s="217">
        <v>1.2</v>
      </c>
      <c r="D96" s="30"/>
      <c r="E96" s="32">
        <v>2.5</v>
      </c>
      <c r="F96" s="31"/>
      <c r="G96" s="32">
        <v>2.75</v>
      </c>
      <c r="H96" s="308"/>
      <c r="I96" s="32">
        <v>2.5</v>
      </c>
      <c r="L96" s="22" t="s">
        <v>54</v>
      </c>
      <c r="M96" s="22" t="s">
        <v>54</v>
      </c>
      <c r="N96" s="22">
        <f t="shared" si="1"/>
        <v>0</v>
      </c>
    </row>
    <row r="97" spans="1:14" ht="15" customHeight="1" x14ac:dyDescent="0.2">
      <c r="A97" s="187">
        <v>391742</v>
      </c>
      <c r="B97" s="201" t="s">
        <v>141</v>
      </c>
      <c r="C97" s="206">
        <v>0.6</v>
      </c>
      <c r="D97" s="89"/>
      <c r="E97" s="32">
        <v>1.25</v>
      </c>
      <c r="F97" s="88"/>
      <c r="G97" s="32">
        <v>1.375</v>
      </c>
      <c r="H97" s="313"/>
      <c r="I97" s="32">
        <v>1.25</v>
      </c>
      <c r="L97" s="22" t="s">
        <v>54</v>
      </c>
      <c r="M97" s="22" t="s">
        <v>54</v>
      </c>
      <c r="N97" s="22">
        <f t="shared" si="1"/>
        <v>0</v>
      </c>
    </row>
    <row r="98" spans="1:14" ht="15" customHeight="1" x14ac:dyDescent="0.2">
      <c r="A98" s="187"/>
      <c r="B98" s="201"/>
      <c r="C98" s="206"/>
      <c r="D98" s="89"/>
      <c r="E98" s="32"/>
      <c r="F98" s="88"/>
      <c r="G98" s="32"/>
      <c r="H98" s="313"/>
      <c r="I98" s="32"/>
    </row>
    <row r="99" spans="1:14" ht="15" customHeight="1" x14ac:dyDescent="0.2">
      <c r="A99" s="187">
        <v>875635</v>
      </c>
      <c r="B99" s="201" t="s">
        <v>142</v>
      </c>
      <c r="C99" s="206">
        <v>0.05</v>
      </c>
      <c r="D99" s="89"/>
      <c r="E99" s="32">
        <v>1.5</v>
      </c>
      <c r="F99" s="88"/>
      <c r="G99" s="32">
        <v>1.6500000000000001</v>
      </c>
      <c r="H99" s="313"/>
      <c r="I99" s="32">
        <v>1.5</v>
      </c>
      <c r="L99" s="22" t="s">
        <v>54</v>
      </c>
      <c r="M99" s="22" t="s">
        <v>54</v>
      </c>
      <c r="N99" s="22">
        <f t="shared" si="1"/>
        <v>0</v>
      </c>
    </row>
    <row r="100" spans="1:14" ht="15" customHeight="1" x14ac:dyDescent="0.2">
      <c r="A100" s="187">
        <v>391727</v>
      </c>
      <c r="B100" s="201" t="s">
        <v>143</v>
      </c>
      <c r="C100" s="206">
        <v>0.1</v>
      </c>
      <c r="D100" s="89"/>
      <c r="E100" s="32">
        <v>5.75</v>
      </c>
      <c r="F100" s="88"/>
      <c r="G100" s="32">
        <v>6.3250000000000002</v>
      </c>
      <c r="H100" s="313"/>
      <c r="I100" s="32">
        <v>5.75</v>
      </c>
      <c r="L100" s="22" t="s">
        <v>54</v>
      </c>
      <c r="M100" s="22" t="s">
        <v>54</v>
      </c>
      <c r="N100" s="22">
        <f t="shared" si="1"/>
        <v>0</v>
      </c>
    </row>
    <row r="101" spans="1:14" ht="15" customHeight="1" x14ac:dyDescent="0.2">
      <c r="A101" s="188">
        <v>401769</v>
      </c>
      <c r="B101" s="193" t="s">
        <v>144</v>
      </c>
      <c r="C101" s="206">
        <v>0.1</v>
      </c>
      <c r="D101" s="89"/>
      <c r="E101" s="32">
        <v>4.75</v>
      </c>
      <c r="F101" s="88"/>
      <c r="G101" s="32">
        <v>5.2250000000000005</v>
      </c>
      <c r="H101" s="313"/>
      <c r="I101" s="32">
        <v>4.75</v>
      </c>
      <c r="L101" s="22" t="s">
        <v>54</v>
      </c>
      <c r="M101" s="22" t="s">
        <v>54</v>
      </c>
      <c r="N101" s="22">
        <f t="shared" si="1"/>
        <v>0</v>
      </c>
    </row>
    <row r="102" spans="1:14" ht="15" customHeight="1" x14ac:dyDescent="0.2">
      <c r="A102" s="191">
        <v>915518</v>
      </c>
      <c r="B102" s="192" t="s">
        <v>145</v>
      </c>
      <c r="C102" s="207">
        <v>0.1</v>
      </c>
      <c r="D102" s="89"/>
      <c r="E102" s="32">
        <v>5.75</v>
      </c>
      <c r="F102" s="88"/>
      <c r="G102" s="32">
        <v>6.3250000000000002</v>
      </c>
      <c r="H102" s="313"/>
      <c r="I102" s="32">
        <v>5.75</v>
      </c>
      <c r="L102" s="22" t="s">
        <v>54</v>
      </c>
      <c r="M102" s="22" t="s">
        <v>54</v>
      </c>
      <c r="N102" s="22">
        <f t="shared" si="1"/>
        <v>0</v>
      </c>
    </row>
    <row r="103" spans="1:14" ht="15" customHeight="1" x14ac:dyDescent="0.2">
      <c r="A103" s="187">
        <v>915523</v>
      </c>
      <c r="B103" s="189" t="s">
        <v>146</v>
      </c>
      <c r="C103" s="206">
        <v>0.1</v>
      </c>
      <c r="D103" s="89"/>
      <c r="E103" s="32">
        <v>5.25</v>
      </c>
      <c r="F103" s="88"/>
      <c r="G103" s="32">
        <v>5.7750000000000004</v>
      </c>
      <c r="H103" s="313"/>
      <c r="I103" s="32">
        <v>5.25</v>
      </c>
      <c r="L103" s="22" t="s">
        <v>54</v>
      </c>
      <c r="M103" s="22" t="s">
        <v>54</v>
      </c>
      <c r="N103" s="22">
        <f t="shared" si="1"/>
        <v>0</v>
      </c>
    </row>
    <row r="104" spans="1:14" ht="15" customHeight="1" x14ac:dyDescent="0.2">
      <c r="A104" s="188">
        <v>391721</v>
      </c>
      <c r="B104" s="193" t="s">
        <v>147</v>
      </c>
      <c r="C104" s="206">
        <v>0.1</v>
      </c>
      <c r="D104" s="87"/>
      <c r="E104" s="32">
        <v>3.75</v>
      </c>
      <c r="F104" s="88"/>
      <c r="G104" s="32">
        <v>4.125</v>
      </c>
      <c r="H104" s="313"/>
      <c r="I104" s="32">
        <v>3.75</v>
      </c>
      <c r="N104" s="22">
        <f t="shared" si="1"/>
        <v>0</v>
      </c>
    </row>
    <row r="105" spans="1:14" s="28" customFormat="1" ht="15" customHeight="1" x14ac:dyDescent="0.2">
      <c r="A105" s="191"/>
      <c r="B105" s="198"/>
      <c r="C105" s="226"/>
      <c r="D105" s="82"/>
      <c r="E105" s="32"/>
      <c r="F105" s="88"/>
      <c r="G105" s="32"/>
      <c r="H105" s="313"/>
      <c r="I105" s="32"/>
      <c r="J105" s="307"/>
      <c r="K105" s="29"/>
      <c r="L105" s="29"/>
      <c r="M105" s="29"/>
      <c r="N105" s="22">
        <f t="shared" si="1"/>
        <v>0</v>
      </c>
    </row>
    <row r="106" spans="1:14" ht="15" customHeight="1" x14ac:dyDescent="0.2">
      <c r="A106" s="187">
        <v>391717</v>
      </c>
      <c r="B106" s="201" t="s">
        <v>148</v>
      </c>
      <c r="C106" s="206">
        <v>1.2</v>
      </c>
      <c r="D106" s="89"/>
      <c r="E106" s="32">
        <v>4.25</v>
      </c>
      <c r="F106" s="88"/>
      <c r="G106" s="32">
        <v>4.6750000000000007</v>
      </c>
      <c r="H106" s="313"/>
      <c r="I106" s="32">
        <v>4.25</v>
      </c>
      <c r="L106" s="22" t="s">
        <v>37</v>
      </c>
      <c r="M106" s="22" t="s">
        <v>37</v>
      </c>
      <c r="N106" s="22">
        <f t="shared" si="1"/>
        <v>0</v>
      </c>
    </row>
    <row r="107" spans="1:14" ht="15" customHeight="1" x14ac:dyDescent="0.2">
      <c r="A107" s="187">
        <v>438604</v>
      </c>
      <c r="B107" s="201" t="s">
        <v>149</v>
      </c>
      <c r="C107" s="206">
        <v>0.6</v>
      </c>
      <c r="D107" s="89"/>
      <c r="E107" s="32">
        <v>3.25</v>
      </c>
      <c r="F107" s="88"/>
      <c r="G107" s="32">
        <v>3.5750000000000002</v>
      </c>
      <c r="H107" s="313"/>
      <c r="I107" s="32">
        <v>3.25</v>
      </c>
      <c r="L107" s="22" t="s">
        <v>37</v>
      </c>
      <c r="M107" s="22" t="s">
        <v>37</v>
      </c>
      <c r="N107" s="22">
        <f t="shared" si="1"/>
        <v>0</v>
      </c>
    </row>
    <row r="108" spans="1:14" ht="15" customHeight="1" x14ac:dyDescent="0.2">
      <c r="A108" s="195"/>
      <c r="B108" s="195"/>
      <c r="C108" s="206"/>
      <c r="D108" s="89"/>
      <c r="E108" s="32"/>
      <c r="F108" s="88"/>
      <c r="G108" s="32"/>
      <c r="H108" s="313"/>
      <c r="I108" s="32"/>
      <c r="L108" s="22" t="s">
        <v>37</v>
      </c>
      <c r="M108" s="22" t="s">
        <v>37</v>
      </c>
      <c r="N108" s="22">
        <f t="shared" si="1"/>
        <v>0</v>
      </c>
    </row>
    <row r="109" spans="1:14" ht="14.25" x14ac:dyDescent="0.2">
      <c r="A109" s="195">
        <v>1008122</v>
      </c>
      <c r="B109" s="195" t="s">
        <v>165</v>
      </c>
      <c r="C109" s="206">
        <v>0.3</v>
      </c>
      <c r="D109" s="87"/>
      <c r="E109" s="32">
        <v>4</v>
      </c>
      <c r="F109" s="88"/>
      <c r="G109" s="32">
        <v>4.4000000000000004</v>
      </c>
      <c r="H109" s="313"/>
      <c r="I109" s="32">
        <v>4</v>
      </c>
      <c r="N109" s="22">
        <f t="shared" si="1"/>
        <v>0</v>
      </c>
    </row>
    <row r="110" spans="1:14" s="28" customFormat="1" ht="15" customHeight="1" x14ac:dyDescent="0.2">
      <c r="A110" s="195">
        <v>1008124</v>
      </c>
      <c r="B110" s="195" t="s">
        <v>166</v>
      </c>
      <c r="C110" s="206">
        <v>0.3</v>
      </c>
      <c r="D110" s="82"/>
      <c r="E110" s="32">
        <v>5</v>
      </c>
      <c r="F110" s="88"/>
      <c r="G110" s="32">
        <v>5.5</v>
      </c>
      <c r="H110" s="313"/>
      <c r="I110" s="32">
        <v>5</v>
      </c>
      <c r="J110" s="307"/>
      <c r="K110" s="29"/>
      <c r="L110" s="29"/>
      <c r="M110" s="29"/>
      <c r="N110" s="22">
        <f t="shared" si="1"/>
        <v>0</v>
      </c>
    </row>
    <row r="111" spans="1:14" ht="15" customHeight="1" x14ac:dyDescent="0.2">
      <c r="A111" s="195">
        <v>1007683</v>
      </c>
      <c r="B111" s="195" t="s">
        <v>167</v>
      </c>
      <c r="C111" s="206">
        <v>0.3</v>
      </c>
      <c r="D111" s="89"/>
      <c r="E111" s="32">
        <v>1.5</v>
      </c>
      <c r="F111" s="88"/>
      <c r="G111" s="32">
        <v>1.6500000000000001</v>
      </c>
      <c r="H111" s="313"/>
      <c r="I111" s="32">
        <v>1.5</v>
      </c>
      <c r="L111" s="22" t="s">
        <v>39</v>
      </c>
      <c r="M111" s="22" t="s">
        <v>39</v>
      </c>
      <c r="N111" s="22">
        <f t="shared" si="1"/>
        <v>0</v>
      </c>
    </row>
    <row r="112" spans="1:14" ht="15" customHeight="1" x14ac:dyDescent="0.2">
      <c r="A112" s="188">
        <v>1008123</v>
      </c>
      <c r="B112" s="223" t="s">
        <v>168</v>
      </c>
      <c r="C112" s="206">
        <v>0.3</v>
      </c>
      <c r="D112" s="89"/>
      <c r="E112" s="32">
        <v>3</v>
      </c>
      <c r="F112" s="88"/>
      <c r="G112" s="32">
        <v>3.3000000000000003</v>
      </c>
      <c r="H112" s="313"/>
      <c r="I112" s="32">
        <v>3</v>
      </c>
      <c r="L112" s="22" t="s">
        <v>39</v>
      </c>
      <c r="M112" s="22" t="s">
        <v>39</v>
      </c>
      <c r="N112" s="22">
        <f t="shared" ref="N112:N152" si="2">IF(L112=0,0,IF(L112=M112,0,1))</f>
        <v>0</v>
      </c>
    </row>
    <row r="113" spans="1:14" ht="15" customHeight="1" x14ac:dyDescent="0.2">
      <c r="A113" s="195"/>
      <c r="B113" s="195"/>
      <c r="C113" s="206"/>
      <c r="D113" s="89"/>
      <c r="E113" s="32"/>
      <c r="F113" s="88"/>
      <c r="G113" s="32"/>
      <c r="H113" s="313"/>
      <c r="I113" s="32"/>
      <c r="L113" s="22" t="s">
        <v>39</v>
      </c>
      <c r="M113" s="22" t="s">
        <v>39</v>
      </c>
      <c r="N113" s="22">
        <f t="shared" si="2"/>
        <v>0</v>
      </c>
    </row>
    <row r="114" spans="1:14" ht="15" customHeight="1" x14ac:dyDescent="0.2">
      <c r="A114" s="195">
        <v>949835</v>
      </c>
      <c r="B114" s="195" t="s">
        <v>179</v>
      </c>
      <c r="C114" s="206">
        <v>0.24</v>
      </c>
      <c r="D114" s="89"/>
      <c r="E114" s="32">
        <v>5.95</v>
      </c>
      <c r="F114" s="88"/>
      <c r="G114" s="32">
        <v>6.5450000000000008</v>
      </c>
      <c r="H114" s="313"/>
      <c r="I114" s="32">
        <v>5.95</v>
      </c>
      <c r="N114" s="22">
        <f t="shared" si="2"/>
        <v>0</v>
      </c>
    </row>
    <row r="115" spans="1:14" ht="15" customHeight="1" x14ac:dyDescent="0.2">
      <c r="A115" s="195"/>
      <c r="B115" s="195"/>
      <c r="C115" s="206">
        <v>0</v>
      </c>
      <c r="D115" s="89"/>
      <c r="E115" s="32"/>
      <c r="F115" s="88"/>
      <c r="G115" s="32"/>
      <c r="H115" s="313"/>
      <c r="I115" s="32"/>
      <c r="N115" s="22">
        <f t="shared" si="2"/>
        <v>0</v>
      </c>
    </row>
    <row r="116" spans="1:14" ht="15" customHeight="1" x14ac:dyDescent="0.2">
      <c r="A116" s="191">
        <v>65916</v>
      </c>
      <c r="B116" s="199" t="s">
        <v>171</v>
      </c>
      <c r="C116" s="206">
        <v>0.42</v>
      </c>
      <c r="D116" s="89"/>
      <c r="E116" s="32">
        <v>11.95</v>
      </c>
      <c r="F116" s="88"/>
      <c r="G116" s="32">
        <v>13.145</v>
      </c>
      <c r="H116" s="313"/>
      <c r="I116" s="32">
        <v>11.95</v>
      </c>
      <c r="N116" s="22">
        <f t="shared" si="2"/>
        <v>0</v>
      </c>
    </row>
    <row r="117" spans="1:14" ht="15" customHeight="1" x14ac:dyDescent="0.2">
      <c r="A117" s="195">
        <v>65898</v>
      </c>
      <c r="B117" s="200" t="s">
        <v>172</v>
      </c>
      <c r="C117" s="206">
        <v>0.42</v>
      </c>
      <c r="D117" s="89"/>
      <c r="E117" s="32">
        <v>12.95</v>
      </c>
      <c r="F117" s="88"/>
      <c r="G117" s="32">
        <v>14.245000000000001</v>
      </c>
      <c r="H117" s="313"/>
      <c r="I117" s="32">
        <v>12.95</v>
      </c>
      <c r="N117" s="22">
        <f t="shared" si="2"/>
        <v>0</v>
      </c>
    </row>
    <row r="118" spans="1:14" ht="15" customHeight="1" x14ac:dyDescent="0.2">
      <c r="A118" s="195">
        <v>811956</v>
      </c>
      <c r="B118" s="200" t="s">
        <v>173</v>
      </c>
      <c r="C118" s="206">
        <v>1.2</v>
      </c>
      <c r="D118" s="89"/>
      <c r="E118" s="32">
        <v>29.75</v>
      </c>
      <c r="F118" s="88"/>
      <c r="G118" s="32">
        <v>32.725000000000001</v>
      </c>
      <c r="H118" s="313"/>
      <c r="I118" s="32">
        <v>29.75</v>
      </c>
      <c r="N118" s="22">
        <f t="shared" si="2"/>
        <v>0</v>
      </c>
    </row>
    <row r="119" spans="1:14" ht="15" customHeight="1" x14ac:dyDescent="0.2">
      <c r="A119" s="195">
        <v>445249</v>
      </c>
      <c r="B119" s="200" t="s">
        <v>174</v>
      </c>
      <c r="C119" s="206">
        <v>0.35</v>
      </c>
      <c r="D119" s="89"/>
      <c r="E119" s="32">
        <v>8.9</v>
      </c>
      <c r="F119" s="88"/>
      <c r="G119" s="32">
        <v>9.7900000000000009</v>
      </c>
      <c r="H119" s="313"/>
      <c r="I119" s="32">
        <v>8.9</v>
      </c>
      <c r="N119" s="22">
        <f t="shared" si="2"/>
        <v>0</v>
      </c>
    </row>
    <row r="120" spans="1:14" ht="15" customHeight="1" x14ac:dyDescent="0.2">
      <c r="A120" s="195">
        <v>65922</v>
      </c>
      <c r="B120" s="200" t="s">
        <v>74</v>
      </c>
      <c r="C120" s="206">
        <v>0.35</v>
      </c>
      <c r="D120" s="89"/>
      <c r="E120" s="32">
        <v>8.6999999999999993</v>
      </c>
      <c r="F120" s="88"/>
      <c r="G120" s="32">
        <v>9.57</v>
      </c>
      <c r="H120" s="313"/>
      <c r="I120" s="32">
        <v>8.6999999999999993</v>
      </c>
      <c r="N120" s="22">
        <f t="shared" si="2"/>
        <v>0</v>
      </c>
    </row>
    <row r="121" spans="1:14" ht="15" customHeight="1" x14ac:dyDescent="0.2">
      <c r="A121" s="195"/>
      <c r="B121" s="200"/>
      <c r="C121" s="206"/>
      <c r="D121" s="89"/>
      <c r="E121" s="32"/>
      <c r="F121" s="88"/>
      <c r="G121" s="32"/>
      <c r="H121" s="313"/>
      <c r="I121" s="32"/>
      <c r="N121" s="22">
        <f t="shared" si="2"/>
        <v>0</v>
      </c>
    </row>
    <row r="122" spans="1:14" ht="15" customHeight="1" x14ac:dyDescent="0.2">
      <c r="A122" s="191">
        <v>1126414</v>
      </c>
      <c r="B122" s="199" t="s">
        <v>189</v>
      </c>
      <c r="C122" s="206">
        <v>0.45</v>
      </c>
      <c r="D122" s="89"/>
      <c r="E122" s="32">
        <v>11.25</v>
      </c>
      <c r="F122" s="88"/>
      <c r="G122" s="32">
        <v>12.375000000000002</v>
      </c>
      <c r="H122" s="313"/>
      <c r="I122" s="32">
        <v>11.25</v>
      </c>
      <c r="N122" s="22">
        <f t="shared" si="2"/>
        <v>0</v>
      </c>
    </row>
    <row r="123" spans="1:14" ht="15" customHeight="1" x14ac:dyDescent="0.2">
      <c r="A123" s="191">
        <v>65842</v>
      </c>
      <c r="B123" s="199" t="s">
        <v>55</v>
      </c>
      <c r="C123" s="212">
        <v>0.16</v>
      </c>
      <c r="D123" s="89"/>
      <c r="E123" s="32">
        <v>5.5</v>
      </c>
      <c r="F123" s="86"/>
      <c r="G123" s="32">
        <v>6.0500000000000007</v>
      </c>
      <c r="H123" s="313"/>
      <c r="I123" s="32">
        <v>5.5</v>
      </c>
      <c r="N123" s="22">
        <f t="shared" si="2"/>
        <v>0</v>
      </c>
    </row>
    <row r="124" spans="1:14" ht="15" customHeight="1" x14ac:dyDescent="0.2">
      <c r="A124" s="187">
        <v>65902</v>
      </c>
      <c r="B124" s="201" t="s">
        <v>57</v>
      </c>
      <c r="C124" s="213">
        <v>0.4</v>
      </c>
      <c r="D124" s="89"/>
      <c r="E124" s="32">
        <v>10.5</v>
      </c>
      <c r="F124" s="88"/>
      <c r="G124" s="32">
        <v>11.55</v>
      </c>
      <c r="H124" s="313"/>
      <c r="I124" s="32">
        <v>10.5</v>
      </c>
      <c r="L124" s="22" t="s">
        <v>54</v>
      </c>
      <c r="M124" s="22" t="s">
        <v>54</v>
      </c>
      <c r="N124" s="22">
        <f t="shared" si="2"/>
        <v>0</v>
      </c>
    </row>
    <row r="125" spans="1:14" ht="15" customHeight="1" x14ac:dyDescent="0.2">
      <c r="A125" s="187">
        <v>905815</v>
      </c>
      <c r="B125" s="201" t="s">
        <v>182</v>
      </c>
      <c r="C125" s="213">
        <v>0.64</v>
      </c>
      <c r="D125" s="89"/>
      <c r="E125" s="32">
        <v>15.55</v>
      </c>
      <c r="F125" s="88"/>
      <c r="G125" s="32">
        <v>17.105</v>
      </c>
      <c r="H125" s="313"/>
      <c r="I125" s="32">
        <v>15.55</v>
      </c>
      <c r="L125" s="22" t="s">
        <v>54</v>
      </c>
      <c r="M125" s="22" t="s">
        <v>54</v>
      </c>
      <c r="N125" s="22">
        <f t="shared" si="2"/>
        <v>0</v>
      </c>
    </row>
    <row r="126" spans="1:14" ht="15" customHeight="1" x14ac:dyDescent="0.2">
      <c r="A126" s="187">
        <v>1126415</v>
      </c>
      <c r="B126" s="201" t="s">
        <v>190</v>
      </c>
      <c r="C126" s="213">
        <v>0.45</v>
      </c>
      <c r="D126" s="89"/>
      <c r="E126" s="32">
        <v>12.5</v>
      </c>
      <c r="F126" s="88"/>
      <c r="G126" s="32">
        <v>13.750000000000002</v>
      </c>
      <c r="H126" s="313"/>
      <c r="I126" s="32">
        <v>12.5</v>
      </c>
      <c r="N126" s="22">
        <f t="shared" si="2"/>
        <v>0</v>
      </c>
    </row>
    <row r="127" spans="1:14" ht="15" customHeight="1" x14ac:dyDescent="0.2">
      <c r="A127" s="187">
        <v>65907</v>
      </c>
      <c r="B127" s="201" t="s">
        <v>58</v>
      </c>
      <c r="C127" s="213">
        <v>0.16</v>
      </c>
      <c r="D127" s="89"/>
      <c r="E127" s="32">
        <v>6.25</v>
      </c>
      <c r="F127" s="86"/>
      <c r="G127" s="32">
        <v>6.8750000000000009</v>
      </c>
      <c r="H127" s="313"/>
      <c r="I127" s="32">
        <v>6.25</v>
      </c>
      <c r="N127" s="22">
        <f t="shared" si="2"/>
        <v>0</v>
      </c>
    </row>
    <row r="128" spans="1:14" ht="15" customHeight="1" x14ac:dyDescent="0.2">
      <c r="A128" s="187">
        <v>65909</v>
      </c>
      <c r="B128" s="201" t="s">
        <v>59</v>
      </c>
      <c r="C128" s="213">
        <v>0.4</v>
      </c>
      <c r="D128" s="30"/>
      <c r="E128" s="32">
        <v>11.75</v>
      </c>
      <c r="F128" s="31"/>
      <c r="G128" s="32">
        <v>12.925000000000001</v>
      </c>
      <c r="H128" s="308"/>
      <c r="I128" s="32">
        <v>11.75</v>
      </c>
      <c r="L128" s="22" t="s">
        <v>56</v>
      </c>
      <c r="M128" s="22" t="s">
        <v>56</v>
      </c>
      <c r="N128" s="22">
        <f t="shared" si="2"/>
        <v>0</v>
      </c>
    </row>
    <row r="129" spans="1:14" ht="15" customHeight="1" x14ac:dyDescent="0.2">
      <c r="A129" s="187">
        <v>905816</v>
      </c>
      <c r="B129" s="201" t="s">
        <v>184</v>
      </c>
      <c r="C129" s="213">
        <v>0.64</v>
      </c>
      <c r="D129" s="30"/>
      <c r="E129" s="32">
        <v>15.85</v>
      </c>
      <c r="F129" s="31"/>
      <c r="G129" s="32">
        <v>17.435000000000002</v>
      </c>
      <c r="H129" s="308"/>
      <c r="I129" s="32">
        <v>15.85</v>
      </c>
      <c r="L129" s="22" t="s">
        <v>56</v>
      </c>
      <c r="M129" s="22" t="s">
        <v>56</v>
      </c>
      <c r="N129" s="22">
        <f t="shared" si="2"/>
        <v>0</v>
      </c>
    </row>
    <row r="130" spans="1:14" ht="15" customHeight="1" x14ac:dyDescent="0.2">
      <c r="A130" s="187">
        <v>1126416</v>
      </c>
      <c r="B130" s="201" t="s">
        <v>188</v>
      </c>
      <c r="C130" s="213">
        <v>0.45</v>
      </c>
      <c r="D130" s="30"/>
      <c r="E130" s="32">
        <v>12.5</v>
      </c>
      <c r="F130" s="31"/>
      <c r="G130" s="32">
        <v>13.750000000000002</v>
      </c>
      <c r="H130" s="308"/>
      <c r="I130" s="32">
        <v>12.5</v>
      </c>
      <c r="L130" s="22" t="s">
        <v>56</v>
      </c>
      <c r="M130" s="22" t="s">
        <v>56</v>
      </c>
      <c r="N130" s="22">
        <f t="shared" si="2"/>
        <v>0</v>
      </c>
    </row>
    <row r="131" spans="1:14" ht="15" customHeight="1" x14ac:dyDescent="0.2">
      <c r="A131" s="187">
        <v>65920</v>
      </c>
      <c r="B131" s="201" t="s">
        <v>60</v>
      </c>
      <c r="C131" s="213">
        <v>0.16</v>
      </c>
      <c r="D131" s="30"/>
      <c r="E131" s="32">
        <v>6.75</v>
      </c>
      <c r="F131" s="31"/>
      <c r="G131" s="32">
        <v>7.4250000000000007</v>
      </c>
      <c r="H131" s="308"/>
      <c r="I131" s="32">
        <v>6.75</v>
      </c>
      <c r="L131" s="22" t="s">
        <v>56</v>
      </c>
      <c r="M131" s="22" t="s">
        <v>56</v>
      </c>
      <c r="N131" s="22">
        <f t="shared" si="2"/>
        <v>0</v>
      </c>
    </row>
    <row r="132" spans="1:14" ht="15" customHeight="1" x14ac:dyDescent="0.2">
      <c r="A132" s="187">
        <v>65921</v>
      </c>
      <c r="B132" s="201" t="s">
        <v>61</v>
      </c>
      <c r="C132" s="213">
        <v>0.4</v>
      </c>
      <c r="D132" s="30"/>
      <c r="E132" s="32">
        <v>12.75</v>
      </c>
      <c r="F132" s="31"/>
      <c r="G132" s="32">
        <v>14.025</v>
      </c>
      <c r="H132" s="308"/>
      <c r="I132" s="32">
        <v>12.75</v>
      </c>
      <c r="L132" s="22" t="s">
        <v>56</v>
      </c>
      <c r="M132" s="22" t="s">
        <v>56</v>
      </c>
      <c r="N132" s="22">
        <f t="shared" si="2"/>
        <v>0</v>
      </c>
    </row>
    <row r="133" spans="1:14" ht="14.25" x14ac:dyDescent="0.2">
      <c r="A133" s="187">
        <v>905817</v>
      </c>
      <c r="B133" s="201" t="s">
        <v>185</v>
      </c>
      <c r="C133" s="213">
        <v>0.64</v>
      </c>
      <c r="D133" s="30"/>
      <c r="E133" s="32">
        <v>17.95</v>
      </c>
      <c r="F133" s="31"/>
      <c r="G133" s="32">
        <v>19.745000000000001</v>
      </c>
      <c r="H133" s="308"/>
      <c r="I133" s="32">
        <v>17.95</v>
      </c>
      <c r="L133" s="22" t="s">
        <v>56</v>
      </c>
      <c r="M133" s="22" t="s">
        <v>56</v>
      </c>
      <c r="N133" s="22">
        <f t="shared" si="2"/>
        <v>0</v>
      </c>
    </row>
    <row r="134" spans="1:14" ht="15" customHeight="1" x14ac:dyDescent="0.2">
      <c r="A134" s="187">
        <v>65918</v>
      </c>
      <c r="B134" s="201" t="s">
        <v>62</v>
      </c>
      <c r="C134" s="213">
        <v>0.16</v>
      </c>
      <c r="D134" s="30"/>
      <c r="E134" s="32">
        <v>5.95</v>
      </c>
      <c r="F134" s="31"/>
      <c r="G134" s="32">
        <v>6.5450000000000008</v>
      </c>
      <c r="H134" s="308"/>
      <c r="I134" s="32">
        <v>5.95</v>
      </c>
      <c r="L134" s="22" t="s">
        <v>56</v>
      </c>
      <c r="M134" s="22" t="s">
        <v>56</v>
      </c>
      <c r="N134" s="22">
        <f t="shared" si="2"/>
        <v>0</v>
      </c>
    </row>
    <row r="135" spans="1:14" ht="15" customHeight="1" x14ac:dyDescent="0.2">
      <c r="A135" s="187">
        <v>65919</v>
      </c>
      <c r="B135" s="201" t="s">
        <v>63</v>
      </c>
      <c r="C135" s="213">
        <v>0.64</v>
      </c>
      <c r="D135" s="30"/>
      <c r="E135" s="32">
        <v>10.65</v>
      </c>
      <c r="F135" s="31"/>
      <c r="G135" s="32">
        <v>11.715000000000002</v>
      </c>
      <c r="H135" s="308"/>
      <c r="I135" s="32">
        <v>10.65</v>
      </c>
      <c r="L135" s="22" t="s">
        <v>56</v>
      </c>
      <c r="M135" s="22" t="s">
        <v>56</v>
      </c>
      <c r="N135" s="22">
        <f t="shared" si="2"/>
        <v>0</v>
      </c>
    </row>
    <row r="136" spans="1:14" ht="15" customHeight="1" x14ac:dyDescent="0.2">
      <c r="A136" s="187">
        <v>905818</v>
      </c>
      <c r="B136" s="201" t="s">
        <v>186</v>
      </c>
      <c r="C136" s="213">
        <v>0.64</v>
      </c>
      <c r="D136" s="30"/>
      <c r="E136" s="32">
        <v>15.9</v>
      </c>
      <c r="F136" s="31"/>
      <c r="G136" s="32">
        <v>17.490000000000002</v>
      </c>
      <c r="H136" s="308"/>
      <c r="I136" s="32">
        <v>15.9</v>
      </c>
      <c r="L136" s="22" t="s">
        <v>56</v>
      </c>
      <c r="M136" s="22" t="s">
        <v>56</v>
      </c>
      <c r="N136" s="22">
        <f t="shared" si="2"/>
        <v>0</v>
      </c>
    </row>
    <row r="137" spans="1:14" ht="15" customHeight="1" x14ac:dyDescent="0.2">
      <c r="A137" s="187">
        <v>970195</v>
      </c>
      <c r="B137" s="201" t="s">
        <v>192</v>
      </c>
      <c r="C137" s="213">
        <v>0.16</v>
      </c>
      <c r="D137" s="30"/>
      <c r="E137" s="32">
        <v>5.75</v>
      </c>
      <c r="F137" s="31"/>
      <c r="G137" s="32">
        <v>6.3250000000000002</v>
      </c>
      <c r="H137" s="308"/>
      <c r="I137" s="32">
        <v>5.75</v>
      </c>
      <c r="L137" s="22" t="s">
        <v>56</v>
      </c>
      <c r="M137" s="22" t="s">
        <v>56</v>
      </c>
      <c r="N137" s="22">
        <f t="shared" si="2"/>
        <v>0</v>
      </c>
    </row>
    <row r="138" spans="1:14" ht="15" customHeight="1" x14ac:dyDescent="0.2">
      <c r="A138" s="187">
        <v>905820</v>
      </c>
      <c r="B138" s="201" t="s">
        <v>191</v>
      </c>
      <c r="C138" s="213">
        <v>0.64</v>
      </c>
      <c r="D138" s="30"/>
      <c r="E138" s="32">
        <v>15.55</v>
      </c>
      <c r="F138" s="31"/>
      <c r="G138" s="32">
        <v>17.105</v>
      </c>
      <c r="H138" s="308"/>
      <c r="I138" s="32">
        <v>15.55</v>
      </c>
      <c r="L138" s="22" t="s">
        <v>56</v>
      </c>
      <c r="M138" s="22" t="s">
        <v>56</v>
      </c>
      <c r="N138" s="22">
        <f t="shared" si="2"/>
        <v>0</v>
      </c>
    </row>
    <row r="139" spans="1:14" ht="15" customHeight="1" x14ac:dyDescent="0.2">
      <c r="A139" s="187">
        <v>1126417</v>
      </c>
      <c r="B139" s="201" t="s">
        <v>187</v>
      </c>
      <c r="C139" s="213">
        <v>0.45</v>
      </c>
      <c r="D139" s="30"/>
      <c r="E139" s="32">
        <v>9.9499999999999993</v>
      </c>
      <c r="F139" s="31"/>
      <c r="G139" s="32">
        <v>10.945</v>
      </c>
      <c r="H139" s="308"/>
      <c r="I139" s="32">
        <v>9.9499999999999993</v>
      </c>
      <c r="L139" s="22" t="s">
        <v>56</v>
      </c>
      <c r="M139" s="22" t="s">
        <v>56</v>
      </c>
      <c r="N139" s="22">
        <f t="shared" si="2"/>
        <v>0</v>
      </c>
    </row>
    <row r="140" spans="1:14" ht="15" customHeight="1" x14ac:dyDescent="0.2">
      <c r="A140" s="187">
        <v>67493</v>
      </c>
      <c r="B140" s="201" t="s">
        <v>64</v>
      </c>
      <c r="C140" s="213">
        <v>0.16</v>
      </c>
      <c r="D140" s="30"/>
      <c r="E140" s="32">
        <v>6.75</v>
      </c>
      <c r="F140" s="31"/>
      <c r="G140" s="32">
        <v>7.4250000000000007</v>
      </c>
      <c r="H140" s="308"/>
      <c r="I140" s="32">
        <v>6.75</v>
      </c>
      <c r="L140" s="22" t="s">
        <v>56</v>
      </c>
      <c r="M140" s="22" t="s">
        <v>56</v>
      </c>
      <c r="N140" s="22">
        <f t="shared" si="2"/>
        <v>0</v>
      </c>
    </row>
    <row r="141" spans="1:14" ht="15" customHeight="1" x14ac:dyDescent="0.2">
      <c r="A141" s="187">
        <v>65906</v>
      </c>
      <c r="B141" s="201" t="s">
        <v>65</v>
      </c>
      <c r="C141" s="213">
        <v>0.24</v>
      </c>
      <c r="D141" s="30"/>
      <c r="E141" s="32">
        <v>12.5</v>
      </c>
      <c r="F141" s="31"/>
      <c r="G141" s="32">
        <v>13.750000000000002</v>
      </c>
      <c r="H141" s="308"/>
      <c r="I141" s="32">
        <v>12.5</v>
      </c>
      <c r="L141" s="22" t="s">
        <v>56</v>
      </c>
      <c r="M141" s="22" t="s">
        <v>56</v>
      </c>
      <c r="N141" s="22">
        <f t="shared" si="2"/>
        <v>0</v>
      </c>
    </row>
    <row r="142" spans="1:14" ht="15" customHeight="1" x14ac:dyDescent="0.2">
      <c r="A142" s="187">
        <v>270422</v>
      </c>
      <c r="B142" s="201" t="s">
        <v>66</v>
      </c>
      <c r="C142" s="213">
        <v>0.24</v>
      </c>
      <c r="D142" s="30"/>
      <c r="E142" s="32">
        <v>5.95</v>
      </c>
      <c r="F142" s="39"/>
      <c r="G142" s="32">
        <v>6.5450000000000008</v>
      </c>
      <c r="H142" s="314"/>
      <c r="I142" s="32">
        <v>5.95</v>
      </c>
      <c r="L142" s="22" t="s">
        <v>56</v>
      </c>
      <c r="M142" s="22" t="s">
        <v>56</v>
      </c>
      <c r="N142" s="22">
        <f t="shared" si="2"/>
        <v>0</v>
      </c>
    </row>
    <row r="143" spans="1:14" ht="15" customHeight="1" x14ac:dyDescent="0.2">
      <c r="A143" s="187">
        <v>67778</v>
      </c>
      <c r="B143" s="201" t="s">
        <v>67</v>
      </c>
      <c r="C143" s="213">
        <v>0.6</v>
      </c>
      <c r="D143" s="30"/>
      <c r="E143" s="32">
        <v>10.95</v>
      </c>
      <c r="F143" s="31"/>
      <c r="G143" s="32">
        <v>12.045</v>
      </c>
      <c r="H143" s="308"/>
      <c r="I143" s="32">
        <v>10.95</v>
      </c>
      <c r="L143" s="22" t="s">
        <v>56</v>
      </c>
      <c r="M143" s="22" t="s">
        <v>56</v>
      </c>
      <c r="N143" s="22">
        <f t="shared" si="2"/>
        <v>0</v>
      </c>
    </row>
    <row r="144" spans="1:14" ht="15" customHeight="1" x14ac:dyDescent="0.2">
      <c r="A144" s="187">
        <v>1039726</v>
      </c>
      <c r="B144" s="201" t="s">
        <v>193</v>
      </c>
      <c r="C144" s="213">
        <v>0.24</v>
      </c>
      <c r="D144" s="30"/>
      <c r="E144" s="32">
        <v>5.95</v>
      </c>
      <c r="F144" s="31"/>
      <c r="G144" s="32">
        <v>6.5450000000000008</v>
      </c>
      <c r="H144" s="308"/>
      <c r="I144" s="32">
        <v>5.95</v>
      </c>
      <c r="L144" s="22" t="s">
        <v>56</v>
      </c>
      <c r="M144" s="22" t="s">
        <v>56</v>
      </c>
      <c r="N144" s="22">
        <f t="shared" si="2"/>
        <v>0</v>
      </c>
    </row>
    <row r="145" spans="1:14" ht="15" customHeight="1" x14ac:dyDescent="0.2">
      <c r="A145" s="187">
        <v>1039725</v>
      </c>
      <c r="B145" s="201" t="s">
        <v>194</v>
      </c>
      <c r="C145" s="213">
        <v>0.6</v>
      </c>
      <c r="D145" s="30"/>
      <c r="E145" s="32">
        <v>10.95</v>
      </c>
      <c r="F145" s="31"/>
      <c r="G145" s="32">
        <v>12.045</v>
      </c>
      <c r="H145" s="308"/>
      <c r="I145" s="32">
        <v>10.95</v>
      </c>
      <c r="L145" s="22" t="s">
        <v>56</v>
      </c>
      <c r="M145" s="22" t="s">
        <v>56</v>
      </c>
      <c r="N145" s="22">
        <f t="shared" si="2"/>
        <v>0</v>
      </c>
    </row>
    <row r="146" spans="1:14" ht="15" customHeight="1" x14ac:dyDescent="0.2">
      <c r="A146" s="187">
        <v>270418</v>
      </c>
      <c r="B146" s="201" t="s">
        <v>68</v>
      </c>
      <c r="C146" s="213">
        <v>0.24</v>
      </c>
      <c r="D146" s="30"/>
      <c r="E146" s="32">
        <v>6.25</v>
      </c>
      <c r="F146" s="31"/>
      <c r="G146" s="32">
        <v>6.8750000000000009</v>
      </c>
      <c r="H146" s="308"/>
      <c r="I146" s="32">
        <v>6.25</v>
      </c>
      <c r="L146" s="22" t="s">
        <v>56</v>
      </c>
      <c r="M146" s="22" t="s">
        <v>56</v>
      </c>
      <c r="N146" s="22">
        <f t="shared" si="2"/>
        <v>0</v>
      </c>
    </row>
    <row r="147" spans="1:14" ht="15" customHeight="1" x14ac:dyDescent="0.2">
      <c r="A147" s="187">
        <v>65912</v>
      </c>
      <c r="B147" s="201" t="s">
        <v>69</v>
      </c>
      <c r="C147" s="213">
        <v>0.6</v>
      </c>
      <c r="D147" s="30"/>
      <c r="E147" s="32">
        <v>11.45</v>
      </c>
      <c r="F147" s="31"/>
      <c r="G147" s="32">
        <v>12.595000000000001</v>
      </c>
      <c r="H147" s="308"/>
      <c r="I147" s="32">
        <v>11.45</v>
      </c>
      <c r="L147" s="22" t="s">
        <v>56</v>
      </c>
      <c r="M147" s="22" t="s">
        <v>56</v>
      </c>
      <c r="N147" s="22">
        <f t="shared" si="2"/>
        <v>0</v>
      </c>
    </row>
    <row r="148" spans="1:14" ht="15" customHeight="1" x14ac:dyDescent="0.2">
      <c r="A148" s="187">
        <v>425024</v>
      </c>
      <c r="B148" s="201" t="s">
        <v>70</v>
      </c>
      <c r="C148" s="213">
        <v>0.24</v>
      </c>
      <c r="D148" s="30"/>
      <c r="E148" s="32">
        <v>9.4499999999999993</v>
      </c>
      <c r="F148" s="31"/>
      <c r="G148" s="32">
        <v>10.395</v>
      </c>
      <c r="H148" s="308"/>
      <c r="I148" s="32">
        <v>9.4499999999999993</v>
      </c>
      <c r="L148" s="22" t="s">
        <v>56</v>
      </c>
      <c r="M148" s="22" t="s">
        <v>56</v>
      </c>
      <c r="N148" s="22">
        <f t="shared" si="2"/>
        <v>0</v>
      </c>
    </row>
    <row r="149" spans="1:14" ht="15" customHeight="1" x14ac:dyDescent="0.2">
      <c r="A149" s="187">
        <v>294817</v>
      </c>
      <c r="B149" s="201" t="s">
        <v>71</v>
      </c>
      <c r="C149" s="213">
        <v>0.6</v>
      </c>
      <c r="D149" s="30"/>
      <c r="E149" s="32">
        <v>14.95</v>
      </c>
      <c r="F149" s="31"/>
      <c r="G149" s="32">
        <v>16.445</v>
      </c>
      <c r="H149" s="308"/>
      <c r="I149" s="32">
        <v>14.95</v>
      </c>
      <c r="L149" s="22" t="s">
        <v>56</v>
      </c>
      <c r="M149" s="22" t="s">
        <v>56</v>
      </c>
      <c r="N149" s="22">
        <f t="shared" si="2"/>
        <v>0</v>
      </c>
    </row>
    <row r="150" spans="1:14" ht="15" customHeight="1" x14ac:dyDescent="0.2">
      <c r="A150" s="187">
        <v>441991</v>
      </c>
      <c r="B150" s="201" t="s">
        <v>72</v>
      </c>
      <c r="C150" s="213">
        <v>0.16</v>
      </c>
      <c r="D150" s="30"/>
      <c r="E150" s="32">
        <v>4.75</v>
      </c>
      <c r="F150" s="31"/>
      <c r="G150" s="32">
        <v>5.2250000000000005</v>
      </c>
      <c r="H150" s="308"/>
      <c r="I150" s="32">
        <v>4.75</v>
      </c>
      <c r="L150" s="22" t="s">
        <v>56</v>
      </c>
      <c r="M150" s="22" t="s">
        <v>56</v>
      </c>
      <c r="N150" s="22">
        <f t="shared" si="2"/>
        <v>0</v>
      </c>
    </row>
    <row r="151" spans="1:14" ht="15" customHeight="1" x14ac:dyDescent="0.2">
      <c r="A151" s="187">
        <v>65899</v>
      </c>
      <c r="B151" s="201" t="s">
        <v>73</v>
      </c>
      <c r="C151" s="213">
        <v>0.32</v>
      </c>
      <c r="D151" s="30"/>
      <c r="E151" s="32">
        <v>9.75</v>
      </c>
      <c r="F151" s="31"/>
      <c r="G151" s="32">
        <v>10.725000000000001</v>
      </c>
      <c r="H151" s="308"/>
      <c r="I151" s="32">
        <v>9.75</v>
      </c>
      <c r="L151" s="22" t="s">
        <v>56</v>
      </c>
      <c r="M151" s="22" t="s">
        <v>56</v>
      </c>
      <c r="N151" s="22">
        <f t="shared" si="2"/>
        <v>0</v>
      </c>
    </row>
    <row r="152" spans="1:14" ht="15" customHeight="1" x14ac:dyDescent="0.2">
      <c r="A152" s="187">
        <v>65925</v>
      </c>
      <c r="B152" s="201" t="s">
        <v>75</v>
      </c>
      <c r="C152" s="213">
        <v>0.72</v>
      </c>
      <c r="D152" s="30"/>
      <c r="E152" s="32">
        <v>14.95</v>
      </c>
      <c r="F152" s="31"/>
      <c r="G152" s="32">
        <v>16.445</v>
      </c>
      <c r="H152" s="308"/>
      <c r="I152" s="32">
        <v>14.95</v>
      </c>
      <c r="L152" s="22" t="s">
        <v>56</v>
      </c>
      <c r="M152" s="22" t="s">
        <v>56</v>
      </c>
      <c r="N152" s="22">
        <f t="shared" si="2"/>
        <v>0</v>
      </c>
    </row>
    <row r="153" spans="1:14" ht="15" customHeight="1" x14ac:dyDescent="0.2">
      <c r="B153" s="18"/>
    </row>
    <row r="154" spans="1:14" ht="15" customHeight="1" x14ac:dyDescent="0.2">
      <c r="B154" s="18"/>
    </row>
    <row r="155" spans="1:14" ht="15" customHeight="1" x14ac:dyDescent="0.2">
      <c r="B155" s="18"/>
    </row>
    <row r="156" spans="1:14" ht="15" customHeight="1" x14ac:dyDescent="0.2">
      <c r="B156" s="18"/>
    </row>
    <row r="157" spans="1:14" ht="15" customHeight="1" x14ac:dyDescent="0.2">
      <c r="B157" s="18"/>
    </row>
    <row r="158" spans="1:14" ht="15" customHeight="1" x14ac:dyDescent="0.2">
      <c r="B158" s="18"/>
    </row>
    <row r="159" spans="1:14" ht="15" customHeight="1" x14ac:dyDescent="0.2">
      <c r="B159" s="18"/>
    </row>
    <row r="160" spans="1:14" ht="15" customHeight="1" x14ac:dyDescent="0.2">
      <c r="B160" s="18"/>
    </row>
    <row r="161" spans="2:2" ht="15" customHeight="1" x14ac:dyDescent="0.2">
      <c r="B161" s="18"/>
    </row>
    <row r="162" spans="2:2" ht="15" customHeight="1" x14ac:dyDescent="0.2">
      <c r="B162" s="18"/>
    </row>
    <row r="163" spans="2:2" ht="15" customHeight="1" x14ac:dyDescent="0.2">
      <c r="B163" s="18"/>
    </row>
    <row r="164" spans="2:2" ht="15" customHeight="1" x14ac:dyDescent="0.2">
      <c r="B164" s="18"/>
    </row>
    <row r="165" spans="2:2" ht="15" customHeight="1" x14ac:dyDescent="0.2">
      <c r="B165" s="18"/>
    </row>
    <row r="166" spans="2:2" ht="15" customHeight="1" x14ac:dyDescent="0.2">
      <c r="B166" s="18"/>
    </row>
    <row r="167" spans="2:2" ht="15" customHeight="1" x14ac:dyDescent="0.2">
      <c r="B167" s="18"/>
    </row>
    <row r="168" spans="2:2" ht="15" customHeight="1" x14ac:dyDescent="0.2">
      <c r="B168" s="18"/>
    </row>
  </sheetData>
  <sheetProtection password="C71F" sheet="1" objects="1" scenarios="1" formatCells="0"/>
  <mergeCells count="5">
    <mergeCell ref="B2:B3"/>
    <mergeCell ref="C2:C3"/>
    <mergeCell ref="E2:E3"/>
    <mergeCell ref="G2:G3"/>
    <mergeCell ref="I2:I3"/>
  </mergeCells>
  <conditionalFormatting sqref="B112 B96:B100 B106:B107 B62:B63 B91:B93 B28:B32 B36:B48 B66:B84 B4:B26 B51:B59">
    <cfRule type="cellIs" dxfId="7" priority="2" stopIfTrue="1" operator="notEqual">
      <formula>#REF!</formula>
    </cfRule>
  </conditionalFormatting>
  <printOptions horizontalCentered="1"/>
  <pageMargins left="0" right="0" top="0.39370078740157483" bottom="0.59055118110236227" header="0.15748031496062992" footer="0.15748031496062992"/>
  <pageSetup paperSize="9" scale="52" fitToHeight="5" orientation="landscape" horizontalDpi="720" verticalDpi="720" r:id="rId1"/>
  <headerFooter alignWithMargins="0">
    <oddFooter>&amp;L&amp;"Comic Sans MS,Normal"&amp;8Filière Boulangerie / Pâtisserie
&amp;D&amp;R&amp;"Comic Sans MS,Normal"&amp;8&amp;P</oddFooter>
  </headerFooter>
  <rowBreaks count="1" manualBreakCount="1">
    <brk id="34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U164"/>
  <sheetViews>
    <sheetView showGridLines="0" tabSelected="1" view="pageBreakPreview" zoomScale="80" zoomScaleNormal="70" zoomScaleSheetLayoutView="80" workbookViewId="0">
      <pane xSplit="3" ySplit="3" topLeftCell="F19" activePane="bottomRight" state="frozen"/>
      <selection activeCell="F9" sqref="F9"/>
      <selection pane="topRight" activeCell="F9" sqref="F9"/>
      <selection pane="bottomLeft" activeCell="F9" sqref="F9"/>
      <selection pane="bottomRight" activeCell="M43" sqref="M43"/>
    </sheetView>
  </sheetViews>
  <sheetFormatPr defaultColWidth="11.42578125" defaultRowHeight="15" customHeight="1" x14ac:dyDescent="0.2"/>
  <cols>
    <col min="1" max="1" width="9.140625" style="374" bestFit="1" customWidth="1"/>
    <col min="2" max="2" width="52.85546875" style="340" bestFit="1" customWidth="1"/>
    <col min="3" max="3" width="6.5703125" style="19" hidden="1" customWidth="1"/>
    <col min="4" max="4" width="5.7109375" style="19" hidden="1" customWidth="1"/>
    <col min="5" max="5" width="6.140625" style="19" hidden="1" customWidth="1"/>
    <col min="6" max="6" width="11" style="290" customWidth="1"/>
    <col min="7" max="7" width="13.42578125" style="290" customWidth="1"/>
    <col min="8" max="10" width="13.42578125" style="290" hidden="1" customWidth="1"/>
    <col min="11" max="11" width="12.7109375" style="293" customWidth="1"/>
    <col min="12" max="12" width="9.28515625" style="299" bestFit="1" customWidth="1"/>
    <col min="13" max="13" width="7.5703125" style="300" customWidth="1"/>
    <col min="14" max="15" width="7.7109375" style="300" customWidth="1"/>
    <col min="16" max="16" width="7.7109375" style="300" hidden="1" customWidth="1"/>
    <col min="17" max="17" width="8" style="21" hidden="1" customWidth="1"/>
    <col min="18" max="18" width="9.7109375" style="21" hidden="1" customWidth="1"/>
    <col min="19" max="19" width="11.42578125" style="21" hidden="1" customWidth="1"/>
    <col min="20" max="20" width="25.140625" style="21" hidden="1" customWidth="1"/>
    <col min="21" max="21" width="11.42578125" style="21" hidden="1" customWidth="1"/>
    <col min="22" max="16384" width="11.42578125" style="21"/>
  </cols>
  <sheetData>
    <row r="1" spans="1:21" ht="21" customHeight="1" x14ac:dyDescent="0.2">
      <c r="B1" s="340" t="s">
        <v>76</v>
      </c>
      <c r="F1" s="40">
        <v>50</v>
      </c>
      <c r="G1" s="295" t="s">
        <v>77</v>
      </c>
      <c r="H1" s="295"/>
      <c r="I1" s="295"/>
      <c r="J1" s="295"/>
      <c r="K1" s="386">
        <v>42457</v>
      </c>
      <c r="L1" s="401" t="s">
        <v>274</v>
      </c>
      <c r="M1" s="402"/>
      <c r="N1" s="402"/>
      <c r="O1" s="402"/>
      <c r="P1" s="402"/>
      <c r="Q1" s="41"/>
    </row>
    <row r="2" spans="1:21" ht="13.15" customHeight="1" x14ac:dyDescent="0.2">
      <c r="B2" s="403" t="s">
        <v>23</v>
      </c>
      <c r="C2" s="404" t="s">
        <v>78</v>
      </c>
      <c r="D2" s="404" t="s">
        <v>79</v>
      </c>
      <c r="E2" s="405" t="s">
        <v>80</v>
      </c>
      <c r="F2" s="407" t="s">
        <v>183</v>
      </c>
      <c r="G2" s="408" t="s">
        <v>81</v>
      </c>
      <c r="H2" s="387"/>
      <c r="I2" s="387"/>
      <c r="J2" s="387"/>
      <c r="K2" s="410" t="s">
        <v>82</v>
      </c>
      <c r="L2" s="411" t="s">
        <v>243</v>
      </c>
      <c r="M2" s="411" t="s">
        <v>275</v>
      </c>
      <c r="N2" s="411" t="s">
        <v>306</v>
      </c>
      <c r="O2" s="411" t="s">
        <v>307</v>
      </c>
      <c r="P2" s="411" t="s">
        <v>276</v>
      </c>
      <c r="Q2" s="413" t="s">
        <v>83</v>
      </c>
      <c r="R2" s="415" t="s">
        <v>84</v>
      </c>
    </row>
    <row r="3" spans="1:21" s="28" customFormat="1" ht="17.45" customHeight="1" thickBot="1" x14ac:dyDescent="0.25">
      <c r="A3" s="375"/>
      <c r="B3" s="403"/>
      <c r="C3" s="404"/>
      <c r="D3" s="404"/>
      <c r="E3" s="406"/>
      <c r="F3" s="407"/>
      <c r="G3" s="409"/>
      <c r="H3" s="388"/>
      <c r="I3" s="388"/>
      <c r="J3" s="388"/>
      <c r="K3" s="410"/>
      <c r="L3" s="412"/>
      <c r="M3" s="412"/>
      <c r="N3" s="412"/>
      <c r="O3" s="412"/>
      <c r="P3" s="412"/>
      <c r="Q3" s="414"/>
      <c r="R3" s="415"/>
    </row>
    <row r="4" spans="1:21" s="25" customFormat="1" ht="20.100000000000001" customHeight="1" x14ac:dyDescent="0.15">
      <c r="A4" s="376">
        <v>755730</v>
      </c>
      <c r="B4" s="341" t="s">
        <v>103</v>
      </c>
      <c r="C4" s="85">
        <f>PV!C4</f>
        <v>0.17499999999999999</v>
      </c>
      <c r="D4" s="42" t="s">
        <v>85</v>
      </c>
      <c r="E4" s="43">
        <f>IF(D4="h",PV!E4,IF(D4="M",PV!G4,PV!I4))</f>
        <v>1.1000000000000001</v>
      </c>
      <c r="F4" s="291">
        <v>16</v>
      </c>
      <c r="G4" s="291">
        <v>8</v>
      </c>
      <c r="H4" s="291"/>
      <c r="I4" s="291"/>
      <c r="J4" s="291"/>
      <c r="K4" s="291">
        <v>8</v>
      </c>
      <c r="L4" s="327">
        <v>8</v>
      </c>
      <c r="M4" s="328"/>
      <c r="N4" s="329">
        <v>6.4</v>
      </c>
      <c r="O4" s="329">
        <v>4.5999999999999996</v>
      </c>
      <c r="P4" s="330"/>
      <c r="Q4" s="275">
        <f t="shared" ref="Q4:Q23" si="0">(K4*E4)</f>
        <v>8.8000000000000007</v>
      </c>
      <c r="R4" s="280">
        <f t="shared" ref="R4:R23" si="1">K4*C4</f>
        <v>1.4</v>
      </c>
      <c r="U4" s="294">
        <f>K4-L4</f>
        <v>0</v>
      </c>
    </row>
    <row r="5" spans="1:21" s="25" customFormat="1" ht="20.100000000000001" customHeight="1" x14ac:dyDescent="0.15">
      <c r="A5" s="376">
        <v>65846</v>
      </c>
      <c r="B5" s="341" t="s">
        <v>104</v>
      </c>
      <c r="C5" s="85">
        <f>PV!C5</f>
        <v>0.35</v>
      </c>
      <c r="D5" s="44" t="str">
        <f t="shared" ref="D5:D68" si="2">D4</f>
        <v>h</v>
      </c>
      <c r="E5" s="43">
        <f>IF(D5="h",PV!E5,IF(D5="M",PV!G5,PV!I5))</f>
        <v>1.8</v>
      </c>
      <c r="F5" s="291">
        <v>14</v>
      </c>
      <c r="G5" s="291">
        <v>15</v>
      </c>
      <c r="H5" s="291"/>
      <c r="I5" s="291"/>
      <c r="J5" s="291"/>
      <c r="K5" s="291">
        <v>15</v>
      </c>
      <c r="L5" s="331">
        <v>6.75</v>
      </c>
      <c r="M5" s="332"/>
      <c r="N5" s="333">
        <v>8.25</v>
      </c>
      <c r="O5" s="333">
        <v>4.5999999999999996</v>
      </c>
      <c r="P5" s="334"/>
      <c r="Q5" s="275">
        <f t="shared" si="0"/>
        <v>27</v>
      </c>
      <c r="R5" s="280">
        <f t="shared" si="1"/>
        <v>5.25</v>
      </c>
      <c r="U5" s="294"/>
    </row>
    <row r="6" spans="1:21" s="25" customFormat="1" ht="20.100000000000001" customHeight="1" x14ac:dyDescent="0.15">
      <c r="A6" s="377">
        <v>358700</v>
      </c>
      <c r="B6" s="341" t="s">
        <v>35</v>
      </c>
      <c r="C6" s="85">
        <f>PV!C6</f>
        <v>0.35</v>
      </c>
      <c r="D6" s="44" t="str">
        <f t="shared" si="2"/>
        <v>h</v>
      </c>
      <c r="E6" s="43">
        <f>IF(D6="h",PV!E6,IF(D6="M",PV!G6,PV!I6))</f>
        <v>3.45</v>
      </c>
      <c r="F6" s="291">
        <v>0</v>
      </c>
      <c r="G6" s="291">
        <v>0</v>
      </c>
      <c r="H6" s="291"/>
      <c r="I6" s="291"/>
      <c r="J6" s="291"/>
      <c r="K6" s="291">
        <v>0</v>
      </c>
      <c r="L6" s="331">
        <v>6.75</v>
      </c>
      <c r="M6" s="332"/>
      <c r="N6" s="333">
        <v>8.25</v>
      </c>
      <c r="O6" s="333"/>
      <c r="P6" s="334"/>
      <c r="Q6" s="275">
        <f t="shared" si="0"/>
        <v>0</v>
      </c>
      <c r="R6" s="280">
        <f t="shared" si="1"/>
        <v>0</v>
      </c>
      <c r="U6" s="294">
        <f t="shared" ref="U6:U37" si="3">K6-L6</f>
        <v>-6.75</v>
      </c>
    </row>
    <row r="7" spans="1:21" s="25" customFormat="1" ht="20.100000000000001" customHeight="1" x14ac:dyDescent="0.15">
      <c r="A7" s="377">
        <v>348164</v>
      </c>
      <c r="B7" s="341" t="s">
        <v>105</v>
      </c>
      <c r="C7" s="85">
        <f>PV!C7</f>
        <v>0.35</v>
      </c>
      <c r="D7" s="44" t="str">
        <f t="shared" si="2"/>
        <v>h</v>
      </c>
      <c r="E7" s="43">
        <f>IF(D7="h",PV!E7,IF(D7="M",PV!G7,PV!I7))</f>
        <v>5.95</v>
      </c>
      <c r="F7" s="291">
        <v>2</v>
      </c>
      <c r="G7" s="291">
        <v>133</v>
      </c>
      <c r="H7" s="291"/>
      <c r="I7" s="291"/>
      <c r="J7" s="291"/>
      <c r="K7" s="291">
        <v>133</v>
      </c>
      <c r="L7" s="331">
        <v>26.6</v>
      </c>
      <c r="M7" s="332">
        <v>33.25</v>
      </c>
      <c r="N7" s="333">
        <v>42.56</v>
      </c>
      <c r="O7" s="333">
        <v>30.59</v>
      </c>
      <c r="P7" s="334"/>
      <c r="Q7" s="275">
        <f t="shared" si="0"/>
        <v>791.35</v>
      </c>
      <c r="R7" s="280">
        <f t="shared" si="1"/>
        <v>46.55</v>
      </c>
      <c r="U7" s="294">
        <f t="shared" si="3"/>
        <v>106.4</v>
      </c>
    </row>
    <row r="8" spans="1:21" s="25" customFormat="1" ht="20.100000000000001" customHeight="1" x14ac:dyDescent="0.15">
      <c r="A8" s="377">
        <v>358194</v>
      </c>
      <c r="B8" s="341" t="s">
        <v>106</v>
      </c>
      <c r="C8" s="85">
        <f>PV!C8</f>
        <v>0.35</v>
      </c>
      <c r="D8" s="44" t="str">
        <f t="shared" si="2"/>
        <v>h</v>
      </c>
      <c r="E8" s="43">
        <f>IF(D8="h",PV!E8,IF(D8="M",PV!G8,PV!I8))</f>
        <v>5.5</v>
      </c>
      <c r="F8" s="291">
        <v>6</v>
      </c>
      <c r="G8" s="291">
        <v>5</v>
      </c>
      <c r="H8" s="291"/>
      <c r="I8" s="291"/>
      <c r="J8" s="291"/>
      <c r="K8" s="291">
        <v>5</v>
      </c>
      <c r="L8" s="331">
        <v>5</v>
      </c>
      <c r="M8" s="332"/>
      <c r="N8" s="333">
        <v>5.5</v>
      </c>
      <c r="O8" s="333"/>
      <c r="P8" s="334"/>
      <c r="Q8" s="275">
        <f t="shared" si="0"/>
        <v>27.5</v>
      </c>
      <c r="R8" s="280">
        <f t="shared" si="1"/>
        <v>1.75</v>
      </c>
      <c r="U8" s="294">
        <f t="shared" si="3"/>
        <v>0</v>
      </c>
    </row>
    <row r="9" spans="1:21" s="25" customFormat="1" ht="20.100000000000001" customHeight="1" x14ac:dyDescent="0.15">
      <c r="A9" s="377">
        <v>65888</v>
      </c>
      <c r="B9" s="336" t="s">
        <v>305</v>
      </c>
      <c r="C9" s="85">
        <f>PV!C9</f>
        <v>0.35</v>
      </c>
      <c r="D9" s="44" t="str">
        <f t="shared" si="2"/>
        <v>h</v>
      </c>
      <c r="E9" s="43">
        <f>IF(D9="h",PV!E9,IF(D9="M",PV!G9,PV!I9))</f>
        <v>5.5</v>
      </c>
      <c r="F9" s="291">
        <v>0</v>
      </c>
      <c r="G9" s="291">
        <v>3</v>
      </c>
      <c r="H9" s="291"/>
      <c r="I9" s="291"/>
      <c r="J9" s="291"/>
      <c r="K9" s="291">
        <v>3</v>
      </c>
      <c r="L9" s="331">
        <v>3</v>
      </c>
      <c r="M9" s="332"/>
      <c r="N9" s="333">
        <v>5.5</v>
      </c>
      <c r="O9" s="333"/>
      <c r="P9" s="334"/>
      <c r="Q9" s="275">
        <f t="shared" si="0"/>
        <v>16.5</v>
      </c>
      <c r="R9" s="280">
        <f t="shared" si="1"/>
        <v>1.0499999999999998</v>
      </c>
      <c r="U9" s="294">
        <f t="shared" si="3"/>
        <v>0</v>
      </c>
    </row>
    <row r="10" spans="1:21" s="25" customFormat="1" ht="20.100000000000001" customHeight="1" x14ac:dyDescent="0.15">
      <c r="A10" s="377">
        <v>65850</v>
      </c>
      <c r="B10" s="341" t="s">
        <v>108</v>
      </c>
      <c r="C10" s="85">
        <f>PV!C10</f>
        <v>0.35</v>
      </c>
      <c r="D10" s="44" t="str">
        <f t="shared" si="2"/>
        <v>h</v>
      </c>
      <c r="E10" s="43">
        <f>IF(D10="h",PV!E10,IF(D10="M",PV!G10,PV!I10))</f>
        <v>3.45</v>
      </c>
      <c r="F10" s="291">
        <v>2</v>
      </c>
      <c r="G10" s="291">
        <v>2</v>
      </c>
      <c r="H10" s="291"/>
      <c r="I10" s="291"/>
      <c r="J10" s="291"/>
      <c r="K10" s="291">
        <v>2</v>
      </c>
      <c r="L10" s="331">
        <v>2</v>
      </c>
      <c r="M10" s="332"/>
      <c r="N10" s="333"/>
      <c r="O10" s="333"/>
      <c r="P10" s="334"/>
      <c r="Q10" s="275">
        <f t="shared" si="0"/>
        <v>6.9</v>
      </c>
      <c r="R10" s="280">
        <f t="shared" si="1"/>
        <v>0.7</v>
      </c>
      <c r="U10" s="294">
        <f t="shared" si="3"/>
        <v>0</v>
      </c>
    </row>
    <row r="11" spans="1:21" s="25" customFormat="1" ht="20.100000000000001" customHeight="1" x14ac:dyDescent="0.15">
      <c r="A11" s="377">
        <v>65852</v>
      </c>
      <c r="B11" s="341" t="s">
        <v>109</v>
      </c>
      <c r="C11" s="85">
        <f>PV!C11</f>
        <v>0.35</v>
      </c>
      <c r="D11" s="44" t="str">
        <f t="shared" si="2"/>
        <v>h</v>
      </c>
      <c r="E11" s="43">
        <f>IF(D11="h",PV!E11,IF(D11="M",PV!G11,PV!I11))</f>
        <v>1.95</v>
      </c>
      <c r="F11" s="291">
        <v>214</v>
      </c>
      <c r="G11" s="291">
        <v>219</v>
      </c>
      <c r="H11" s="291"/>
      <c r="I11" s="291"/>
      <c r="J11" s="291"/>
      <c r="K11" s="291">
        <v>219</v>
      </c>
      <c r="L11" s="331">
        <v>43.8</v>
      </c>
      <c r="M11" s="332">
        <v>54.75</v>
      </c>
      <c r="N11" s="333">
        <v>70.08</v>
      </c>
      <c r="O11" s="333">
        <v>50.37</v>
      </c>
      <c r="P11" s="334"/>
      <c r="Q11" s="275">
        <f t="shared" si="0"/>
        <v>427.05</v>
      </c>
      <c r="R11" s="280">
        <f t="shared" si="1"/>
        <v>76.649999999999991</v>
      </c>
      <c r="U11" s="294">
        <f t="shared" si="3"/>
        <v>175.2</v>
      </c>
    </row>
    <row r="12" spans="1:21" s="25" customFormat="1" ht="20.100000000000001" customHeight="1" x14ac:dyDescent="0.15">
      <c r="A12" s="377">
        <v>303831</v>
      </c>
      <c r="B12" s="336" t="s">
        <v>110</v>
      </c>
      <c r="C12" s="85">
        <f>PV!C12</f>
        <v>0.35</v>
      </c>
      <c r="D12" s="44" t="str">
        <f t="shared" si="2"/>
        <v>h</v>
      </c>
      <c r="E12" s="43">
        <f>IF(D12="h",PV!E12,IF(D12="M",PV!G12,PV!I12))</f>
        <v>2.5</v>
      </c>
      <c r="F12" s="291">
        <v>8</v>
      </c>
      <c r="G12" s="291">
        <v>8</v>
      </c>
      <c r="H12" s="291"/>
      <c r="I12" s="291"/>
      <c r="J12" s="291"/>
      <c r="K12" s="291">
        <v>8</v>
      </c>
      <c r="L12" s="331">
        <v>8</v>
      </c>
      <c r="M12" s="332"/>
      <c r="N12" s="333"/>
      <c r="O12" s="333"/>
      <c r="P12" s="334"/>
      <c r="Q12" s="275">
        <f t="shared" si="0"/>
        <v>20</v>
      </c>
      <c r="R12" s="280">
        <f t="shared" si="1"/>
        <v>2.8</v>
      </c>
      <c r="U12" s="294">
        <f t="shared" si="3"/>
        <v>0</v>
      </c>
    </row>
    <row r="13" spans="1:21" s="25" customFormat="1" ht="20.100000000000001" customHeight="1" x14ac:dyDescent="0.15">
      <c r="A13" s="377">
        <v>292745</v>
      </c>
      <c r="B13" s="341" t="s">
        <v>111</v>
      </c>
      <c r="C13" s="85">
        <f>PV!C13</f>
        <v>0.48</v>
      </c>
      <c r="D13" s="44" t="str">
        <f t="shared" si="2"/>
        <v>h</v>
      </c>
      <c r="E13" s="43">
        <f>IF(D13="h",PV!E13,IF(D13="M",PV!G13,PV!I13))</f>
        <v>2.95</v>
      </c>
      <c r="F13" s="291">
        <v>61</v>
      </c>
      <c r="G13" s="291">
        <v>77</v>
      </c>
      <c r="H13" s="291"/>
      <c r="I13" s="291"/>
      <c r="J13" s="291"/>
      <c r="K13" s="291">
        <v>77</v>
      </c>
      <c r="L13" s="331">
        <v>15.4</v>
      </c>
      <c r="M13" s="332">
        <v>19.25</v>
      </c>
      <c r="N13" s="333">
        <v>24.64</v>
      </c>
      <c r="O13" s="333">
        <v>17.71</v>
      </c>
      <c r="P13" s="334"/>
      <c r="Q13" s="275">
        <f t="shared" si="0"/>
        <v>227.15</v>
      </c>
      <c r="R13" s="280">
        <f t="shared" si="1"/>
        <v>36.96</v>
      </c>
      <c r="U13" s="294">
        <f t="shared" si="3"/>
        <v>61.6</v>
      </c>
    </row>
    <row r="14" spans="1:21" s="25" customFormat="1" ht="20.100000000000001" customHeight="1" x14ac:dyDescent="0.15">
      <c r="A14" s="377">
        <v>65890</v>
      </c>
      <c r="B14" s="341" t="s">
        <v>30</v>
      </c>
      <c r="C14" s="85">
        <f>PV!C14</f>
        <v>1.165</v>
      </c>
      <c r="D14" s="44" t="str">
        <f t="shared" si="2"/>
        <v>h</v>
      </c>
      <c r="E14" s="43">
        <f>IF(D14="h",PV!E14,IF(D14="M",PV!G14,PV!I14))</f>
        <v>8.4499999999999993</v>
      </c>
      <c r="F14" s="291">
        <v>61</v>
      </c>
      <c r="G14" s="291">
        <v>80</v>
      </c>
      <c r="H14" s="291"/>
      <c r="I14" s="291"/>
      <c r="J14" s="291"/>
      <c r="K14" s="291">
        <v>80</v>
      </c>
      <c r="L14" s="331">
        <v>16</v>
      </c>
      <c r="M14" s="332">
        <v>20</v>
      </c>
      <c r="N14" s="333">
        <v>25.6</v>
      </c>
      <c r="O14" s="333">
        <v>18.399999999999999</v>
      </c>
      <c r="P14" s="334"/>
      <c r="Q14" s="275">
        <f t="shared" si="0"/>
        <v>676</v>
      </c>
      <c r="R14" s="280">
        <f t="shared" si="1"/>
        <v>93.2</v>
      </c>
      <c r="U14" s="294">
        <f t="shared" si="3"/>
        <v>64</v>
      </c>
    </row>
    <row r="15" spans="1:21" s="25" customFormat="1" ht="20.100000000000001" customHeight="1" x14ac:dyDescent="0.15">
      <c r="A15" s="377">
        <v>65892</v>
      </c>
      <c r="B15" s="341" t="s">
        <v>29</v>
      </c>
      <c r="C15" s="85">
        <f>PV!C15</f>
        <v>0.58499999999999996</v>
      </c>
      <c r="D15" s="44" t="str">
        <f t="shared" si="2"/>
        <v>h</v>
      </c>
      <c r="E15" s="43">
        <f>IF(D15="h",PV!E15,IF(D15="M",PV!G15,PV!I15))</f>
        <v>5.5</v>
      </c>
      <c r="F15" s="291">
        <v>20</v>
      </c>
      <c r="G15" s="291">
        <v>12</v>
      </c>
      <c r="H15" s="291"/>
      <c r="I15" s="291"/>
      <c r="J15" s="291"/>
      <c r="K15" s="291">
        <v>12</v>
      </c>
      <c r="L15" s="331">
        <v>5.4</v>
      </c>
      <c r="M15" s="332"/>
      <c r="N15" s="333">
        <v>6.6</v>
      </c>
      <c r="O15" s="333"/>
      <c r="P15" s="334"/>
      <c r="Q15" s="275">
        <f t="shared" si="0"/>
        <v>66</v>
      </c>
      <c r="R15" s="280">
        <f t="shared" si="1"/>
        <v>7.02</v>
      </c>
      <c r="U15" s="294">
        <f t="shared" si="3"/>
        <v>6.6</v>
      </c>
    </row>
    <row r="16" spans="1:21" s="25" customFormat="1" ht="20.100000000000001" customHeight="1" x14ac:dyDescent="0.15">
      <c r="A16" s="377">
        <v>886852</v>
      </c>
      <c r="B16" s="336" t="s">
        <v>303</v>
      </c>
      <c r="C16" s="85">
        <f>PV!C16</f>
        <v>1.165</v>
      </c>
      <c r="D16" s="44" t="str">
        <f t="shared" si="2"/>
        <v>h</v>
      </c>
      <c r="E16" s="43">
        <f>IF(D16="h",PV!E16,IF(D16="M",PV!G16,PV!I16))</f>
        <v>8.4499999999999993</v>
      </c>
      <c r="F16" s="291">
        <v>1</v>
      </c>
      <c r="G16" s="291">
        <v>3</v>
      </c>
      <c r="H16" s="291"/>
      <c r="I16" s="291"/>
      <c r="J16" s="291"/>
      <c r="K16" s="291">
        <v>3</v>
      </c>
      <c r="L16" s="331">
        <v>3</v>
      </c>
      <c r="M16" s="332"/>
      <c r="N16" s="333"/>
      <c r="O16" s="333"/>
      <c r="P16" s="334"/>
      <c r="Q16" s="275">
        <f t="shared" si="0"/>
        <v>25.349999999999998</v>
      </c>
      <c r="R16" s="280">
        <f t="shared" si="1"/>
        <v>3.4950000000000001</v>
      </c>
      <c r="U16" s="294">
        <f t="shared" si="3"/>
        <v>0</v>
      </c>
    </row>
    <row r="17" spans="1:21" s="25" customFormat="1" ht="20.100000000000001" customHeight="1" x14ac:dyDescent="0.15">
      <c r="A17" s="377">
        <v>886849</v>
      </c>
      <c r="B17" s="341" t="s">
        <v>304</v>
      </c>
      <c r="C17" s="85">
        <f>PV!C17</f>
        <v>0.58499999999999996</v>
      </c>
      <c r="D17" s="44" t="str">
        <f t="shared" si="2"/>
        <v>h</v>
      </c>
      <c r="E17" s="43">
        <f>IF(D17="h",PV!E17,IF(D17="M",PV!G17,PV!I17))</f>
        <v>5.5</v>
      </c>
      <c r="F17" s="291">
        <v>2</v>
      </c>
      <c r="G17" s="291">
        <v>2</v>
      </c>
      <c r="H17" s="291"/>
      <c r="I17" s="291"/>
      <c r="J17" s="291"/>
      <c r="K17" s="291">
        <v>2</v>
      </c>
      <c r="L17" s="331">
        <v>2</v>
      </c>
      <c r="M17" s="332"/>
      <c r="N17" s="333"/>
      <c r="O17" s="333"/>
      <c r="P17" s="334"/>
      <c r="Q17" s="275">
        <f t="shared" si="0"/>
        <v>11</v>
      </c>
      <c r="R17" s="280">
        <f t="shared" si="1"/>
        <v>1.17</v>
      </c>
      <c r="U17" s="294">
        <f t="shared" si="3"/>
        <v>0</v>
      </c>
    </row>
    <row r="18" spans="1:21" s="25" customFormat="1" ht="20.100000000000001" customHeight="1" x14ac:dyDescent="0.15">
      <c r="A18" s="377">
        <v>65897</v>
      </c>
      <c r="B18" s="341" t="s">
        <v>36</v>
      </c>
      <c r="C18" s="85">
        <f>PV!C18</f>
        <v>0.24</v>
      </c>
      <c r="D18" s="44" t="str">
        <f t="shared" si="2"/>
        <v>h</v>
      </c>
      <c r="E18" s="43">
        <f>IF(D18="h",PV!E18,IF(D18="M",PV!G18,PV!I18))</f>
        <v>3</v>
      </c>
      <c r="F18" s="291">
        <v>21</v>
      </c>
      <c r="G18" s="291">
        <v>30</v>
      </c>
      <c r="H18" s="291"/>
      <c r="I18" s="291"/>
      <c r="J18" s="291"/>
      <c r="K18" s="291">
        <v>30</v>
      </c>
      <c r="L18" s="331">
        <v>13.5</v>
      </c>
      <c r="M18" s="332"/>
      <c r="N18" s="333">
        <v>9.6</v>
      </c>
      <c r="O18" s="333">
        <v>6.9</v>
      </c>
      <c r="P18" s="334"/>
      <c r="Q18" s="275">
        <f t="shared" si="0"/>
        <v>90</v>
      </c>
      <c r="R18" s="280">
        <f t="shared" si="1"/>
        <v>7.1999999999999993</v>
      </c>
      <c r="U18" s="294">
        <f t="shared" si="3"/>
        <v>16.5</v>
      </c>
    </row>
    <row r="19" spans="1:21" s="25" customFormat="1" ht="20.100000000000001" customHeight="1" x14ac:dyDescent="0.15">
      <c r="A19" s="377">
        <v>403773</v>
      </c>
      <c r="B19" s="341" t="s">
        <v>112</v>
      </c>
      <c r="C19" s="85">
        <f>PV!C19</f>
        <v>0.24</v>
      </c>
      <c r="D19" s="44" t="str">
        <f t="shared" si="2"/>
        <v>h</v>
      </c>
      <c r="E19" s="43">
        <f>IF(D19="h",PV!E19,IF(D19="M",PV!G19,PV!I19))</f>
        <v>3.75</v>
      </c>
      <c r="F19" s="291">
        <v>0</v>
      </c>
      <c r="G19" s="291">
        <v>0</v>
      </c>
      <c r="H19" s="291"/>
      <c r="I19" s="291"/>
      <c r="J19" s="291"/>
      <c r="K19" s="291">
        <v>0</v>
      </c>
      <c r="L19" s="331"/>
      <c r="M19" s="332"/>
      <c r="N19" s="333"/>
      <c r="O19" s="333"/>
      <c r="P19" s="334"/>
      <c r="Q19" s="275">
        <f t="shared" si="0"/>
        <v>0</v>
      </c>
      <c r="R19" s="280">
        <f t="shared" si="1"/>
        <v>0</v>
      </c>
      <c r="U19" s="294">
        <f t="shared" si="3"/>
        <v>0</v>
      </c>
    </row>
    <row r="20" spans="1:21" s="25" customFormat="1" ht="20.100000000000001" customHeight="1" x14ac:dyDescent="0.15">
      <c r="A20" s="377">
        <v>886858</v>
      </c>
      <c r="B20" s="336" t="s">
        <v>113</v>
      </c>
      <c r="C20" s="85">
        <f>PV!C20</f>
        <v>0.7</v>
      </c>
      <c r="D20" s="44" t="str">
        <f t="shared" si="2"/>
        <v>h</v>
      </c>
      <c r="E20" s="43">
        <f>IF(D20="h",PV!E20,IF(D20="M",PV!G20,PV!I20))</f>
        <v>6.45</v>
      </c>
      <c r="F20" s="291">
        <v>1</v>
      </c>
      <c r="G20" s="291">
        <v>2</v>
      </c>
      <c r="H20" s="291"/>
      <c r="I20" s="291"/>
      <c r="J20" s="291"/>
      <c r="K20" s="291">
        <v>2</v>
      </c>
      <c r="L20" s="331">
        <v>2</v>
      </c>
      <c r="M20" s="332"/>
      <c r="N20" s="333"/>
      <c r="O20" s="333"/>
      <c r="P20" s="334"/>
      <c r="Q20" s="275">
        <f t="shared" si="0"/>
        <v>12.9</v>
      </c>
      <c r="R20" s="280">
        <f t="shared" si="1"/>
        <v>1.4</v>
      </c>
      <c r="U20" s="294">
        <f t="shared" si="3"/>
        <v>0</v>
      </c>
    </row>
    <row r="21" spans="1:21" s="25" customFormat="1" ht="20.100000000000001" customHeight="1" x14ac:dyDescent="0.15">
      <c r="A21" s="377">
        <v>886854</v>
      </c>
      <c r="B21" s="341" t="s">
        <v>114</v>
      </c>
      <c r="C21" s="85">
        <f>PV!C21</f>
        <v>0.35</v>
      </c>
      <c r="D21" s="44" t="str">
        <f t="shared" si="2"/>
        <v>h</v>
      </c>
      <c r="E21" s="43">
        <f>IF(D21="h",PV!E21,IF(D21="M",PV!G21,PV!I21))</f>
        <v>3.75</v>
      </c>
      <c r="F21" s="291">
        <v>4</v>
      </c>
      <c r="G21" s="291">
        <v>3</v>
      </c>
      <c r="H21" s="291"/>
      <c r="I21" s="291"/>
      <c r="J21" s="291"/>
      <c r="K21" s="291">
        <v>3</v>
      </c>
      <c r="L21" s="331">
        <v>3</v>
      </c>
      <c r="M21" s="332"/>
      <c r="N21" s="333"/>
      <c r="O21" s="333"/>
      <c r="P21" s="334"/>
      <c r="Q21" s="275">
        <f t="shared" si="0"/>
        <v>11.25</v>
      </c>
      <c r="R21" s="280">
        <f t="shared" si="1"/>
        <v>1.0499999999999998</v>
      </c>
      <c r="U21" s="294">
        <f t="shared" si="3"/>
        <v>0</v>
      </c>
    </row>
    <row r="22" spans="1:21" s="25" customFormat="1" ht="20.100000000000001" customHeight="1" x14ac:dyDescent="0.15">
      <c r="A22" s="377">
        <v>65929</v>
      </c>
      <c r="B22" s="341" t="s">
        <v>32</v>
      </c>
      <c r="C22" s="85">
        <f>PV!C22</f>
        <v>0.7</v>
      </c>
      <c r="D22" s="44" t="str">
        <f t="shared" si="2"/>
        <v>h</v>
      </c>
      <c r="E22" s="43">
        <f>IF(D22="h",PV!E22,IF(D22="M",PV!G22,PV!I22))</f>
        <v>6.45</v>
      </c>
      <c r="F22" s="291">
        <v>22</v>
      </c>
      <c r="G22" s="291">
        <v>106</v>
      </c>
      <c r="H22" s="291"/>
      <c r="I22" s="291"/>
      <c r="J22" s="291"/>
      <c r="K22" s="291">
        <v>106</v>
      </c>
      <c r="L22" s="331">
        <v>21.2</v>
      </c>
      <c r="M22" s="332">
        <v>26.5</v>
      </c>
      <c r="N22" s="333">
        <v>33.92</v>
      </c>
      <c r="O22" s="333">
        <v>24.38</v>
      </c>
      <c r="P22" s="334"/>
      <c r="Q22" s="275">
        <f t="shared" si="0"/>
        <v>683.7</v>
      </c>
      <c r="R22" s="280">
        <f t="shared" si="1"/>
        <v>74.199999999999989</v>
      </c>
      <c r="U22" s="294">
        <f t="shared" si="3"/>
        <v>84.8</v>
      </c>
    </row>
    <row r="23" spans="1:21" s="25" customFormat="1" ht="18.75" customHeight="1" x14ac:dyDescent="0.15">
      <c r="A23" s="335">
        <v>65926</v>
      </c>
      <c r="B23" s="341" t="s">
        <v>31</v>
      </c>
      <c r="C23" s="85">
        <f>PV!C23</f>
        <v>0.35</v>
      </c>
      <c r="D23" s="44" t="str">
        <f t="shared" si="2"/>
        <v>h</v>
      </c>
      <c r="E23" s="43">
        <f>IF(D23="h",PV!E23,IF(D23="M",PV!G23,PV!I23))</f>
        <v>3.75</v>
      </c>
      <c r="F23" s="291">
        <v>7</v>
      </c>
      <c r="G23" s="291">
        <v>0</v>
      </c>
      <c r="H23" s="291"/>
      <c r="I23" s="291"/>
      <c r="J23" s="291"/>
      <c r="K23" s="291">
        <v>0</v>
      </c>
      <c r="L23" s="331"/>
      <c r="M23" s="332"/>
      <c r="N23" s="333"/>
      <c r="O23" s="333"/>
      <c r="P23" s="334"/>
      <c r="Q23" s="275">
        <f t="shared" si="0"/>
        <v>0</v>
      </c>
      <c r="R23" s="280">
        <f t="shared" si="1"/>
        <v>0</v>
      </c>
      <c r="U23" s="294">
        <f t="shared" si="3"/>
        <v>0</v>
      </c>
    </row>
    <row r="24" spans="1:21" s="25" customFormat="1" ht="9.75" customHeight="1" x14ac:dyDescent="0.2">
      <c r="A24" s="378"/>
      <c r="B24" s="342"/>
      <c r="C24" s="85">
        <f>PV!C24</f>
        <v>0</v>
      </c>
      <c r="D24" s="44" t="str">
        <f t="shared" si="2"/>
        <v>h</v>
      </c>
      <c r="E24" s="43">
        <f>IF(D24="h",PV!E24,IF(D24="M",PV!G24,PV!I24))</f>
        <v>0</v>
      </c>
      <c r="F24" s="291">
        <v>0</v>
      </c>
      <c r="G24" s="291">
        <v>0</v>
      </c>
      <c r="H24" s="291"/>
      <c r="I24" s="291"/>
      <c r="J24" s="291"/>
      <c r="K24" s="291">
        <v>0</v>
      </c>
      <c r="L24" s="331"/>
      <c r="M24" s="332"/>
      <c r="N24" s="333"/>
      <c r="O24" s="333"/>
      <c r="P24" s="334"/>
      <c r="Q24" s="276"/>
      <c r="R24" s="281">
        <f>SUM(R4:R23)</f>
        <v>361.84499999999997</v>
      </c>
      <c r="U24" s="294">
        <f t="shared" si="3"/>
        <v>0</v>
      </c>
    </row>
    <row r="25" spans="1:21" s="25" customFormat="1" ht="16.149999999999999" customHeight="1" x14ac:dyDescent="0.2">
      <c r="A25" s="379">
        <v>206112</v>
      </c>
      <c r="B25" s="343" t="s">
        <v>301</v>
      </c>
      <c r="C25" s="85">
        <f>PV!C25</f>
        <v>0.72</v>
      </c>
      <c r="D25" s="44" t="str">
        <f t="shared" si="2"/>
        <v>h</v>
      </c>
      <c r="E25" s="43">
        <f>IF(D25="h",PV!E25,IF(D25="M",PV!G25,PV!I25))</f>
        <v>7.95</v>
      </c>
      <c r="F25" s="291">
        <v>0</v>
      </c>
      <c r="G25" s="291">
        <v>0</v>
      </c>
      <c r="H25" s="291"/>
      <c r="I25" s="291"/>
      <c r="J25" s="291"/>
      <c r="K25" s="291">
        <v>0</v>
      </c>
      <c r="L25" s="331"/>
      <c r="M25" s="332"/>
      <c r="N25" s="333"/>
      <c r="O25" s="333"/>
      <c r="P25" s="334"/>
      <c r="Q25" s="275">
        <f>(K25*E25)</f>
        <v>0</v>
      </c>
      <c r="R25" s="280">
        <f>K25*C25</f>
        <v>0</v>
      </c>
      <c r="U25" s="294">
        <f t="shared" si="3"/>
        <v>0</v>
      </c>
    </row>
    <row r="26" spans="1:21" s="25" customFormat="1" ht="18.75" customHeight="1" x14ac:dyDescent="0.2">
      <c r="A26" s="379">
        <v>206120</v>
      </c>
      <c r="B26" s="343" t="s">
        <v>302</v>
      </c>
      <c r="C26" s="85">
        <f>PV!C26</f>
        <v>0.36</v>
      </c>
      <c r="D26" s="44" t="str">
        <f t="shared" si="2"/>
        <v>h</v>
      </c>
      <c r="E26" s="43">
        <f>IF(D26="h",PV!E26,IF(D26="M",PV!G26,PV!I26))</f>
        <v>4.95</v>
      </c>
      <c r="F26" s="291">
        <v>6</v>
      </c>
      <c r="G26" s="291">
        <v>5</v>
      </c>
      <c r="H26" s="291"/>
      <c r="I26" s="291"/>
      <c r="J26" s="291"/>
      <c r="K26" s="291">
        <v>5</v>
      </c>
      <c r="L26" s="331">
        <v>5</v>
      </c>
      <c r="M26" s="332"/>
      <c r="N26" s="333"/>
      <c r="O26" s="333"/>
      <c r="P26" s="334"/>
      <c r="Q26" s="275">
        <f>(K26*E26)</f>
        <v>24.75</v>
      </c>
      <c r="R26" s="280">
        <f>K26*C26</f>
        <v>1.7999999999999998</v>
      </c>
      <c r="U26" s="294">
        <f t="shared" si="3"/>
        <v>0</v>
      </c>
    </row>
    <row r="27" spans="1:21" s="25" customFormat="1" ht="18.75" customHeight="1" x14ac:dyDescent="0.2">
      <c r="A27" s="379">
        <v>65864</v>
      </c>
      <c r="B27" s="343" t="s">
        <v>136</v>
      </c>
      <c r="C27" s="85">
        <f>PV!C27</f>
        <v>0.48</v>
      </c>
      <c r="D27" s="44" t="str">
        <f t="shared" si="2"/>
        <v>h</v>
      </c>
      <c r="E27" s="43">
        <f>IF(D27="h",PV!E27,IF(D27="M",PV!G27,PV!I27))</f>
        <v>5.5</v>
      </c>
      <c r="F27" s="291">
        <v>5</v>
      </c>
      <c r="G27" s="291">
        <v>11</v>
      </c>
      <c r="H27" s="291"/>
      <c r="I27" s="291"/>
      <c r="J27" s="291"/>
      <c r="K27" s="291">
        <v>11</v>
      </c>
      <c r="L27" s="331">
        <v>4.95</v>
      </c>
      <c r="M27" s="332"/>
      <c r="N27" s="333">
        <v>6.05</v>
      </c>
      <c r="O27" s="333"/>
      <c r="P27" s="334"/>
      <c r="Q27" s="275">
        <f>(K27*E27)</f>
        <v>60.5</v>
      </c>
      <c r="R27" s="280">
        <f>K27*C27</f>
        <v>5.2799999999999994</v>
      </c>
      <c r="U27" s="294">
        <f t="shared" si="3"/>
        <v>6.05</v>
      </c>
    </row>
    <row r="28" spans="1:21" s="25" customFormat="1" ht="18.75" customHeight="1" x14ac:dyDescent="0.2">
      <c r="A28" s="379">
        <v>1263736</v>
      </c>
      <c r="B28" s="343" t="s">
        <v>273</v>
      </c>
      <c r="C28" s="85">
        <f>PV!C28</f>
        <v>0.47499999999999998</v>
      </c>
      <c r="D28" s="44" t="str">
        <f t="shared" si="2"/>
        <v>h</v>
      </c>
      <c r="E28" s="43">
        <f>IF(D28="h",PV!E28,IF(D28="M",PV!G28,PV!I28))</f>
        <v>5.5</v>
      </c>
      <c r="F28" s="291">
        <v>7</v>
      </c>
      <c r="G28" s="291">
        <v>9</v>
      </c>
      <c r="H28" s="291"/>
      <c r="I28" s="291"/>
      <c r="J28" s="291"/>
      <c r="K28" s="291">
        <v>9</v>
      </c>
      <c r="L28" s="331">
        <v>9</v>
      </c>
      <c r="M28" s="332"/>
      <c r="N28" s="333"/>
      <c r="O28" s="333"/>
      <c r="P28" s="334"/>
      <c r="Q28" s="275">
        <f>(K28*E28)</f>
        <v>49.5</v>
      </c>
      <c r="R28" s="280">
        <f>K28*C28</f>
        <v>4.2749999999999995</v>
      </c>
      <c r="U28" s="294">
        <f t="shared" si="3"/>
        <v>0</v>
      </c>
    </row>
    <row r="29" spans="1:21" s="36" customFormat="1" ht="18.600000000000001" customHeight="1" x14ac:dyDescent="0.2">
      <c r="A29" s="380">
        <v>68789</v>
      </c>
      <c r="B29" s="344" t="s">
        <v>137</v>
      </c>
      <c r="C29" s="85">
        <f>PV!C29</f>
        <v>0.35</v>
      </c>
      <c r="D29" s="44" t="str">
        <f t="shared" si="2"/>
        <v>h</v>
      </c>
      <c r="E29" s="43">
        <f>IF(D29="h",PV!E29,IF(D29="M",PV!G29,PV!I29))</f>
        <v>3.5</v>
      </c>
      <c r="F29" s="291">
        <v>5</v>
      </c>
      <c r="G29" s="291">
        <v>15</v>
      </c>
      <c r="H29" s="291"/>
      <c r="I29" s="291"/>
      <c r="J29" s="291"/>
      <c r="K29" s="291">
        <v>15</v>
      </c>
      <c r="L29" s="331">
        <v>6.75</v>
      </c>
      <c r="M29" s="332"/>
      <c r="N29" s="333">
        <v>8.25</v>
      </c>
      <c r="O29" s="333"/>
      <c r="P29" s="334"/>
      <c r="Q29" s="275">
        <f>(K29*E29)</f>
        <v>52.5</v>
      </c>
      <c r="R29" s="280">
        <f>K29*C29</f>
        <v>5.25</v>
      </c>
      <c r="U29" s="294">
        <f t="shared" si="3"/>
        <v>8.25</v>
      </c>
    </row>
    <row r="30" spans="1:21" s="25" customFormat="1" ht="0.6" customHeight="1" x14ac:dyDescent="0.15">
      <c r="A30" s="376"/>
      <c r="B30" s="345"/>
      <c r="C30" s="85">
        <f>PV!C30</f>
        <v>0</v>
      </c>
      <c r="D30" s="44" t="str">
        <f t="shared" si="2"/>
        <v>h</v>
      </c>
      <c r="E30" s="43">
        <f>IF(D30="h",PV!E30,IF(D30="M",PV!G30,PV!I30))</f>
        <v>0</v>
      </c>
      <c r="F30" s="291">
        <v>0</v>
      </c>
      <c r="G30" s="291">
        <v>0</v>
      </c>
      <c r="H30" s="291"/>
      <c r="I30" s="291"/>
      <c r="J30" s="291"/>
      <c r="K30" s="291">
        <v>0</v>
      </c>
      <c r="L30" s="331"/>
      <c r="M30" s="332"/>
      <c r="N30" s="333"/>
      <c r="O30" s="333"/>
      <c r="P30" s="334"/>
      <c r="Q30" s="277"/>
      <c r="R30" s="281">
        <f>SUM(R25:R29)</f>
        <v>16.604999999999997</v>
      </c>
      <c r="U30" s="294">
        <f t="shared" si="3"/>
        <v>0</v>
      </c>
    </row>
    <row r="31" spans="1:21" s="25" customFormat="1" ht="20.100000000000001" customHeight="1" x14ac:dyDescent="0.15">
      <c r="A31" s="377">
        <v>445146</v>
      </c>
      <c r="B31" s="341" t="s">
        <v>132</v>
      </c>
      <c r="C31" s="85">
        <f>PV!C31</f>
        <v>0.48</v>
      </c>
      <c r="D31" s="44" t="str">
        <f t="shared" si="2"/>
        <v>h</v>
      </c>
      <c r="E31" s="43">
        <f>IF(D31="h",PV!E31,IF(D31="M",PV!G31,PV!I31))</f>
        <v>5.95</v>
      </c>
      <c r="F31" s="291">
        <v>3</v>
      </c>
      <c r="G31" s="291">
        <v>4</v>
      </c>
      <c r="H31" s="291"/>
      <c r="I31" s="291"/>
      <c r="J31" s="291"/>
      <c r="K31" s="291">
        <v>4</v>
      </c>
      <c r="L31" s="331">
        <v>4</v>
      </c>
      <c r="M31" s="332"/>
      <c r="N31" s="333"/>
      <c r="O31" s="333"/>
      <c r="P31" s="334"/>
      <c r="Q31" s="275">
        <f>(K31*E31)</f>
        <v>23.8</v>
      </c>
      <c r="R31" s="280">
        <f>K31*C31</f>
        <v>1.92</v>
      </c>
      <c r="U31" s="294">
        <f t="shared" si="3"/>
        <v>0</v>
      </c>
    </row>
    <row r="32" spans="1:21" s="25" customFormat="1" ht="0.6" customHeight="1" x14ac:dyDescent="0.15">
      <c r="A32" s="377"/>
      <c r="B32" s="341"/>
      <c r="C32" s="85">
        <f>PV!C32</f>
        <v>0</v>
      </c>
      <c r="D32" s="44" t="str">
        <f t="shared" si="2"/>
        <v>h</v>
      </c>
      <c r="E32" s="43">
        <f>IF(D32="h",PV!E32,IF(D32="M",PV!G32,PV!I32))</f>
        <v>0</v>
      </c>
      <c r="F32" s="291">
        <v>0</v>
      </c>
      <c r="G32" s="291">
        <v>0</v>
      </c>
      <c r="H32" s="291"/>
      <c r="I32" s="291"/>
      <c r="J32" s="291"/>
      <c r="K32" s="291">
        <v>0</v>
      </c>
      <c r="L32" s="331"/>
      <c r="M32" s="332"/>
      <c r="N32" s="333"/>
      <c r="O32" s="333"/>
      <c r="P32" s="334"/>
      <c r="Q32" s="275"/>
      <c r="R32" s="280"/>
      <c r="U32" s="294">
        <f t="shared" si="3"/>
        <v>0</v>
      </c>
    </row>
    <row r="33" spans="1:21" s="25" customFormat="1" ht="19.5" x14ac:dyDescent="0.25">
      <c r="A33" s="381">
        <v>951452</v>
      </c>
      <c r="B33" s="346" t="s">
        <v>163</v>
      </c>
      <c r="C33" s="85">
        <f>PV!C33</f>
        <v>0.45</v>
      </c>
      <c r="D33" s="44" t="str">
        <f t="shared" si="2"/>
        <v>h</v>
      </c>
      <c r="E33" s="43">
        <f>IF(D33="h",PV!E33,IF(D33="M",PV!G33,PV!I33))</f>
        <v>4.95</v>
      </c>
      <c r="F33" s="291">
        <v>0</v>
      </c>
      <c r="G33" s="291">
        <v>0</v>
      </c>
      <c r="H33" s="291"/>
      <c r="I33" s="291"/>
      <c r="J33" s="291"/>
      <c r="K33" s="291">
        <v>0</v>
      </c>
      <c r="L33" s="331"/>
      <c r="M33" s="332"/>
      <c r="N33" s="333"/>
      <c r="O33" s="333"/>
      <c r="P33" s="334"/>
      <c r="Q33" s="275">
        <f>(K33*E33)</f>
        <v>0</v>
      </c>
      <c r="R33" s="281">
        <f>K33*C33</f>
        <v>0</v>
      </c>
      <c r="U33" s="294">
        <f t="shared" si="3"/>
        <v>0</v>
      </c>
    </row>
    <row r="34" spans="1:21" s="25" customFormat="1" ht="0.6" customHeight="1" x14ac:dyDescent="0.2">
      <c r="A34" s="382"/>
      <c r="B34" s="343"/>
      <c r="C34" s="85">
        <f>PV!C34</f>
        <v>0</v>
      </c>
      <c r="D34" s="44" t="str">
        <f t="shared" si="2"/>
        <v>h</v>
      </c>
      <c r="E34" s="43">
        <f>IF(D34="h",PV!E34,IF(D34="M",PV!G34,PV!I34))</f>
        <v>0</v>
      </c>
      <c r="F34" s="291">
        <v>0</v>
      </c>
      <c r="G34" s="291">
        <v>0</v>
      </c>
      <c r="H34" s="291"/>
      <c r="I34" s="291"/>
      <c r="J34" s="291"/>
      <c r="K34" s="291">
        <v>0</v>
      </c>
      <c r="L34" s="331"/>
      <c r="M34" s="332"/>
      <c r="N34" s="333"/>
      <c r="O34" s="333"/>
      <c r="P34" s="334"/>
      <c r="Q34" s="278"/>
      <c r="R34" s="280">
        <f>K34*C34</f>
        <v>0</v>
      </c>
      <c r="U34" s="294">
        <f t="shared" si="3"/>
        <v>0</v>
      </c>
    </row>
    <row r="35" spans="1:21" s="25" customFormat="1" ht="20.100000000000001" customHeight="1" x14ac:dyDescent="0.2">
      <c r="A35" s="379">
        <v>1263737</v>
      </c>
      <c r="B35" s="343" t="s">
        <v>271</v>
      </c>
      <c r="C35" s="85">
        <f>PV!C35</f>
        <v>0.5</v>
      </c>
      <c r="D35" s="44" t="str">
        <f t="shared" si="2"/>
        <v>h</v>
      </c>
      <c r="E35" s="43">
        <f>IF(D35="h",PV!E35,IF(D35="M",PV!G35,PV!I35))</f>
        <v>6.5</v>
      </c>
      <c r="F35" s="291">
        <v>7</v>
      </c>
      <c r="G35" s="291">
        <v>8</v>
      </c>
      <c r="H35" s="291"/>
      <c r="I35" s="291"/>
      <c r="J35" s="291"/>
      <c r="K35" s="291">
        <v>8</v>
      </c>
      <c r="L35" s="331">
        <v>8</v>
      </c>
      <c r="M35" s="332"/>
      <c r="N35" s="333"/>
      <c r="O35" s="333"/>
      <c r="P35" s="334"/>
      <c r="Q35" s="275">
        <f>(K35*E35)</f>
        <v>52</v>
      </c>
      <c r="R35" s="280">
        <f>K35*C35</f>
        <v>4</v>
      </c>
      <c r="U35" s="294">
        <f t="shared" si="3"/>
        <v>0</v>
      </c>
    </row>
    <row r="36" spans="1:21" s="25" customFormat="1" ht="20.100000000000001" customHeight="1" x14ac:dyDescent="0.2">
      <c r="A36" s="379">
        <v>1098038</v>
      </c>
      <c r="B36" s="343" t="s">
        <v>150</v>
      </c>
      <c r="C36" s="85">
        <f>PV!C36</f>
        <v>0.7</v>
      </c>
      <c r="D36" s="44" t="str">
        <f t="shared" si="2"/>
        <v>h</v>
      </c>
      <c r="E36" s="43">
        <f>IF(D36="h",PV!E36,IF(D36="M",PV!G36,PV!I36))</f>
        <v>8.9499999999999993</v>
      </c>
      <c r="F36" s="291">
        <v>0</v>
      </c>
      <c r="G36" s="291">
        <v>0</v>
      </c>
      <c r="H36" s="291"/>
      <c r="I36" s="291"/>
      <c r="J36" s="291"/>
      <c r="K36" s="291">
        <v>0</v>
      </c>
      <c r="L36" s="331"/>
      <c r="M36" s="332"/>
      <c r="N36" s="333"/>
      <c r="O36" s="333"/>
      <c r="P36" s="334"/>
      <c r="Q36" s="275">
        <f>(K36*E36)</f>
        <v>0</v>
      </c>
      <c r="R36" s="280">
        <f>K36*C36</f>
        <v>0</v>
      </c>
      <c r="U36" s="294">
        <f t="shared" si="3"/>
        <v>0</v>
      </c>
    </row>
    <row r="37" spans="1:21" ht="0.6" customHeight="1" x14ac:dyDescent="0.2">
      <c r="A37" s="382"/>
      <c r="B37" s="347"/>
      <c r="C37" s="85">
        <f>PV!C37</f>
        <v>0</v>
      </c>
      <c r="D37" s="44" t="str">
        <f t="shared" si="2"/>
        <v>h</v>
      </c>
      <c r="E37" s="43">
        <f>IF(D37="h",PV!E37,IF(D37="M",PV!G37,PV!I37))</f>
        <v>0</v>
      </c>
      <c r="F37" s="291">
        <v>0</v>
      </c>
      <c r="G37" s="291">
        <v>0</v>
      </c>
      <c r="H37" s="291"/>
      <c r="I37" s="291"/>
      <c r="J37" s="291"/>
      <c r="K37" s="291">
        <v>0</v>
      </c>
      <c r="L37" s="331"/>
      <c r="M37" s="332"/>
      <c r="N37" s="333"/>
      <c r="O37" s="333"/>
      <c r="P37" s="334"/>
      <c r="Q37" s="275"/>
      <c r="R37" s="282">
        <f>SUM(R35:R36)</f>
        <v>4</v>
      </c>
      <c r="U37" s="294">
        <f t="shared" si="3"/>
        <v>0</v>
      </c>
    </row>
    <row r="38" spans="1:21" s="25" customFormat="1" ht="20.100000000000001" customHeight="1" x14ac:dyDescent="0.15">
      <c r="A38" s="335">
        <v>1079156</v>
      </c>
      <c r="B38" s="343" t="s">
        <v>121</v>
      </c>
      <c r="C38" s="85">
        <f>PV!C38</f>
        <v>0.45</v>
      </c>
      <c r="D38" s="44" t="str">
        <f t="shared" si="2"/>
        <v>h</v>
      </c>
      <c r="E38" s="43">
        <f>IF(D38="h",PV!E38,IF(D38="M",PV!G38,PV!I38))</f>
        <v>6.5</v>
      </c>
      <c r="F38" s="291">
        <v>0</v>
      </c>
      <c r="G38" s="291">
        <v>0</v>
      </c>
      <c r="H38" s="291"/>
      <c r="I38" s="291"/>
      <c r="J38" s="291"/>
      <c r="K38" s="291">
        <v>0</v>
      </c>
      <c r="L38" s="331"/>
      <c r="M38" s="332"/>
      <c r="N38" s="333"/>
      <c r="O38" s="333"/>
      <c r="P38" s="334"/>
      <c r="Q38" s="275">
        <f>(K38*E38)</f>
        <v>0</v>
      </c>
      <c r="R38" s="280">
        <f>K38*C38</f>
        <v>0</v>
      </c>
      <c r="U38" s="294">
        <f t="shared" ref="U38:U69" si="4">K38-L38</f>
        <v>0</v>
      </c>
    </row>
    <row r="39" spans="1:21" s="25" customFormat="1" ht="20.100000000000001" customHeight="1" x14ac:dyDescent="0.15">
      <c r="A39" s="383">
        <v>65857</v>
      </c>
      <c r="B39" s="348" t="s">
        <v>122</v>
      </c>
      <c r="C39" s="85">
        <f>PV!C39</f>
        <v>0.5</v>
      </c>
      <c r="D39" s="44" t="str">
        <f t="shared" si="2"/>
        <v>h</v>
      </c>
      <c r="E39" s="43">
        <f>IF(D39="h",PV!E39,IF(D39="M",PV!G39,PV!I39))</f>
        <v>3.15</v>
      </c>
      <c r="F39" s="291">
        <v>50</v>
      </c>
      <c r="G39" s="291">
        <v>40</v>
      </c>
      <c r="H39" s="291"/>
      <c r="I39" s="291"/>
      <c r="J39" s="291"/>
      <c r="K39" s="291">
        <v>40</v>
      </c>
      <c r="L39" s="331">
        <v>18</v>
      </c>
      <c r="M39" s="332"/>
      <c r="N39" s="333">
        <v>12.8</v>
      </c>
      <c r="O39" s="333">
        <v>9.1999999999999993</v>
      </c>
      <c r="P39" s="334"/>
      <c r="Q39" s="275">
        <f>(K39*E39)</f>
        <v>126</v>
      </c>
      <c r="R39" s="280">
        <f>K39*C39</f>
        <v>20</v>
      </c>
      <c r="U39" s="294">
        <f t="shared" si="4"/>
        <v>22</v>
      </c>
    </row>
    <row r="40" spans="1:21" s="25" customFormat="1" ht="20.100000000000001" customHeight="1" x14ac:dyDescent="0.2">
      <c r="A40" s="379">
        <v>645788</v>
      </c>
      <c r="B40" s="343" t="s">
        <v>123</v>
      </c>
      <c r="C40" s="85">
        <f>PV!C40</f>
        <v>0.5</v>
      </c>
      <c r="D40" s="44" t="str">
        <f t="shared" si="2"/>
        <v>h</v>
      </c>
      <c r="E40" s="43">
        <f>IF(D40="h",PV!E40,IF(D40="M",PV!G40,PV!I40))</f>
        <v>5.95</v>
      </c>
      <c r="F40" s="291">
        <v>11</v>
      </c>
      <c r="G40" s="291">
        <v>6</v>
      </c>
      <c r="H40" s="291"/>
      <c r="I40" s="291"/>
      <c r="J40" s="291"/>
      <c r="K40" s="291">
        <v>6</v>
      </c>
      <c r="L40" s="331">
        <v>6</v>
      </c>
      <c r="M40" s="332"/>
      <c r="N40" s="333"/>
      <c r="O40" s="333"/>
      <c r="P40" s="334"/>
      <c r="Q40" s="275">
        <f>(K40*E40)</f>
        <v>35.700000000000003</v>
      </c>
      <c r="R40" s="280">
        <f>K40*C40</f>
        <v>3</v>
      </c>
      <c r="U40" s="294">
        <f t="shared" si="4"/>
        <v>0</v>
      </c>
    </row>
    <row r="41" spans="1:21" s="25" customFormat="1" ht="20.100000000000001" customHeight="1" x14ac:dyDescent="0.2">
      <c r="A41" s="379">
        <v>95901</v>
      </c>
      <c r="B41" s="337" t="s">
        <v>300</v>
      </c>
      <c r="C41" s="85">
        <f>PV!C41</f>
        <v>0.11</v>
      </c>
      <c r="D41" s="44" t="str">
        <f t="shared" si="2"/>
        <v>h</v>
      </c>
      <c r="E41" s="43">
        <f>IF(D41="h",PV!E41,IF(D41="M",PV!G41,PV!I41))</f>
        <v>1.5</v>
      </c>
      <c r="F41" s="291">
        <v>102</v>
      </c>
      <c r="G41" s="291">
        <v>960</v>
      </c>
      <c r="H41" s="291"/>
      <c r="I41" s="291"/>
      <c r="J41" s="291"/>
      <c r="K41" s="291">
        <v>960</v>
      </c>
      <c r="L41" s="331">
        <v>192</v>
      </c>
      <c r="M41" s="332">
        <v>240</v>
      </c>
      <c r="N41" s="333">
        <v>307.2</v>
      </c>
      <c r="O41" s="333">
        <v>220.8</v>
      </c>
      <c r="P41" s="334"/>
      <c r="Q41" s="275">
        <f>(K41*E41)</f>
        <v>1440</v>
      </c>
      <c r="R41" s="280">
        <f>K41*C41</f>
        <v>105.6</v>
      </c>
      <c r="U41" s="294">
        <f t="shared" si="4"/>
        <v>768</v>
      </c>
    </row>
    <row r="42" spans="1:21" ht="0.6" customHeight="1" x14ac:dyDescent="0.2">
      <c r="A42" s="384"/>
      <c r="B42" s="349"/>
      <c r="C42" s="85">
        <f>PV!C42</f>
        <v>0</v>
      </c>
      <c r="D42" s="44" t="str">
        <f t="shared" si="2"/>
        <v>h</v>
      </c>
      <c r="E42" s="43">
        <f>IF(D42="h",PV!E42,IF(D42="M",PV!G42,PV!I42))</f>
        <v>0</v>
      </c>
      <c r="F42" s="291">
        <v>0</v>
      </c>
      <c r="G42" s="291">
        <v>0</v>
      </c>
      <c r="H42" s="291"/>
      <c r="I42" s="291"/>
      <c r="J42" s="291"/>
      <c r="K42" s="291">
        <v>0</v>
      </c>
      <c r="L42" s="331"/>
      <c r="M42" s="332"/>
      <c r="N42" s="333"/>
      <c r="O42" s="333"/>
      <c r="P42" s="334"/>
      <c r="Q42" s="271"/>
      <c r="R42" s="283">
        <f>SUM(R38:R41)</f>
        <v>128.6</v>
      </c>
      <c r="U42" s="294">
        <f t="shared" si="4"/>
        <v>0</v>
      </c>
    </row>
    <row r="43" spans="1:21" s="25" customFormat="1" ht="20.100000000000001" customHeight="1" x14ac:dyDescent="0.25">
      <c r="A43" s="381">
        <v>65882</v>
      </c>
      <c r="B43" s="346" t="s">
        <v>157</v>
      </c>
      <c r="C43" s="85">
        <f>PV!C43</f>
        <v>0.72</v>
      </c>
      <c r="D43" s="44" t="str">
        <f t="shared" si="2"/>
        <v>h</v>
      </c>
      <c r="E43" s="43">
        <f>IF(D43="h",PV!E43,IF(D43="M",PV!G43,PV!I43))</f>
        <v>6.5</v>
      </c>
      <c r="F43" s="291">
        <v>7</v>
      </c>
      <c r="G43" s="291">
        <v>11</v>
      </c>
      <c r="H43" s="291"/>
      <c r="I43" s="291"/>
      <c r="J43" s="291"/>
      <c r="K43" s="291">
        <v>11</v>
      </c>
      <c r="L43" s="331">
        <v>4.95</v>
      </c>
      <c r="M43" s="332"/>
      <c r="N43" s="333">
        <v>6.05</v>
      </c>
      <c r="O43" s="333"/>
      <c r="P43" s="334"/>
      <c r="Q43" s="275">
        <f>(K43*E43)</f>
        <v>71.5</v>
      </c>
      <c r="R43" s="280">
        <f>K43*C43</f>
        <v>7.92</v>
      </c>
      <c r="U43" s="294">
        <f t="shared" si="4"/>
        <v>6.05</v>
      </c>
    </row>
    <row r="44" spans="1:21" ht="0.6" customHeight="1" x14ac:dyDescent="0.2">
      <c r="A44" s="380"/>
      <c r="B44" s="347"/>
      <c r="C44" s="85">
        <f>PV!C44</f>
        <v>0</v>
      </c>
      <c r="D44" s="44" t="str">
        <f t="shared" si="2"/>
        <v>h</v>
      </c>
      <c r="E44" s="43">
        <f>IF(D44="h",PV!E44,IF(D44="M",PV!G44,PV!I44))</f>
        <v>0</v>
      </c>
      <c r="F44" s="291">
        <v>0</v>
      </c>
      <c r="G44" s="291">
        <v>0</v>
      </c>
      <c r="H44" s="291"/>
      <c r="I44" s="291"/>
      <c r="J44" s="291"/>
      <c r="K44" s="291">
        <v>0</v>
      </c>
      <c r="L44" s="331"/>
      <c r="M44" s="332"/>
      <c r="N44" s="333"/>
      <c r="O44" s="333"/>
      <c r="P44" s="334"/>
      <c r="Q44" s="271"/>
      <c r="R44" s="283">
        <f>SUM(R43:R43)</f>
        <v>7.92</v>
      </c>
      <c r="U44" s="294">
        <f t="shared" si="4"/>
        <v>0</v>
      </c>
    </row>
    <row r="45" spans="1:21" ht="19.5" x14ac:dyDescent="0.2">
      <c r="A45" s="380">
        <v>951448</v>
      </c>
      <c r="B45" s="347" t="s">
        <v>153</v>
      </c>
      <c r="C45" s="85">
        <f>PV!C45</f>
        <v>0.06</v>
      </c>
      <c r="D45" s="44" t="str">
        <f t="shared" si="2"/>
        <v>h</v>
      </c>
      <c r="E45" s="43">
        <f>IF(D45="h",PV!E45,IF(D45="M",PV!G45,PV!I45))</f>
        <v>0.5</v>
      </c>
      <c r="F45" s="291">
        <v>2</v>
      </c>
      <c r="G45" s="291">
        <v>0</v>
      </c>
      <c r="H45" s="291"/>
      <c r="I45" s="291"/>
      <c r="J45" s="291"/>
      <c r="K45" s="291">
        <v>0</v>
      </c>
      <c r="L45" s="331"/>
      <c r="M45" s="332"/>
      <c r="N45" s="333"/>
      <c r="O45" s="333"/>
      <c r="P45" s="334"/>
      <c r="Q45" s="275">
        <f>(K45*E45)</f>
        <v>0</v>
      </c>
      <c r="R45" s="280">
        <f>K45*C45</f>
        <v>0</v>
      </c>
      <c r="U45" s="294">
        <f t="shared" si="4"/>
        <v>0</v>
      </c>
    </row>
    <row r="46" spans="1:21" s="25" customFormat="1" ht="20.100000000000001" customHeight="1" x14ac:dyDescent="0.15">
      <c r="A46" s="335">
        <v>1037864</v>
      </c>
      <c r="B46" s="343" t="s">
        <v>154</v>
      </c>
      <c r="C46" s="85">
        <f>PV!C46</f>
        <v>0.36</v>
      </c>
      <c r="D46" s="44" t="str">
        <f t="shared" si="2"/>
        <v>h</v>
      </c>
      <c r="E46" s="43">
        <f>IF(D46="h",PV!E46,IF(D46="M",PV!G46,PV!I46))</f>
        <v>3</v>
      </c>
      <c r="F46" s="291">
        <v>0</v>
      </c>
      <c r="G46" s="291">
        <v>0</v>
      </c>
      <c r="H46" s="291"/>
      <c r="I46" s="291"/>
      <c r="J46" s="291"/>
      <c r="K46" s="291">
        <v>0</v>
      </c>
      <c r="L46" s="331"/>
      <c r="M46" s="332"/>
      <c r="N46" s="333"/>
      <c r="O46" s="333"/>
      <c r="P46" s="334"/>
      <c r="Q46" s="275">
        <f>(K46*E46)</f>
        <v>0</v>
      </c>
      <c r="R46" s="280">
        <f>K46*C46</f>
        <v>0</v>
      </c>
      <c r="U46" s="294">
        <f t="shared" si="4"/>
        <v>0</v>
      </c>
    </row>
    <row r="47" spans="1:21" s="25" customFormat="1" ht="20.100000000000001" customHeight="1" x14ac:dyDescent="0.2">
      <c r="A47" s="379">
        <v>1022414</v>
      </c>
      <c r="B47" s="343" t="s">
        <v>155</v>
      </c>
      <c r="C47" s="85">
        <f>PV!C47</f>
        <v>0.6</v>
      </c>
      <c r="D47" s="44" t="str">
        <f t="shared" si="2"/>
        <v>h</v>
      </c>
      <c r="E47" s="43">
        <f>IF(D47="h",PV!E47,IF(D47="M",PV!G47,PV!I47))</f>
        <v>5</v>
      </c>
      <c r="F47" s="291">
        <v>0</v>
      </c>
      <c r="G47" s="291">
        <v>0</v>
      </c>
      <c r="H47" s="291"/>
      <c r="I47" s="291"/>
      <c r="J47" s="291"/>
      <c r="K47" s="291">
        <v>0</v>
      </c>
      <c r="L47" s="331"/>
      <c r="M47" s="332"/>
      <c r="N47" s="333"/>
      <c r="O47" s="333"/>
      <c r="P47" s="334"/>
      <c r="Q47" s="275">
        <f>(K47*E47)</f>
        <v>0</v>
      </c>
      <c r="R47" s="280">
        <f>K47*C47</f>
        <v>0</v>
      </c>
      <c r="U47" s="294">
        <f t="shared" si="4"/>
        <v>0</v>
      </c>
    </row>
    <row r="48" spans="1:21" s="25" customFormat="1" ht="0.6" customHeight="1" x14ac:dyDescent="0.2">
      <c r="A48" s="382"/>
      <c r="B48" s="343"/>
      <c r="C48" s="85">
        <f>PV!C48</f>
        <v>0</v>
      </c>
      <c r="D48" s="44" t="str">
        <f t="shared" si="2"/>
        <v>h</v>
      </c>
      <c r="E48" s="43">
        <f>IF(D48="h",PV!E48,IF(D48="M",PV!G48,PV!I48))</f>
        <v>0</v>
      </c>
      <c r="F48" s="291">
        <v>0</v>
      </c>
      <c r="G48" s="291">
        <v>0</v>
      </c>
      <c r="H48" s="291"/>
      <c r="I48" s="291"/>
      <c r="J48" s="291"/>
      <c r="K48" s="291">
        <v>0</v>
      </c>
      <c r="L48" s="331"/>
      <c r="M48" s="332"/>
      <c r="N48" s="333"/>
      <c r="O48" s="333"/>
      <c r="P48" s="334"/>
      <c r="Q48" s="271"/>
      <c r="R48" s="281">
        <f>SUM(R45:R47)</f>
        <v>0</v>
      </c>
      <c r="U48" s="294">
        <f t="shared" si="4"/>
        <v>0</v>
      </c>
    </row>
    <row r="49" spans="1:21" s="25" customFormat="1" ht="20.100000000000001" customHeight="1" x14ac:dyDescent="0.15">
      <c r="A49" s="377">
        <v>65860</v>
      </c>
      <c r="B49" s="350" t="s">
        <v>286</v>
      </c>
      <c r="C49" s="85">
        <f>PV!C49</f>
        <v>0.48</v>
      </c>
      <c r="D49" s="44" t="str">
        <f t="shared" si="2"/>
        <v>h</v>
      </c>
      <c r="E49" s="43">
        <f>IF(D49="h",PV!E49,IF(D49="M",PV!G49,PV!I49))</f>
        <v>6.45</v>
      </c>
      <c r="F49" s="291">
        <v>3</v>
      </c>
      <c r="G49" s="291">
        <v>19</v>
      </c>
      <c r="H49" s="291"/>
      <c r="I49" s="291"/>
      <c r="J49" s="291"/>
      <c r="K49" s="291">
        <v>19</v>
      </c>
      <c r="L49" s="331">
        <v>8.5500000000000007</v>
      </c>
      <c r="M49" s="332"/>
      <c r="N49" s="333">
        <v>10.45</v>
      </c>
      <c r="O49" s="333"/>
      <c r="P49" s="334"/>
      <c r="Q49" s="275">
        <f t="shared" ref="Q49:Q57" si="5">(K49*E49)</f>
        <v>122.55</v>
      </c>
      <c r="R49" s="280">
        <f t="shared" ref="R49:R57" si="6">K49*C49</f>
        <v>9.1199999999999992</v>
      </c>
      <c r="U49" s="294">
        <f t="shared" si="4"/>
        <v>10.45</v>
      </c>
    </row>
    <row r="50" spans="1:21" s="25" customFormat="1" ht="20.100000000000001" customHeight="1" x14ac:dyDescent="0.15">
      <c r="A50" s="377">
        <v>65859</v>
      </c>
      <c r="B50" s="350" t="s">
        <v>287</v>
      </c>
      <c r="C50" s="85">
        <f>PV!C50</f>
        <v>0.96</v>
      </c>
      <c r="D50" s="44" t="str">
        <f t="shared" si="2"/>
        <v>h</v>
      </c>
      <c r="E50" s="43">
        <f>IF(D50="h",PV!E50,IF(D50="M",PV!G50,PV!I50))</f>
        <v>10.75</v>
      </c>
      <c r="F50" s="291">
        <v>0</v>
      </c>
      <c r="G50" s="291">
        <v>2</v>
      </c>
      <c r="H50" s="291"/>
      <c r="I50" s="291"/>
      <c r="J50" s="291"/>
      <c r="K50" s="291">
        <v>2</v>
      </c>
      <c r="L50" s="331">
        <v>2</v>
      </c>
      <c r="M50" s="332"/>
      <c r="N50" s="333"/>
      <c r="O50" s="333"/>
      <c r="P50" s="334"/>
      <c r="Q50" s="275">
        <f t="shared" si="5"/>
        <v>21.5</v>
      </c>
      <c r="R50" s="280">
        <f t="shared" si="6"/>
        <v>1.92</v>
      </c>
      <c r="U50" s="294">
        <f t="shared" si="4"/>
        <v>0</v>
      </c>
    </row>
    <row r="51" spans="1:21" s="25" customFormat="1" ht="20.100000000000001" customHeight="1" x14ac:dyDescent="0.15">
      <c r="A51" s="377">
        <v>270450</v>
      </c>
      <c r="B51" s="350" t="s">
        <v>125</v>
      </c>
      <c r="C51" s="85">
        <f>PV!C51</f>
        <v>0.35</v>
      </c>
      <c r="D51" s="44" t="str">
        <f t="shared" si="2"/>
        <v>h</v>
      </c>
      <c r="E51" s="43">
        <f>IF(D51="h",PV!E51,IF(D51="M",PV!G51,PV!I51))</f>
        <v>3.95</v>
      </c>
      <c r="F51" s="291">
        <v>0</v>
      </c>
      <c r="G51" s="291">
        <v>0</v>
      </c>
      <c r="H51" s="291"/>
      <c r="I51" s="291"/>
      <c r="J51" s="291"/>
      <c r="K51" s="291">
        <v>0</v>
      </c>
      <c r="L51" s="331"/>
      <c r="M51" s="332"/>
      <c r="N51" s="333"/>
      <c r="O51" s="333"/>
      <c r="P51" s="334"/>
      <c r="Q51" s="275">
        <f t="shared" si="5"/>
        <v>0</v>
      </c>
      <c r="R51" s="280">
        <f t="shared" si="6"/>
        <v>0</v>
      </c>
      <c r="U51" s="294">
        <f t="shared" si="4"/>
        <v>0</v>
      </c>
    </row>
    <row r="52" spans="1:21" s="25" customFormat="1" ht="20.100000000000001" customHeight="1" x14ac:dyDescent="0.15">
      <c r="A52" s="377">
        <v>270462</v>
      </c>
      <c r="B52" s="339" t="s">
        <v>288</v>
      </c>
      <c r="C52" s="85">
        <f>PV!C52</f>
        <v>0.43636364</v>
      </c>
      <c r="D52" s="44" t="str">
        <f t="shared" si="2"/>
        <v>h</v>
      </c>
      <c r="E52" s="43">
        <f>IF(D52="h",PV!E52,IF(D52="M",PV!G52,PV!I52))</f>
        <v>7.5</v>
      </c>
      <c r="F52" s="291">
        <v>3</v>
      </c>
      <c r="G52" s="291">
        <v>7</v>
      </c>
      <c r="H52" s="291"/>
      <c r="I52" s="291"/>
      <c r="J52" s="291"/>
      <c r="K52" s="291">
        <v>7</v>
      </c>
      <c r="L52" s="331">
        <v>7</v>
      </c>
      <c r="M52" s="332"/>
      <c r="N52" s="333"/>
      <c r="O52" s="333"/>
      <c r="P52" s="334"/>
      <c r="Q52" s="275">
        <f t="shared" si="5"/>
        <v>52.5</v>
      </c>
      <c r="R52" s="280">
        <f t="shared" si="6"/>
        <v>3.0545454799999998</v>
      </c>
      <c r="U52" s="294">
        <f t="shared" si="4"/>
        <v>0</v>
      </c>
    </row>
    <row r="53" spans="1:21" s="25" customFormat="1" ht="20.100000000000001" customHeight="1" x14ac:dyDescent="0.15">
      <c r="A53" s="377">
        <v>305568</v>
      </c>
      <c r="B53" s="350" t="s">
        <v>127</v>
      </c>
      <c r="C53" s="85">
        <f>PV!C53</f>
        <v>1</v>
      </c>
      <c r="D53" s="44" t="str">
        <f t="shared" si="2"/>
        <v>h</v>
      </c>
      <c r="E53" s="43">
        <f>IF(D53="h",PV!E53,IF(D53="M",PV!G53,PV!I53))</f>
        <v>13.5</v>
      </c>
      <c r="F53" s="291">
        <v>0.56200000000000006</v>
      </c>
      <c r="G53" s="291">
        <v>0</v>
      </c>
      <c r="H53" s="291"/>
      <c r="I53" s="291"/>
      <c r="J53" s="291"/>
      <c r="K53" s="291">
        <v>0</v>
      </c>
      <c r="L53" s="331"/>
      <c r="M53" s="332"/>
      <c r="N53" s="333"/>
      <c r="O53" s="333"/>
      <c r="P53" s="334"/>
      <c r="Q53" s="275">
        <f t="shared" si="5"/>
        <v>0</v>
      </c>
      <c r="R53" s="280">
        <f t="shared" si="6"/>
        <v>0</v>
      </c>
      <c r="U53" s="294">
        <f t="shared" si="4"/>
        <v>0</v>
      </c>
    </row>
    <row r="54" spans="1:21" s="25" customFormat="1" ht="20.100000000000001" customHeight="1" x14ac:dyDescent="0.15">
      <c r="A54" s="377">
        <v>65865</v>
      </c>
      <c r="B54" s="339" t="s">
        <v>128</v>
      </c>
      <c r="C54" s="85">
        <f>PV!C54</f>
        <v>0.43636364</v>
      </c>
      <c r="D54" s="44" t="str">
        <f t="shared" si="2"/>
        <v>h</v>
      </c>
      <c r="E54" s="43">
        <f>IF(D54="h",PV!E54,IF(D54="M",PV!G54,PV!I54))</f>
        <v>7.95</v>
      </c>
      <c r="F54" s="291">
        <v>0</v>
      </c>
      <c r="G54" s="291">
        <v>5</v>
      </c>
      <c r="H54" s="291"/>
      <c r="I54" s="291"/>
      <c r="J54" s="291"/>
      <c r="K54" s="291">
        <v>5</v>
      </c>
      <c r="L54" s="331">
        <v>5</v>
      </c>
      <c r="M54" s="332"/>
      <c r="N54" s="333"/>
      <c r="O54" s="333"/>
      <c r="P54" s="334"/>
      <c r="Q54" s="275">
        <f t="shared" si="5"/>
        <v>39.75</v>
      </c>
      <c r="R54" s="280">
        <f t="shared" si="6"/>
        <v>2.1818181999999999</v>
      </c>
      <c r="U54" s="294">
        <f t="shared" si="4"/>
        <v>0</v>
      </c>
    </row>
    <row r="55" spans="1:21" s="25" customFormat="1" ht="20.100000000000001" customHeight="1" x14ac:dyDescent="0.15">
      <c r="A55" s="377">
        <v>308648</v>
      </c>
      <c r="B55" s="350" t="s">
        <v>129</v>
      </c>
      <c r="C55" s="85">
        <f>PV!C55</f>
        <v>0.58499999999999996</v>
      </c>
      <c r="D55" s="44" t="str">
        <f t="shared" si="2"/>
        <v>h</v>
      </c>
      <c r="E55" s="43">
        <f>IF(D55="h",PV!E55,IF(D55="M",PV!G55,PV!I55))</f>
        <v>5.75</v>
      </c>
      <c r="F55" s="291">
        <v>5</v>
      </c>
      <c r="G55" s="291">
        <v>5</v>
      </c>
      <c r="H55" s="291"/>
      <c r="I55" s="291"/>
      <c r="J55" s="291"/>
      <c r="K55" s="291">
        <v>5</v>
      </c>
      <c r="L55" s="331">
        <v>5</v>
      </c>
      <c r="M55" s="332"/>
      <c r="N55" s="333"/>
      <c r="O55" s="333"/>
      <c r="P55" s="334"/>
      <c r="Q55" s="275">
        <f t="shared" si="5"/>
        <v>28.75</v>
      </c>
      <c r="R55" s="280">
        <f t="shared" si="6"/>
        <v>2.9249999999999998</v>
      </c>
      <c r="U55" s="294">
        <f t="shared" si="4"/>
        <v>0</v>
      </c>
    </row>
    <row r="56" spans="1:21" s="25" customFormat="1" ht="20.100000000000001" customHeight="1" x14ac:dyDescent="0.15">
      <c r="A56" s="377">
        <v>270459</v>
      </c>
      <c r="B56" s="341" t="s">
        <v>130</v>
      </c>
      <c r="C56" s="85">
        <f>PV!C56</f>
        <v>0.43636364</v>
      </c>
      <c r="D56" s="44" t="str">
        <f t="shared" si="2"/>
        <v>h</v>
      </c>
      <c r="E56" s="43">
        <f>IF(D56="h",PV!E56,IF(D56="M",PV!G56,PV!I56))</f>
        <v>7.95</v>
      </c>
      <c r="F56" s="291">
        <v>5</v>
      </c>
      <c r="G56" s="291">
        <v>4</v>
      </c>
      <c r="H56" s="291"/>
      <c r="I56" s="291"/>
      <c r="J56" s="291"/>
      <c r="K56" s="291">
        <v>4</v>
      </c>
      <c r="L56" s="331">
        <v>4</v>
      </c>
      <c r="M56" s="332"/>
      <c r="N56" s="333"/>
      <c r="O56" s="333"/>
      <c r="P56" s="334"/>
      <c r="Q56" s="275">
        <f t="shared" si="5"/>
        <v>31.8</v>
      </c>
      <c r="R56" s="280">
        <f t="shared" si="6"/>
        <v>1.74545456</v>
      </c>
      <c r="U56" s="294">
        <f t="shared" si="4"/>
        <v>0</v>
      </c>
    </row>
    <row r="57" spans="1:21" s="25" customFormat="1" ht="20.100000000000001" customHeight="1" x14ac:dyDescent="0.15">
      <c r="A57" s="377">
        <v>65855</v>
      </c>
      <c r="B57" s="341" t="s">
        <v>289</v>
      </c>
      <c r="C57" s="85">
        <f>PV!C57</f>
        <v>0.63600000000000001</v>
      </c>
      <c r="D57" s="44" t="str">
        <f t="shared" si="2"/>
        <v>h</v>
      </c>
      <c r="E57" s="43">
        <f>IF(D57="h",PV!E57,IF(D57="M",PV!G57,PV!I57))</f>
        <v>6.75</v>
      </c>
      <c r="F57" s="291">
        <v>0</v>
      </c>
      <c r="G57" s="291">
        <v>0</v>
      </c>
      <c r="H57" s="291"/>
      <c r="I57" s="291"/>
      <c r="J57" s="291"/>
      <c r="K57" s="291">
        <v>0</v>
      </c>
      <c r="L57" s="331"/>
      <c r="M57" s="332"/>
      <c r="N57" s="333"/>
      <c r="O57" s="333"/>
      <c r="P57" s="334"/>
      <c r="Q57" s="275">
        <f t="shared" si="5"/>
        <v>0</v>
      </c>
      <c r="R57" s="280">
        <f t="shared" si="6"/>
        <v>0</v>
      </c>
      <c r="U57" s="294">
        <f t="shared" si="4"/>
        <v>0</v>
      </c>
    </row>
    <row r="58" spans="1:21" ht="0.6" customHeight="1" x14ac:dyDescent="0.2">
      <c r="A58" s="384"/>
      <c r="B58" s="347"/>
      <c r="C58" s="85">
        <f>PV!C58</f>
        <v>0</v>
      </c>
      <c r="D58" s="44" t="str">
        <f t="shared" si="2"/>
        <v>h</v>
      </c>
      <c r="E58" s="43">
        <f>IF(D58="h",PV!E58,IF(D58="M",PV!G58,PV!I58))</f>
        <v>0</v>
      </c>
      <c r="F58" s="291">
        <v>0</v>
      </c>
      <c r="G58" s="291">
        <v>0</v>
      </c>
      <c r="H58" s="291"/>
      <c r="I58" s="291"/>
      <c r="J58" s="291"/>
      <c r="K58" s="291">
        <v>0</v>
      </c>
      <c r="L58" s="331"/>
      <c r="M58" s="332"/>
      <c r="N58" s="333"/>
      <c r="O58" s="333"/>
      <c r="P58" s="334"/>
      <c r="Q58" s="271"/>
      <c r="R58" s="284">
        <f>SUM(R49:R57)</f>
        <v>20.946818239999999</v>
      </c>
      <c r="U58" s="294">
        <f t="shared" si="4"/>
        <v>0</v>
      </c>
    </row>
    <row r="59" spans="1:21" s="25" customFormat="1" ht="20.100000000000001" customHeight="1" x14ac:dyDescent="0.25">
      <c r="A59" s="377">
        <v>65928</v>
      </c>
      <c r="B59" s="351" t="s">
        <v>43</v>
      </c>
      <c r="C59" s="85">
        <f>PV!C59</f>
        <v>0.36</v>
      </c>
      <c r="D59" s="44" t="str">
        <f t="shared" si="2"/>
        <v>h</v>
      </c>
      <c r="E59" s="43">
        <f>IF(D59="h",PV!E59,IF(D59="M",PV!G59,PV!I59))</f>
        <v>3.5</v>
      </c>
      <c r="F59" s="291">
        <v>5</v>
      </c>
      <c r="G59" s="291">
        <v>7</v>
      </c>
      <c r="H59" s="291"/>
      <c r="I59" s="291"/>
      <c r="J59" s="291"/>
      <c r="K59" s="291">
        <v>7</v>
      </c>
      <c r="L59" s="331">
        <v>7</v>
      </c>
      <c r="M59" s="332"/>
      <c r="N59" s="333"/>
      <c r="O59" s="333"/>
      <c r="P59" s="334"/>
      <c r="Q59" s="275">
        <f t="shared" ref="Q59:Q73" si="7">(K59*E59)</f>
        <v>24.5</v>
      </c>
      <c r="R59" s="280">
        <f t="shared" ref="R59:R73" si="8">K59*C59</f>
        <v>2.52</v>
      </c>
      <c r="U59" s="294">
        <f t="shared" si="4"/>
        <v>0</v>
      </c>
    </row>
    <row r="60" spans="1:21" s="25" customFormat="1" ht="20.100000000000001" customHeight="1" x14ac:dyDescent="0.25">
      <c r="A60" s="377">
        <v>65894</v>
      </c>
      <c r="B60" s="351" t="s">
        <v>45</v>
      </c>
      <c r="C60" s="85">
        <f>PV!C60</f>
        <v>0.36</v>
      </c>
      <c r="D60" s="44" t="str">
        <f t="shared" si="2"/>
        <v>h</v>
      </c>
      <c r="E60" s="43">
        <f>IF(D60="h",PV!E60,IF(D60="M",PV!G60,PV!I60))</f>
        <v>2.25</v>
      </c>
      <c r="F60" s="291">
        <v>37</v>
      </c>
      <c r="G60" s="291">
        <v>38</v>
      </c>
      <c r="H60" s="291"/>
      <c r="I60" s="291"/>
      <c r="J60" s="291"/>
      <c r="K60" s="291">
        <v>38</v>
      </c>
      <c r="L60" s="331">
        <v>17.100000000000001</v>
      </c>
      <c r="M60" s="332"/>
      <c r="N60" s="333">
        <v>12.16</v>
      </c>
      <c r="O60" s="333">
        <v>8.74</v>
      </c>
      <c r="P60" s="334"/>
      <c r="Q60" s="275">
        <f t="shared" si="7"/>
        <v>85.5</v>
      </c>
      <c r="R60" s="280">
        <f t="shared" si="8"/>
        <v>13.68</v>
      </c>
      <c r="U60" s="294">
        <f t="shared" si="4"/>
        <v>20.9</v>
      </c>
    </row>
    <row r="61" spans="1:21" s="25" customFormat="1" ht="20.100000000000001" customHeight="1" x14ac:dyDescent="0.25">
      <c r="A61" s="377">
        <v>65927</v>
      </c>
      <c r="B61" s="351" t="s">
        <v>46</v>
      </c>
      <c r="C61" s="85">
        <f>PV!C61</f>
        <v>0.36</v>
      </c>
      <c r="D61" s="44" t="str">
        <f t="shared" si="2"/>
        <v>h</v>
      </c>
      <c r="E61" s="43">
        <f>IF(D61="h",PV!E61,IF(D61="M",PV!G61,PV!I61))</f>
        <v>2.95</v>
      </c>
      <c r="F61" s="291">
        <v>37</v>
      </c>
      <c r="G61" s="291">
        <v>82</v>
      </c>
      <c r="H61" s="291"/>
      <c r="I61" s="291"/>
      <c r="J61" s="291"/>
      <c r="K61" s="291">
        <v>82</v>
      </c>
      <c r="L61" s="331">
        <v>16.399999999999999</v>
      </c>
      <c r="M61" s="332">
        <v>20.5</v>
      </c>
      <c r="N61" s="333">
        <v>26.24</v>
      </c>
      <c r="O61" s="333">
        <v>18.86</v>
      </c>
      <c r="P61" s="334"/>
      <c r="Q61" s="275">
        <f t="shared" si="7"/>
        <v>241.9</v>
      </c>
      <c r="R61" s="280">
        <f t="shared" si="8"/>
        <v>29.52</v>
      </c>
      <c r="U61" s="294">
        <f t="shared" si="4"/>
        <v>65.599999999999994</v>
      </c>
    </row>
    <row r="62" spans="1:21" s="25" customFormat="1" ht="20.100000000000001" customHeight="1" x14ac:dyDescent="0.25">
      <c r="A62" s="377">
        <v>425032</v>
      </c>
      <c r="B62" s="351" t="s">
        <v>115</v>
      </c>
      <c r="C62" s="85">
        <f>PV!C62</f>
        <v>0.36</v>
      </c>
      <c r="D62" s="44" t="str">
        <f t="shared" si="2"/>
        <v>h</v>
      </c>
      <c r="E62" s="43">
        <f>IF(D62="h",PV!E62,IF(D62="M",PV!G62,PV!I62))</f>
        <v>2.75</v>
      </c>
      <c r="F62" s="291">
        <v>4</v>
      </c>
      <c r="G62" s="291">
        <v>2</v>
      </c>
      <c r="H62" s="291"/>
      <c r="I62" s="291"/>
      <c r="J62" s="291"/>
      <c r="K62" s="291">
        <v>2</v>
      </c>
      <c r="L62" s="331">
        <v>2</v>
      </c>
      <c r="M62" s="332"/>
      <c r="N62" s="333"/>
      <c r="O62" s="333"/>
      <c r="P62" s="334"/>
      <c r="Q62" s="275">
        <f t="shared" si="7"/>
        <v>5.5</v>
      </c>
      <c r="R62" s="280">
        <f t="shared" si="8"/>
        <v>0.72</v>
      </c>
      <c r="U62" s="294">
        <f t="shared" si="4"/>
        <v>0</v>
      </c>
    </row>
    <row r="63" spans="1:21" s="25" customFormat="1" ht="20.100000000000001" customHeight="1" x14ac:dyDescent="0.25">
      <c r="A63" s="377">
        <v>270448</v>
      </c>
      <c r="B63" s="351" t="s">
        <v>116</v>
      </c>
      <c r="C63" s="85">
        <f>PV!C63</f>
        <v>0.35</v>
      </c>
      <c r="D63" s="44" t="str">
        <f t="shared" si="2"/>
        <v>h</v>
      </c>
      <c r="E63" s="43">
        <f>IF(D63="h",PV!E63,IF(D63="M",PV!G63,PV!I63))</f>
        <v>2.95</v>
      </c>
      <c r="F63" s="291">
        <v>12</v>
      </c>
      <c r="G63" s="291">
        <v>6</v>
      </c>
      <c r="H63" s="291"/>
      <c r="I63" s="291"/>
      <c r="J63" s="291"/>
      <c r="K63" s="291">
        <v>6</v>
      </c>
      <c r="L63" s="331">
        <v>6</v>
      </c>
      <c r="M63" s="332"/>
      <c r="N63" s="333"/>
      <c r="O63" s="333"/>
      <c r="P63" s="334"/>
      <c r="Q63" s="275">
        <f t="shared" si="7"/>
        <v>17.700000000000003</v>
      </c>
      <c r="R63" s="280">
        <f t="shared" si="8"/>
        <v>2.0999999999999996</v>
      </c>
      <c r="U63" s="294">
        <f t="shared" si="4"/>
        <v>0</v>
      </c>
    </row>
    <row r="64" spans="1:21" s="25" customFormat="1" ht="20.100000000000001" customHeight="1" x14ac:dyDescent="0.25">
      <c r="A64" s="377">
        <v>65871</v>
      </c>
      <c r="B64" s="351" t="s">
        <v>290</v>
      </c>
      <c r="C64" s="85">
        <f>PV!C64</f>
        <v>0.58499999999999996</v>
      </c>
      <c r="D64" s="44" t="str">
        <f t="shared" si="2"/>
        <v>h</v>
      </c>
      <c r="E64" s="43">
        <f>IF(D64="h",PV!E64,IF(D64="M",PV!G64,PV!I64))</f>
        <v>6.45</v>
      </c>
      <c r="F64" s="291">
        <v>29</v>
      </c>
      <c r="G64" s="291">
        <v>74</v>
      </c>
      <c r="H64" s="291"/>
      <c r="I64" s="291"/>
      <c r="J64" s="291"/>
      <c r="K64" s="291">
        <v>74</v>
      </c>
      <c r="L64" s="331">
        <v>14.8</v>
      </c>
      <c r="M64" s="332">
        <v>18.5</v>
      </c>
      <c r="N64" s="333">
        <v>23.68</v>
      </c>
      <c r="O64" s="333">
        <v>17.02</v>
      </c>
      <c r="P64" s="334"/>
      <c r="Q64" s="275">
        <f t="shared" si="7"/>
        <v>477.3</v>
      </c>
      <c r="R64" s="280">
        <f t="shared" si="8"/>
        <v>43.29</v>
      </c>
      <c r="U64" s="294">
        <f t="shared" si="4"/>
        <v>59.2</v>
      </c>
    </row>
    <row r="65" spans="1:21" s="25" customFormat="1" ht="20.100000000000001" customHeight="1" x14ac:dyDescent="0.25">
      <c r="A65" s="377">
        <v>286631</v>
      </c>
      <c r="B65" s="351" t="s">
        <v>118</v>
      </c>
      <c r="C65" s="85">
        <f>PV!C65</f>
        <v>0.4</v>
      </c>
      <c r="D65" s="44" t="str">
        <f t="shared" si="2"/>
        <v>h</v>
      </c>
      <c r="E65" s="43">
        <f>IF(D65="h",PV!E65,IF(D65="M",PV!G65,PV!I65))</f>
        <v>4.75</v>
      </c>
      <c r="F65" s="291">
        <v>9</v>
      </c>
      <c r="G65" s="291">
        <v>10</v>
      </c>
      <c r="H65" s="291"/>
      <c r="I65" s="291"/>
      <c r="J65" s="291"/>
      <c r="K65" s="291">
        <v>10</v>
      </c>
      <c r="L65" s="331">
        <v>4.5</v>
      </c>
      <c r="M65" s="332"/>
      <c r="N65" s="333">
        <v>5.5</v>
      </c>
      <c r="O65" s="333"/>
      <c r="P65" s="334"/>
      <c r="Q65" s="275">
        <f t="shared" si="7"/>
        <v>47.5</v>
      </c>
      <c r="R65" s="280">
        <f t="shared" si="8"/>
        <v>4</v>
      </c>
      <c r="U65" s="294">
        <f t="shared" si="4"/>
        <v>5.5</v>
      </c>
    </row>
    <row r="66" spans="1:21" s="25" customFormat="1" ht="20.100000000000001" customHeight="1" x14ac:dyDescent="0.25">
      <c r="A66" s="377">
        <v>306903</v>
      </c>
      <c r="B66" s="351" t="s">
        <v>52</v>
      </c>
      <c r="C66" s="85">
        <f>PV!C66</f>
        <v>0.6</v>
      </c>
      <c r="D66" s="44" t="str">
        <f t="shared" si="2"/>
        <v>h</v>
      </c>
      <c r="E66" s="43">
        <f>IF(D66="h",PV!E66,IF(D66="M",PV!G66,PV!I66))</f>
        <v>6.95</v>
      </c>
      <c r="F66" s="291">
        <v>0</v>
      </c>
      <c r="G66" s="291">
        <v>0</v>
      </c>
      <c r="H66" s="291"/>
      <c r="I66" s="291"/>
      <c r="J66" s="291"/>
      <c r="K66" s="291">
        <v>0</v>
      </c>
      <c r="L66" s="331"/>
      <c r="M66" s="332"/>
      <c r="N66" s="333"/>
      <c r="O66" s="333"/>
      <c r="P66" s="334"/>
      <c r="Q66" s="275">
        <f t="shared" si="7"/>
        <v>0</v>
      </c>
      <c r="R66" s="280">
        <f t="shared" si="8"/>
        <v>0</v>
      </c>
      <c r="U66" s="294">
        <f t="shared" si="4"/>
        <v>0</v>
      </c>
    </row>
    <row r="67" spans="1:21" s="25" customFormat="1" ht="20.100000000000001" customHeight="1" x14ac:dyDescent="0.25">
      <c r="A67" s="377">
        <v>330142</v>
      </c>
      <c r="B67" s="351" t="s">
        <v>51</v>
      </c>
      <c r="C67" s="85">
        <f>PV!C67</f>
        <v>0.3</v>
      </c>
      <c r="D67" s="44" t="str">
        <f t="shared" si="2"/>
        <v>h</v>
      </c>
      <c r="E67" s="43">
        <f>IF(D67="h",PV!E67,IF(D67="M",PV!G67,PV!I67))</f>
        <v>4.5</v>
      </c>
      <c r="F67" s="291">
        <v>0</v>
      </c>
      <c r="G67" s="291">
        <v>0</v>
      </c>
      <c r="H67" s="291"/>
      <c r="I67" s="291"/>
      <c r="J67" s="291"/>
      <c r="K67" s="291">
        <v>0</v>
      </c>
      <c r="L67" s="331"/>
      <c r="M67" s="332"/>
      <c r="N67" s="333"/>
      <c r="O67" s="333"/>
      <c r="P67" s="334"/>
      <c r="Q67" s="275">
        <f t="shared" si="7"/>
        <v>0</v>
      </c>
      <c r="R67" s="280">
        <f t="shared" si="8"/>
        <v>0</v>
      </c>
      <c r="U67" s="294">
        <f t="shared" si="4"/>
        <v>0</v>
      </c>
    </row>
    <row r="68" spans="1:21" s="25" customFormat="1" ht="20.100000000000001" customHeight="1" x14ac:dyDescent="0.25">
      <c r="A68" s="377">
        <v>65877</v>
      </c>
      <c r="B68" s="351" t="s">
        <v>48</v>
      </c>
      <c r="C68" s="85">
        <f>PV!C68</f>
        <v>0.7</v>
      </c>
      <c r="D68" s="44" t="str">
        <f t="shared" si="2"/>
        <v>h</v>
      </c>
      <c r="E68" s="43">
        <f>IF(D68="h",PV!E68,IF(D68="M",PV!G68,PV!I68))</f>
        <v>7.95</v>
      </c>
      <c r="F68" s="291">
        <v>21</v>
      </c>
      <c r="G68" s="291">
        <v>42</v>
      </c>
      <c r="H68" s="291"/>
      <c r="I68" s="291"/>
      <c r="J68" s="291"/>
      <c r="K68" s="291">
        <v>42</v>
      </c>
      <c r="L68" s="331">
        <v>18.899999999999999</v>
      </c>
      <c r="M68" s="332"/>
      <c r="N68" s="333">
        <v>13.44</v>
      </c>
      <c r="O68" s="333">
        <v>9.66</v>
      </c>
      <c r="P68" s="334"/>
      <c r="Q68" s="275">
        <f t="shared" si="7"/>
        <v>333.90000000000003</v>
      </c>
      <c r="R68" s="280">
        <f t="shared" si="8"/>
        <v>29.4</v>
      </c>
      <c r="U68" s="294">
        <f t="shared" si="4"/>
        <v>23.1</v>
      </c>
    </row>
    <row r="69" spans="1:21" s="25" customFormat="1" ht="20.100000000000001" customHeight="1" x14ac:dyDescent="0.25">
      <c r="A69" s="377">
        <v>206123</v>
      </c>
      <c r="B69" s="351" t="s">
        <v>47</v>
      </c>
      <c r="C69" s="85">
        <f>PV!C69</f>
        <v>0.35</v>
      </c>
      <c r="D69" s="44" t="str">
        <f t="shared" ref="D69:D134" si="9">D68</f>
        <v>h</v>
      </c>
      <c r="E69" s="43">
        <f>IF(D69="h",PV!E69,IF(D69="M",PV!G69,PV!I69))</f>
        <v>4.95</v>
      </c>
      <c r="F69" s="291">
        <v>6</v>
      </c>
      <c r="G69" s="291">
        <v>11</v>
      </c>
      <c r="H69" s="291"/>
      <c r="I69" s="291"/>
      <c r="J69" s="291"/>
      <c r="K69" s="291">
        <v>11</v>
      </c>
      <c r="L69" s="331">
        <v>4.95</v>
      </c>
      <c r="M69" s="332"/>
      <c r="N69" s="333">
        <v>6.05</v>
      </c>
      <c r="O69" s="333"/>
      <c r="P69" s="334"/>
      <c r="Q69" s="275">
        <f t="shared" si="7"/>
        <v>54.45</v>
      </c>
      <c r="R69" s="280">
        <f t="shared" si="8"/>
        <v>3.8499999999999996</v>
      </c>
      <c r="U69" s="294">
        <f t="shared" si="4"/>
        <v>6.05</v>
      </c>
    </row>
    <row r="70" spans="1:21" s="25" customFormat="1" ht="20.100000000000001" customHeight="1" x14ac:dyDescent="0.25">
      <c r="A70" s="377">
        <v>830252</v>
      </c>
      <c r="B70" s="351" t="s">
        <v>119</v>
      </c>
      <c r="C70" s="85">
        <f>PV!C70</f>
        <v>0.36</v>
      </c>
      <c r="D70" s="44" t="str">
        <f t="shared" si="9"/>
        <v>h</v>
      </c>
      <c r="E70" s="43">
        <f>IF(D70="h",PV!E70,IF(D70="M",PV!G70,PV!I70))</f>
        <v>2.75</v>
      </c>
      <c r="F70" s="291">
        <v>7</v>
      </c>
      <c r="G70" s="291">
        <v>9</v>
      </c>
      <c r="H70" s="291"/>
      <c r="I70" s="291"/>
      <c r="J70" s="291"/>
      <c r="K70" s="291">
        <v>9</v>
      </c>
      <c r="L70" s="331">
        <v>9</v>
      </c>
      <c r="M70" s="332"/>
      <c r="N70" s="333"/>
      <c r="O70" s="333"/>
      <c r="P70" s="334"/>
      <c r="Q70" s="275">
        <f t="shared" si="7"/>
        <v>24.75</v>
      </c>
      <c r="R70" s="280">
        <f t="shared" si="8"/>
        <v>3.2399999999999998</v>
      </c>
      <c r="U70" s="294">
        <f t="shared" ref="U70:U75" si="10">K70-L70</f>
        <v>0</v>
      </c>
    </row>
    <row r="71" spans="1:21" s="25" customFormat="1" ht="20.100000000000001" customHeight="1" x14ac:dyDescent="0.25">
      <c r="A71" s="377">
        <v>425026</v>
      </c>
      <c r="B71" s="351" t="s">
        <v>50</v>
      </c>
      <c r="C71" s="85">
        <f>PV!C71</f>
        <v>0.72</v>
      </c>
      <c r="D71" s="44" t="str">
        <f t="shared" si="9"/>
        <v>h</v>
      </c>
      <c r="E71" s="43">
        <f>IF(D71="h",PV!E71,IF(D71="M",PV!G71,PV!I71))</f>
        <v>3.95</v>
      </c>
      <c r="F71" s="291">
        <v>9</v>
      </c>
      <c r="G71" s="291">
        <v>10</v>
      </c>
      <c r="H71" s="291"/>
      <c r="I71" s="291"/>
      <c r="J71" s="291"/>
      <c r="K71" s="291">
        <v>10</v>
      </c>
      <c r="L71" s="331">
        <v>4.5</v>
      </c>
      <c r="M71" s="332"/>
      <c r="N71" s="333">
        <v>5.5</v>
      </c>
      <c r="O71" s="333"/>
      <c r="P71" s="334"/>
      <c r="Q71" s="275">
        <f t="shared" si="7"/>
        <v>39.5</v>
      </c>
      <c r="R71" s="280">
        <f t="shared" si="8"/>
        <v>7.1999999999999993</v>
      </c>
      <c r="U71" s="294">
        <f t="shared" si="10"/>
        <v>5.5</v>
      </c>
    </row>
    <row r="72" spans="1:21" s="25" customFormat="1" ht="20.100000000000001" customHeight="1" x14ac:dyDescent="0.25">
      <c r="A72" s="377">
        <v>286632</v>
      </c>
      <c r="B72" s="351" t="s">
        <v>49</v>
      </c>
      <c r="C72" s="85">
        <f>PV!C72</f>
        <v>0.36</v>
      </c>
      <c r="D72" s="44" t="str">
        <f t="shared" si="9"/>
        <v>h</v>
      </c>
      <c r="E72" s="43">
        <f>IF(D72="h",PV!E72,IF(D72="M",PV!G72,PV!I72))</f>
        <v>1</v>
      </c>
      <c r="F72" s="291">
        <v>15</v>
      </c>
      <c r="G72" s="291">
        <v>12</v>
      </c>
      <c r="H72" s="291"/>
      <c r="I72" s="291"/>
      <c r="J72" s="291"/>
      <c r="K72" s="291">
        <v>12</v>
      </c>
      <c r="L72" s="331">
        <v>5.4</v>
      </c>
      <c r="M72" s="332"/>
      <c r="N72" s="333">
        <v>6.6</v>
      </c>
      <c r="O72" s="333"/>
      <c r="P72" s="334"/>
      <c r="Q72" s="275">
        <f t="shared" si="7"/>
        <v>12</v>
      </c>
      <c r="R72" s="280">
        <f t="shared" si="8"/>
        <v>4.32</v>
      </c>
      <c r="U72" s="294">
        <f t="shared" si="10"/>
        <v>6.6</v>
      </c>
    </row>
    <row r="73" spans="1:21" s="25" customFormat="1" ht="20.100000000000001" customHeight="1" x14ac:dyDescent="0.25">
      <c r="A73" s="379">
        <v>1008121</v>
      </c>
      <c r="B73" s="351" t="s">
        <v>120</v>
      </c>
      <c r="C73" s="85">
        <f>PV!C73</f>
        <v>0.5</v>
      </c>
      <c r="D73" s="44" t="str">
        <f t="shared" si="9"/>
        <v>h</v>
      </c>
      <c r="E73" s="43">
        <f>IF(D73="h",PV!E73,IF(D73="M",PV!G73,PV!I73))</f>
        <v>3.95</v>
      </c>
      <c r="F73" s="291">
        <v>0</v>
      </c>
      <c r="G73" s="291">
        <v>0</v>
      </c>
      <c r="H73" s="291"/>
      <c r="I73" s="291"/>
      <c r="J73" s="291"/>
      <c r="K73" s="291">
        <v>0</v>
      </c>
      <c r="L73" s="331"/>
      <c r="M73" s="332"/>
      <c r="N73" s="333"/>
      <c r="O73" s="333"/>
      <c r="P73" s="334"/>
      <c r="Q73" s="275">
        <f t="shared" si="7"/>
        <v>0</v>
      </c>
      <c r="R73" s="280">
        <f t="shared" si="8"/>
        <v>0</v>
      </c>
      <c r="U73" s="294">
        <f t="shared" si="10"/>
        <v>0</v>
      </c>
    </row>
    <row r="74" spans="1:21" ht="0.6" customHeight="1" x14ac:dyDescent="0.2">
      <c r="A74" s="382"/>
      <c r="B74" s="347"/>
      <c r="C74" s="85">
        <f>PV!C74</f>
        <v>0</v>
      </c>
      <c r="D74" s="44" t="str">
        <f t="shared" si="9"/>
        <v>h</v>
      </c>
      <c r="E74" s="43">
        <f>IF(D74="h",PV!E74,IF(D74="M",PV!G74,PV!I74))</f>
        <v>0</v>
      </c>
      <c r="F74" s="291">
        <v>0</v>
      </c>
      <c r="G74" s="291">
        <v>0</v>
      </c>
      <c r="H74" s="291"/>
      <c r="I74" s="291"/>
      <c r="J74" s="291"/>
      <c r="K74" s="291">
        <v>0</v>
      </c>
      <c r="L74" s="331"/>
      <c r="M74" s="332"/>
      <c r="N74" s="333"/>
      <c r="O74" s="333"/>
      <c r="P74" s="334"/>
      <c r="Q74" s="271"/>
      <c r="R74" s="281">
        <f>SUM(R59:R73)</f>
        <v>143.83999999999997</v>
      </c>
      <c r="U74" s="294">
        <f t="shared" si="10"/>
        <v>0</v>
      </c>
    </row>
    <row r="75" spans="1:21" s="25" customFormat="1" ht="20.100000000000001" customHeight="1" x14ac:dyDescent="0.25">
      <c r="A75" s="377">
        <v>1263740</v>
      </c>
      <c r="B75" s="351" t="s">
        <v>267</v>
      </c>
      <c r="C75" s="85">
        <f>PV!C75</f>
        <v>0.8</v>
      </c>
      <c r="D75" s="44" t="str">
        <f t="shared" si="9"/>
        <v>h</v>
      </c>
      <c r="E75" s="43">
        <f>IF(D75="h",PV!E75,IF(D75="M",PV!G75,PV!I75))</f>
        <v>4.75</v>
      </c>
      <c r="F75" s="291">
        <v>8</v>
      </c>
      <c r="G75" s="291">
        <v>42</v>
      </c>
      <c r="H75" s="291"/>
      <c r="I75" s="291"/>
      <c r="J75" s="291"/>
      <c r="K75" s="291">
        <v>42</v>
      </c>
      <c r="L75" s="331">
        <v>18.899999999999999</v>
      </c>
      <c r="M75" s="332"/>
      <c r="N75" s="333">
        <v>13.44</v>
      </c>
      <c r="O75" s="333">
        <v>9.66</v>
      </c>
      <c r="P75" s="334"/>
      <c r="Q75" s="275">
        <f>(K75*E75)</f>
        <v>199.5</v>
      </c>
      <c r="R75" s="280">
        <f>K75*C75</f>
        <v>33.6</v>
      </c>
      <c r="U75" s="294">
        <f t="shared" si="10"/>
        <v>23.1</v>
      </c>
    </row>
    <row r="76" spans="1:21" s="25" customFormat="1" ht="0.6" customHeight="1" x14ac:dyDescent="0.25">
      <c r="A76" s="376"/>
      <c r="B76" s="351"/>
      <c r="C76" s="85">
        <f>PV!C76</f>
        <v>0</v>
      </c>
      <c r="D76" s="44" t="str">
        <f t="shared" si="9"/>
        <v>h</v>
      </c>
      <c r="E76" s="43">
        <f>IF(D76="h",PV!E76,IF(D76="M",PV!G76,PV!I76))</f>
        <v>0</v>
      </c>
      <c r="F76" s="291">
        <v>0</v>
      </c>
      <c r="G76" s="291">
        <v>0</v>
      </c>
      <c r="H76" s="291"/>
      <c r="I76" s="291"/>
      <c r="J76" s="291"/>
      <c r="K76" s="291">
        <v>0</v>
      </c>
      <c r="L76" s="331"/>
      <c r="M76" s="332"/>
      <c r="N76" s="333"/>
      <c r="O76" s="333"/>
      <c r="P76" s="334"/>
      <c r="Q76" s="279"/>
      <c r="R76" s="281">
        <f>SUM(R75:R75)</f>
        <v>33.6</v>
      </c>
      <c r="U76" s="294"/>
    </row>
    <row r="77" spans="1:21" s="25" customFormat="1" ht="20.100000000000001" customHeight="1" x14ac:dyDescent="0.25">
      <c r="A77" s="376">
        <v>364629</v>
      </c>
      <c r="B77" s="352" t="s">
        <v>134</v>
      </c>
      <c r="C77" s="85">
        <f>PV!C77</f>
        <v>0.36</v>
      </c>
      <c r="D77" s="44" t="str">
        <f t="shared" si="9"/>
        <v>h</v>
      </c>
      <c r="E77" s="43">
        <f>IF(D77="h",PV!E77,IF(D77="M",PV!G77,PV!I77))</f>
        <v>2.5</v>
      </c>
      <c r="F77" s="291">
        <v>10</v>
      </c>
      <c r="G77" s="291">
        <v>35</v>
      </c>
      <c r="H77" s="291"/>
      <c r="I77" s="291"/>
      <c r="J77" s="291"/>
      <c r="K77" s="291">
        <v>35</v>
      </c>
      <c r="L77" s="331">
        <v>15.75</v>
      </c>
      <c r="M77" s="332"/>
      <c r="N77" s="333">
        <v>11.2</v>
      </c>
      <c r="O77" s="333">
        <v>8.0500000000000007</v>
      </c>
      <c r="P77" s="334"/>
      <c r="Q77" s="279">
        <f>(K77*E77)</f>
        <v>87.5</v>
      </c>
      <c r="R77" s="280">
        <f>K77*C77</f>
        <v>12.6</v>
      </c>
      <c r="U77" s="294">
        <f>K77-L77</f>
        <v>19.25</v>
      </c>
    </row>
    <row r="78" spans="1:21" s="25" customFormat="1" ht="20.100000000000001" customHeight="1" x14ac:dyDescent="0.25">
      <c r="A78" s="377">
        <v>370600</v>
      </c>
      <c r="B78" s="352" t="s">
        <v>135</v>
      </c>
      <c r="C78" s="85">
        <f>PV!C78</f>
        <v>0.36</v>
      </c>
      <c r="D78" s="44" t="str">
        <f t="shared" si="9"/>
        <v>h</v>
      </c>
      <c r="E78" s="43">
        <f>IF(D78="h",PV!E78,IF(D78="M",PV!G78,PV!I78))</f>
        <v>2.5</v>
      </c>
      <c r="F78" s="291">
        <v>17</v>
      </c>
      <c r="G78" s="291">
        <v>24</v>
      </c>
      <c r="H78" s="291"/>
      <c r="I78" s="291"/>
      <c r="J78" s="291"/>
      <c r="K78" s="291">
        <v>24</v>
      </c>
      <c r="L78" s="331">
        <v>10.8</v>
      </c>
      <c r="M78" s="332"/>
      <c r="N78" s="333">
        <v>7.68</v>
      </c>
      <c r="O78" s="333">
        <v>5.52</v>
      </c>
      <c r="P78" s="334"/>
      <c r="Q78" s="275">
        <f>(K78*E78)</f>
        <v>60</v>
      </c>
      <c r="R78" s="280">
        <f>K78*C78</f>
        <v>8.64</v>
      </c>
      <c r="U78" s="294">
        <f>K78-L78</f>
        <v>13.2</v>
      </c>
    </row>
    <row r="79" spans="1:21" s="25" customFormat="1" ht="0.6" customHeight="1" x14ac:dyDescent="0.25">
      <c r="A79" s="377"/>
      <c r="B79" s="352"/>
      <c r="C79" s="85"/>
      <c r="D79" s="44"/>
      <c r="E79" s="43"/>
      <c r="F79" s="291">
        <v>0</v>
      </c>
      <c r="G79" s="291">
        <v>0</v>
      </c>
      <c r="H79" s="291"/>
      <c r="I79" s="291"/>
      <c r="J79" s="291"/>
      <c r="K79" s="291">
        <v>0</v>
      </c>
      <c r="L79" s="331"/>
      <c r="M79" s="332"/>
      <c r="N79" s="333"/>
      <c r="O79" s="333"/>
      <c r="P79" s="334"/>
      <c r="Q79" s="275"/>
      <c r="R79" s="281">
        <f>SUM(R77:R78)</f>
        <v>21.240000000000002</v>
      </c>
      <c r="U79" s="294"/>
    </row>
    <row r="80" spans="1:21" s="25" customFormat="1" ht="20.100000000000001" customHeight="1" x14ac:dyDescent="0.25">
      <c r="A80" s="377">
        <v>1263741</v>
      </c>
      <c r="B80" s="352" t="s">
        <v>268</v>
      </c>
      <c r="C80" s="85">
        <f>PV!C80</f>
        <v>0.8</v>
      </c>
      <c r="D80" s="44" t="str">
        <f>D78</f>
        <v>h</v>
      </c>
      <c r="E80" s="43">
        <f>IF(D80="h",PV!E80,IF(D80="M",PV!G80,PV!I80))</f>
        <v>5.75</v>
      </c>
      <c r="F80" s="291">
        <v>23</v>
      </c>
      <c r="G80" s="291">
        <v>44</v>
      </c>
      <c r="H80" s="291"/>
      <c r="I80" s="291"/>
      <c r="J80" s="291"/>
      <c r="K80" s="291">
        <v>44</v>
      </c>
      <c r="L80" s="331">
        <v>19.8</v>
      </c>
      <c r="M80" s="332"/>
      <c r="N80" s="333">
        <v>14.08</v>
      </c>
      <c r="O80" s="333">
        <v>10.119999999999999</v>
      </c>
      <c r="P80" s="334"/>
      <c r="Q80" s="275">
        <f t="shared" ref="Q80:Q86" si="11">(K80*E80)</f>
        <v>253</v>
      </c>
      <c r="R80" s="280">
        <f>K80*C80</f>
        <v>35.200000000000003</v>
      </c>
      <c r="U80" s="294">
        <f t="shared" ref="U80:U97" si="12">K80-L80</f>
        <v>24.2</v>
      </c>
    </row>
    <row r="81" spans="1:21" s="25" customFormat="1" ht="20.100000000000001" customHeight="1" x14ac:dyDescent="0.25">
      <c r="A81" s="377">
        <v>1263742</v>
      </c>
      <c r="B81" s="352" t="s">
        <v>291</v>
      </c>
      <c r="C81" s="85">
        <f>PV!C81</f>
        <v>0.47</v>
      </c>
      <c r="D81" s="44" t="str">
        <f t="shared" si="9"/>
        <v>h</v>
      </c>
      <c r="E81" s="43">
        <f>IF(D81="h",PV!E81,IF(D81="M",PV!G81,PV!I81))</f>
        <v>3.6</v>
      </c>
      <c r="F81" s="291">
        <v>10</v>
      </c>
      <c r="G81" s="291">
        <v>27</v>
      </c>
      <c r="H81" s="291"/>
      <c r="I81" s="291"/>
      <c r="J81" s="291"/>
      <c r="K81" s="291">
        <v>27</v>
      </c>
      <c r="L81" s="331">
        <v>12.15</v>
      </c>
      <c r="M81" s="332"/>
      <c r="N81" s="333">
        <v>8.64</v>
      </c>
      <c r="O81" s="333">
        <v>6.21</v>
      </c>
      <c r="P81" s="334"/>
      <c r="Q81" s="275">
        <f t="shared" si="11"/>
        <v>97.2</v>
      </c>
      <c r="R81" s="280">
        <f>K81*C81</f>
        <v>12.69</v>
      </c>
      <c r="U81" s="294">
        <f t="shared" si="12"/>
        <v>14.85</v>
      </c>
    </row>
    <row r="82" spans="1:21" s="25" customFormat="1" ht="20.100000000000001" customHeight="1" x14ac:dyDescent="0.25">
      <c r="A82" s="377">
        <v>1263743</v>
      </c>
      <c r="B82" s="352" t="s">
        <v>292</v>
      </c>
      <c r="C82" s="85">
        <f>PV!C82</f>
        <v>0.8</v>
      </c>
      <c r="D82" s="44" t="str">
        <f t="shared" si="9"/>
        <v>h</v>
      </c>
      <c r="E82" s="43">
        <f>IF(D82="h",PV!E82,IF(D82="M",PV!G82,PV!I82))</f>
        <v>5.75</v>
      </c>
      <c r="F82" s="291">
        <v>12</v>
      </c>
      <c r="G82" s="291">
        <v>0</v>
      </c>
      <c r="H82" s="291"/>
      <c r="I82" s="291"/>
      <c r="J82" s="291"/>
      <c r="K82" s="291">
        <v>0</v>
      </c>
      <c r="L82" s="331"/>
      <c r="M82" s="332"/>
      <c r="N82" s="333"/>
      <c r="O82" s="333"/>
      <c r="P82" s="334"/>
      <c r="Q82" s="275">
        <f t="shared" si="11"/>
        <v>0</v>
      </c>
      <c r="R82" s="280">
        <f>K82*C82</f>
        <v>0</v>
      </c>
      <c r="U82" s="294">
        <f t="shared" si="12"/>
        <v>0</v>
      </c>
    </row>
    <row r="83" spans="1:21" s="25" customFormat="1" ht="19.5" x14ac:dyDescent="0.25">
      <c r="A83" s="381">
        <v>65862</v>
      </c>
      <c r="B83" s="346" t="s">
        <v>178</v>
      </c>
      <c r="C83" s="85">
        <f>PV!C83</f>
        <v>0.48</v>
      </c>
      <c r="D83" s="44" t="str">
        <f t="shared" si="9"/>
        <v>h</v>
      </c>
      <c r="E83" s="43">
        <f>IF(D83="h",PV!E83,IF(D83="M",PV!G83,PV!I83))</f>
        <v>3.95</v>
      </c>
      <c r="F83" s="291">
        <v>4</v>
      </c>
      <c r="G83" s="291">
        <v>12</v>
      </c>
      <c r="H83" s="291"/>
      <c r="I83" s="291"/>
      <c r="J83" s="291"/>
      <c r="K83" s="291">
        <v>12</v>
      </c>
      <c r="L83" s="331">
        <v>5.4</v>
      </c>
      <c r="M83" s="332"/>
      <c r="N83" s="333">
        <v>6.6</v>
      </c>
      <c r="O83" s="333"/>
      <c r="P83" s="334"/>
      <c r="Q83" s="275">
        <f t="shared" si="11"/>
        <v>47.400000000000006</v>
      </c>
      <c r="R83" s="280">
        <f>K83*C83</f>
        <v>5.76</v>
      </c>
      <c r="U83" s="294">
        <f t="shared" si="12"/>
        <v>6.6</v>
      </c>
    </row>
    <row r="84" spans="1:21" s="25" customFormat="1" ht="0.6" customHeight="1" x14ac:dyDescent="0.25">
      <c r="A84" s="335"/>
      <c r="B84" s="353"/>
      <c r="C84" s="85">
        <f>PV!C84</f>
        <v>0</v>
      </c>
      <c r="D84" s="44" t="str">
        <f t="shared" si="9"/>
        <v>h</v>
      </c>
      <c r="E84" s="43">
        <f>IF(D84="h",PV!E84,IF(D84="M",PV!G84,PV!I84))</f>
        <v>0</v>
      </c>
      <c r="F84" s="291">
        <v>0</v>
      </c>
      <c r="G84" s="291">
        <v>0</v>
      </c>
      <c r="H84" s="291"/>
      <c r="I84" s="291"/>
      <c r="J84" s="291"/>
      <c r="K84" s="291">
        <v>0</v>
      </c>
      <c r="L84" s="331"/>
      <c r="M84" s="332"/>
      <c r="N84" s="333"/>
      <c r="O84" s="333"/>
      <c r="P84" s="334"/>
      <c r="Q84" s="275">
        <f t="shared" si="11"/>
        <v>0</v>
      </c>
      <c r="R84" s="281">
        <f>SUM(R80:R83)</f>
        <v>53.65</v>
      </c>
      <c r="U84" s="294">
        <f t="shared" si="12"/>
        <v>0</v>
      </c>
    </row>
    <row r="85" spans="1:21" s="25" customFormat="1" ht="19.5" x14ac:dyDescent="0.25">
      <c r="A85" s="381">
        <v>1263732</v>
      </c>
      <c r="B85" s="346" t="s">
        <v>263</v>
      </c>
      <c r="C85" s="85">
        <f>PV!C85</f>
        <v>0.47</v>
      </c>
      <c r="D85" s="44" t="str">
        <f t="shared" si="9"/>
        <v>h</v>
      </c>
      <c r="E85" s="43">
        <f>IF(D85="h",PV!E85,IF(D85="M",PV!G85,PV!I85))</f>
        <v>2.75</v>
      </c>
      <c r="F85" s="291">
        <v>7</v>
      </c>
      <c r="G85" s="291">
        <v>12</v>
      </c>
      <c r="H85" s="291"/>
      <c r="I85" s="291"/>
      <c r="J85" s="291"/>
      <c r="K85" s="291">
        <v>12</v>
      </c>
      <c r="L85" s="331">
        <v>5.4</v>
      </c>
      <c r="M85" s="332"/>
      <c r="N85" s="333">
        <v>6.6</v>
      </c>
      <c r="O85" s="333"/>
      <c r="P85" s="334"/>
      <c r="Q85" s="275">
        <f t="shared" si="11"/>
        <v>33</v>
      </c>
      <c r="R85" s="280">
        <f>K85*C85</f>
        <v>5.64</v>
      </c>
      <c r="U85" s="294">
        <f t="shared" si="12"/>
        <v>6.6</v>
      </c>
    </row>
    <row r="86" spans="1:21" s="25" customFormat="1" ht="19.5" x14ac:dyDescent="0.25">
      <c r="A86" s="381">
        <v>1263733</v>
      </c>
      <c r="B86" s="346" t="s">
        <v>264</v>
      </c>
      <c r="C86" s="85">
        <f>PV!C86</f>
        <v>0.8</v>
      </c>
      <c r="D86" s="44" t="str">
        <f t="shared" si="9"/>
        <v>h</v>
      </c>
      <c r="E86" s="43">
        <f>IF(D86="h",PV!E86,IF(D86="M",PV!G86,PV!I86))</f>
        <v>5.5</v>
      </c>
      <c r="F86" s="291">
        <v>3</v>
      </c>
      <c r="G86" s="291">
        <v>40</v>
      </c>
      <c r="H86" s="291"/>
      <c r="I86" s="291"/>
      <c r="J86" s="291"/>
      <c r="K86" s="291">
        <v>40</v>
      </c>
      <c r="L86" s="331">
        <v>18</v>
      </c>
      <c r="M86" s="332"/>
      <c r="N86" s="333">
        <v>12.8</v>
      </c>
      <c r="O86" s="333">
        <v>9.1999999999999993</v>
      </c>
      <c r="P86" s="334"/>
      <c r="Q86" s="275">
        <f t="shared" si="11"/>
        <v>220</v>
      </c>
      <c r="R86" s="280">
        <f>K86*C86</f>
        <v>32</v>
      </c>
      <c r="U86" s="294">
        <f t="shared" si="12"/>
        <v>22</v>
      </c>
    </row>
    <row r="87" spans="1:21" s="25" customFormat="1" ht="0.6" customHeight="1" x14ac:dyDescent="0.2">
      <c r="A87" s="382"/>
      <c r="B87" s="343"/>
      <c r="C87" s="85">
        <f>PV!C87</f>
        <v>0</v>
      </c>
      <c r="D87" s="44" t="str">
        <f t="shared" si="9"/>
        <v>h</v>
      </c>
      <c r="E87" s="43">
        <f>IF(D87="h",PV!E87,IF(D87="M",PV!G87,PV!I87))</f>
        <v>0</v>
      </c>
      <c r="F87" s="291">
        <v>0</v>
      </c>
      <c r="G87" s="291">
        <v>0</v>
      </c>
      <c r="H87" s="291"/>
      <c r="I87" s="291"/>
      <c r="J87" s="291"/>
      <c r="K87" s="291">
        <v>0</v>
      </c>
      <c r="L87" s="331"/>
      <c r="M87" s="332"/>
      <c r="N87" s="333"/>
      <c r="O87" s="333"/>
      <c r="P87" s="334"/>
      <c r="Q87" s="275"/>
      <c r="R87" s="281">
        <f>SUM(R85:R86)</f>
        <v>37.64</v>
      </c>
      <c r="U87" s="294">
        <f t="shared" si="12"/>
        <v>0</v>
      </c>
    </row>
    <row r="88" spans="1:21" ht="19.5" x14ac:dyDescent="0.2">
      <c r="A88" s="379">
        <v>1095099</v>
      </c>
      <c r="B88" s="354" t="s">
        <v>161</v>
      </c>
      <c r="C88" s="85">
        <f>PV!C88</f>
        <v>0.15</v>
      </c>
      <c r="D88" s="44" t="str">
        <f t="shared" si="9"/>
        <v>h</v>
      </c>
      <c r="E88" s="43">
        <f>IF(D88="h",PV!E88,IF(D88="M",PV!G88,PV!I88))</f>
        <v>2.5</v>
      </c>
      <c r="F88" s="291">
        <v>0</v>
      </c>
      <c r="G88" s="291">
        <v>0</v>
      </c>
      <c r="H88" s="291"/>
      <c r="I88" s="291"/>
      <c r="J88" s="291"/>
      <c r="K88" s="291">
        <v>0</v>
      </c>
      <c r="L88" s="331"/>
      <c r="M88" s="332"/>
      <c r="N88" s="333"/>
      <c r="O88" s="333"/>
      <c r="P88" s="334"/>
      <c r="Q88" s="275">
        <f>(K88*E88)</f>
        <v>0</v>
      </c>
      <c r="R88" s="280">
        <f>K88*C88</f>
        <v>0</v>
      </c>
      <c r="U88" s="294">
        <f t="shared" si="12"/>
        <v>0</v>
      </c>
    </row>
    <row r="89" spans="1:21" s="28" customFormat="1" ht="19.5" x14ac:dyDescent="0.2">
      <c r="A89" s="380">
        <v>1008120</v>
      </c>
      <c r="B89" s="355" t="s">
        <v>162</v>
      </c>
      <c r="C89" s="85">
        <f>PV!C89</f>
        <v>0.12</v>
      </c>
      <c r="D89" s="44" t="str">
        <f t="shared" si="9"/>
        <v>h</v>
      </c>
      <c r="E89" s="43">
        <f>IF(D89="h",PV!E89,IF(D89="M",PV!G89,PV!I89))</f>
        <v>2.5</v>
      </c>
      <c r="F89" s="291">
        <v>0</v>
      </c>
      <c r="G89" s="291">
        <v>0</v>
      </c>
      <c r="H89" s="291"/>
      <c r="I89" s="291"/>
      <c r="J89" s="291"/>
      <c r="K89" s="291">
        <v>0</v>
      </c>
      <c r="L89" s="331"/>
      <c r="M89" s="332"/>
      <c r="N89" s="333"/>
      <c r="O89" s="333"/>
      <c r="P89" s="334"/>
      <c r="Q89" s="275">
        <f>(K89*E89)</f>
        <v>0</v>
      </c>
      <c r="R89" s="280">
        <f>K89*C89</f>
        <v>0</v>
      </c>
      <c r="U89" s="294">
        <f t="shared" si="12"/>
        <v>0</v>
      </c>
    </row>
    <row r="90" spans="1:21" s="25" customFormat="1" ht="19.5" x14ac:dyDescent="0.2">
      <c r="A90" s="379">
        <v>1263735</v>
      </c>
      <c r="B90" s="343" t="s">
        <v>272</v>
      </c>
      <c r="C90" s="85">
        <f>PV!C90</f>
        <v>0.7</v>
      </c>
      <c r="D90" s="44" t="str">
        <f t="shared" si="9"/>
        <v>h</v>
      </c>
      <c r="E90" s="43">
        <f>IF(D90="h",PV!E90,IF(D90="M",PV!G90,PV!I90))</f>
        <v>6.2</v>
      </c>
      <c r="F90" s="291">
        <v>9</v>
      </c>
      <c r="G90" s="291">
        <v>39</v>
      </c>
      <c r="H90" s="291"/>
      <c r="I90" s="291"/>
      <c r="J90" s="291"/>
      <c r="K90" s="291">
        <v>39</v>
      </c>
      <c r="L90" s="331">
        <v>17.55</v>
      </c>
      <c r="M90" s="332"/>
      <c r="N90" s="333">
        <v>12.48</v>
      </c>
      <c r="O90" s="333">
        <v>8.9700000000000006</v>
      </c>
      <c r="P90" s="334"/>
      <c r="Q90" s="275">
        <f>(K90*E90)</f>
        <v>241.8</v>
      </c>
      <c r="R90" s="280">
        <f>K90*C90</f>
        <v>27.299999999999997</v>
      </c>
      <c r="U90" s="294">
        <f t="shared" si="12"/>
        <v>21.45</v>
      </c>
    </row>
    <row r="91" spans="1:21" ht="19.5" x14ac:dyDescent="0.2">
      <c r="A91" s="379">
        <v>1008119</v>
      </c>
      <c r="B91" s="354" t="s">
        <v>158</v>
      </c>
      <c r="C91" s="85">
        <f>PV!C91</f>
        <v>0.3</v>
      </c>
      <c r="D91" s="44" t="str">
        <f t="shared" si="9"/>
        <v>h</v>
      </c>
      <c r="E91" s="43">
        <f>IF(D91="h",PV!E91,IF(D91="M",PV!G91,PV!I91))</f>
        <v>2.7</v>
      </c>
      <c r="F91" s="291">
        <v>0</v>
      </c>
      <c r="G91" s="291">
        <v>0</v>
      </c>
      <c r="H91" s="291"/>
      <c r="I91" s="291"/>
      <c r="J91" s="291"/>
      <c r="K91" s="291">
        <v>0</v>
      </c>
      <c r="L91" s="331"/>
      <c r="M91" s="332"/>
      <c r="N91" s="333"/>
      <c r="O91" s="333"/>
      <c r="P91" s="334"/>
      <c r="Q91" s="275">
        <f>(K91*E91)</f>
        <v>0</v>
      </c>
      <c r="R91" s="280">
        <f>K91*C91</f>
        <v>0</v>
      </c>
      <c r="U91" s="294">
        <f t="shared" si="12"/>
        <v>0</v>
      </c>
    </row>
    <row r="92" spans="1:21" s="28" customFormat="1" ht="0.6" customHeight="1" x14ac:dyDescent="0.2">
      <c r="A92" s="380"/>
      <c r="B92" s="356"/>
      <c r="C92" s="85">
        <f>PV!C92</f>
        <v>0</v>
      </c>
      <c r="D92" s="44" t="str">
        <f t="shared" si="9"/>
        <v>h</v>
      </c>
      <c r="E92" s="43">
        <f>IF(D92="h",PV!E92,IF(D92="M",PV!G92,PV!I92))</f>
        <v>0</v>
      </c>
      <c r="F92" s="291">
        <v>0</v>
      </c>
      <c r="G92" s="291">
        <v>0</v>
      </c>
      <c r="H92" s="291"/>
      <c r="I92" s="291"/>
      <c r="J92" s="291"/>
      <c r="K92" s="291">
        <v>0</v>
      </c>
      <c r="L92" s="331"/>
      <c r="M92" s="332"/>
      <c r="N92" s="333"/>
      <c r="O92" s="333"/>
      <c r="P92" s="334"/>
      <c r="Q92" s="271"/>
      <c r="R92" s="281">
        <f>SUM(R88:R91)</f>
        <v>27.299999999999997</v>
      </c>
      <c r="U92" s="294">
        <f t="shared" si="12"/>
        <v>0</v>
      </c>
    </row>
    <row r="93" spans="1:21" s="25" customFormat="1" ht="19.5" x14ac:dyDescent="0.25">
      <c r="A93" s="335">
        <v>401788</v>
      </c>
      <c r="B93" s="352" t="s">
        <v>138</v>
      </c>
      <c r="C93" s="85">
        <f>PV!C93</f>
        <v>0.2</v>
      </c>
      <c r="D93" s="44" t="str">
        <f t="shared" si="9"/>
        <v>h</v>
      </c>
      <c r="E93" s="43">
        <f>IF(D93="h",PV!E93,IF(D93="M",PV!G93,PV!I93))</f>
        <v>0.5</v>
      </c>
      <c r="F93" s="291">
        <v>51</v>
      </c>
      <c r="G93" s="291">
        <v>172</v>
      </c>
      <c r="H93" s="291"/>
      <c r="I93" s="291"/>
      <c r="J93" s="291"/>
      <c r="K93" s="291">
        <v>172</v>
      </c>
      <c r="L93" s="331">
        <v>34.4</v>
      </c>
      <c r="M93" s="332">
        <v>43</v>
      </c>
      <c r="N93" s="333">
        <v>55.04</v>
      </c>
      <c r="O93" s="333">
        <v>39.56</v>
      </c>
      <c r="P93" s="334"/>
      <c r="Q93" s="279">
        <f>(K93*E93)</f>
        <v>86</v>
      </c>
      <c r="R93" s="280">
        <f>K93*C93</f>
        <v>34.4</v>
      </c>
      <c r="U93" s="294">
        <f t="shared" si="12"/>
        <v>137.6</v>
      </c>
    </row>
    <row r="94" spans="1:21" s="25" customFormat="1" ht="19.5" x14ac:dyDescent="0.25">
      <c r="A94" s="335">
        <v>391720</v>
      </c>
      <c r="B94" s="352" t="s">
        <v>139</v>
      </c>
      <c r="C94" s="85">
        <f>PV!C94</f>
        <v>0.84</v>
      </c>
      <c r="D94" s="44" t="str">
        <f t="shared" si="9"/>
        <v>h</v>
      </c>
      <c r="E94" s="43">
        <f>IF(D94="h",PV!E94,IF(D94="M",PV!G94,PV!I94))</f>
        <v>3.5</v>
      </c>
      <c r="F94" s="291">
        <v>0</v>
      </c>
      <c r="G94" s="291">
        <v>0</v>
      </c>
      <c r="H94" s="291"/>
      <c r="I94" s="291"/>
      <c r="J94" s="291"/>
      <c r="K94" s="291">
        <v>0</v>
      </c>
      <c r="L94" s="331"/>
      <c r="M94" s="332"/>
      <c r="N94" s="333"/>
      <c r="O94" s="333"/>
      <c r="P94" s="334"/>
      <c r="Q94" s="275">
        <f>(K94*E94)</f>
        <v>0</v>
      </c>
      <c r="R94" s="280">
        <f>K94*C94</f>
        <v>0</v>
      </c>
      <c r="U94" s="294">
        <f t="shared" si="12"/>
        <v>0</v>
      </c>
    </row>
    <row r="95" spans="1:21" s="25" customFormat="1" ht="19.5" x14ac:dyDescent="0.25">
      <c r="A95" s="335">
        <v>438079</v>
      </c>
      <c r="B95" s="352" t="s">
        <v>293</v>
      </c>
      <c r="C95" s="85">
        <f>PV!C95</f>
        <v>0.3</v>
      </c>
      <c r="D95" s="44" t="str">
        <f t="shared" si="9"/>
        <v>h</v>
      </c>
      <c r="E95" s="43">
        <f>IF(D95="h",PV!E95,IF(D95="M",PV!G95,PV!I95))</f>
        <v>2.65</v>
      </c>
      <c r="F95" s="291">
        <v>0</v>
      </c>
      <c r="G95" s="291">
        <v>0</v>
      </c>
      <c r="H95" s="291"/>
      <c r="I95" s="291"/>
      <c r="J95" s="291"/>
      <c r="K95" s="291">
        <v>0</v>
      </c>
      <c r="L95" s="331"/>
      <c r="M95" s="332"/>
      <c r="N95" s="333"/>
      <c r="O95" s="333"/>
      <c r="P95" s="334"/>
      <c r="Q95" s="275">
        <f>(K95*E95)</f>
        <v>0</v>
      </c>
      <c r="R95" s="280">
        <f>K95*C95</f>
        <v>0</v>
      </c>
      <c r="U95" s="294">
        <f t="shared" si="12"/>
        <v>0</v>
      </c>
    </row>
    <row r="96" spans="1:21" s="25" customFormat="1" ht="19.5" x14ac:dyDescent="0.25">
      <c r="A96" s="335">
        <v>391741</v>
      </c>
      <c r="B96" s="352" t="s">
        <v>41</v>
      </c>
      <c r="C96" s="85">
        <f>PV!C96</f>
        <v>1.2</v>
      </c>
      <c r="D96" s="44" t="str">
        <f t="shared" si="9"/>
        <v>h</v>
      </c>
      <c r="E96" s="43">
        <f>IF(D96="h",PV!E96,IF(D96="M",PV!G96,PV!I96))</f>
        <v>2.5</v>
      </c>
      <c r="F96" s="291">
        <v>44</v>
      </c>
      <c r="G96" s="291">
        <v>50</v>
      </c>
      <c r="H96" s="291"/>
      <c r="I96" s="291"/>
      <c r="J96" s="291"/>
      <c r="K96" s="291">
        <v>50</v>
      </c>
      <c r="L96" s="331">
        <v>10</v>
      </c>
      <c r="M96" s="332">
        <v>12.5</v>
      </c>
      <c r="N96" s="333">
        <v>16</v>
      </c>
      <c r="O96" s="333">
        <v>11.5</v>
      </c>
      <c r="P96" s="334"/>
      <c r="Q96" s="275">
        <f>(K96*E96)</f>
        <v>125</v>
      </c>
      <c r="R96" s="280">
        <f>K96*C96</f>
        <v>60</v>
      </c>
      <c r="U96" s="294">
        <f t="shared" si="12"/>
        <v>40</v>
      </c>
    </row>
    <row r="97" spans="1:21" s="25" customFormat="1" ht="19.5" x14ac:dyDescent="0.25">
      <c r="A97" s="335">
        <v>391742</v>
      </c>
      <c r="B97" s="352" t="s">
        <v>141</v>
      </c>
      <c r="C97" s="85">
        <f>PV!C97</f>
        <v>0.6</v>
      </c>
      <c r="D97" s="44" t="str">
        <f t="shared" si="9"/>
        <v>h</v>
      </c>
      <c r="E97" s="43">
        <f>IF(D97="h",PV!E97,IF(D97="M",PV!G97,PV!I97))</f>
        <v>1.25</v>
      </c>
      <c r="F97" s="291">
        <v>2</v>
      </c>
      <c r="G97" s="291">
        <v>0</v>
      </c>
      <c r="H97" s="291"/>
      <c r="I97" s="291"/>
      <c r="J97" s="291"/>
      <c r="K97" s="291">
        <v>0</v>
      </c>
      <c r="L97" s="331"/>
      <c r="M97" s="332"/>
      <c r="N97" s="333"/>
      <c r="O97" s="333"/>
      <c r="P97" s="334"/>
      <c r="Q97" s="275">
        <f>(K97*E97)</f>
        <v>0</v>
      </c>
      <c r="R97" s="280">
        <f>K97*C97</f>
        <v>0</v>
      </c>
      <c r="U97" s="294">
        <f t="shared" si="12"/>
        <v>0</v>
      </c>
    </row>
    <row r="98" spans="1:21" s="25" customFormat="1" ht="0.6" customHeight="1" x14ac:dyDescent="0.25">
      <c r="A98" s="335"/>
      <c r="B98" s="352"/>
      <c r="C98" s="85"/>
      <c r="D98" s="44"/>
      <c r="E98" s="43"/>
      <c r="F98" s="291">
        <v>0</v>
      </c>
      <c r="G98" s="291">
        <v>0</v>
      </c>
      <c r="H98" s="291"/>
      <c r="I98" s="291"/>
      <c r="J98" s="291"/>
      <c r="K98" s="291">
        <v>0</v>
      </c>
      <c r="L98" s="331"/>
      <c r="M98" s="332"/>
      <c r="N98" s="333"/>
      <c r="O98" s="333"/>
      <c r="P98" s="334"/>
      <c r="Q98" s="275"/>
      <c r="R98" s="282">
        <f>SUM(R93:R97)</f>
        <v>94.4</v>
      </c>
      <c r="U98" s="294"/>
    </row>
    <row r="99" spans="1:21" s="25" customFormat="1" ht="19.5" x14ac:dyDescent="0.25">
      <c r="A99" s="335">
        <v>875635</v>
      </c>
      <c r="B99" s="352" t="s">
        <v>142</v>
      </c>
      <c r="C99" s="85">
        <f>PV!C99</f>
        <v>0.05</v>
      </c>
      <c r="D99" s="44" t="str">
        <f>D97</f>
        <v>h</v>
      </c>
      <c r="E99" s="43">
        <f>IF(D99="h",PV!E99,IF(D99="M",PV!G99,PV!I99))</f>
        <v>1.5</v>
      </c>
      <c r="F99" s="291">
        <v>0</v>
      </c>
      <c r="G99" s="291">
        <v>2</v>
      </c>
      <c r="H99" s="291"/>
      <c r="I99" s="291"/>
      <c r="J99" s="291"/>
      <c r="K99" s="291">
        <v>2</v>
      </c>
      <c r="L99" s="331">
        <v>2</v>
      </c>
      <c r="M99" s="332"/>
      <c r="N99" s="333"/>
      <c r="O99" s="333"/>
      <c r="P99" s="334"/>
      <c r="Q99" s="275">
        <f t="shared" ref="Q99:Q107" si="13">(K99*E99)</f>
        <v>3</v>
      </c>
      <c r="R99" s="280">
        <f t="shared" ref="R99:R104" si="14">K99*C99</f>
        <v>0.1</v>
      </c>
      <c r="U99" s="294">
        <f t="shared" ref="U99:U130" si="15">K99-L99</f>
        <v>0</v>
      </c>
    </row>
    <row r="100" spans="1:21" s="48" customFormat="1" ht="19.5" x14ac:dyDescent="0.25">
      <c r="A100" s="335">
        <v>391727</v>
      </c>
      <c r="B100" s="352" t="s">
        <v>143</v>
      </c>
      <c r="C100" s="85">
        <f>PV!C100</f>
        <v>0.1</v>
      </c>
      <c r="D100" s="44" t="str">
        <f t="shared" si="9"/>
        <v>h</v>
      </c>
      <c r="E100" s="43">
        <f>IF(D100="h",PV!E100,IF(D100="M",PV!G100,PV!I100))</f>
        <v>5.75</v>
      </c>
      <c r="F100" s="291">
        <v>32</v>
      </c>
      <c r="G100" s="291">
        <v>116</v>
      </c>
      <c r="H100" s="291"/>
      <c r="I100" s="291"/>
      <c r="J100" s="291"/>
      <c r="K100" s="291">
        <v>116</v>
      </c>
      <c r="L100" s="331">
        <v>23.2</v>
      </c>
      <c r="M100" s="332">
        <v>29</v>
      </c>
      <c r="N100" s="333">
        <v>37.119999999999997</v>
      </c>
      <c r="O100" s="333">
        <v>26.68</v>
      </c>
      <c r="P100" s="334"/>
      <c r="Q100" s="275">
        <f t="shared" si="13"/>
        <v>667</v>
      </c>
      <c r="R100" s="280">
        <f t="shared" si="14"/>
        <v>11.600000000000001</v>
      </c>
      <c r="U100" s="294">
        <f t="shared" si="15"/>
        <v>92.8</v>
      </c>
    </row>
    <row r="101" spans="1:21" s="48" customFormat="1" ht="19.5" x14ac:dyDescent="0.25">
      <c r="A101" s="379">
        <v>401769</v>
      </c>
      <c r="B101" s="352" t="s">
        <v>299</v>
      </c>
      <c r="C101" s="85">
        <f>PV!C101</f>
        <v>0.1</v>
      </c>
      <c r="D101" s="44" t="str">
        <f t="shared" si="9"/>
        <v>h</v>
      </c>
      <c r="E101" s="43">
        <f>IF(D101="h",PV!E101,IF(D101="M",PV!G101,PV!I101))</f>
        <v>4.75</v>
      </c>
      <c r="F101" s="291">
        <v>35</v>
      </c>
      <c r="G101" s="291">
        <v>48</v>
      </c>
      <c r="H101" s="291"/>
      <c r="I101" s="291"/>
      <c r="J101" s="291"/>
      <c r="K101" s="291">
        <v>48</v>
      </c>
      <c r="L101" s="331">
        <v>21.6</v>
      </c>
      <c r="M101" s="332"/>
      <c r="N101" s="333">
        <v>15.36</v>
      </c>
      <c r="O101" s="333">
        <v>11.04</v>
      </c>
      <c r="P101" s="334"/>
      <c r="Q101" s="275">
        <f t="shared" si="13"/>
        <v>228</v>
      </c>
      <c r="R101" s="280">
        <f t="shared" si="14"/>
        <v>4.8000000000000007</v>
      </c>
      <c r="U101" s="294">
        <f t="shared" si="15"/>
        <v>26.4</v>
      </c>
    </row>
    <row r="102" spans="1:21" s="25" customFormat="1" ht="19.5" x14ac:dyDescent="0.25">
      <c r="A102" s="379">
        <v>915518</v>
      </c>
      <c r="B102" s="352" t="s">
        <v>145</v>
      </c>
      <c r="C102" s="85">
        <f>PV!C102</f>
        <v>0.1</v>
      </c>
      <c r="D102" s="44" t="str">
        <f t="shared" si="9"/>
        <v>h</v>
      </c>
      <c r="E102" s="43">
        <f>IF(D102="h",PV!E102,IF(D102="M",PV!G102,PV!I102))</f>
        <v>5.75</v>
      </c>
      <c r="F102" s="291">
        <v>13</v>
      </c>
      <c r="G102" s="291">
        <v>0</v>
      </c>
      <c r="H102" s="291"/>
      <c r="I102" s="291"/>
      <c r="J102" s="291"/>
      <c r="K102" s="291">
        <v>0</v>
      </c>
      <c r="L102" s="331"/>
      <c r="M102" s="332"/>
      <c r="N102" s="333"/>
      <c r="O102" s="333"/>
      <c r="P102" s="334"/>
      <c r="Q102" s="275">
        <f t="shared" si="13"/>
        <v>0</v>
      </c>
      <c r="R102" s="280">
        <f t="shared" si="14"/>
        <v>0</v>
      </c>
      <c r="U102" s="294">
        <f t="shared" si="15"/>
        <v>0</v>
      </c>
    </row>
    <row r="103" spans="1:21" ht="19.5" x14ac:dyDescent="0.2">
      <c r="A103" s="380">
        <v>915523</v>
      </c>
      <c r="B103" s="354" t="s">
        <v>146</v>
      </c>
      <c r="C103" s="85">
        <f>PV!C103</f>
        <v>0.1</v>
      </c>
      <c r="D103" s="44" t="str">
        <f t="shared" si="9"/>
        <v>h</v>
      </c>
      <c r="E103" s="43">
        <f>IF(D103="h",PV!E103,IF(D103="M",PV!G103,PV!I103))</f>
        <v>5.25</v>
      </c>
      <c r="F103" s="291">
        <v>8</v>
      </c>
      <c r="G103" s="291">
        <v>0</v>
      </c>
      <c r="H103" s="291"/>
      <c r="I103" s="291"/>
      <c r="J103" s="291"/>
      <c r="K103" s="291">
        <v>0</v>
      </c>
      <c r="L103" s="331"/>
      <c r="M103" s="332"/>
      <c r="N103" s="333"/>
      <c r="O103" s="333"/>
      <c r="P103" s="334"/>
      <c r="Q103" s="275">
        <f t="shared" si="13"/>
        <v>0</v>
      </c>
      <c r="R103" s="280">
        <f t="shared" si="14"/>
        <v>0</v>
      </c>
      <c r="U103" s="294">
        <f t="shared" si="15"/>
        <v>0</v>
      </c>
    </row>
    <row r="104" spans="1:21" s="25" customFormat="1" ht="19.5" x14ac:dyDescent="0.25">
      <c r="A104" s="385">
        <v>391721</v>
      </c>
      <c r="B104" s="357" t="s">
        <v>147</v>
      </c>
      <c r="C104" s="85">
        <f>PV!C104</f>
        <v>0.1</v>
      </c>
      <c r="D104" s="44" t="str">
        <f t="shared" si="9"/>
        <v>h</v>
      </c>
      <c r="E104" s="43">
        <f>IF(D104="h",PV!E104,IF(D104="M",PV!G104,PV!I104))</f>
        <v>3.75</v>
      </c>
      <c r="F104" s="291">
        <v>28</v>
      </c>
      <c r="G104" s="291">
        <v>68</v>
      </c>
      <c r="H104" s="291"/>
      <c r="I104" s="291"/>
      <c r="J104" s="291"/>
      <c r="K104" s="291">
        <v>68</v>
      </c>
      <c r="L104" s="331">
        <v>13.6</v>
      </c>
      <c r="M104" s="332">
        <v>17</v>
      </c>
      <c r="N104" s="333">
        <v>21.76</v>
      </c>
      <c r="O104" s="333">
        <v>15.64</v>
      </c>
      <c r="P104" s="334"/>
      <c r="Q104" s="275">
        <f t="shared" si="13"/>
        <v>255</v>
      </c>
      <c r="R104" s="280">
        <f t="shared" si="14"/>
        <v>6.8000000000000007</v>
      </c>
      <c r="U104" s="294">
        <f t="shared" si="15"/>
        <v>54.4</v>
      </c>
    </row>
    <row r="105" spans="1:21" s="25" customFormat="1" ht="0.6" customHeight="1" x14ac:dyDescent="0.25">
      <c r="A105" s="382"/>
      <c r="B105" s="353"/>
      <c r="C105" s="85">
        <f>PV!C105</f>
        <v>0</v>
      </c>
      <c r="D105" s="44" t="str">
        <f t="shared" si="9"/>
        <v>h</v>
      </c>
      <c r="E105" s="43">
        <f>IF(D105="h",PV!E105,IF(D105="M",PV!G105,PV!I105))</f>
        <v>0</v>
      </c>
      <c r="F105" s="291">
        <v>0</v>
      </c>
      <c r="G105" s="291">
        <v>0</v>
      </c>
      <c r="H105" s="291"/>
      <c r="I105" s="291"/>
      <c r="J105" s="291"/>
      <c r="K105" s="291">
        <v>0</v>
      </c>
      <c r="L105" s="331"/>
      <c r="M105" s="332"/>
      <c r="N105" s="333"/>
      <c r="O105" s="333"/>
      <c r="P105" s="334"/>
      <c r="Q105" s="275">
        <f t="shared" si="13"/>
        <v>0</v>
      </c>
      <c r="R105" s="318">
        <f>SUM(R99:R104)</f>
        <v>23.3</v>
      </c>
      <c r="U105" s="294">
        <f t="shared" si="15"/>
        <v>0</v>
      </c>
    </row>
    <row r="106" spans="1:21" ht="18.75" customHeight="1" x14ac:dyDescent="0.2">
      <c r="A106" s="381">
        <v>391717</v>
      </c>
      <c r="B106" s="338" t="s">
        <v>294</v>
      </c>
      <c r="C106" s="85">
        <f>PV!C106</f>
        <v>1.2</v>
      </c>
      <c r="D106" s="44" t="str">
        <f t="shared" si="9"/>
        <v>h</v>
      </c>
      <c r="E106" s="43">
        <f>IF(D106="h",PV!E106,IF(D106="M",PV!G106,PV!I106))</f>
        <v>4.25</v>
      </c>
      <c r="F106" s="291">
        <v>47</v>
      </c>
      <c r="G106" s="291">
        <v>35</v>
      </c>
      <c r="H106" s="291"/>
      <c r="I106" s="291"/>
      <c r="J106" s="291"/>
      <c r="K106" s="291">
        <v>35</v>
      </c>
      <c r="L106" s="331">
        <v>15.75</v>
      </c>
      <c r="M106" s="332"/>
      <c r="N106" s="333">
        <v>11.2</v>
      </c>
      <c r="O106" s="333">
        <v>8.0500000000000007</v>
      </c>
      <c r="P106" s="334"/>
      <c r="Q106" s="275">
        <f t="shared" si="13"/>
        <v>148.75</v>
      </c>
      <c r="R106" s="280">
        <f>K106*C106</f>
        <v>42</v>
      </c>
      <c r="U106" s="294">
        <f t="shared" si="15"/>
        <v>19.25</v>
      </c>
    </row>
    <row r="107" spans="1:21" ht="19.5" x14ac:dyDescent="0.2">
      <c r="A107" s="381">
        <v>438604</v>
      </c>
      <c r="B107" s="338" t="s">
        <v>295</v>
      </c>
      <c r="C107" s="85">
        <f>PV!C107</f>
        <v>0.6</v>
      </c>
      <c r="D107" s="44" t="str">
        <f t="shared" si="9"/>
        <v>h</v>
      </c>
      <c r="E107" s="43">
        <f>IF(D107="h",PV!E107,IF(D107="M",PV!G107,PV!I107))</f>
        <v>3.25</v>
      </c>
      <c r="F107" s="291">
        <v>0</v>
      </c>
      <c r="G107" s="291">
        <v>8</v>
      </c>
      <c r="H107" s="291"/>
      <c r="I107" s="291"/>
      <c r="J107" s="291"/>
      <c r="K107" s="291">
        <v>8</v>
      </c>
      <c r="L107" s="331">
        <v>8</v>
      </c>
      <c r="M107" s="332"/>
      <c r="N107" s="333"/>
      <c r="O107" s="333"/>
      <c r="P107" s="334"/>
      <c r="Q107" s="275">
        <f t="shared" si="13"/>
        <v>26</v>
      </c>
      <c r="R107" s="280">
        <f>K107*C107</f>
        <v>4.8</v>
      </c>
      <c r="U107" s="294">
        <f t="shared" si="15"/>
        <v>0</v>
      </c>
    </row>
    <row r="108" spans="1:21" s="25" customFormat="1" ht="0.6" customHeight="1" x14ac:dyDescent="0.15">
      <c r="A108" s="335"/>
      <c r="B108" s="343"/>
      <c r="C108" s="85">
        <f>PV!C108</f>
        <v>0</v>
      </c>
      <c r="D108" s="44" t="str">
        <f t="shared" si="9"/>
        <v>h</v>
      </c>
      <c r="E108" s="43">
        <f>IF(D108="h",PV!E108,IF(D108="M",PV!G108,PV!I108))</f>
        <v>0</v>
      </c>
      <c r="F108" s="291">
        <v>0</v>
      </c>
      <c r="G108" s="291">
        <v>0</v>
      </c>
      <c r="H108" s="291"/>
      <c r="I108" s="291"/>
      <c r="J108" s="291"/>
      <c r="K108" s="291">
        <v>0</v>
      </c>
      <c r="L108" s="331"/>
      <c r="M108" s="332"/>
      <c r="N108" s="333"/>
      <c r="O108" s="333"/>
      <c r="P108" s="334"/>
      <c r="Q108" s="275"/>
      <c r="R108" s="281">
        <f>SUM(R106:R107)</f>
        <v>46.8</v>
      </c>
      <c r="U108" s="294">
        <f t="shared" si="15"/>
        <v>0</v>
      </c>
    </row>
    <row r="109" spans="1:21" s="25" customFormat="1" ht="19.5" x14ac:dyDescent="0.25">
      <c r="A109" s="381">
        <v>1008122</v>
      </c>
      <c r="B109" s="346" t="s">
        <v>165</v>
      </c>
      <c r="C109" s="85">
        <f>PV!C109</f>
        <v>0.3</v>
      </c>
      <c r="D109" s="44" t="str">
        <f t="shared" si="9"/>
        <v>h</v>
      </c>
      <c r="E109" s="43">
        <f>IF(D109="h",PV!E109,IF(D109="M",PV!G109,PV!I109))</f>
        <v>4</v>
      </c>
      <c r="F109" s="291">
        <v>19</v>
      </c>
      <c r="G109" s="291">
        <v>19</v>
      </c>
      <c r="H109" s="291"/>
      <c r="I109" s="291"/>
      <c r="J109" s="291"/>
      <c r="K109" s="291">
        <v>19</v>
      </c>
      <c r="L109" s="331">
        <v>8.5500000000000007</v>
      </c>
      <c r="M109" s="332"/>
      <c r="N109" s="333">
        <v>10.45</v>
      </c>
      <c r="O109" s="333"/>
      <c r="P109" s="334"/>
      <c r="Q109" s="275">
        <f>(K109*E109)</f>
        <v>76</v>
      </c>
      <c r="R109" s="280">
        <f>K109*C109</f>
        <v>5.7</v>
      </c>
      <c r="U109" s="294">
        <f t="shared" si="15"/>
        <v>10.45</v>
      </c>
    </row>
    <row r="110" spans="1:21" s="25" customFormat="1" ht="19.5" x14ac:dyDescent="0.25">
      <c r="A110" s="381">
        <v>1008124</v>
      </c>
      <c r="B110" s="346" t="s">
        <v>166</v>
      </c>
      <c r="C110" s="85">
        <f>PV!C110</f>
        <v>0.3</v>
      </c>
      <c r="D110" s="44" t="str">
        <f t="shared" si="9"/>
        <v>h</v>
      </c>
      <c r="E110" s="43">
        <f>IF(D110="h",PV!E110,IF(D110="M",PV!G110,PV!I110))</f>
        <v>5</v>
      </c>
      <c r="F110" s="291">
        <v>16</v>
      </c>
      <c r="G110" s="291">
        <v>14</v>
      </c>
      <c r="H110" s="291"/>
      <c r="I110" s="291"/>
      <c r="J110" s="291"/>
      <c r="K110" s="291">
        <v>14</v>
      </c>
      <c r="L110" s="331">
        <v>6.3</v>
      </c>
      <c r="M110" s="332"/>
      <c r="N110" s="333">
        <v>7.7</v>
      </c>
      <c r="O110" s="333"/>
      <c r="P110" s="334"/>
      <c r="Q110" s="275">
        <f>(K110*E110)</f>
        <v>70</v>
      </c>
      <c r="R110" s="280">
        <f>K110*C110</f>
        <v>4.2</v>
      </c>
      <c r="U110" s="294">
        <f t="shared" si="15"/>
        <v>7.7</v>
      </c>
    </row>
    <row r="111" spans="1:21" s="25" customFormat="1" ht="19.5" x14ac:dyDescent="0.25">
      <c r="A111" s="381">
        <v>1007683</v>
      </c>
      <c r="B111" s="346" t="s">
        <v>167</v>
      </c>
      <c r="C111" s="85">
        <f>PV!C111</f>
        <v>0.3</v>
      </c>
      <c r="D111" s="44" t="str">
        <f t="shared" si="9"/>
        <v>h</v>
      </c>
      <c r="E111" s="43">
        <f>IF(D111="h",PV!E111,IF(D111="M",PV!G111,PV!I111))</f>
        <v>1.5</v>
      </c>
      <c r="F111" s="291">
        <v>95</v>
      </c>
      <c r="G111" s="291">
        <v>961</v>
      </c>
      <c r="H111" s="291"/>
      <c r="I111" s="291"/>
      <c r="J111" s="291"/>
      <c r="K111" s="291">
        <v>961</v>
      </c>
      <c r="L111" s="331">
        <v>192.2</v>
      </c>
      <c r="M111" s="332">
        <v>240.25</v>
      </c>
      <c r="N111" s="333">
        <v>307.52</v>
      </c>
      <c r="O111" s="333">
        <v>221.03</v>
      </c>
      <c r="P111" s="334"/>
      <c r="Q111" s="275">
        <f>(K111*E111)</f>
        <v>1441.5</v>
      </c>
      <c r="R111" s="280">
        <f>K111*C111</f>
        <v>288.3</v>
      </c>
      <c r="U111" s="294">
        <f t="shared" si="15"/>
        <v>768.8</v>
      </c>
    </row>
    <row r="112" spans="1:21" s="25" customFormat="1" ht="19.5" x14ac:dyDescent="0.25">
      <c r="A112" s="381">
        <v>1008123</v>
      </c>
      <c r="B112" s="346" t="s">
        <v>168</v>
      </c>
      <c r="C112" s="85">
        <f>PV!C112</f>
        <v>0.3</v>
      </c>
      <c r="D112" s="44" t="str">
        <f t="shared" si="9"/>
        <v>h</v>
      </c>
      <c r="E112" s="43">
        <f>IF(D112="h",PV!E112,IF(D112="M",PV!G112,PV!I112))</f>
        <v>3</v>
      </c>
      <c r="F112" s="291">
        <v>26</v>
      </c>
      <c r="G112" s="291">
        <v>13</v>
      </c>
      <c r="H112" s="291"/>
      <c r="I112" s="291"/>
      <c r="J112" s="291"/>
      <c r="K112" s="291">
        <v>13</v>
      </c>
      <c r="L112" s="331">
        <v>5.85</v>
      </c>
      <c r="M112" s="332"/>
      <c r="N112" s="333">
        <v>7.15</v>
      </c>
      <c r="O112" s="333"/>
      <c r="P112" s="334"/>
      <c r="Q112" s="275">
        <f>(K112*E112)</f>
        <v>39</v>
      </c>
      <c r="R112" s="280">
        <f>K112*C112</f>
        <v>3.9</v>
      </c>
      <c r="U112" s="294">
        <f t="shared" si="15"/>
        <v>7.15</v>
      </c>
    </row>
    <row r="113" spans="1:21" s="25" customFormat="1" ht="19.5" x14ac:dyDescent="0.2">
      <c r="A113" s="382"/>
      <c r="B113" s="343"/>
      <c r="C113" s="85">
        <f>PV!C113</f>
        <v>0</v>
      </c>
      <c r="D113" s="44" t="str">
        <f t="shared" si="9"/>
        <v>h</v>
      </c>
      <c r="E113" s="43">
        <f>IF(D113="h",PV!E113,IF(D113="M",PV!G113,PV!I113))</f>
        <v>0</v>
      </c>
      <c r="F113" s="291">
        <v>0</v>
      </c>
      <c r="G113" s="291">
        <v>0</v>
      </c>
      <c r="H113" s="291"/>
      <c r="I113" s="291"/>
      <c r="J113" s="291"/>
      <c r="K113" s="291">
        <v>0</v>
      </c>
      <c r="L113" s="331"/>
      <c r="M113" s="332"/>
      <c r="N113" s="333"/>
      <c r="O113" s="333"/>
      <c r="P113" s="334"/>
      <c r="Q113" s="275"/>
      <c r="R113" s="281">
        <f>SUM(R109:R112)</f>
        <v>302.09999999999997</v>
      </c>
      <c r="U113" s="294">
        <f t="shared" si="15"/>
        <v>0</v>
      </c>
    </row>
    <row r="114" spans="1:21" ht="19.5" x14ac:dyDescent="0.25">
      <c r="A114" s="381">
        <v>949835</v>
      </c>
      <c r="B114" s="346" t="s">
        <v>179</v>
      </c>
      <c r="C114" s="85">
        <f>PV!C114</f>
        <v>0.24</v>
      </c>
      <c r="D114" s="44" t="str">
        <f t="shared" si="9"/>
        <v>h</v>
      </c>
      <c r="E114" s="43">
        <f>IF(D114="h",PV!E114,IF(D114="M",PV!G114,PV!I114))</f>
        <v>5.95</v>
      </c>
      <c r="F114" s="291">
        <v>0</v>
      </c>
      <c r="G114" s="291">
        <v>0</v>
      </c>
      <c r="H114" s="291"/>
      <c r="I114" s="291"/>
      <c r="J114" s="291"/>
      <c r="K114" s="291">
        <v>0</v>
      </c>
      <c r="L114" s="331"/>
      <c r="M114" s="332"/>
      <c r="N114" s="333"/>
      <c r="O114" s="333"/>
      <c r="P114" s="334"/>
      <c r="Q114" s="275">
        <f>(K114*E114)</f>
        <v>0</v>
      </c>
      <c r="R114" s="280">
        <f>K114*C114</f>
        <v>0</v>
      </c>
      <c r="U114" s="294">
        <f t="shared" si="15"/>
        <v>0</v>
      </c>
    </row>
    <row r="115" spans="1:21" ht="19.5" x14ac:dyDescent="0.2">
      <c r="A115" s="380"/>
      <c r="B115" s="358"/>
      <c r="C115" s="85">
        <f>PV!C115</f>
        <v>0</v>
      </c>
      <c r="D115" s="44" t="str">
        <f t="shared" si="9"/>
        <v>h</v>
      </c>
      <c r="E115" s="43">
        <f>IF(D115="h",PV!E115,IF(D115="M",PV!G115,PV!I115))</f>
        <v>0</v>
      </c>
      <c r="F115" s="291">
        <v>0</v>
      </c>
      <c r="G115" s="291">
        <v>0</v>
      </c>
      <c r="H115" s="291"/>
      <c r="I115" s="291"/>
      <c r="J115" s="291"/>
      <c r="K115" s="291">
        <v>0</v>
      </c>
      <c r="L115" s="331"/>
      <c r="M115" s="332"/>
      <c r="N115" s="333"/>
      <c r="O115" s="333"/>
      <c r="P115" s="334"/>
      <c r="Q115" s="278"/>
      <c r="R115" s="281">
        <f>SUM(R114:R114)</f>
        <v>0</v>
      </c>
      <c r="U115" s="294">
        <f t="shared" si="15"/>
        <v>0</v>
      </c>
    </row>
    <row r="116" spans="1:21" ht="19.5" x14ac:dyDescent="0.25">
      <c r="A116" s="381">
        <v>65916</v>
      </c>
      <c r="B116" s="359" t="s">
        <v>171</v>
      </c>
      <c r="C116" s="85">
        <f>PV!C116</f>
        <v>0.42</v>
      </c>
      <c r="D116" s="44" t="str">
        <f t="shared" si="9"/>
        <v>h</v>
      </c>
      <c r="E116" s="43">
        <f>IF(D116="h",PV!E116,IF(D116="M",PV!G116,PV!I116))</f>
        <v>11.95</v>
      </c>
      <c r="F116" s="291">
        <v>1</v>
      </c>
      <c r="G116" s="291">
        <v>0</v>
      </c>
      <c r="H116" s="291"/>
      <c r="I116" s="291"/>
      <c r="J116" s="291"/>
      <c r="K116" s="291">
        <v>0</v>
      </c>
      <c r="L116" s="331"/>
      <c r="M116" s="332"/>
      <c r="N116" s="333"/>
      <c r="O116" s="333"/>
      <c r="P116" s="334"/>
      <c r="Q116" s="275">
        <f>(K116*E116)</f>
        <v>0</v>
      </c>
      <c r="R116" s="280">
        <f>K116*C116</f>
        <v>0</v>
      </c>
      <c r="U116" s="294">
        <f t="shared" si="15"/>
        <v>0</v>
      </c>
    </row>
    <row r="117" spans="1:21" s="25" customFormat="1" ht="19.5" x14ac:dyDescent="0.25">
      <c r="A117" s="381">
        <v>65898</v>
      </c>
      <c r="B117" s="359" t="s">
        <v>172</v>
      </c>
      <c r="C117" s="85">
        <f>PV!C117</f>
        <v>0.42</v>
      </c>
      <c r="D117" s="44" t="str">
        <f t="shared" si="9"/>
        <v>h</v>
      </c>
      <c r="E117" s="43">
        <f>IF(D117="h",PV!E117,IF(D117="M",PV!G117,PV!I117))</f>
        <v>12.95</v>
      </c>
      <c r="F117" s="291">
        <v>0</v>
      </c>
      <c r="G117" s="291">
        <v>0</v>
      </c>
      <c r="H117" s="291"/>
      <c r="I117" s="291"/>
      <c r="J117" s="291"/>
      <c r="K117" s="291">
        <v>0</v>
      </c>
      <c r="L117" s="331"/>
      <c r="M117" s="332"/>
      <c r="N117" s="333"/>
      <c r="O117" s="333"/>
      <c r="P117" s="334"/>
      <c r="Q117" s="275">
        <f>(K117*E117)</f>
        <v>0</v>
      </c>
      <c r="R117" s="280">
        <f>K117*C117</f>
        <v>0</v>
      </c>
      <c r="U117" s="294">
        <f t="shared" si="15"/>
        <v>0</v>
      </c>
    </row>
    <row r="118" spans="1:21" s="25" customFormat="1" ht="19.5" x14ac:dyDescent="0.25">
      <c r="A118" s="381">
        <v>811956</v>
      </c>
      <c r="B118" s="359" t="s">
        <v>173</v>
      </c>
      <c r="C118" s="85">
        <f>PV!C118</f>
        <v>1.2</v>
      </c>
      <c r="D118" s="44" t="str">
        <f t="shared" si="9"/>
        <v>h</v>
      </c>
      <c r="E118" s="43">
        <f>IF(D118="h",PV!E118,IF(D118="M",PV!G118,PV!I118))</f>
        <v>29.75</v>
      </c>
      <c r="F118" s="291">
        <v>0</v>
      </c>
      <c r="G118" s="291">
        <v>0</v>
      </c>
      <c r="H118" s="291"/>
      <c r="I118" s="291"/>
      <c r="J118" s="291"/>
      <c r="K118" s="291">
        <v>0</v>
      </c>
      <c r="L118" s="331"/>
      <c r="M118" s="332"/>
      <c r="N118" s="333"/>
      <c r="O118" s="333"/>
      <c r="P118" s="334"/>
      <c r="Q118" s="275">
        <f>(K118*E118)</f>
        <v>0</v>
      </c>
      <c r="R118" s="280">
        <f>K118*C118</f>
        <v>0</v>
      </c>
      <c r="U118" s="294">
        <f t="shared" si="15"/>
        <v>0</v>
      </c>
    </row>
    <row r="119" spans="1:21" s="25" customFormat="1" ht="19.5" x14ac:dyDescent="0.25">
      <c r="A119" s="381">
        <v>445249</v>
      </c>
      <c r="B119" s="359" t="s">
        <v>174</v>
      </c>
      <c r="C119" s="85">
        <f>PV!C119</f>
        <v>0.35</v>
      </c>
      <c r="D119" s="44" t="str">
        <f t="shared" si="9"/>
        <v>h</v>
      </c>
      <c r="E119" s="43">
        <f>IF(D119="h",PV!E119,IF(D119="M",PV!G119,PV!I119))</f>
        <v>8.9</v>
      </c>
      <c r="F119" s="291">
        <v>3</v>
      </c>
      <c r="G119" s="291">
        <v>4</v>
      </c>
      <c r="H119" s="291"/>
      <c r="I119" s="291"/>
      <c r="J119" s="291"/>
      <c r="K119" s="291">
        <v>4</v>
      </c>
      <c r="L119" s="331">
        <v>4</v>
      </c>
      <c r="M119" s="332"/>
      <c r="N119" s="333"/>
      <c r="O119" s="333"/>
      <c r="P119" s="334"/>
      <c r="Q119" s="275">
        <f>(K119*E119)</f>
        <v>35.6</v>
      </c>
      <c r="R119" s="280">
        <f>K119*C119</f>
        <v>1.4</v>
      </c>
      <c r="U119" s="294">
        <f t="shared" si="15"/>
        <v>0</v>
      </c>
    </row>
    <row r="120" spans="1:21" ht="19.5" x14ac:dyDescent="0.25">
      <c r="A120" s="381">
        <v>65922</v>
      </c>
      <c r="B120" s="359" t="s">
        <v>74</v>
      </c>
      <c r="C120" s="85">
        <f>PV!C120</f>
        <v>0.35</v>
      </c>
      <c r="D120" s="44" t="str">
        <f t="shared" si="9"/>
        <v>h</v>
      </c>
      <c r="E120" s="43">
        <f>IF(D120="h",PV!E120,IF(D120="M",PV!G120,PV!I120))</f>
        <v>8.6999999999999993</v>
      </c>
      <c r="F120" s="291">
        <v>3</v>
      </c>
      <c r="G120" s="291">
        <v>3</v>
      </c>
      <c r="H120" s="291"/>
      <c r="I120" s="291"/>
      <c r="J120" s="291"/>
      <c r="K120" s="291">
        <v>3</v>
      </c>
      <c r="L120" s="331">
        <v>3</v>
      </c>
      <c r="M120" s="332"/>
      <c r="N120" s="333"/>
      <c r="O120" s="333"/>
      <c r="P120" s="334"/>
      <c r="Q120" s="275">
        <f>(K120*E120)</f>
        <v>26.099999999999998</v>
      </c>
      <c r="R120" s="280">
        <f>K120*C120</f>
        <v>1.0499999999999998</v>
      </c>
      <c r="U120" s="294">
        <f t="shared" si="15"/>
        <v>0</v>
      </c>
    </row>
    <row r="121" spans="1:21" ht="19.5" x14ac:dyDescent="0.2">
      <c r="A121" s="380"/>
      <c r="B121" s="358"/>
      <c r="C121" s="85">
        <f>PV!C121</f>
        <v>0</v>
      </c>
      <c r="D121" s="44" t="str">
        <f t="shared" si="9"/>
        <v>h</v>
      </c>
      <c r="E121" s="43">
        <f>IF(D121="h",PV!E121,IF(D121="M",PV!G121,PV!I121))</f>
        <v>0</v>
      </c>
      <c r="F121" s="291">
        <v>0</v>
      </c>
      <c r="G121" s="291">
        <v>0</v>
      </c>
      <c r="H121" s="291"/>
      <c r="I121" s="291"/>
      <c r="J121" s="291"/>
      <c r="K121" s="291">
        <v>0</v>
      </c>
      <c r="L121" s="331"/>
      <c r="M121" s="332"/>
      <c r="N121" s="333"/>
      <c r="O121" s="333"/>
      <c r="P121" s="334"/>
      <c r="Q121" s="278"/>
      <c r="R121" s="281">
        <f>SUM(R116:R120)</f>
        <v>2.4499999999999997</v>
      </c>
      <c r="S121" s="21">
        <f>K122*10</f>
        <v>0</v>
      </c>
      <c r="T121" s="21" t="s">
        <v>189</v>
      </c>
      <c r="U121" s="294">
        <f t="shared" si="15"/>
        <v>0</v>
      </c>
    </row>
    <row r="122" spans="1:21" ht="19.5" x14ac:dyDescent="0.2">
      <c r="A122" s="380">
        <v>1126414</v>
      </c>
      <c r="B122" s="358" t="s">
        <v>189</v>
      </c>
      <c r="C122" s="85">
        <f>PV!C122</f>
        <v>0.45</v>
      </c>
      <c r="D122" s="44" t="str">
        <f t="shared" si="9"/>
        <v>h</v>
      </c>
      <c r="E122" s="43">
        <f>IF(D122="h",PV!E122,IF(D122="M",PV!G122,PV!I122))</f>
        <v>11.25</v>
      </c>
      <c r="F122" s="291">
        <v>0</v>
      </c>
      <c r="G122" s="291">
        <v>0</v>
      </c>
      <c r="H122" s="291"/>
      <c r="I122" s="291"/>
      <c r="J122" s="291"/>
      <c r="K122" s="291">
        <v>0</v>
      </c>
      <c r="L122" s="331"/>
      <c r="M122" s="332"/>
      <c r="N122" s="333"/>
      <c r="O122" s="333"/>
      <c r="P122" s="334"/>
      <c r="Q122" s="275">
        <f t="shared" ref="Q122:Q152" si="16">(K122*E122)</f>
        <v>0</v>
      </c>
      <c r="R122" s="286">
        <f t="shared" ref="R122:R152" si="17">K122*C122</f>
        <v>0</v>
      </c>
      <c r="S122" s="21">
        <f>(K123*2)+(K124*5)+(K125*8)+(K138*4)+K137</f>
        <v>1234</v>
      </c>
      <c r="T122" s="21" t="s">
        <v>99</v>
      </c>
      <c r="U122" s="294">
        <f t="shared" si="15"/>
        <v>0</v>
      </c>
    </row>
    <row r="123" spans="1:21" s="25" customFormat="1" ht="20.100000000000001" customHeight="1" x14ac:dyDescent="0.25">
      <c r="A123" s="335">
        <v>65842</v>
      </c>
      <c r="B123" s="360" t="s">
        <v>55</v>
      </c>
      <c r="C123" s="85">
        <f>PV!C123</f>
        <v>0.16</v>
      </c>
      <c r="D123" s="44" t="str">
        <f t="shared" si="9"/>
        <v>h</v>
      </c>
      <c r="E123" s="43">
        <f>IF(D123="h",PV!E123,IF(D123="M",PV!G123,PV!I123))</f>
        <v>5.5</v>
      </c>
      <c r="F123" s="291">
        <v>14</v>
      </c>
      <c r="G123" s="291">
        <v>19</v>
      </c>
      <c r="H123" s="291"/>
      <c r="I123" s="291"/>
      <c r="J123" s="291"/>
      <c r="K123" s="291">
        <v>19</v>
      </c>
      <c r="L123" s="331">
        <v>8.5500000000000007</v>
      </c>
      <c r="M123" s="332"/>
      <c r="N123" s="333">
        <v>10.45</v>
      </c>
      <c r="O123" s="333"/>
      <c r="P123" s="334"/>
      <c r="Q123" s="275">
        <f t="shared" si="16"/>
        <v>104.5</v>
      </c>
      <c r="R123" s="286">
        <f t="shared" si="17"/>
        <v>3.04</v>
      </c>
      <c r="S123" s="25">
        <f>(K127*2)+(K128*5)+(K129*8)+(K138*4)+K137</f>
        <v>204</v>
      </c>
      <c r="T123" s="25" t="s">
        <v>100</v>
      </c>
      <c r="U123" s="294">
        <f t="shared" si="15"/>
        <v>10.45</v>
      </c>
    </row>
    <row r="124" spans="1:21" s="25" customFormat="1" ht="20.100000000000001" customHeight="1" x14ac:dyDescent="0.25">
      <c r="A124" s="335">
        <v>65902</v>
      </c>
      <c r="B124" s="360" t="s">
        <v>57</v>
      </c>
      <c r="C124" s="85">
        <f>PV!C124</f>
        <v>0.4</v>
      </c>
      <c r="D124" s="44" t="str">
        <f t="shared" si="9"/>
        <v>h</v>
      </c>
      <c r="E124" s="43">
        <f>IF(D124="h",PV!E124,IF(D124="M",PV!G124,PV!I124))</f>
        <v>10.5</v>
      </c>
      <c r="F124" s="291">
        <v>12</v>
      </c>
      <c r="G124" s="291">
        <v>0</v>
      </c>
      <c r="H124" s="291"/>
      <c r="I124" s="291"/>
      <c r="J124" s="291"/>
      <c r="K124" s="291">
        <v>0</v>
      </c>
      <c r="L124" s="331"/>
      <c r="M124" s="332"/>
      <c r="N124" s="333"/>
      <c r="O124" s="333"/>
      <c r="P124" s="334"/>
      <c r="Q124" s="275">
        <f t="shared" si="16"/>
        <v>0</v>
      </c>
      <c r="R124" s="286">
        <f t="shared" si="17"/>
        <v>0</v>
      </c>
      <c r="S124" s="25">
        <f>(K131*2)+(K132*5)+(K133*8)</f>
        <v>178</v>
      </c>
      <c r="T124" s="25" t="s">
        <v>101</v>
      </c>
      <c r="U124" s="294">
        <f t="shared" si="15"/>
        <v>0</v>
      </c>
    </row>
    <row r="125" spans="1:21" s="25" customFormat="1" ht="20.100000000000001" customHeight="1" x14ac:dyDescent="0.25">
      <c r="A125" s="335">
        <v>905815</v>
      </c>
      <c r="B125" s="360" t="s">
        <v>182</v>
      </c>
      <c r="C125" s="85">
        <f>PV!C125</f>
        <v>0.64</v>
      </c>
      <c r="D125" s="44" t="str">
        <f t="shared" si="9"/>
        <v>h</v>
      </c>
      <c r="E125" s="43">
        <f>IF(D125="h",PV!E125,IF(D125="M",PV!G125,PV!I125))</f>
        <v>15.55</v>
      </c>
      <c r="F125" s="291">
        <v>97</v>
      </c>
      <c r="G125" s="291">
        <v>145</v>
      </c>
      <c r="H125" s="291"/>
      <c r="I125" s="291"/>
      <c r="J125" s="291"/>
      <c r="K125" s="291">
        <v>145</v>
      </c>
      <c r="L125" s="331">
        <v>29</v>
      </c>
      <c r="M125" s="332">
        <v>36.25</v>
      </c>
      <c r="N125" s="333">
        <v>46.4</v>
      </c>
      <c r="O125" s="333">
        <v>33.35</v>
      </c>
      <c r="P125" s="334"/>
      <c r="Q125" s="275">
        <f t="shared" si="16"/>
        <v>2254.75</v>
      </c>
      <c r="R125" s="286">
        <f t="shared" si="17"/>
        <v>92.8</v>
      </c>
      <c r="S125" s="25">
        <f>(K134*2)+(K135*5)+(K136*8)</f>
        <v>54</v>
      </c>
      <c r="T125" s="25" t="s">
        <v>209</v>
      </c>
      <c r="U125" s="294">
        <f t="shared" si="15"/>
        <v>116</v>
      </c>
    </row>
    <row r="126" spans="1:21" s="25" customFormat="1" ht="20.100000000000001" customHeight="1" x14ac:dyDescent="0.25">
      <c r="A126" s="335">
        <v>1126415</v>
      </c>
      <c r="B126" s="360" t="s">
        <v>296</v>
      </c>
      <c r="C126" s="85">
        <f>PV!C126</f>
        <v>0.45</v>
      </c>
      <c r="D126" s="44" t="str">
        <f t="shared" si="9"/>
        <v>h</v>
      </c>
      <c r="E126" s="43">
        <f>IF(D126="h",PV!E126,IF(D126="M",PV!G126,PV!I126))</f>
        <v>12.5</v>
      </c>
      <c r="F126" s="291">
        <v>0</v>
      </c>
      <c r="G126" s="291">
        <v>0</v>
      </c>
      <c r="H126" s="291"/>
      <c r="I126" s="291"/>
      <c r="J126" s="291"/>
      <c r="K126" s="291">
        <v>0</v>
      </c>
      <c r="L126" s="331"/>
      <c r="M126" s="332"/>
      <c r="N126" s="333"/>
      <c r="O126" s="333"/>
      <c r="P126" s="334"/>
      <c r="Q126" s="275">
        <f t="shared" si="16"/>
        <v>0</v>
      </c>
      <c r="R126" s="286">
        <f t="shared" si="17"/>
        <v>0</v>
      </c>
      <c r="S126" s="25">
        <f>(K126*10)</f>
        <v>0</v>
      </c>
      <c r="T126" s="25" t="s">
        <v>212</v>
      </c>
      <c r="U126" s="294">
        <f t="shared" si="15"/>
        <v>0</v>
      </c>
    </row>
    <row r="127" spans="1:21" s="25" customFormat="1" ht="20.100000000000001" customHeight="1" x14ac:dyDescent="0.25">
      <c r="A127" s="335">
        <v>65907</v>
      </c>
      <c r="B127" s="360" t="s">
        <v>261</v>
      </c>
      <c r="C127" s="85">
        <f>PV!C127</f>
        <v>0.16</v>
      </c>
      <c r="D127" s="44" t="str">
        <f t="shared" si="9"/>
        <v>h</v>
      </c>
      <c r="E127" s="43">
        <f>IF(D127="h",PV!E127,IF(D127="M",PV!G127,PV!I127))</f>
        <v>6.25</v>
      </c>
      <c r="F127" s="291">
        <v>15</v>
      </c>
      <c r="G127" s="291">
        <v>12</v>
      </c>
      <c r="H127" s="291"/>
      <c r="I127" s="291"/>
      <c r="J127" s="291"/>
      <c r="K127" s="291">
        <v>12</v>
      </c>
      <c r="L127" s="331">
        <v>5.4</v>
      </c>
      <c r="M127" s="332"/>
      <c r="N127" s="333">
        <v>6.6</v>
      </c>
      <c r="O127" s="333"/>
      <c r="P127" s="334"/>
      <c r="Q127" s="275">
        <f t="shared" si="16"/>
        <v>75</v>
      </c>
      <c r="R127" s="286">
        <f t="shared" si="17"/>
        <v>1.92</v>
      </c>
      <c r="S127" s="25">
        <f>(K130*10)</f>
        <v>0</v>
      </c>
      <c r="T127" s="25" t="s">
        <v>213</v>
      </c>
      <c r="U127" s="294">
        <f t="shared" si="15"/>
        <v>6.6</v>
      </c>
    </row>
    <row r="128" spans="1:21" s="25" customFormat="1" ht="20.100000000000001" customHeight="1" x14ac:dyDescent="0.25">
      <c r="A128" s="335">
        <v>65909</v>
      </c>
      <c r="B128" s="360" t="s">
        <v>262</v>
      </c>
      <c r="C128" s="85">
        <f>PV!C128</f>
        <v>0.4</v>
      </c>
      <c r="D128" s="44" t="str">
        <f t="shared" si="9"/>
        <v>h</v>
      </c>
      <c r="E128" s="43">
        <f>IF(D128="h",PV!E128,IF(D128="M",PV!G128,PV!I128))</f>
        <v>11.75</v>
      </c>
      <c r="F128" s="291">
        <v>21</v>
      </c>
      <c r="G128" s="291">
        <v>0</v>
      </c>
      <c r="H128" s="291"/>
      <c r="I128" s="291"/>
      <c r="J128" s="291"/>
      <c r="K128" s="291">
        <v>0</v>
      </c>
      <c r="L128" s="331"/>
      <c r="M128" s="332"/>
      <c r="N128" s="333"/>
      <c r="O128" s="333"/>
      <c r="P128" s="334"/>
      <c r="Q128" s="275">
        <f t="shared" si="16"/>
        <v>0</v>
      </c>
      <c r="R128" s="286">
        <f t="shared" si="17"/>
        <v>0</v>
      </c>
      <c r="S128" s="25">
        <f>K139*10</f>
        <v>0</v>
      </c>
      <c r="T128" s="25" t="s">
        <v>214</v>
      </c>
      <c r="U128" s="294">
        <f t="shared" si="15"/>
        <v>0</v>
      </c>
    </row>
    <row r="129" spans="1:21" s="25" customFormat="1" ht="20.100000000000001" customHeight="1" x14ac:dyDescent="0.25">
      <c r="A129" s="335">
        <v>905816</v>
      </c>
      <c r="B129" s="360" t="s">
        <v>184</v>
      </c>
      <c r="C129" s="85">
        <f>PV!C129</f>
        <v>0.64</v>
      </c>
      <c r="D129" s="44" t="str">
        <f t="shared" si="9"/>
        <v>h</v>
      </c>
      <c r="E129" s="43">
        <f>IF(D129="h",PV!E129,IF(D129="M",PV!G129,PV!I129))</f>
        <v>15.85</v>
      </c>
      <c r="F129" s="291">
        <v>3</v>
      </c>
      <c r="G129" s="291">
        <v>18</v>
      </c>
      <c r="H129" s="291"/>
      <c r="I129" s="291"/>
      <c r="J129" s="291"/>
      <c r="K129" s="291">
        <v>18</v>
      </c>
      <c r="L129" s="331">
        <v>8.1</v>
      </c>
      <c r="M129" s="332"/>
      <c r="N129" s="333">
        <v>9.9</v>
      </c>
      <c r="O129" s="333"/>
      <c r="P129" s="334"/>
      <c r="Q129" s="275">
        <f t="shared" si="16"/>
        <v>285.3</v>
      </c>
      <c r="R129" s="286">
        <f t="shared" si="17"/>
        <v>11.52</v>
      </c>
      <c r="S129" s="25">
        <f>(K148*2)+(K149*4)</f>
        <v>30</v>
      </c>
      <c r="T129" s="25" t="s">
        <v>219</v>
      </c>
      <c r="U129" s="294">
        <f t="shared" si="15"/>
        <v>9.9</v>
      </c>
    </row>
    <row r="130" spans="1:21" s="25" customFormat="1" ht="20.100000000000001" customHeight="1" x14ac:dyDescent="0.25">
      <c r="A130" s="335">
        <v>1126416</v>
      </c>
      <c r="B130" s="360" t="s">
        <v>188</v>
      </c>
      <c r="C130" s="85">
        <f>PV!C130</f>
        <v>0.45</v>
      </c>
      <c r="D130" s="44" t="str">
        <f t="shared" si="9"/>
        <v>h</v>
      </c>
      <c r="E130" s="43">
        <f>IF(D130="h",PV!E130,IF(D130="M",PV!G130,PV!I130))</f>
        <v>12.5</v>
      </c>
      <c r="F130" s="291">
        <v>1</v>
      </c>
      <c r="G130" s="291">
        <v>0</v>
      </c>
      <c r="H130" s="291"/>
      <c r="I130" s="291"/>
      <c r="J130" s="291"/>
      <c r="K130" s="291">
        <v>0</v>
      </c>
      <c r="L130" s="331"/>
      <c r="M130" s="332"/>
      <c r="N130" s="333"/>
      <c r="O130" s="333"/>
      <c r="P130" s="334"/>
      <c r="Q130" s="275">
        <f t="shared" si="16"/>
        <v>0</v>
      </c>
      <c r="R130" s="286">
        <f t="shared" si="17"/>
        <v>0</v>
      </c>
      <c r="T130" s="25" t="s">
        <v>215</v>
      </c>
      <c r="U130" s="294">
        <f t="shared" si="15"/>
        <v>0</v>
      </c>
    </row>
    <row r="131" spans="1:21" s="25" customFormat="1" ht="20.100000000000001" customHeight="1" x14ac:dyDescent="0.25">
      <c r="A131" s="335">
        <v>65920</v>
      </c>
      <c r="B131" s="360" t="s">
        <v>60</v>
      </c>
      <c r="C131" s="85">
        <f>PV!C131</f>
        <v>0.16</v>
      </c>
      <c r="D131" s="44" t="str">
        <f t="shared" si="9"/>
        <v>h</v>
      </c>
      <c r="E131" s="43">
        <f>IF(D131="h",PV!E131,IF(D131="M",PV!G131,PV!I131))</f>
        <v>6.75</v>
      </c>
      <c r="F131" s="291">
        <v>13</v>
      </c>
      <c r="G131" s="291">
        <v>13</v>
      </c>
      <c r="H131" s="291"/>
      <c r="I131" s="291"/>
      <c r="J131" s="291"/>
      <c r="K131" s="291">
        <v>13</v>
      </c>
      <c r="L131" s="331">
        <v>5.85</v>
      </c>
      <c r="M131" s="332"/>
      <c r="N131" s="333">
        <v>7.15</v>
      </c>
      <c r="O131" s="333"/>
      <c r="P131" s="334"/>
      <c r="Q131" s="275">
        <f t="shared" si="16"/>
        <v>87.75</v>
      </c>
      <c r="R131" s="286">
        <f t="shared" si="17"/>
        <v>2.08</v>
      </c>
      <c r="S131" s="25">
        <f>K152</f>
        <v>2</v>
      </c>
      <c r="T131" s="25" t="s">
        <v>216</v>
      </c>
      <c r="U131" s="294">
        <f t="shared" ref="U131:U153" si="18">K131-L131</f>
        <v>7.15</v>
      </c>
    </row>
    <row r="132" spans="1:21" s="25" customFormat="1" ht="19.5" customHeight="1" x14ac:dyDescent="0.25">
      <c r="A132" s="335">
        <v>65921</v>
      </c>
      <c r="B132" s="360" t="s">
        <v>61</v>
      </c>
      <c r="C132" s="85">
        <f>PV!C132</f>
        <v>0.4</v>
      </c>
      <c r="D132" s="44" t="str">
        <f t="shared" si="9"/>
        <v>h</v>
      </c>
      <c r="E132" s="43">
        <f>IF(D132="h",PV!E132,IF(D132="M",PV!G132,PV!I132))</f>
        <v>12.75</v>
      </c>
      <c r="F132" s="291">
        <v>16</v>
      </c>
      <c r="G132" s="291">
        <v>0</v>
      </c>
      <c r="H132" s="291"/>
      <c r="I132" s="291"/>
      <c r="J132" s="291"/>
      <c r="K132" s="291">
        <v>0</v>
      </c>
      <c r="L132" s="331"/>
      <c r="M132" s="332"/>
      <c r="N132" s="333"/>
      <c r="O132" s="333"/>
      <c r="P132" s="334"/>
      <c r="Q132" s="275">
        <f t="shared" si="16"/>
        <v>0</v>
      </c>
      <c r="R132" s="286">
        <f t="shared" si="17"/>
        <v>0</v>
      </c>
      <c r="S132" s="25" t="e">
        <f>#REF!</f>
        <v>#REF!</v>
      </c>
      <c r="T132" s="25" t="s">
        <v>217</v>
      </c>
      <c r="U132" s="294">
        <f t="shared" si="18"/>
        <v>0</v>
      </c>
    </row>
    <row r="133" spans="1:21" s="25" customFormat="1" ht="19.5" customHeight="1" x14ac:dyDescent="0.25">
      <c r="A133" s="335">
        <v>905817</v>
      </c>
      <c r="B133" s="360" t="s">
        <v>185</v>
      </c>
      <c r="C133" s="85">
        <f>PV!C133</f>
        <v>0.64</v>
      </c>
      <c r="D133" s="44" t="str">
        <f t="shared" si="9"/>
        <v>h</v>
      </c>
      <c r="E133" s="43">
        <f>IF(D133="h",PV!E133,IF(D133="M",PV!G133,PV!I133))</f>
        <v>17.95</v>
      </c>
      <c r="F133" s="291">
        <v>14</v>
      </c>
      <c r="G133" s="291">
        <v>19</v>
      </c>
      <c r="H133" s="291"/>
      <c r="I133" s="291"/>
      <c r="J133" s="291"/>
      <c r="K133" s="291">
        <v>19</v>
      </c>
      <c r="L133" s="331">
        <v>8.5500000000000007</v>
      </c>
      <c r="M133" s="332"/>
      <c r="N133" s="333">
        <v>10.45</v>
      </c>
      <c r="O133" s="333"/>
      <c r="P133" s="334"/>
      <c r="Q133" s="275">
        <f t="shared" si="16"/>
        <v>341.05</v>
      </c>
      <c r="R133" s="286">
        <f t="shared" si="17"/>
        <v>12.16</v>
      </c>
      <c r="S133" s="25" t="e">
        <f>#REF!</f>
        <v>#REF!</v>
      </c>
      <c r="T133" s="25" t="s">
        <v>218</v>
      </c>
      <c r="U133" s="294">
        <f t="shared" si="18"/>
        <v>10.45</v>
      </c>
    </row>
    <row r="134" spans="1:21" s="25" customFormat="1" ht="20.100000000000001" customHeight="1" x14ac:dyDescent="0.25">
      <c r="A134" s="335">
        <v>65918</v>
      </c>
      <c r="B134" s="360" t="s">
        <v>62</v>
      </c>
      <c r="C134" s="85">
        <f>PV!C134</f>
        <v>0.16</v>
      </c>
      <c r="D134" s="44" t="str">
        <f t="shared" si="9"/>
        <v>h</v>
      </c>
      <c r="E134" s="43">
        <f>IF(D134="h",PV!E134,IF(D134="M",PV!G134,PV!I134))</f>
        <v>5.95</v>
      </c>
      <c r="F134" s="291">
        <v>6</v>
      </c>
      <c r="G134" s="291">
        <v>11</v>
      </c>
      <c r="H134" s="291"/>
      <c r="I134" s="291"/>
      <c r="J134" s="291"/>
      <c r="K134" s="291">
        <v>11</v>
      </c>
      <c r="L134" s="331">
        <v>4.95</v>
      </c>
      <c r="M134" s="332"/>
      <c r="N134" s="333">
        <v>6.05</v>
      </c>
      <c r="O134" s="333"/>
      <c r="P134" s="334"/>
      <c r="Q134" s="275">
        <f t="shared" si="16"/>
        <v>65.45</v>
      </c>
      <c r="R134" s="286">
        <f t="shared" si="17"/>
        <v>1.76</v>
      </c>
      <c r="S134" s="25">
        <f>(K144*2)+(K145*5)</f>
        <v>0</v>
      </c>
      <c r="T134" s="25" t="s">
        <v>220</v>
      </c>
      <c r="U134" s="294">
        <f t="shared" si="18"/>
        <v>6.05</v>
      </c>
    </row>
    <row r="135" spans="1:21" s="25" customFormat="1" ht="20.100000000000001" customHeight="1" x14ac:dyDescent="0.25">
      <c r="A135" s="335">
        <v>65919</v>
      </c>
      <c r="B135" s="360" t="s">
        <v>63</v>
      </c>
      <c r="C135" s="85">
        <f>PV!C135</f>
        <v>0.64</v>
      </c>
      <c r="D135" s="44" t="str">
        <f t="shared" ref="D135:D152" si="19">D134</f>
        <v>h</v>
      </c>
      <c r="E135" s="43">
        <f>IF(D135="h",PV!E135,IF(D135="M",PV!G135,PV!I135))</f>
        <v>10.65</v>
      </c>
      <c r="F135" s="291">
        <v>12</v>
      </c>
      <c r="G135" s="291">
        <v>0</v>
      </c>
      <c r="H135" s="291"/>
      <c r="I135" s="291"/>
      <c r="J135" s="291"/>
      <c r="K135" s="291">
        <v>0</v>
      </c>
      <c r="L135" s="331"/>
      <c r="M135" s="332"/>
      <c r="N135" s="333"/>
      <c r="O135" s="333"/>
      <c r="P135" s="334"/>
      <c r="Q135" s="275">
        <f t="shared" si="16"/>
        <v>0</v>
      </c>
      <c r="R135" s="286">
        <f t="shared" si="17"/>
        <v>0</v>
      </c>
      <c r="S135" s="25">
        <f>(K146*2)+(K147*5)</f>
        <v>50</v>
      </c>
      <c r="T135" s="25" t="s">
        <v>222</v>
      </c>
      <c r="U135" s="294">
        <f t="shared" si="18"/>
        <v>0</v>
      </c>
    </row>
    <row r="136" spans="1:21" s="25" customFormat="1" ht="20.100000000000001" customHeight="1" x14ac:dyDescent="0.25">
      <c r="A136" s="335">
        <v>905818</v>
      </c>
      <c r="B136" s="360" t="s">
        <v>186</v>
      </c>
      <c r="C136" s="85">
        <f>PV!C136</f>
        <v>0.64</v>
      </c>
      <c r="D136" s="44" t="str">
        <f t="shared" si="19"/>
        <v>h</v>
      </c>
      <c r="E136" s="43">
        <f>IF(D136="h",PV!E136,IF(D136="M",PV!G136,PV!I136))</f>
        <v>15.9</v>
      </c>
      <c r="F136" s="291">
        <v>2</v>
      </c>
      <c r="G136" s="291">
        <v>4</v>
      </c>
      <c r="H136" s="291"/>
      <c r="I136" s="291"/>
      <c r="J136" s="291"/>
      <c r="K136" s="291">
        <v>4</v>
      </c>
      <c r="L136" s="331">
        <v>4</v>
      </c>
      <c r="M136" s="332"/>
      <c r="N136" s="333"/>
      <c r="O136" s="333"/>
      <c r="P136" s="334"/>
      <c r="Q136" s="275">
        <f t="shared" si="16"/>
        <v>63.6</v>
      </c>
      <c r="R136" s="286">
        <f t="shared" si="17"/>
        <v>2.56</v>
      </c>
      <c r="S136" s="25">
        <f>(K140*2)+(K141*4)</f>
        <v>20</v>
      </c>
      <c r="T136" s="25" t="s">
        <v>221</v>
      </c>
      <c r="U136" s="294">
        <f t="shared" si="18"/>
        <v>0</v>
      </c>
    </row>
    <row r="137" spans="1:21" s="25" customFormat="1" ht="20.100000000000001" customHeight="1" x14ac:dyDescent="0.25">
      <c r="A137" s="335">
        <v>970195</v>
      </c>
      <c r="B137" s="360" t="s">
        <v>298</v>
      </c>
      <c r="C137" s="85">
        <f>PV!C137</f>
        <v>0.16</v>
      </c>
      <c r="D137" s="44" t="str">
        <f t="shared" si="19"/>
        <v>h</v>
      </c>
      <c r="E137" s="43">
        <f>IF(D137="h",PV!E137,IF(D137="M",PV!G137,PV!I137))</f>
        <v>5.75</v>
      </c>
      <c r="F137" s="291">
        <v>0</v>
      </c>
      <c r="G137" s="291">
        <v>0</v>
      </c>
      <c r="H137" s="291"/>
      <c r="I137" s="291"/>
      <c r="J137" s="291"/>
      <c r="K137" s="291">
        <v>0</v>
      </c>
      <c r="L137" s="331"/>
      <c r="M137" s="332"/>
      <c r="N137" s="333"/>
      <c r="O137" s="333"/>
      <c r="P137" s="334"/>
      <c r="Q137" s="275">
        <f t="shared" si="16"/>
        <v>0</v>
      </c>
      <c r="R137" s="286">
        <f t="shared" si="17"/>
        <v>0</v>
      </c>
      <c r="S137" s="25">
        <f>K119*5</f>
        <v>20</v>
      </c>
      <c r="T137" s="25" t="s">
        <v>174</v>
      </c>
      <c r="U137" s="294">
        <f t="shared" si="18"/>
        <v>0</v>
      </c>
    </row>
    <row r="138" spans="1:21" s="25" customFormat="1" ht="20.100000000000001" customHeight="1" x14ac:dyDescent="0.25">
      <c r="A138" s="335">
        <v>905820</v>
      </c>
      <c r="B138" s="360" t="s">
        <v>297</v>
      </c>
      <c r="C138" s="85">
        <f>PV!C138</f>
        <v>0.64</v>
      </c>
      <c r="D138" s="44" t="str">
        <f t="shared" si="19"/>
        <v>h</v>
      </c>
      <c r="E138" s="43">
        <f>IF(D138="h",PV!E138,IF(D138="M",PV!G138,PV!I138))</f>
        <v>15.55</v>
      </c>
      <c r="F138" s="291">
        <v>5</v>
      </c>
      <c r="G138" s="291">
        <v>9</v>
      </c>
      <c r="H138" s="291"/>
      <c r="I138" s="291"/>
      <c r="J138" s="291"/>
      <c r="K138" s="291">
        <v>9</v>
      </c>
      <c r="L138" s="331">
        <v>9</v>
      </c>
      <c r="M138" s="332"/>
      <c r="N138" s="333"/>
      <c r="O138" s="333"/>
      <c r="P138" s="334"/>
      <c r="Q138" s="275">
        <f t="shared" si="16"/>
        <v>139.95000000000002</v>
      </c>
      <c r="R138" s="286">
        <f t="shared" si="17"/>
        <v>5.76</v>
      </c>
      <c r="S138" s="25">
        <f>K120*5</f>
        <v>15</v>
      </c>
      <c r="T138" s="25" t="s">
        <v>74</v>
      </c>
      <c r="U138" s="294">
        <f t="shared" si="18"/>
        <v>0</v>
      </c>
    </row>
    <row r="139" spans="1:21" s="25" customFormat="1" ht="19.5" customHeight="1" x14ac:dyDescent="0.25">
      <c r="A139" s="335">
        <v>1126417</v>
      </c>
      <c r="B139" s="360" t="s">
        <v>187</v>
      </c>
      <c r="C139" s="85">
        <f>PV!C139</f>
        <v>0.45</v>
      </c>
      <c r="D139" s="44" t="str">
        <f t="shared" si="19"/>
        <v>h</v>
      </c>
      <c r="E139" s="43">
        <f>IF(D139="h",PV!E139,IF(D139="M",PV!G139,PV!I139))</f>
        <v>9.9499999999999993</v>
      </c>
      <c r="F139" s="291">
        <v>0</v>
      </c>
      <c r="G139" s="291">
        <v>0</v>
      </c>
      <c r="H139" s="291"/>
      <c r="I139" s="291"/>
      <c r="J139" s="291"/>
      <c r="K139" s="291">
        <v>0</v>
      </c>
      <c r="L139" s="331"/>
      <c r="M139" s="332"/>
      <c r="N139" s="333"/>
      <c r="O139" s="333"/>
      <c r="P139" s="334"/>
      <c r="Q139" s="275">
        <f t="shared" si="16"/>
        <v>0</v>
      </c>
      <c r="R139" s="286">
        <f t="shared" si="17"/>
        <v>0</v>
      </c>
      <c r="U139" s="294">
        <f t="shared" si="18"/>
        <v>0</v>
      </c>
    </row>
    <row r="140" spans="1:21" s="25" customFormat="1" ht="20.100000000000001" customHeight="1" x14ac:dyDescent="0.25">
      <c r="A140" s="335">
        <v>67493</v>
      </c>
      <c r="B140" s="360" t="s">
        <v>64</v>
      </c>
      <c r="C140" s="85">
        <f>PV!C140</f>
        <v>0.16</v>
      </c>
      <c r="D140" s="44" t="str">
        <f t="shared" si="19"/>
        <v>h</v>
      </c>
      <c r="E140" s="43">
        <f>IF(D140="h",PV!E140,IF(D140="M",PV!G140,PV!I140))</f>
        <v>6.75</v>
      </c>
      <c r="F140" s="291">
        <v>6</v>
      </c>
      <c r="G140" s="291">
        <v>10</v>
      </c>
      <c r="H140" s="291"/>
      <c r="I140" s="291"/>
      <c r="J140" s="291"/>
      <c r="K140" s="291">
        <v>10</v>
      </c>
      <c r="L140" s="331">
        <v>4.5</v>
      </c>
      <c r="M140" s="332"/>
      <c r="N140" s="333">
        <v>5.5</v>
      </c>
      <c r="O140" s="333"/>
      <c r="P140" s="334"/>
      <c r="Q140" s="275">
        <f t="shared" si="16"/>
        <v>67.5</v>
      </c>
      <c r="R140" s="286">
        <f t="shared" si="17"/>
        <v>1.6</v>
      </c>
      <c r="U140" s="294">
        <f t="shared" si="18"/>
        <v>5.5</v>
      </c>
    </row>
    <row r="141" spans="1:21" s="25" customFormat="1" ht="18.75" customHeight="1" x14ac:dyDescent="0.25">
      <c r="A141" s="335">
        <v>65906</v>
      </c>
      <c r="B141" s="360" t="s">
        <v>65</v>
      </c>
      <c r="C141" s="85">
        <f>PV!C141</f>
        <v>0.24</v>
      </c>
      <c r="D141" s="44" t="str">
        <f t="shared" si="19"/>
        <v>h</v>
      </c>
      <c r="E141" s="43">
        <f>IF(D141="h",PV!E141,IF(D141="M",PV!G141,PV!I141))</f>
        <v>12.5</v>
      </c>
      <c r="F141" s="291">
        <v>13</v>
      </c>
      <c r="G141" s="291">
        <v>0</v>
      </c>
      <c r="H141" s="291"/>
      <c r="I141" s="291"/>
      <c r="J141" s="291"/>
      <c r="K141" s="291">
        <v>0</v>
      </c>
      <c r="L141" s="331"/>
      <c r="M141" s="332"/>
      <c r="N141" s="333"/>
      <c r="O141" s="333"/>
      <c r="P141" s="334"/>
      <c r="Q141" s="275">
        <f t="shared" si="16"/>
        <v>0</v>
      </c>
      <c r="R141" s="286">
        <f t="shared" si="17"/>
        <v>0</v>
      </c>
      <c r="U141" s="294">
        <f t="shared" si="18"/>
        <v>0</v>
      </c>
    </row>
    <row r="142" spans="1:21" s="25" customFormat="1" ht="19.5" customHeight="1" x14ac:dyDescent="0.25">
      <c r="A142" s="335">
        <v>270422</v>
      </c>
      <c r="B142" s="360" t="s">
        <v>66</v>
      </c>
      <c r="C142" s="85">
        <f>PV!C142</f>
        <v>0.24</v>
      </c>
      <c r="D142" s="44" t="str">
        <f t="shared" si="19"/>
        <v>h</v>
      </c>
      <c r="E142" s="43">
        <f>IF(D142="h",PV!E142,IF(D142="M",PV!G142,PV!I142))</f>
        <v>5.95</v>
      </c>
      <c r="F142" s="291">
        <v>6</v>
      </c>
      <c r="G142" s="291">
        <v>16</v>
      </c>
      <c r="H142" s="291"/>
      <c r="I142" s="291"/>
      <c r="J142" s="291"/>
      <c r="K142" s="291">
        <v>16</v>
      </c>
      <c r="L142" s="331">
        <v>7.2</v>
      </c>
      <c r="M142" s="332"/>
      <c r="N142" s="333">
        <v>8.8000000000000007</v>
      </c>
      <c r="O142" s="333"/>
      <c r="P142" s="334"/>
      <c r="Q142" s="275">
        <f t="shared" si="16"/>
        <v>95.2</v>
      </c>
      <c r="R142" s="286">
        <f t="shared" si="17"/>
        <v>3.84</v>
      </c>
      <c r="U142" s="294">
        <f t="shared" si="18"/>
        <v>8.8000000000000007</v>
      </c>
    </row>
    <row r="143" spans="1:21" s="25" customFormat="1" ht="20.100000000000001" customHeight="1" x14ac:dyDescent="0.25">
      <c r="A143" s="335">
        <v>67778</v>
      </c>
      <c r="B143" s="360" t="s">
        <v>67</v>
      </c>
      <c r="C143" s="85">
        <f>PV!C143</f>
        <v>0.6</v>
      </c>
      <c r="D143" s="44" t="str">
        <f t="shared" si="19"/>
        <v>h</v>
      </c>
      <c r="E143" s="43">
        <f>IF(D143="h",PV!E143,IF(D143="M",PV!G143,PV!I143))</f>
        <v>10.95</v>
      </c>
      <c r="F143" s="291">
        <v>9</v>
      </c>
      <c r="G143" s="291">
        <v>4</v>
      </c>
      <c r="H143" s="291"/>
      <c r="I143" s="291"/>
      <c r="J143" s="291"/>
      <c r="K143" s="291">
        <v>4</v>
      </c>
      <c r="L143" s="331">
        <v>4</v>
      </c>
      <c r="M143" s="332"/>
      <c r="N143" s="333"/>
      <c r="O143" s="333"/>
      <c r="P143" s="334"/>
      <c r="Q143" s="275">
        <f t="shared" si="16"/>
        <v>43.8</v>
      </c>
      <c r="R143" s="286">
        <f t="shared" si="17"/>
        <v>2.4</v>
      </c>
      <c r="U143" s="294">
        <f t="shared" si="18"/>
        <v>0</v>
      </c>
    </row>
    <row r="144" spans="1:21" s="25" customFormat="1" ht="20.100000000000001" customHeight="1" x14ac:dyDescent="0.25">
      <c r="A144" s="335">
        <v>1039726</v>
      </c>
      <c r="B144" s="360" t="s">
        <v>193</v>
      </c>
      <c r="C144" s="85">
        <f>PV!C144</f>
        <v>0.24</v>
      </c>
      <c r="D144" s="44" t="str">
        <f t="shared" si="19"/>
        <v>h</v>
      </c>
      <c r="E144" s="43">
        <f>IF(D144="h",PV!E144,IF(D144="M",PV!G144,PV!I144))</f>
        <v>5.95</v>
      </c>
      <c r="F144" s="291">
        <v>3</v>
      </c>
      <c r="G144" s="291">
        <v>0</v>
      </c>
      <c r="H144" s="291"/>
      <c r="I144" s="291"/>
      <c r="J144" s="291"/>
      <c r="K144" s="291">
        <v>0</v>
      </c>
      <c r="L144" s="331"/>
      <c r="M144" s="332"/>
      <c r="N144" s="333"/>
      <c r="O144" s="333"/>
      <c r="P144" s="334"/>
      <c r="Q144" s="275">
        <f t="shared" si="16"/>
        <v>0</v>
      </c>
      <c r="R144" s="286">
        <f t="shared" si="17"/>
        <v>0</v>
      </c>
      <c r="U144" s="294">
        <f t="shared" si="18"/>
        <v>0</v>
      </c>
    </row>
    <row r="145" spans="1:21" s="25" customFormat="1" ht="20.100000000000001" customHeight="1" x14ac:dyDescent="0.25">
      <c r="A145" s="335">
        <v>1039725</v>
      </c>
      <c r="B145" s="360" t="s">
        <v>194</v>
      </c>
      <c r="C145" s="85">
        <f>PV!C145</f>
        <v>0.6</v>
      </c>
      <c r="D145" s="44" t="str">
        <f t="shared" si="19"/>
        <v>h</v>
      </c>
      <c r="E145" s="43">
        <f>IF(D145="h",PV!E145,IF(D145="M",PV!G145,PV!I145))</f>
        <v>10.95</v>
      </c>
      <c r="F145" s="291">
        <v>2</v>
      </c>
      <c r="G145" s="291">
        <v>0</v>
      </c>
      <c r="H145" s="291"/>
      <c r="I145" s="291"/>
      <c r="J145" s="291"/>
      <c r="K145" s="291">
        <v>0</v>
      </c>
      <c r="L145" s="331"/>
      <c r="M145" s="332"/>
      <c r="N145" s="333"/>
      <c r="O145" s="333"/>
      <c r="P145" s="334"/>
      <c r="Q145" s="275">
        <f t="shared" si="16"/>
        <v>0</v>
      </c>
      <c r="R145" s="286">
        <f t="shared" si="17"/>
        <v>0</v>
      </c>
      <c r="U145" s="294">
        <f t="shared" si="18"/>
        <v>0</v>
      </c>
    </row>
    <row r="146" spans="1:21" s="25" customFormat="1" ht="20.100000000000001" customHeight="1" x14ac:dyDescent="0.25">
      <c r="A146" s="335">
        <v>270418</v>
      </c>
      <c r="B146" s="360" t="s">
        <v>68</v>
      </c>
      <c r="C146" s="85">
        <f>PV!C146</f>
        <v>0.24</v>
      </c>
      <c r="D146" s="44" t="str">
        <f t="shared" si="19"/>
        <v>h</v>
      </c>
      <c r="E146" s="43">
        <f>IF(D146="h",PV!E146,IF(D146="M",PV!G146,PV!I146))</f>
        <v>6.25</v>
      </c>
      <c r="F146" s="291">
        <v>8</v>
      </c>
      <c r="G146" s="291">
        <v>15</v>
      </c>
      <c r="H146" s="291"/>
      <c r="I146" s="291"/>
      <c r="J146" s="291"/>
      <c r="K146" s="291">
        <v>15</v>
      </c>
      <c r="L146" s="331">
        <v>6.75</v>
      </c>
      <c r="M146" s="332"/>
      <c r="N146" s="333">
        <v>8.25</v>
      </c>
      <c r="O146" s="333"/>
      <c r="P146" s="334"/>
      <c r="Q146" s="275">
        <f t="shared" si="16"/>
        <v>93.75</v>
      </c>
      <c r="R146" s="286">
        <f t="shared" si="17"/>
        <v>3.5999999999999996</v>
      </c>
      <c r="U146" s="294">
        <f t="shared" si="18"/>
        <v>8.25</v>
      </c>
    </row>
    <row r="147" spans="1:21" s="25" customFormat="1" ht="20.100000000000001" customHeight="1" x14ac:dyDescent="0.25">
      <c r="A147" s="335">
        <v>65912</v>
      </c>
      <c r="B147" s="360" t="s">
        <v>69</v>
      </c>
      <c r="C147" s="85">
        <f>PV!C147</f>
        <v>0.6</v>
      </c>
      <c r="D147" s="44" t="str">
        <f t="shared" si="19"/>
        <v>h</v>
      </c>
      <c r="E147" s="43">
        <f>IF(D147="h",PV!E147,IF(D147="M",PV!G147,PV!I147))</f>
        <v>11.45</v>
      </c>
      <c r="F147" s="291">
        <v>14</v>
      </c>
      <c r="G147" s="291">
        <v>4</v>
      </c>
      <c r="H147" s="291"/>
      <c r="I147" s="291"/>
      <c r="J147" s="291"/>
      <c r="K147" s="291">
        <v>4</v>
      </c>
      <c r="L147" s="331">
        <v>4</v>
      </c>
      <c r="M147" s="332"/>
      <c r="N147" s="333"/>
      <c r="O147" s="333"/>
      <c r="P147" s="334"/>
      <c r="Q147" s="275">
        <f t="shared" si="16"/>
        <v>45.8</v>
      </c>
      <c r="R147" s="286">
        <f t="shared" si="17"/>
        <v>2.4</v>
      </c>
      <c r="U147" s="294">
        <f t="shared" si="18"/>
        <v>0</v>
      </c>
    </row>
    <row r="148" spans="1:21" s="25" customFormat="1" ht="20.100000000000001" customHeight="1" x14ac:dyDescent="0.25">
      <c r="A148" s="335">
        <v>425024</v>
      </c>
      <c r="B148" s="360" t="s">
        <v>70</v>
      </c>
      <c r="C148" s="85">
        <f>PV!C148</f>
        <v>0.24</v>
      </c>
      <c r="D148" s="44" t="str">
        <f t="shared" si="19"/>
        <v>h</v>
      </c>
      <c r="E148" s="43">
        <f>IF(D148="h",PV!E148,IF(D148="M",PV!G148,PV!I148))</f>
        <v>9.4499999999999993</v>
      </c>
      <c r="F148" s="291">
        <v>6</v>
      </c>
      <c r="G148" s="291">
        <v>7</v>
      </c>
      <c r="H148" s="291"/>
      <c r="I148" s="291"/>
      <c r="J148" s="291"/>
      <c r="K148" s="291">
        <v>7</v>
      </c>
      <c r="L148" s="331">
        <v>7</v>
      </c>
      <c r="M148" s="332"/>
      <c r="N148" s="333"/>
      <c r="O148" s="333"/>
      <c r="P148" s="334"/>
      <c r="Q148" s="275">
        <f t="shared" si="16"/>
        <v>66.149999999999991</v>
      </c>
      <c r="R148" s="286">
        <f t="shared" si="17"/>
        <v>1.68</v>
      </c>
      <c r="U148" s="294">
        <f t="shared" si="18"/>
        <v>0</v>
      </c>
    </row>
    <row r="149" spans="1:21" s="25" customFormat="1" ht="20.100000000000001" customHeight="1" x14ac:dyDescent="0.25">
      <c r="A149" s="335">
        <v>294817</v>
      </c>
      <c r="B149" s="360" t="s">
        <v>71</v>
      </c>
      <c r="C149" s="85">
        <f>PV!C149</f>
        <v>0.6</v>
      </c>
      <c r="D149" s="44" t="str">
        <f t="shared" si="19"/>
        <v>h</v>
      </c>
      <c r="E149" s="43">
        <f>IF(D149="h",PV!E149,IF(D149="M",PV!G149,PV!I149))</f>
        <v>14.95</v>
      </c>
      <c r="F149" s="291">
        <v>5</v>
      </c>
      <c r="G149" s="291">
        <v>4</v>
      </c>
      <c r="H149" s="291"/>
      <c r="I149" s="291"/>
      <c r="J149" s="291"/>
      <c r="K149" s="291">
        <v>4</v>
      </c>
      <c r="L149" s="331">
        <v>4</v>
      </c>
      <c r="M149" s="332"/>
      <c r="N149" s="333"/>
      <c r="O149" s="333"/>
      <c r="P149" s="334"/>
      <c r="Q149" s="275">
        <f t="shared" si="16"/>
        <v>59.8</v>
      </c>
      <c r="R149" s="286">
        <f t="shared" si="17"/>
        <v>2.4</v>
      </c>
      <c r="U149" s="294">
        <f t="shared" si="18"/>
        <v>0</v>
      </c>
    </row>
    <row r="150" spans="1:21" s="25" customFormat="1" ht="20.100000000000001" customHeight="1" x14ac:dyDescent="0.25">
      <c r="A150" s="335">
        <v>441991</v>
      </c>
      <c r="B150" s="360" t="s">
        <v>72</v>
      </c>
      <c r="C150" s="85">
        <f>PV!C150</f>
        <v>0.16</v>
      </c>
      <c r="D150" s="44" t="str">
        <f t="shared" si="19"/>
        <v>h</v>
      </c>
      <c r="E150" s="43">
        <f>IF(D150="h",PV!E150,IF(D150="M",PV!G150,PV!I150))</f>
        <v>4.75</v>
      </c>
      <c r="F150" s="291">
        <v>9</v>
      </c>
      <c r="G150" s="291">
        <v>10</v>
      </c>
      <c r="H150" s="291"/>
      <c r="I150" s="291"/>
      <c r="J150" s="291"/>
      <c r="K150" s="291">
        <v>10</v>
      </c>
      <c r="L150" s="331">
        <v>4.5</v>
      </c>
      <c r="M150" s="332"/>
      <c r="N150" s="333">
        <v>5.5</v>
      </c>
      <c r="O150" s="333"/>
      <c r="P150" s="334"/>
      <c r="Q150" s="275">
        <f t="shared" si="16"/>
        <v>47.5</v>
      </c>
      <c r="R150" s="286">
        <f t="shared" si="17"/>
        <v>1.6</v>
      </c>
      <c r="U150" s="294">
        <f t="shared" si="18"/>
        <v>5.5</v>
      </c>
    </row>
    <row r="151" spans="1:21" s="25" customFormat="1" ht="20.100000000000001" customHeight="1" x14ac:dyDescent="0.25">
      <c r="A151" s="335">
        <v>65899</v>
      </c>
      <c r="B151" s="360" t="s">
        <v>73</v>
      </c>
      <c r="C151" s="85">
        <f>PV!C151</f>
        <v>0.32</v>
      </c>
      <c r="D151" s="44" t="str">
        <f t="shared" si="19"/>
        <v>h</v>
      </c>
      <c r="E151" s="43">
        <f>IF(D151="h",PV!E151,IF(D151="M",PV!G151,PV!I151))</f>
        <v>9.75</v>
      </c>
      <c r="F151" s="291">
        <v>13</v>
      </c>
      <c r="G151" s="291">
        <v>13</v>
      </c>
      <c r="H151" s="291"/>
      <c r="I151" s="291"/>
      <c r="J151" s="291"/>
      <c r="K151" s="291">
        <v>13</v>
      </c>
      <c r="L151" s="331">
        <v>5.85</v>
      </c>
      <c r="M151" s="332"/>
      <c r="N151" s="333">
        <v>7.15</v>
      </c>
      <c r="O151" s="333"/>
      <c r="P151" s="334"/>
      <c r="Q151" s="275">
        <f t="shared" si="16"/>
        <v>126.75</v>
      </c>
      <c r="R151" s="286">
        <f t="shared" si="17"/>
        <v>4.16</v>
      </c>
      <c r="U151" s="294">
        <f t="shared" si="18"/>
        <v>7.15</v>
      </c>
    </row>
    <row r="152" spans="1:21" s="25" customFormat="1" ht="20.100000000000001" customHeight="1" x14ac:dyDescent="0.25">
      <c r="A152" s="335">
        <v>65925</v>
      </c>
      <c r="B152" s="360" t="s">
        <v>75</v>
      </c>
      <c r="C152" s="85">
        <f>PV!C152</f>
        <v>0.72</v>
      </c>
      <c r="D152" s="44" t="str">
        <f t="shared" si="19"/>
        <v>h</v>
      </c>
      <c r="E152" s="43">
        <f>IF(D152="h",PV!E152,IF(D152="M",PV!G152,PV!I152))</f>
        <v>14.95</v>
      </c>
      <c r="F152" s="291">
        <v>2</v>
      </c>
      <c r="G152" s="291">
        <v>2</v>
      </c>
      <c r="H152" s="291"/>
      <c r="I152" s="291"/>
      <c r="J152" s="291"/>
      <c r="K152" s="291">
        <v>2</v>
      </c>
      <c r="L152" s="331">
        <v>2</v>
      </c>
      <c r="M152" s="332"/>
      <c r="N152" s="333"/>
      <c r="O152" s="333"/>
      <c r="P152" s="334"/>
      <c r="Q152" s="275">
        <f t="shared" si="16"/>
        <v>29.9</v>
      </c>
      <c r="R152" s="286">
        <f t="shared" si="17"/>
        <v>1.44</v>
      </c>
      <c r="U152" s="294">
        <f t="shared" si="18"/>
        <v>0</v>
      </c>
    </row>
    <row r="153" spans="1:21" s="25" customFormat="1" ht="20.100000000000001" customHeight="1" x14ac:dyDescent="0.25">
      <c r="A153" s="335"/>
      <c r="B153" s="360"/>
      <c r="C153" s="85"/>
      <c r="D153" s="44"/>
      <c r="E153" s="43"/>
      <c r="F153" s="291"/>
      <c r="G153" s="291"/>
      <c r="H153" s="291"/>
      <c r="I153" s="291"/>
      <c r="J153" s="291"/>
      <c r="K153" s="45"/>
      <c r="L153" s="331"/>
      <c r="M153" s="332"/>
      <c r="N153" s="333"/>
      <c r="O153" s="333"/>
      <c r="P153" s="334"/>
      <c r="Q153" s="278"/>
      <c r="R153" s="287">
        <f>SUM(R122:R152)</f>
        <v>158.72</v>
      </c>
      <c r="U153" s="294">
        <f t="shared" si="18"/>
        <v>0</v>
      </c>
    </row>
    <row r="154" spans="1:21" ht="11.25" customHeight="1" x14ac:dyDescent="0.2">
      <c r="A154" s="416"/>
      <c r="B154" s="416"/>
      <c r="C154" s="33"/>
      <c r="D154" s="47"/>
      <c r="E154" s="46"/>
      <c r="F154" s="292"/>
    </row>
    <row r="155" spans="1:21" ht="15" customHeight="1" x14ac:dyDescent="0.2">
      <c r="A155" s="416"/>
      <c r="B155" s="416"/>
      <c r="C155" s="33"/>
      <c r="D155" s="47"/>
      <c r="E155" s="46"/>
      <c r="F155" s="292"/>
    </row>
    <row r="156" spans="1:21" ht="15.75" customHeight="1" x14ac:dyDescent="0.2">
      <c r="A156" s="416"/>
      <c r="B156" s="416"/>
      <c r="C156" s="33"/>
      <c r="D156" s="47"/>
      <c r="E156" s="46"/>
      <c r="F156" s="292"/>
    </row>
    <row r="157" spans="1:21" ht="13.5" customHeight="1" x14ac:dyDescent="0.2">
      <c r="A157" s="416"/>
      <c r="B157" s="416"/>
      <c r="C157" s="33"/>
      <c r="D157" s="47"/>
      <c r="E157" s="46"/>
      <c r="F157" s="292"/>
    </row>
    <row r="158" spans="1:21" ht="15" customHeight="1" x14ac:dyDescent="0.2">
      <c r="A158" s="416"/>
      <c r="B158" s="416"/>
      <c r="C158" s="33"/>
      <c r="D158" s="47"/>
      <c r="E158" s="46"/>
      <c r="F158" s="292"/>
    </row>
    <row r="159" spans="1:21" ht="19.5" customHeight="1" x14ac:dyDescent="0.2">
      <c r="A159" s="375"/>
      <c r="B159" s="361"/>
      <c r="C159" s="33"/>
      <c r="D159" s="47"/>
      <c r="E159" s="46"/>
      <c r="F159" s="292"/>
    </row>
    <row r="160" spans="1:21" ht="21.75" customHeight="1" x14ac:dyDescent="0.2">
      <c r="A160" s="375"/>
      <c r="B160" s="361"/>
      <c r="C160" s="33"/>
      <c r="D160" s="47"/>
      <c r="E160" s="46"/>
      <c r="F160" s="292"/>
    </row>
    <row r="161" spans="1:18" ht="19.5" customHeight="1" x14ac:dyDescent="0.2">
      <c r="A161" s="375"/>
      <c r="B161" s="361"/>
      <c r="C161" s="33"/>
      <c r="D161" s="47"/>
      <c r="E161" s="46"/>
      <c r="F161" s="292"/>
    </row>
    <row r="162" spans="1:18" ht="19.5" x14ac:dyDescent="0.2">
      <c r="A162" s="375"/>
      <c r="B162" s="361"/>
      <c r="C162" s="33"/>
      <c r="D162" s="47"/>
      <c r="E162" s="46"/>
      <c r="F162" s="292"/>
    </row>
    <row r="163" spans="1:18" ht="11.25" customHeight="1" x14ac:dyDescent="0.2">
      <c r="A163" s="375"/>
      <c r="B163" s="362"/>
      <c r="C163" s="33"/>
      <c r="D163" s="33"/>
      <c r="E163" s="33"/>
      <c r="F163" s="292"/>
      <c r="Q163" s="49"/>
      <c r="R163" s="50"/>
    </row>
    <row r="164" spans="1:18" ht="15.75" customHeight="1" x14ac:dyDescent="0.2">
      <c r="A164" s="375"/>
      <c r="B164" s="362"/>
      <c r="C164" s="33"/>
      <c r="D164" s="33"/>
      <c r="E164" s="33"/>
      <c r="F164" s="292"/>
    </row>
  </sheetData>
  <sheetProtection password="C71F" sheet="1" objects="1" scenarios="1" formatCells="0"/>
  <mergeCells count="20">
    <mergeCell ref="A154:B154"/>
    <mergeCell ref="A155:B155"/>
    <mergeCell ref="A156:B156"/>
    <mergeCell ref="A157:B157"/>
    <mergeCell ref="A158:B158"/>
    <mergeCell ref="Q2:Q3"/>
    <mergeCell ref="R2:R3"/>
    <mergeCell ref="M2:M3"/>
    <mergeCell ref="N2:N3"/>
    <mergeCell ref="O2:O3"/>
    <mergeCell ref="P2:P3"/>
    <mergeCell ref="L1:P1"/>
    <mergeCell ref="B2:B3"/>
    <mergeCell ref="C2:C3"/>
    <mergeCell ref="D2:D3"/>
    <mergeCell ref="E2:E3"/>
    <mergeCell ref="F2:F3"/>
    <mergeCell ref="G2:G3"/>
    <mergeCell ref="K2:K3"/>
    <mergeCell ref="L2:L3"/>
  </mergeCells>
  <conditionalFormatting sqref="L4:P153">
    <cfRule type="cellIs" dxfId="6" priority="1" operator="lessThan">
      <formula>1</formula>
    </cfRule>
  </conditionalFormatting>
  <printOptions horizontalCentered="1"/>
  <pageMargins left="0" right="0" top="0.39370078740157499" bottom="0.59055118110236204" header="0.15748031496063" footer="0.15748031496063"/>
  <pageSetup paperSize="9" scale="70" fitToHeight="5" orientation="portrait" r:id="rId1"/>
  <headerFooter alignWithMargins="0">
    <oddFooter>&amp;Lécole boulangerie&amp;CPage &amp;P</oddFooter>
  </headerFooter>
  <rowBreaks count="2" manualBreakCount="2">
    <brk id="57" max="15" man="1"/>
    <brk id="112" max="15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J182"/>
  <sheetViews>
    <sheetView showGridLines="0" zoomScaleNormal="100" workbookViewId="0">
      <selection activeCell="D171" sqref="D171"/>
    </sheetView>
  </sheetViews>
  <sheetFormatPr defaultColWidth="11.42578125" defaultRowHeight="12.75" x14ac:dyDescent="0.2"/>
  <cols>
    <col min="1" max="1" width="22.28515625" style="97" customWidth="1"/>
    <col min="2" max="2" width="12" style="97" bestFit="1" customWidth="1"/>
    <col min="3" max="3" width="4" style="97" bestFit="1" customWidth="1"/>
    <col min="4" max="4" width="3.85546875" style="97" customWidth="1"/>
    <col min="5" max="5" width="26.5703125" style="97" bestFit="1" customWidth="1"/>
    <col min="6" max="6" width="8.28515625" style="134" customWidth="1"/>
    <col min="7" max="7" width="10.42578125" style="135" customWidth="1"/>
    <col min="8" max="8" width="7" style="97" customWidth="1"/>
    <col min="9" max="9" width="4.28515625" style="97" customWidth="1"/>
    <col min="10" max="10" width="11.42578125" style="179"/>
    <col min="11" max="16384" width="11.42578125" style="97"/>
  </cols>
  <sheetData>
    <row r="1" spans="1:7" ht="15.75" x14ac:dyDescent="0.25">
      <c r="A1" s="51" t="str">
        <f>Monday!G1</f>
        <v>Monday</v>
      </c>
      <c r="B1" s="52">
        <f>Monday!K1</f>
        <v>42457</v>
      </c>
    </row>
    <row r="2" spans="1:7" ht="18" x14ac:dyDescent="0.25">
      <c r="A2" s="177" t="s">
        <v>86</v>
      </c>
    </row>
    <row r="3" spans="1:7" ht="6" customHeight="1" x14ac:dyDescent="0.25">
      <c r="A3" s="136"/>
    </row>
    <row r="4" spans="1:7" ht="15.75" x14ac:dyDescent="0.25">
      <c r="A4" s="418" t="s">
        <v>0</v>
      </c>
      <c r="B4" s="418"/>
      <c r="C4" s="418"/>
      <c r="D4" s="418"/>
      <c r="E4" s="418"/>
      <c r="F4" s="53">
        <f>Monday!R24</f>
        <v>361.84499999999997</v>
      </c>
      <c r="G4" s="54" t="s">
        <v>87</v>
      </c>
    </row>
    <row r="5" spans="1:7" ht="13.5" customHeight="1" x14ac:dyDescent="0.25">
      <c r="A5" s="55" t="s">
        <v>88</v>
      </c>
      <c r="B5" s="137">
        <f>Monday!F1</f>
        <v>50</v>
      </c>
      <c r="C5" s="56"/>
      <c r="D5" s="57"/>
    </row>
    <row r="6" spans="1:7" ht="15.75" x14ac:dyDescent="0.25">
      <c r="A6" s="138" t="s">
        <v>89</v>
      </c>
      <c r="B6" s="139">
        <f>ROUNDDOWN(A7/B5,0)</f>
        <v>4</v>
      </c>
      <c r="C6" s="56"/>
      <c r="D6" s="57"/>
      <c r="E6" s="58" t="s">
        <v>90</v>
      </c>
    </row>
    <row r="7" spans="1:7" x14ac:dyDescent="0.2">
      <c r="A7" s="289">
        <f>B13*farine</f>
        <v>219.29999999999998</v>
      </c>
      <c r="B7" s="417" t="s">
        <v>91</v>
      </c>
      <c r="C7" s="417"/>
      <c r="D7" s="317"/>
      <c r="F7" s="417" t="s">
        <v>91</v>
      </c>
      <c r="G7" s="417"/>
    </row>
    <row r="8" spans="1:7" x14ac:dyDescent="0.2">
      <c r="A8" s="2" t="s">
        <v>2</v>
      </c>
      <c r="B8" s="140">
        <f>B5</f>
        <v>50</v>
      </c>
      <c r="C8" s="141" t="s">
        <v>87</v>
      </c>
      <c r="D8" s="96"/>
      <c r="E8" s="2" t="s">
        <v>2</v>
      </c>
      <c r="F8" s="72">
        <f>ROUNDUP(A7-(B6*B5),0)</f>
        <v>20</v>
      </c>
      <c r="G8" s="141" t="s">
        <v>87</v>
      </c>
    </row>
    <row r="9" spans="1:7" x14ac:dyDescent="0.2">
      <c r="A9" s="5" t="s">
        <v>3</v>
      </c>
      <c r="B9" s="142">
        <f>recipe!C5*P.Monday!B8</f>
        <v>30.5</v>
      </c>
      <c r="C9" s="143" t="s">
        <v>92</v>
      </c>
      <c r="D9" s="131"/>
      <c r="E9" s="5" t="s">
        <v>3</v>
      </c>
      <c r="F9" s="144">
        <f>recipe!C5*P.Monday!F8</f>
        <v>12.2</v>
      </c>
      <c r="G9" s="143" t="s">
        <v>92</v>
      </c>
    </row>
    <row r="10" spans="1:7" x14ac:dyDescent="0.2">
      <c r="A10" s="5" t="s">
        <v>4</v>
      </c>
      <c r="B10" s="145">
        <f>recipe!C6*P.Monday!B8</f>
        <v>1</v>
      </c>
      <c r="C10" s="146" t="s">
        <v>87</v>
      </c>
      <c r="D10" s="131"/>
      <c r="E10" s="5" t="s">
        <v>4</v>
      </c>
      <c r="F10" s="142">
        <f>ROUND(recipe!C6*P.Monday!F9,2)*1000</f>
        <v>240</v>
      </c>
      <c r="G10" s="146" t="s">
        <v>93</v>
      </c>
    </row>
    <row r="11" spans="1:7" x14ac:dyDescent="0.2">
      <c r="A11" s="5" t="s">
        <v>5</v>
      </c>
      <c r="B11" s="145">
        <f>recipe!C7*P.Monday!B8</f>
        <v>0.5</v>
      </c>
      <c r="C11" s="146" t="s">
        <v>87</v>
      </c>
      <c r="D11" s="131"/>
      <c r="E11" s="5" t="s">
        <v>5</v>
      </c>
      <c r="F11" s="142">
        <f>ROUND(recipe!C7*P.Monday!F8,2)*1000</f>
        <v>200</v>
      </c>
      <c r="G11" s="146" t="s">
        <v>93</v>
      </c>
    </row>
    <row r="12" spans="1:7" x14ac:dyDescent="0.2">
      <c r="A12" s="5" t="s">
        <v>6</v>
      </c>
      <c r="B12" s="142">
        <f>(recipe!C8*P.Monday!B8)*1000</f>
        <v>500</v>
      </c>
      <c r="C12" s="146" t="s">
        <v>94</v>
      </c>
      <c r="D12" s="131"/>
      <c r="E12" s="5" t="s">
        <v>6</v>
      </c>
      <c r="F12" s="142">
        <f>ROUND(recipe!C8*P.Monday!F8,2)*1000</f>
        <v>200</v>
      </c>
      <c r="G12" s="146" t="s">
        <v>94</v>
      </c>
    </row>
    <row r="13" spans="1:7" hidden="1" x14ac:dyDescent="0.2">
      <c r="A13" s="147"/>
      <c r="B13" s="134">
        <f>F4/recipe!B9</f>
        <v>219.29999999999998</v>
      </c>
      <c r="C13" s="135"/>
      <c r="D13" s="96"/>
    </row>
    <row r="14" spans="1:7" x14ac:dyDescent="0.2">
      <c r="A14" s="59"/>
      <c r="B14" s="60"/>
      <c r="C14" s="61"/>
      <c r="D14" s="96"/>
    </row>
    <row r="15" spans="1:7" ht="15.75" x14ac:dyDescent="0.25">
      <c r="A15" s="240" t="s">
        <v>1</v>
      </c>
      <c r="B15" s="53">
        <f>Monday!R42</f>
        <v>128.6</v>
      </c>
      <c r="C15" s="54" t="s">
        <v>87</v>
      </c>
      <c r="D15" s="96"/>
      <c r="E15" s="176" t="s">
        <v>232</v>
      </c>
      <c r="F15" s="67">
        <f>Monday!K38</f>
        <v>0</v>
      </c>
      <c r="G15" s="54" t="s">
        <v>233</v>
      </c>
    </row>
    <row r="16" spans="1:7" x14ac:dyDescent="0.2">
      <c r="B16" s="417" t="s">
        <v>91</v>
      </c>
      <c r="C16" s="417"/>
      <c r="D16" s="96"/>
      <c r="F16" s="417" t="s">
        <v>91</v>
      </c>
      <c r="G16" s="417"/>
    </row>
    <row r="17" spans="1:7" x14ac:dyDescent="0.2">
      <c r="A17" s="2" t="s">
        <v>2</v>
      </c>
      <c r="B17" s="149">
        <f>ROUND(ftf*P.Monday!B23,0)</f>
        <v>67</v>
      </c>
      <c r="C17" s="141" t="s">
        <v>87</v>
      </c>
      <c r="D17" s="96"/>
      <c r="E17" s="8" t="s">
        <v>234</v>
      </c>
      <c r="F17" s="250">
        <f>ROUND(F15*recipe!B136,1)</f>
        <v>0</v>
      </c>
      <c r="G17" s="70" t="s">
        <v>87</v>
      </c>
    </row>
    <row r="18" spans="1:7" x14ac:dyDescent="0.2">
      <c r="A18" s="5" t="s">
        <v>3</v>
      </c>
      <c r="B18" s="145">
        <f>ROUND(recipe!G5*P.Monday!B17,1)</f>
        <v>52.1</v>
      </c>
      <c r="C18" s="143" t="s">
        <v>92</v>
      </c>
      <c r="D18" s="96"/>
      <c r="E18" s="62" t="s">
        <v>200</v>
      </c>
      <c r="F18" s="251">
        <f>ROUND(F15*recipe!B137,1)*1000</f>
        <v>0</v>
      </c>
      <c r="G18" s="163" t="s">
        <v>94</v>
      </c>
    </row>
    <row r="19" spans="1:7" x14ac:dyDescent="0.2">
      <c r="A19" s="5" t="s">
        <v>4</v>
      </c>
      <c r="B19" s="142">
        <f>ROUND(recipe!G6*P.Monday!B17,2)*1000</f>
        <v>1490</v>
      </c>
      <c r="C19" s="146" t="s">
        <v>94</v>
      </c>
      <c r="D19" s="96"/>
      <c r="F19" s="172"/>
      <c r="G19" s="148"/>
    </row>
    <row r="20" spans="1:7" x14ac:dyDescent="0.2">
      <c r="A20" s="5" t="s">
        <v>5</v>
      </c>
      <c r="B20" s="142">
        <f>ROUND(recipe!G7*P.Monday!B17,2)*1000</f>
        <v>520</v>
      </c>
      <c r="C20" s="146" t="s">
        <v>94</v>
      </c>
      <c r="D20" s="96"/>
    </row>
    <row r="21" spans="1:7" x14ac:dyDescent="0.2">
      <c r="A21" s="5" t="s">
        <v>195</v>
      </c>
      <c r="B21" s="95">
        <f>ROUND(recipe!G8*P.Monday!B17,1)</f>
        <v>7.4</v>
      </c>
      <c r="C21" s="150" t="s">
        <v>87</v>
      </c>
      <c r="D21" s="96"/>
    </row>
    <row r="22" spans="1:7" x14ac:dyDescent="0.2">
      <c r="A22" s="5"/>
      <c r="B22" s="151"/>
      <c r="C22" s="150"/>
      <c r="D22" s="96"/>
    </row>
    <row r="23" spans="1:7" hidden="1" x14ac:dyDescent="0.2">
      <c r="B23" s="134">
        <f>B15/recipe!F9</f>
        <v>7.4464389114070642</v>
      </c>
      <c r="C23" s="148"/>
      <c r="D23" s="96"/>
    </row>
    <row r="24" spans="1:7" x14ac:dyDescent="0.2">
      <c r="A24" s="147"/>
      <c r="B24" s="134"/>
      <c r="C24" s="135"/>
      <c r="D24" s="96"/>
    </row>
    <row r="25" spans="1:7" ht="15.75" x14ac:dyDescent="0.25">
      <c r="A25" s="240" t="s">
        <v>159</v>
      </c>
      <c r="B25" s="53">
        <f>Monday!R121</f>
        <v>2.4499999999999997</v>
      </c>
      <c r="C25" s="54" t="s">
        <v>87</v>
      </c>
      <c r="E25" s="176" t="s">
        <v>96</v>
      </c>
      <c r="F25" s="66">
        <f>Monday!R117+Monday!R119</f>
        <v>1.4</v>
      </c>
      <c r="G25" s="54" t="s">
        <v>87</v>
      </c>
    </row>
    <row r="26" spans="1:7" x14ac:dyDescent="0.2">
      <c r="B26" s="417" t="s">
        <v>91</v>
      </c>
      <c r="C26" s="417"/>
      <c r="F26" s="417" t="s">
        <v>91</v>
      </c>
      <c r="G26" s="417"/>
    </row>
    <row r="27" spans="1:7" x14ac:dyDescent="0.2">
      <c r="A27" s="2" t="s">
        <v>10</v>
      </c>
      <c r="B27" s="149">
        <f>ROUND(flr*P.Monday!B36,1)</f>
        <v>1.1000000000000001</v>
      </c>
      <c r="C27" s="141" t="s">
        <v>87</v>
      </c>
      <c r="E27" s="8" t="s">
        <v>224</v>
      </c>
      <c r="F27" s="252">
        <f>F25*recipe!F145/recipe!F147</f>
        <v>1.2173913043478262</v>
      </c>
      <c r="G27" s="154" t="s">
        <v>87</v>
      </c>
    </row>
    <row r="28" spans="1:7" x14ac:dyDescent="0.2">
      <c r="A28" s="5" t="s">
        <v>3</v>
      </c>
      <c r="B28" s="145">
        <f>ROUND(recipe!G17*P.Monday!B27,1)</f>
        <v>0.1</v>
      </c>
      <c r="C28" s="143" t="s">
        <v>87</v>
      </c>
      <c r="E28" s="62" t="s">
        <v>225</v>
      </c>
      <c r="F28" s="252">
        <f>F25*recipe!F146/recipe!F147</f>
        <v>0.18260869565217389</v>
      </c>
      <c r="G28" s="100" t="s">
        <v>87</v>
      </c>
    </row>
    <row r="29" spans="1:7" x14ac:dyDescent="0.2">
      <c r="A29" s="5" t="s">
        <v>176</v>
      </c>
      <c r="B29" s="145">
        <f>ROUND(recipe!G18*P.Monday!B27,1)</f>
        <v>0.6</v>
      </c>
      <c r="C29" s="143" t="s">
        <v>92</v>
      </c>
      <c r="E29" s="63"/>
      <c r="F29" s="97"/>
      <c r="G29" s="148"/>
    </row>
    <row r="30" spans="1:7" x14ac:dyDescent="0.2">
      <c r="A30" s="5" t="s">
        <v>12</v>
      </c>
      <c r="B30" s="145">
        <f>ROUND(recipe!G19*P.Monday!B27,1)</f>
        <v>0.2</v>
      </c>
      <c r="C30" s="146" t="s">
        <v>94</v>
      </c>
    </row>
    <row r="31" spans="1:7" x14ac:dyDescent="0.2">
      <c r="A31" s="5" t="s">
        <v>4</v>
      </c>
      <c r="B31" s="142">
        <f>ROUND(recipe!G20*P.Monday!B27,1)*1000</f>
        <v>0</v>
      </c>
      <c r="C31" s="146" t="s">
        <v>94</v>
      </c>
    </row>
    <row r="32" spans="1:7" x14ac:dyDescent="0.2">
      <c r="A32" s="5" t="s">
        <v>6</v>
      </c>
      <c r="B32" s="142">
        <f>ROUND(recipe!G21*P.Monday!B27,2)*1000</f>
        <v>10</v>
      </c>
      <c r="C32" s="146" t="s">
        <v>94</v>
      </c>
    </row>
    <row r="33" spans="1:7" x14ac:dyDescent="0.2">
      <c r="A33" s="5" t="s">
        <v>5</v>
      </c>
      <c r="B33" s="142">
        <f>ROUND(recipe!G22*P.Monday!B27,1)*1000</f>
        <v>100</v>
      </c>
      <c r="C33" s="146" t="s">
        <v>94</v>
      </c>
    </row>
    <row r="34" spans="1:7" x14ac:dyDescent="0.2">
      <c r="A34" s="5" t="s">
        <v>177</v>
      </c>
      <c r="B34" s="142">
        <f>ROUND(recipe!G23*P.Monday!B27,2)*1000</f>
        <v>30</v>
      </c>
      <c r="C34" s="146" t="s">
        <v>94</v>
      </c>
      <c r="F34" s="97"/>
      <c r="G34" s="97"/>
    </row>
    <row r="35" spans="1:7" x14ac:dyDescent="0.2">
      <c r="A35" s="3" t="s">
        <v>16</v>
      </c>
      <c r="B35" s="153">
        <f>ROUND(recipe!G24*P.Monday!B27,2)</f>
        <v>0.44</v>
      </c>
      <c r="C35" s="150" t="s">
        <v>87</v>
      </c>
      <c r="F35" s="97"/>
      <c r="G35" s="97"/>
    </row>
    <row r="36" spans="1:7" hidden="1" x14ac:dyDescent="0.2">
      <c r="B36" s="134">
        <f>B25/recipe!F25</f>
        <v>1.079295154185022</v>
      </c>
      <c r="C36" s="148"/>
      <c r="F36" s="166">
        <f>F25/recipe!F147</f>
        <v>0.1217391304347826</v>
      </c>
      <c r="G36" s="97"/>
    </row>
    <row r="37" spans="1:7" x14ac:dyDescent="0.2">
      <c r="B37" s="134"/>
      <c r="C37" s="135"/>
      <c r="D37" s="101"/>
      <c r="F37" s="97"/>
      <c r="G37" s="97"/>
    </row>
    <row r="38" spans="1:7" ht="15.75" x14ac:dyDescent="0.25">
      <c r="A38" s="240" t="s">
        <v>7</v>
      </c>
      <c r="B38" s="53">
        <f>Monday!R58</f>
        <v>20.946818239999999</v>
      </c>
      <c r="C38" s="54" t="s">
        <v>87</v>
      </c>
      <c r="D38" s="57"/>
      <c r="E38" s="176" t="s">
        <v>229</v>
      </c>
      <c r="F38" s="67">
        <f>Monday!K57</f>
        <v>0</v>
      </c>
      <c r="G38" s="54" t="s">
        <v>235</v>
      </c>
    </row>
    <row r="39" spans="1:7" x14ac:dyDescent="0.2">
      <c r="B39" s="417" t="s">
        <v>91</v>
      </c>
      <c r="C39" s="417"/>
      <c r="D39" s="80"/>
      <c r="F39" s="417" t="s">
        <v>91</v>
      </c>
      <c r="G39" s="417"/>
    </row>
    <row r="40" spans="1:7" x14ac:dyDescent="0.2">
      <c r="A40" s="8" t="s">
        <v>9</v>
      </c>
      <c r="B40" s="267">
        <f>ROUNDUP(fcr*P.Monday!B44,0)</f>
        <v>12</v>
      </c>
      <c r="C40" s="141" t="s">
        <v>87</v>
      </c>
      <c r="D40" s="101"/>
      <c r="E40" s="8" t="s">
        <v>199</v>
      </c>
      <c r="F40" s="266">
        <f>ROUND(F38*recipe!B128,1)</f>
        <v>0</v>
      </c>
      <c r="G40" s="70" t="s">
        <v>87</v>
      </c>
    </row>
    <row r="41" spans="1:7" x14ac:dyDescent="0.2">
      <c r="A41" s="9" t="s">
        <v>197</v>
      </c>
      <c r="B41" s="268">
        <f>ROUND(recipe!C17*P.Monday!B40,1)</f>
        <v>1.3</v>
      </c>
      <c r="C41" s="143" t="s">
        <v>87</v>
      </c>
      <c r="D41" s="101"/>
      <c r="E41" s="62" t="s">
        <v>230</v>
      </c>
      <c r="F41" s="251">
        <f>ROUND(F38*recipe!B129,1)*1000</f>
        <v>0</v>
      </c>
      <c r="G41" s="163" t="s">
        <v>94</v>
      </c>
    </row>
    <row r="42" spans="1:7" x14ac:dyDescent="0.2">
      <c r="A42" s="9" t="s">
        <v>11</v>
      </c>
      <c r="B42" s="269">
        <f>ROUND(recipe!C18*P.Monday!B40,1)</f>
        <v>8</v>
      </c>
      <c r="C42" s="143" t="s">
        <v>92</v>
      </c>
      <c r="D42" s="101"/>
      <c r="E42" s="62" t="s">
        <v>236</v>
      </c>
      <c r="F42" s="251">
        <f>ROUND(F38*recipe!B130,1)*1000</f>
        <v>0</v>
      </c>
      <c r="G42" s="163" t="s">
        <v>94</v>
      </c>
    </row>
    <row r="43" spans="1:7" x14ac:dyDescent="0.2">
      <c r="A43" s="9" t="s">
        <v>5</v>
      </c>
      <c r="B43" s="270">
        <f>ROUND(recipe!C19*P.Monday!B40,2)*1000</f>
        <v>130</v>
      </c>
      <c r="C43" s="146" t="s">
        <v>94</v>
      </c>
      <c r="D43" s="101"/>
      <c r="F43" s="97"/>
      <c r="G43" s="97"/>
    </row>
    <row r="44" spans="1:7" hidden="1" x14ac:dyDescent="0.2">
      <c r="B44" s="134">
        <f>B38/recipe!B25</f>
        <v>4.336815370600414</v>
      </c>
      <c r="C44" s="135"/>
      <c r="D44" s="101"/>
      <c r="G44" s="148"/>
    </row>
    <row r="45" spans="1:7" x14ac:dyDescent="0.2">
      <c r="B45" s="134"/>
      <c r="C45" s="135"/>
      <c r="D45" s="101"/>
      <c r="G45" s="148"/>
    </row>
    <row r="46" spans="1:7" ht="15.75" x14ac:dyDescent="0.25">
      <c r="A46" s="176" t="s">
        <v>226</v>
      </c>
      <c r="B46" s="67">
        <f>Monday!K54</f>
        <v>5</v>
      </c>
      <c r="C46" s="54" t="s">
        <v>235</v>
      </c>
      <c r="D46" s="132"/>
      <c r="E46" s="227"/>
      <c r="F46" s="228"/>
      <c r="G46" s="229"/>
    </row>
    <row r="47" spans="1:7" x14ac:dyDescent="0.2">
      <c r="B47" s="417" t="s">
        <v>91</v>
      </c>
      <c r="C47" s="417"/>
      <c r="D47" s="80"/>
      <c r="E47" s="230"/>
      <c r="F47" s="419"/>
      <c r="G47" s="419"/>
    </row>
    <row r="48" spans="1:7" x14ac:dyDescent="0.2">
      <c r="A48" s="8" t="s">
        <v>199</v>
      </c>
      <c r="B48" s="250">
        <f>ROUND(B46*recipe!F119,1)</f>
        <v>2.2000000000000002</v>
      </c>
      <c r="C48" s="70" t="s">
        <v>87</v>
      </c>
      <c r="D48" s="101"/>
      <c r="E48" s="231"/>
      <c r="F48" s="232"/>
      <c r="G48" s="239"/>
    </row>
    <row r="49" spans="1:8" x14ac:dyDescent="0.2">
      <c r="A49" s="62" t="s">
        <v>231</v>
      </c>
      <c r="B49" s="261">
        <f>ROUND(B46*recipe!F120,2)*1000</f>
        <v>220</v>
      </c>
      <c r="C49" s="163" t="s">
        <v>94</v>
      </c>
      <c r="D49" s="101"/>
      <c r="E49" s="231"/>
      <c r="F49" s="232"/>
      <c r="G49" s="239"/>
    </row>
    <row r="50" spans="1:8" hidden="1" x14ac:dyDescent="0.2">
      <c r="B50" s="134">
        <f>B46/recipe!F121</f>
        <v>10.416666579861113</v>
      </c>
      <c r="C50" s="135"/>
      <c r="D50" s="101"/>
      <c r="E50" s="230"/>
      <c r="F50" s="237"/>
      <c r="G50" s="234"/>
    </row>
    <row r="51" spans="1:8" ht="4.5" customHeight="1" x14ac:dyDescent="0.2">
      <c r="B51" s="134"/>
      <c r="C51" s="135"/>
      <c r="G51" s="160"/>
    </row>
    <row r="52" spans="1:8" ht="15.75" x14ac:dyDescent="0.25">
      <c r="A52" s="176" t="s">
        <v>227</v>
      </c>
      <c r="B52" s="67">
        <f>Monday!K56</f>
        <v>4</v>
      </c>
      <c r="C52" s="54" t="s">
        <v>235</v>
      </c>
      <c r="D52" s="132"/>
      <c r="E52" s="176" t="s">
        <v>228</v>
      </c>
      <c r="F52" s="67">
        <f>Monday!K52</f>
        <v>7</v>
      </c>
      <c r="G52" s="54" t="s">
        <v>235</v>
      </c>
    </row>
    <row r="53" spans="1:8" x14ac:dyDescent="0.2">
      <c r="B53" s="417" t="s">
        <v>91</v>
      </c>
      <c r="C53" s="417"/>
      <c r="D53" s="80"/>
      <c r="F53" s="417" t="s">
        <v>91</v>
      </c>
      <c r="G53" s="417"/>
    </row>
    <row r="54" spans="1:8" x14ac:dyDescent="0.2">
      <c r="A54" s="8" t="s">
        <v>199</v>
      </c>
      <c r="B54" s="250">
        <f>ROUND(B52*recipe!B119,1)</f>
        <v>1.7</v>
      </c>
      <c r="C54" s="70" t="s">
        <v>87</v>
      </c>
      <c r="D54" s="101"/>
      <c r="E54" s="8" t="s">
        <v>199</v>
      </c>
      <c r="F54" s="266">
        <f>ROUND(F52*recipe!F128,1)</f>
        <v>3.1</v>
      </c>
      <c r="G54" s="70" t="s">
        <v>87</v>
      </c>
    </row>
    <row r="55" spans="1:8" x14ac:dyDescent="0.2">
      <c r="A55" s="62" t="s">
        <v>230</v>
      </c>
      <c r="B55" s="265">
        <f>ROUND(B52*recipe!B120,2)*1000</f>
        <v>170</v>
      </c>
      <c r="C55" s="163" t="s">
        <v>94</v>
      </c>
      <c r="D55" s="101"/>
      <c r="E55" s="62" t="s">
        <v>22</v>
      </c>
      <c r="F55" s="261">
        <f>ROUND(F52*recipe!F129,2)*1000</f>
        <v>310</v>
      </c>
      <c r="G55" s="163" t="s">
        <v>94</v>
      </c>
    </row>
    <row r="56" spans="1:8" hidden="1" x14ac:dyDescent="0.2">
      <c r="B56" s="134">
        <f>B52/recipe!B121</f>
        <v>8.3333332638888891</v>
      </c>
      <c r="C56" s="135"/>
      <c r="D56" s="101"/>
      <c r="F56" s="134">
        <f>F52/recipe!F130</f>
        <v>14.583333211805558</v>
      </c>
      <c r="G56" s="148"/>
    </row>
    <row r="57" spans="1:8" ht="4.5" customHeight="1" x14ac:dyDescent="0.2">
      <c r="B57" s="134"/>
      <c r="C57" s="135"/>
      <c r="G57" s="160"/>
    </row>
    <row r="58" spans="1:8" ht="15.75" x14ac:dyDescent="0.25">
      <c r="D58" s="132"/>
      <c r="F58" s="97"/>
      <c r="G58" s="97"/>
    </row>
    <row r="59" spans="1:8" ht="15.75" x14ac:dyDescent="0.25">
      <c r="A59" s="176" t="s">
        <v>21</v>
      </c>
      <c r="B59" s="53">
        <f>Monday!R74</f>
        <v>143.83999999999997</v>
      </c>
      <c r="C59" s="54" t="s">
        <v>87</v>
      </c>
      <c r="D59" s="101"/>
      <c r="E59" s="176" t="s">
        <v>17</v>
      </c>
      <c r="F59" s="53">
        <f>Monday!R44</f>
        <v>7.92</v>
      </c>
      <c r="G59" s="54" t="s">
        <v>87</v>
      </c>
    </row>
    <row r="60" spans="1:8" x14ac:dyDescent="0.2">
      <c r="B60" s="417" t="s">
        <v>91</v>
      </c>
      <c r="C60" s="417"/>
      <c r="D60" s="101"/>
      <c r="F60" s="417" t="s">
        <v>91</v>
      </c>
      <c r="G60" s="417"/>
    </row>
    <row r="61" spans="1:8" x14ac:dyDescent="0.2">
      <c r="A61" s="2" t="s">
        <v>10</v>
      </c>
      <c r="B61" s="69">
        <f>ROUND(B68*fvr,1)</f>
        <v>80.400000000000006</v>
      </c>
      <c r="C61" s="70" t="s">
        <v>87</v>
      </c>
      <c r="E61" s="2" t="s">
        <v>10</v>
      </c>
      <c r="F61" s="149">
        <f>ROUND(fbr*P.Monday!F68,1)</f>
        <v>4.0999999999999996</v>
      </c>
      <c r="G61" s="70" t="s">
        <v>87</v>
      </c>
    </row>
    <row r="62" spans="1:8" x14ac:dyDescent="0.2">
      <c r="A62" s="5" t="s">
        <v>3</v>
      </c>
      <c r="B62" s="69">
        <f>ROUND(B68*recipe!B80,1)</f>
        <v>48.2</v>
      </c>
      <c r="C62" s="146" t="s">
        <v>92</v>
      </c>
      <c r="E62" s="5" t="s">
        <v>3</v>
      </c>
      <c r="F62" s="145">
        <f>ROUND(recipe!C56*P.Monday!F61,1)</f>
        <v>3.2</v>
      </c>
      <c r="G62" s="146" t="s">
        <v>92</v>
      </c>
      <c r="H62" s="115"/>
    </row>
    <row r="63" spans="1:8" x14ac:dyDescent="0.2">
      <c r="A63" s="5" t="s">
        <v>4</v>
      </c>
      <c r="B63" s="72">
        <f>ROUND(B68*recipe!B81,2)*1000</f>
        <v>1610</v>
      </c>
      <c r="C63" s="146" t="s">
        <v>94</v>
      </c>
      <c r="E63" s="5" t="s">
        <v>5</v>
      </c>
      <c r="F63" s="142">
        <f>ROUND(recipe!C57*P.Monday!F61,2)*1000</f>
        <v>50</v>
      </c>
      <c r="G63" s="146" t="s">
        <v>94</v>
      </c>
      <c r="H63" s="115"/>
    </row>
    <row r="64" spans="1:8" x14ac:dyDescent="0.2">
      <c r="A64" s="5" t="s">
        <v>5</v>
      </c>
      <c r="B64" s="72">
        <f>ROUND(B68*recipe!B82,2)*1000</f>
        <v>800</v>
      </c>
      <c r="C64" s="146" t="s">
        <v>94</v>
      </c>
      <c r="D64" s="115"/>
      <c r="E64" s="5" t="s">
        <v>196</v>
      </c>
      <c r="F64" s="142">
        <f>ROUND(recipe!C58*P.Monday!F61,2)*1000</f>
        <v>230</v>
      </c>
      <c r="G64" s="146" t="s">
        <v>94</v>
      </c>
    </row>
    <row r="65" spans="1:7" x14ac:dyDescent="0.2">
      <c r="A65" s="5" t="s">
        <v>6</v>
      </c>
      <c r="B65" s="72">
        <f>ROUND(B68*recipe!B83,2)*1000</f>
        <v>800</v>
      </c>
      <c r="C65" s="146" t="s">
        <v>94</v>
      </c>
      <c r="E65" s="5" t="s">
        <v>133</v>
      </c>
      <c r="F65" s="142">
        <f>ROUND(recipe!C58*P.Monday!F62,1)*1000</f>
        <v>200</v>
      </c>
      <c r="G65" s="146" t="s">
        <v>87</v>
      </c>
    </row>
    <row r="66" spans="1:7" x14ac:dyDescent="0.2">
      <c r="A66" s="5" t="s">
        <v>12</v>
      </c>
      <c r="B66" s="69">
        <f>ROUND(B68*recipe!B84,1)</f>
        <v>8</v>
      </c>
      <c r="C66" s="146" t="s">
        <v>87</v>
      </c>
      <c r="E66" s="3" t="s">
        <v>4</v>
      </c>
      <c r="F66" s="142">
        <f>ROUND(recipe!C60*P.Monday!F61,2)*1000</f>
        <v>90</v>
      </c>
      <c r="G66" s="100" t="s">
        <v>94</v>
      </c>
    </row>
    <row r="67" spans="1:7" x14ac:dyDescent="0.2">
      <c r="A67" s="5" t="s">
        <v>205</v>
      </c>
      <c r="B67" s="69">
        <f>ROUND(B68*recipe!B85,1)</f>
        <v>4</v>
      </c>
      <c r="C67" s="146" t="s">
        <v>87</v>
      </c>
      <c r="F67" s="97"/>
    </row>
    <row r="68" spans="1:7" hidden="1" x14ac:dyDescent="0.2">
      <c r="A68" s="59"/>
      <c r="B68" s="60">
        <f>B59/recipe!B86</f>
        <v>1.6071508379888266</v>
      </c>
      <c r="C68" s="135"/>
      <c r="D68" s="101"/>
      <c r="E68" s="231"/>
      <c r="F68" s="134">
        <f>F59/recipe!B61</f>
        <v>1.4999999999999996</v>
      </c>
      <c r="G68" s="238"/>
    </row>
    <row r="69" spans="1:7" x14ac:dyDescent="0.2">
      <c r="A69" s="230"/>
      <c r="B69" s="237"/>
      <c r="C69" s="233"/>
      <c r="D69" s="101"/>
      <c r="E69" s="231"/>
      <c r="F69" s="235"/>
      <c r="G69" s="238"/>
    </row>
    <row r="70" spans="1:7" ht="15.75" x14ac:dyDescent="0.25">
      <c r="A70" s="176" t="s">
        <v>169</v>
      </c>
      <c r="B70" s="67">
        <f>Monday!R113</f>
        <v>302.09999999999997</v>
      </c>
      <c r="C70" s="54" t="s">
        <v>87</v>
      </c>
      <c r="E70" s="176" t="s">
        <v>211</v>
      </c>
      <c r="F70" s="64">
        <f>Monday!R84</f>
        <v>53.65</v>
      </c>
      <c r="G70" s="54" t="s">
        <v>87</v>
      </c>
    </row>
    <row r="71" spans="1:7" x14ac:dyDescent="0.2">
      <c r="B71" s="417" t="s">
        <v>91</v>
      </c>
      <c r="C71" s="417"/>
      <c r="F71" s="417" t="s">
        <v>91</v>
      </c>
      <c r="G71" s="417"/>
    </row>
    <row r="72" spans="1:7" x14ac:dyDescent="0.2">
      <c r="A72" s="8" t="s">
        <v>10</v>
      </c>
      <c r="B72" s="250">
        <f>ROUND(prnr*P.Monday!B76,1)</f>
        <v>183.6</v>
      </c>
      <c r="C72" s="154" t="s">
        <v>87</v>
      </c>
      <c r="E72" s="2" t="s">
        <v>284</v>
      </c>
      <c r="F72" s="164">
        <f>ROUND(fpbr*P.Monday!F76,1)</f>
        <v>16.399999999999999</v>
      </c>
      <c r="G72" s="154" t="s">
        <v>87</v>
      </c>
    </row>
    <row r="73" spans="1:7" x14ac:dyDescent="0.2">
      <c r="A73" s="9" t="s">
        <v>3</v>
      </c>
      <c r="B73" s="250">
        <f>ROUND(B72*recipe!G137,1)</f>
        <v>110.2</v>
      </c>
      <c r="C73" s="155" t="s">
        <v>87</v>
      </c>
      <c r="E73" s="5" t="s">
        <v>246</v>
      </c>
      <c r="F73" s="158">
        <f>ROUND(recipe!G33*P.Monday!F72,1)</f>
        <v>16.399999999999999</v>
      </c>
      <c r="G73" s="155" t="s">
        <v>87</v>
      </c>
    </row>
    <row r="74" spans="1:7" x14ac:dyDescent="0.2">
      <c r="A74" s="62" t="s">
        <v>4</v>
      </c>
      <c r="B74" s="251">
        <f>ROUND(B72*recipe!G138,2)*1000</f>
        <v>3670</v>
      </c>
      <c r="C74" s="100" t="s">
        <v>94</v>
      </c>
      <c r="E74" s="5" t="s">
        <v>3</v>
      </c>
      <c r="F74" s="158">
        <f>ROUND(recipe!G34*P.Monday!F72,1)</f>
        <v>20.3</v>
      </c>
      <c r="G74" s="155" t="s">
        <v>92</v>
      </c>
    </row>
    <row r="75" spans="1:7" x14ac:dyDescent="0.2">
      <c r="A75" s="249" t="s">
        <v>5</v>
      </c>
      <c r="B75" s="251">
        <f>ROUND(B72*recipe!G139,2)*1000</f>
        <v>4590</v>
      </c>
      <c r="C75" s="100" t="s">
        <v>94</v>
      </c>
      <c r="E75" s="5" t="s">
        <v>5</v>
      </c>
      <c r="F75" s="157">
        <f>ROUND(recipe!G35*P.Monday!F72,2)*1000</f>
        <v>660</v>
      </c>
      <c r="G75" s="155" t="s">
        <v>94</v>
      </c>
    </row>
    <row r="76" spans="1:7" hidden="1" x14ac:dyDescent="0.2">
      <c r="B76" s="97">
        <f>B70/recipe!F140</f>
        <v>183.64741641337383</v>
      </c>
      <c r="C76" s="135"/>
      <c r="D76" s="101"/>
      <c r="F76" s="134">
        <f>F70/recipe!F39</f>
        <v>32.713414634146339</v>
      </c>
      <c r="G76" s="148"/>
    </row>
    <row r="77" spans="1:7" x14ac:dyDescent="0.2">
      <c r="C77" s="135"/>
      <c r="D77" s="101"/>
      <c r="G77" s="148"/>
    </row>
    <row r="78" spans="1:7" ht="15.75" x14ac:dyDescent="0.25">
      <c r="A78" s="227"/>
      <c r="B78" s="236"/>
      <c r="C78" s="324"/>
      <c r="E78" s="176" t="s">
        <v>285</v>
      </c>
      <c r="F78" s="64">
        <f>Monday!R79</f>
        <v>21.240000000000002</v>
      </c>
      <c r="G78" s="54" t="s">
        <v>87</v>
      </c>
    </row>
    <row r="79" spans="1:7" ht="15.75" x14ac:dyDescent="0.25">
      <c r="A79" s="227"/>
      <c r="B79" s="236"/>
      <c r="C79" s="324"/>
      <c r="F79" s="417" t="s">
        <v>91</v>
      </c>
      <c r="G79" s="417"/>
    </row>
    <row r="80" spans="1:7" ht="15.75" x14ac:dyDescent="0.25">
      <c r="A80" s="227"/>
      <c r="B80" s="236"/>
      <c r="C80" s="324"/>
      <c r="E80" s="2" t="s">
        <v>10</v>
      </c>
      <c r="F80" s="164">
        <f>ROUND(fpbr*P.Monday!F87,1)</f>
        <v>5.7</v>
      </c>
      <c r="G80" s="154" t="s">
        <v>87</v>
      </c>
    </row>
    <row r="81" spans="1:7" ht="15.75" x14ac:dyDescent="0.25">
      <c r="A81" s="227"/>
      <c r="B81" s="236"/>
      <c r="C81" s="324"/>
      <c r="E81" s="5" t="s">
        <v>282</v>
      </c>
      <c r="F81" s="158">
        <f>ROUND(recipe!G168*P.Monday!F80,1)</f>
        <v>0.6</v>
      </c>
      <c r="G81" s="155" t="s">
        <v>87</v>
      </c>
    </row>
    <row r="82" spans="1:7" ht="15.75" x14ac:dyDescent="0.25">
      <c r="A82" s="227"/>
      <c r="B82" s="236"/>
      <c r="C82" s="324"/>
      <c r="E82" s="3" t="s">
        <v>3</v>
      </c>
      <c r="F82" s="158">
        <f>ROUND(recipe!G169*P.Monday!F80,1)</f>
        <v>3.8</v>
      </c>
      <c r="G82" s="155" t="s">
        <v>92</v>
      </c>
    </row>
    <row r="83" spans="1:7" ht="15.75" x14ac:dyDescent="0.25">
      <c r="A83" s="227"/>
      <c r="B83" s="236"/>
      <c r="C83" s="324"/>
      <c r="E83" s="5" t="s">
        <v>4</v>
      </c>
      <c r="F83" s="157">
        <f>ROUND(recipe!G170*P.Monday!F80,2)*1000</f>
        <v>130</v>
      </c>
      <c r="G83" s="155" t="s">
        <v>94</v>
      </c>
    </row>
    <row r="84" spans="1:7" ht="15.75" x14ac:dyDescent="0.25">
      <c r="A84" s="227"/>
      <c r="B84" s="236"/>
      <c r="C84" s="324"/>
      <c r="E84" s="5" t="s">
        <v>6</v>
      </c>
      <c r="F84" s="157">
        <f>ROUND(recipe!G171*P.Monday!F80,2)*1000</f>
        <v>60</v>
      </c>
      <c r="G84" s="155" t="s">
        <v>94</v>
      </c>
    </row>
    <row r="85" spans="1:7" ht="15.75" x14ac:dyDescent="0.25">
      <c r="A85" s="227"/>
      <c r="B85" s="236"/>
      <c r="C85" s="324"/>
      <c r="D85" s="101"/>
      <c r="E85" s="14" t="s">
        <v>205</v>
      </c>
      <c r="F85" s="157">
        <f>ROUND(recipe!G172*P.Monday!F80,2)*1000</f>
        <v>320</v>
      </c>
      <c r="G85" s="155" t="s">
        <v>94</v>
      </c>
    </row>
    <row r="86" spans="1:7" x14ac:dyDescent="0.2">
      <c r="A86" s="231"/>
      <c r="B86" s="236"/>
      <c r="C86" s="324"/>
      <c r="D86" s="101"/>
      <c r="E86" s="5" t="s">
        <v>283</v>
      </c>
      <c r="F86" s="157">
        <f>ROUND(recipe!G173*P.Monday!F80,3)*1000</f>
        <v>95</v>
      </c>
      <c r="G86" s="155" t="s">
        <v>94</v>
      </c>
    </row>
    <row r="87" spans="1:7" hidden="1" x14ac:dyDescent="0.2">
      <c r="A87" s="323"/>
      <c r="B87" s="323"/>
      <c r="C87" s="325"/>
      <c r="D87" s="101"/>
      <c r="F87" s="134">
        <f>F78/recipe!F174</f>
        <v>11.378569396684037</v>
      </c>
      <c r="G87" s="148"/>
    </row>
    <row r="88" spans="1:7" x14ac:dyDescent="0.2">
      <c r="A88" s="323"/>
      <c r="B88" s="323"/>
      <c r="C88" s="325"/>
      <c r="D88" s="101"/>
      <c r="G88" s="148"/>
    </row>
    <row r="89" spans="1:7" ht="14.25" customHeight="1" x14ac:dyDescent="0.25">
      <c r="A89" s="176" t="s">
        <v>95</v>
      </c>
      <c r="B89" s="53">
        <f>Monday!R30</f>
        <v>16.604999999999997</v>
      </c>
      <c r="C89" s="54" t="s">
        <v>87</v>
      </c>
      <c r="D89" s="179" t="s">
        <v>198</v>
      </c>
      <c r="E89" s="176" t="s">
        <v>95</v>
      </c>
      <c r="F89" s="53">
        <f>Monday!R30</f>
        <v>16.604999999999997</v>
      </c>
      <c r="G89" s="54" t="s">
        <v>87</v>
      </c>
    </row>
    <row r="90" spans="1:7" ht="14.25" customHeight="1" x14ac:dyDescent="0.2">
      <c r="B90" s="316" t="s">
        <v>91</v>
      </c>
      <c r="C90" s="316"/>
      <c r="F90" s="316" t="s">
        <v>91</v>
      </c>
      <c r="G90" s="316"/>
    </row>
    <row r="91" spans="1:7" ht="14.25" customHeight="1" x14ac:dyDescent="0.2">
      <c r="A91" s="8" t="s">
        <v>9</v>
      </c>
      <c r="B91" s="252">
        <f>ROUND(fpcr*P.Monday!B97,0)</f>
        <v>8</v>
      </c>
      <c r="C91" s="154" t="s">
        <v>87</v>
      </c>
      <c r="E91" s="8" t="s">
        <v>199</v>
      </c>
      <c r="F91" s="255">
        <f>ROUND(F97*recipe!F44,1)</f>
        <v>15.5</v>
      </c>
      <c r="G91" s="154" t="s">
        <v>87</v>
      </c>
    </row>
    <row r="92" spans="1:7" ht="14.25" customHeight="1" x14ac:dyDescent="0.2">
      <c r="A92" s="9" t="s">
        <v>197</v>
      </c>
      <c r="B92" s="253">
        <f>ROUND(recipe!C45*P.Monday!B97,1)</f>
        <v>0.3</v>
      </c>
      <c r="C92" s="155" t="s">
        <v>92</v>
      </c>
      <c r="E92" s="9" t="s">
        <v>200</v>
      </c>
      <c r="F92" s="252">
        <f>ROUND(F97*recipe!F45,1)</f>
        <v>0.9</v>
      </c>
      <c r="G92" s="155" t="s">
        <v>87</v>
      </c>
    </row>
    <row r="93" spans="1:7" ht="14.25" customHeight="1" x14ac:dyDescent="0.2">
      <c r="A93" s="9" t="s">
        <v>11</v>
      </c>
      <c r="B93" s="253">
        <f>ROUND(recipe!C46*P.Monday!B91,1)</f>
        <v>6.2</v>
      </c>
      <c r="C93" s="155" t="s">
        <v>94</v>
      </c>
      <c r="E93" s="9" t="s">
        <v>201</v>
      </c>
      <c r="F93" s="256">
        <f>ROUND(F97*recipe!F46,1)*1000</f>
        <v>200</v>
      </c>
      <c r="G93" s="155" t="s">
        <v>94</v>
      </c>
    </row>
    <row r="94" spans="1:7" ht="14.25" customHeight="1" x14ac:dyDescent="0.2">
      <c r="A94" s="9" t="s">
        <v>5</v>
      </c>
      <c r="B94" s="254">
        <f>ROUND(recipe!C47*P.Monday!B91,1)*1000</f>
        <v>100</v>
      </c>
      <c r="C94" s="155" t="s">
        <v>94</v>
      </c>
      <c r="E94" s="84"/>
      <c r="F94" s="159"/>
      <c r="G94" s="257"/>
    </row>
    <row r="95" spans="1:7" ht="14.25" customHeight="1" x14ac:dyDescent="0.2">
      <c r="A95" s="65" t="s">
        <v>200</v>
      </c>
      <c r="B95" s="253">
        <f>ROUND(recipe!C48*P.Monday!B91,1)</f>
        <v>0.9</v>
      </c>
      <c r="C95" s="155" t="s">
        <v>87</v>
      </c>
      <c r="E95" s="231"/>
      <c r="F95" s="184"/>
      <c r="G95" s="148"/>
    </row>
    <row r="96" spans="1:7" ht="14.25" customHeight="1" x14ac:dyDescent="0.2">
      <c r="A96" s="9" t="s">
        <v>201</v>
      </c>
      <c r="B96" s="254">
        <f>ROUND(recipe!C49*P.Monday!B91,1)*1000</f>
        <v>100</v>
      </c>
      <c r="C96" s="163" t="s">
        <v>94</v>
      </c>
      <c r="E96" s="63"/>
      <c r="F96" s="181"/>
      <c r="G96" s="165"/>
    </row>
    <row r="97" spans="1:7" ht="14.25" hidden="1" customHeight="1" x14ac:dyDescent="0.2">
      <c r="B97" s="180">
        <f>B89/recipe!B50</f>
        <v>3.0245901639344259</v>
      </c>
      <c r="C97" s="148"/>
      <c r="F97" s="134">
        <f>F89/recipe!F50</f>
        <v>15.518691588785043</v>
      </c>
      <c r="G97" s="148"/>
    </row>
    <row r="98" spans="1:7" x14ac:dyDescent="0.2">
      <c r="B98" s="134"/>
      <c r="C98" s="160"/>
    </row>
    <row r="99" spans="1:7" ht="15.75" x14ac:dyDescent="0.25">
      <c r="A99" s="176" t="s">
        <v>18</v>
      </c>
      <c r="B99" s="64">
        <f>Monday!R31</f>
        <v>1.92</v>
      </c>
      <c r="C99" s="54" t="s">
        <v>87</v>
      </c>
      <c r="D99" s="57"/>
      <c r="E99" s="176" t="s">
        <v>151</v>
      </c>
      <c r="F99" s="64">
        <f>Monday!R37</f>
        <v>4</v>
      </c>
      <c r="G99" s="54" t="s">
        <v>87</v>
      </c>
    </row>
    <row r="100" spans="1:7" x14ac:dyDescent="0.2">
      <c r="B100" s="417" t="s">
        <v>91</v>
      </c>
      <c r="C100" s="417"/>
      <c r="D100" s="80"/>
      <c r="F100" s="417" t="s">
        <v>91</v>
      </c>
      <c r="G100" s="417"/>
    </row>
    <row r="101" spans="1:7" x14ac:dyDescent="0.2">
      <c r="A101" s="2" t="s">
        <v>204</v>
      </c>
      <c r="B101" s="69">
        <f>ROUND(psr*P.Monday!B106,1)</f>
        <v>0.6</v>
      </c>
      <c r="C101" s="70" t="s">
        <v>87</v>
      </c>
      <c r="D101" s="101"/>
      <c r="E101" s="8" t="s">
        <v>152</v>
      </c>
      <c r="F101" s="263">
        <f>ROUND(fcre*P.Monday!F106,1)</f>
        <v>1.2</v>
      </c>
      <c r="G101" s="70" t="s">
        <v>87</v>
      </c>
    </row>
    <row r="102" spans="1:7" x14ac:dyDescent="0.2">
      <c r="A102" s="5" t="s">
        <v>19</v>
      </c>
      <c r="B102" s="69">
        <f>ROUND(recipe!C69*P.Monday!B101,1)</f>
        <v>0.5</v>
      </c>
      <c r="C102" s="146" t="s">
        <v>87</v>
      </c>
      <c r="D102" s="101"/>
      <c r="E102" s="9" t="s">
        <v>10</v>
      </c>
      <c r="F102" s="263">
        <f>ROUND(recipe!G69*P.Monday!F101,1)</f>
        <v>1.2</v>
      </c>
      <c r="G102" s="146" t="s">
        <v>87</v>
      </c>
    </row>
    <row r="103" spans="1:7" x14ac:dyDescent="0.2">
      <c r="A103" s="5" t="s">
        <v>252</v>
      </c>
      <c r="B103" s="69">
        <f>ROUND(recipe!C70*P.Monday!B101,1)</f>
        <v>0.1</v>
      </c>
      <c r="C103" s="146" t="s">
        <v>87</v>
      </c>
      <c r="D103" s="101"/>
      <c r="E103" s="84" t="s">
        <v>5</v>
      </c>
      <c r="F103" s="263">
        <f>ROUND(recipe!G70*P.Monday!F101,1)</f>
        <v>0</v>
      </c>
      <c r="G103" s="167" t="s">
        <v>94</v>
      </c>
    </row>
    <row r="104" spans="1:7" x14ac:dyDescent="0.2">
      <c r="A104" s="5" t="s">
        <v>3</v>
      </c>
      <c r="B104" s="97">
        <f>ROUND(recipe!C71*P.Monday!B101,1)</f>
        <v>0.8</v>
      </c>
      <c r="C104" s="163" t="s">
        <v>87</v>
      </c>
      <c r="D104" s="101"/>
      <c r="E104" s="62" t="s">
        <v>3</v>
      </c>
      <c r="F104" s="264">
        <f>ROUND(recipe!G71*P.Monday!F101,1)</f>
        <v>1.5</v>
      </c>
      <c r="G104" s="163" t="s">
        <v>92</v>
      </c>
    </row>
    <row r="105" spans="1:7" x14ac:dyDescent="0.2">
      <c r="A105" s="5" t="s">
        <v>5</v>
      </c>
      <c r="B105" s="168">
        <f>ROUND(recipe!C72*P.Monday!B101,2)*1000</f>
        <v>10</v>
      </c>
      <c r="C105" s="163" t="s">
        <v>94</v>
      </c>
      <c r="D105" s="101"/>
      <c r="E105" s="244" t="s">
        <v>4</v>
      </c>
      <c r="F105" s="256">
        <f>ROUND(recipe!G72*P.Monday!F101,2)*1000</f>
        <v>20</v>
      </c>
      <c r="G105" s="246" t="s">
        <v>94</v>
      </c>
    </row>
    <row r="106" spans="1:7" hidden="1" x14ac:dyDescent="0.2">
      <c r="B106" s="134">
        <f>B99/recipe!B73</f>
        <v>0.38170974155069581</v>
      </c>
      <c r="C106" s="135"/>
      <c r="D106" s="101"/>
      <c r="F106" s="134">
        <f>F99/recipe!F73</f>
        <v>0.24464831804281342</v>
      </c>
      <c r="G106" s="148"/>
    </row>
    <row r="107" spans="1:7" x14ac:dyDescent="0.2">
      <c r="B107" s="134"/>
      <c r="C107" s="135"/>
      <c r="G107" s="160"/>
    </row>
    <row r="108" spans="1:7" ht="4.5" customHeight="1" x14ac:dyDescent="0.2">
      <c r="B108" s="134"/>
      <c r="C108" s="135"/>
      <c r="G108" s="160"/>
    </row>
    <row r="109" spans="1:7" ht="15.75" x14ac:dyDescent="0.25">
      <c r="A109" s="176" t="s">
        <v>20</v>
      </c>
      <c r="B109" s="53">
        <f>Monday!R108</f>
        <v>46.8</v>
      </c>
      <c r="C109" s="54" t="s">
        <v>87</v>
      </c>
      <c r="D109" s="132"/>
      <c r="E109" s="176" t="s">
        <v>8</v>
      </c>
      <c r="F109" s="53">
        <f>Monday!R98</f>
        <v>94.4</v>
      </c>
      <c r="G109" s="54" t="s">
        <v>87</v>
      </c>
    </row>
    <row r="110" spans="1:7" x14ac:dyDescent="0.2">
      <c r="B110" s="417" t="s">
        <v>91</v>
      </c>
      <c r="C110" s="417"/>
      <c r="D110" s="80"/>
      <c r="F110" s="417" t="s">
        <v>91</v>
      </c>
      <c r="G110" s="417"/>
    </row>
    <row r="111" spans="1:7" x14ac:dyDescent="0.2">
      <c r="A111" s="2" t="s">
        <v>206</v>
      </c>
      <c r="B111" s="161">
        <f>ROUND(fasr*P.Monday!B118,0)</f>
        <v>18</v>
      </c>
      <c r="C111" s="70" t="s">
        <v>87</v>
      </c>
      <c r="D111" s="101"/>
      <c r="E111" s="2" t="s">
        <v>10</v>
      </c>
      <c r="F111" s="161">
        <f>ROUND(fpsfgr*P.Monday!F118,0)</f>
        <v>58</v>
      </c>
      <c r="G111" s="154" t="s">
        <v>87</v>
      </c>
    </row>
    <row r="112" spans="1:7" x14ac:dyDescent="0.2">
      <c r="A112" s="5" t="s">
        <v>207</v>
      </c>
      <c r="B112" s="169">
        <f>ROUND(recipe!G56*P.Monday!B111,1)</f>
        <v>9</v>
      </c>
      <c r="C112" s="146" t="s">
        <v>87</v>
      </c>
      <c r="D112" s="101"/>
      <c r="E112" s="5" t="s">
        <v>3</v>
      </c>
      <c r="F112" s="169">
        <f>ROUND(recipe!G80*P.Monday!F111,1)</f>
        <v>32.5</v>
      </c>
      <c r="G112" s="155" t="s">
        <v>92</v>
      </c>
    </row>
    <row r="113" spans="1:7" x14ac:dyDescent="0.2">
      <c r="A113" s="5" t="s">
        <v>3</v>
      </c>
      <c r="B113" s="169">
        <f>ROUND(recipe!G57*P.Monday!B111,1)</f>
        <v>16.8</v>
      </c>
      <c r="C113" s="146" t="s">
        <v>92</v>
      </c>
      <c r="D113" s="101"/>
      <c r="E113" s="5" t="s">
        <v>205</v>
      </c>
      <c r="F113" s="169">
        <f>ROUND(recipe!G81*P.Monday!F111,1)</f>
        <v>0.7</v>
      </c>
      <c r="G113" s="155" t="s">
        <v>87</v>
      </c>
    </row>
    <row r="114" spans="1:7" x14ac:dyDescent="0.2">
      <c r="A114" s="5" t="s">
        <v>4</v>
      </c>
      <c r="B114" s="157">
        <f>ROUND(recipe!G58*P.Monday!B111,2)*1000</f>
        <v>270</v>
      </c>
      <c r="C114" s="146" t="s">
        <v>94</v>
      </c>
      <c r="D114" s="101"/>
      <c r="E114" s="5" t="s">
        <v>4</v>
      </c>
      <c r="F114" s="157">
        <f>ROUND(recipe!G82*P.Monday!F111,2)*1000</f>
        <v>700</v>
      </c>
      <c r="G114" s="155" t="s">
        <v>94</v>
      </c>
    </row>
    <row r="115" spans="1:7" x14ac:dyDescent="0.2">
      <c r="A115" s="5" t="s">
        <v>5</v>
      </c>
      <c r="B115" s="157">
        <f>ROUND(recipe!G59*P.Monday!B111,2)*1000</f>
        <v>270</v>
      </c>
      <c r="C115" s="146" t="s">
        <v>94</v>
      </c>
      <c r="D115" s="101"/>
      <c r="E115" s="5" t="s">
        <v>5</v>
      </c>
      <c r="F115" s="157">
        <f>ROUND(recipe!G83*P.Monday!F111,2)*1000</f>
        <v>580</v>
      </c>
      <c r="G115" s="155" t="s">
        <v>94</v>
      </c>
    </row>
    <row r="116" spans="1:7" x14ac:dyDescent="0.2">
      <c r="A116" s="3" t="s">
        <v>208</v>
      </c>
      <c r="B116" s="171">
        <f>ROUND(recipe!G60*P.Monday!B111,1)</f>
        <v>1.2</v>
      </c>
      <c r="C116" s="100" t="s">
        <v>87</v>
      </c>
      <c r="D116" s="101"/>
      <c r="E116" s="5" t="s">
        <v>6</v>
      </c>
      <c r="F116" s="157">
        <f>ROUND(recipe!G84*P.Monday!F111,2)*1000</f>
        <v>1740</v>
      </c>
      <c r="G116" s="155" t="s">
        <v>94</v>
      </c>
    </row>
    <row r="117" spans="1:7" x14ac:dyDescent="0.2">
      <c r="C117" s="148"/>
      <c r="D117" s="101"/>
      <c r="E117" s="3" t="s">
        <v>12</v>
      </c>
      <c r="F117" s="157">
        <f>ROUND(recipe!G85*P.Monday!F111,1)*1000</f>
        <v>600</v>
      </c>
      <c r="G117" s="155" t="s">
        <v>94</v>
      </c>
    </row>
    <row r="118" spans="1:7" x14ac:dyDescent="0.2">
      <c r="B118" s="134">
        <f>B109/recipe!F61</f>
        <v>1.2332015810276677</v>
      </c>
      <c r="D118" s="101"/>
      <c r="F118" s="134">
        <f>F109/recipe!F86</f>
        <v>57.772337821297427</v>
      </c>
      <c r="G118" s="148"/>
    </row>
    <row r="119" spans="1:7" x14ac:dyDescent="0.2">
      <c r="A119" s="59"/>
      <c r="B119" s="60"/>
      <c r="C119" s="135"/>
      <c r="D119" s="101"/>
      <c r="F119" s="97"/>
      <c r="G119" s="97"/>
    </row>
    <row r="120" spans="1:7" x14ac:dyDescent="0.2">
      <c r="B120" s="134"/>
      <c r="C120" s="135"/>
      <c r="G120" s="160"/>
    </row>
    <row r="121" spans="1:7" ht="15.75" x14ac:dyDescent="0.25">
      <c r="A121" s="176" t="s">
        <v>180</v>
      </c>
      <c r="B121" s="67">
        <f>Monday!R115</f>
        <v>0</v>
      </c>
      <c r="C121" s="54" t="s">
        <v>87</v>
      </c>
      <c r="D121" s="132"/>
      <c r="E121" s="176" t="s">
        <v>160</v>
      </c>
      <c r="F121" s="67">
        <f>Monday!R92</f>
        <v>27.299999999999997</v>
      </c>
      <c r="G121" s="54" t="s">
        <v>87</v>
      </c>
    </row>
    <row r="122" spans="1:7" x14ac:dyDescent="0.2">
      <c r="B122" s="420" t="s">
        <v>91</v>
      </c>
      <c r="C122" s="420"/>
      <c r="D122" s="80"/>
      <c r="F122" s="417" t="s">
        <v>91</v>
      </c>
      <c r="G122" s="417"/>
    </row>
    <row r="123" spans="1:7" x14ac:dyDescent="0.2">
      <c r="A123" s="244" t="s">
        <v>10</v>
      </c>
      <c r="B123" s="247">
        <f>ROUND(recipe!B93*P.Monday!B131,1)</f>
        <v>0</v>
      </c>
      <c r="C123" s="245" t="s">
        <v>87</v>
      </c>
      <c r="D123" s="80"/>
      <c r="E123" s="8" t="s">
        <v>247</v>
      </c>
      <c r="F123" s="267">
        <f>ROUND(fmnp*P.Monday!F131,1)</f>
        <v>9.5</v>
      </c>
      <c r="G123" s="70" t="s">
        <v>87</v>
      </c>
    </row>
    <row r="124" spans="1:7" x14ac:dyDescent="0.2">
      <c r="A124" s="244" t="s">
        <v>237</v>
      </c>
      <c r="B124" s="247">
        <f>ROUND(recipe!C94*P.Monday!B123,2)</f>
        <v>0</v>
      </c>
      <c r="C124" s="245" t="s">
        <v>92</v>
      </c>
      <c r="D124" s="80"/>
      <c r="E124" s="9" t="s">
        <v>246</v>
      </c>
      <c r="F124" s="258">
        <f>ROUND(recipe!G94*P.Monday!F123,2)</f>
        <v>9.5</v>
      </c>
      <c r="G124" s="146" t="s">
        <v>87</v>
      </c>
    </row>
    <row r="125" spans="1:7" x14ac:dyDescent="0.2">
      <c r="A125" s="244" t="s">
        <v>238</v>
      </c>
      <c r="B125" s="247">
        <f>ROUND(recipe!C95*P.Monday!B123,2)</f>
        <v>0</v>
      </c>
      <c r="C125" s="245" t="s">
        <v>92</v>
      </c>
      <c r="D125" s="80"/>
      <c r="E125" s="9" t="s">
        <v>3</v>
      </c>
      <c r="F125" s="259">
        <f>ROUND(recipe!G95*P.Monday!F123,2)</f>
        <v>7.98</v>
      </c>
      <c r="G125" s="146" t="s">
        <v>92</v>
      </c>
    </row>
    <row r="126" spans="1:7" x14ac:dyDescent="0.2">
      <c r="A126" s="244" t="s">
        <v>16</v>
      </c>
      <c r="B126" s="247">
        <f>ROUND(recipe!C96*P.Monday!B123,2)</f>
        <v>0</v>
      </c>
      <c r="C126" s="245" t="s">
        <v>87</v>
      </c>
      <c r="D126" s="80"/>
      <c r="E126" s="9" t="s">
        <v>5</v>
      </c>
      <c r="F126" s="260">
        <f>ROUND(recipe!G96*P.Monday!F123,2)*1000</f>
        <v>290</v>
      </c>
      <c r="G126" s="146" t="s">
        <v>94</v>
      </c>
    </row>
    <row r="127" spans="1:7" x14ac:dyDescent="0.2">
      <c r="A127" s="244" t="s">
        <v>12</v>
      </c>
      <c r="B127" s="248">
        <f>ROUND(recipe!C97*P.Monday!B123,2)*1000</f>
        <v>0</v>
      </c>
      <c r="C127" s="245" t="s">
        <v>94</v>
      </c>
      <c r="D127" s="80"/>
      <c r="E127" s="9"/>
      <c r="F127" s="260">
        <f>ROUND(recipe!G97*P.Monday!F123,2)*1000</f>
        <v>0</v>
      </c>
      <c r="G127" s="146" t="s">
        <v>94</v>
      </c>
    </row>
    <row r="128" spans="1:7" x14ac:dyDescent="0.2">
      <c r="A128" s="244" t="s">
        <v>5</v>
      </c>
      <c r="B128" s="248">
        <f>ROUND(recipe!C98*P.Monday!B123,2)*1000</f>
        <v>0</v>
      </c>
      <c r="C128" s="245" t="s">
        <v>94</v>
      </c>
      <c r="D128" s="80"/>
      <c r="E128" s="9"/>
      <c r="F128" s="260">
        <f>ROUND(recipe!G98*P.Monday!F123,2)*1000</f>
        <v>0</v>
      </c>
      <c r="G128" s="146" t="s">
        <v>94</v>
      </c>
    </row>
    <row r="129" spans="1:7" x14ac:dyDescent="0.2">
      <c r="A129" s="244" t="s">
        <v>4</v>
      </c>
      <c r="B129" s="248">
        <f>ROUND(recipe!C99*P.Monday!B123,2)*1000</f>
        <v>0</v>
      </c>
      <c r="C129" s="246" t="s">
        <v>94</v>
      </c>
      <c r="D129" s="101"/>
      <c r="E129" s="9"/>
      <c r="F129" s="260">
        <f>ROUND(recipe!G99*P.Monday!F123,2)*1000</f>
        <v>0</v>
      </c>
      <c r="G129" s="146" t="s">
        <v>94</v>
      </c>
    </row>
    <row r="130" spans="1:7" x14ac:dyDescent="0.2">
      <c r="A130" s="244" t="s">
        <v>6</v>
      </c>
      <c r="B130" s="248">
        <f>ROUND(recipe!C100*P.Monday!B123,2)*1000</f>
        <v>0</v>
      </c>
      <c r="C130" s="246" t="s">
        <v>94</v>
      </c>
      <c r="D130" s="101"/>
      <c r="E130" s="9"/>
      <c r="F130" s="260">
        <f>ROUND(recipe!G100*P.Monday!F123,2)*1000</f>
        <v>0</v>
      </c>
      <c r="G130" s="146" t="s">
        <v>94</v>
      </c>
    </row>
    <row r="131" spans="1:7" hidden="1" x14ac:dyDescent="0.2">
      <c r="B131" s="172">
        <f>B121/recipe!B101</f>
        <v>0</v>
      </c>
      <c r="C131" s="173"/>
      <c r="D131" s="101"/>
      <c r="E131" s="59"/>
      <c r="F131" s="60">
        <f>F121/recipe!F101</f>
        <v>19.024390243902438</v>
      </c>
      <c r="G131" s="148"/>
    </row>
    <row r="132" spans="1:7" x14ac:dyDescent="0.2">
      <c r="B132" s="134"/>
      <c r="C132" s="135"/>
      <c r="G132" s="160"/>
    </row>
    <row r="133" spans="1:7" ht="15.75" x14ac:dyDescent="0.25">
      <c r="A133" s="176" t="s">
        <v>250</v>
      </c>
      <c r="B133" s="67">
        <f>Monday!R76</f>
        <v>33.6</v>
      </c>
      <c r="C133" s="54" t="s">
        <v>87</v>
      </c>
      <c r="D133" s="132"/>
      <c r="E133" s="176" t="s">
        <v>265</v>
      </c>
      <c r="F133" s="67"/>
      <c r="G133" s="54" t="s">
        <v>87</v>
      </c>
    </row>
    <row r="134" spans="1:7" x14ac:dyDescent="0.2">
      <c r="B134" s="417" t="s">
        <v>91</v>
      </c>
      <c r="C134" s="417"/>
      <c r="D134" s="80"/>
      <c r="F134" s="417" t="s">
        <v>91</v>
      </c>
      <c r="G134" s="417"/>
    </row>
    <row r="135" spans="1:7" x14ac:dyDescent="0.2">
      <c r="A135" s="2" t="s">
        <v>266</v>
      </c>
      <c r="B135" s="69">
        <f>ROUND(recipe!B155*P.Monday!B139,1)</f>
        <v>0.1</v>
      </c>
      <c r="C135" s="70" t="s">
        <v>87</v>
      </c>
      <c r="D135" s="101"/>
      <c r="E135" s="2" t="s">
        <v>248</v>
      </c>
      <c r="F135" s="69">
        <f>ROUND(recipe!B145*P.Monday!F139,1)</f>
        <v>0</v>
      </c>
      <c r="G135" s="70" t="s">
        <v>87</v>
      </c>
    </row>
    <row r="136" spans="1:7" x14ac:dyDescent="0.2">
      <c r="A136" s="5" t="s">
        <v>3</v>
      </c>
      <c r="B136" s="69">
        <f>ROUND(recipe!C156*P.Monday!B135,1)</f>
        <v>12</v>
      </c>
      <c r="C136" s="71" t="s">
        <v>92</v>
      </c>
      <c r="D136" s="101"/>
      <c r="E136" s="5" t="s">
        <v>3</v>
      </c>
      <c r="F136" s="69">
        <f>ROUND(recipe!C146*P.Monday!F135,1)</f>
        <v>0</v>
      </c>
      <c r="G136" s="71" t="s">
        <v>92</v>
      </c>
    </row>
    <row r="137" spans="1:7" x14ac:dyDescent="0.2">
      <c r="A137" s="5" t="s">
        <v>5</v>
      </c>
      <c r="B137" s="72">
        <f>ROUND(recipe!C157*P.Monday!B135,2)*1000</f>
        <v>400</v>
      </c>
      <c r="C137" s="146" t="s">
        <v>94</v>
      </c>
      <c r="D137" s="101"/>
      <c r="E137" s="5" t="s">
        <v>5</v>
      </c>
      <c r="F137" s="72">
        <f>ROUND(recipe!C147*P.Monday!F135,2)*1000</f>
        <v>0</v>
      </c>
      <c r="G137" s="146" t="s">
        <v>94</v>
      </c>
    </row>
    <row r="138" spans="1:7" x14ac:dyDescent="0.2">
      <c r="A138" s="63" t="s">
        <v>246</v>
      </c>
      <c r="B138" s="166">
        <f>ROUND(recipe!C158*P.Monday!B135,1)</f>
        <v>20</v>
      </c>
      <c r="C138" s="165" t="s">
        <v>87</v>
      </c>
      <c r="D138" s="101"/>
      <c r="E138" s="63" t="s">
        <v>246</v>
      </c>
      <c r="F138" s="166">
        <f>ROUND(recipe!C148*P.Monday!F135,1)</f>
        <v>0</v>
      </c>
      <c r="G138" s="165" t="s">
        <v>87</v>
      </c>
    </row>
    <row r="139" spans="1:7" hidden="1" x14ac:dyDescent="0.2">
      <c r="B139" s="166">
        <f>B133/recipe!B159</f>
        <v>2.0676923076923077</v>
      </c>
      <c r="C139" s="148"/>
      <c r="D139" s="101"/>
      <c r="F139" s="166">
        <f>F133/recipe!B149</f>
        <v>0</v>
      </c>
      <c r="G139" s="148"/>
    </row>
    <row r="140" spans="1:7" x14ac:dyDescent="0.2">
      <c r="B140" s="134"/>
      <c r="C140" s="135"/>
      <c r="G140" s="160"/>
    </row>
    <row r="141" spans="1:7" ht="15.75" x14ac:dyDescent="0.25">
      <c r="A141" s="176" t="s">
        <v>156</v>
      </c>
      <c r="B141" s="68">
        <f>Monday!R48</f>
        <v>0</v>
      </c>
      <c r="C141" s="54" t="s">
        <v>87</v>
      </c>
      <c r="D141" s="132"/>
      <c r="E141" s="176" t="s">
        <v>164</v>
      </c>
      <c r="F141" s="67">
        <f>Monday!R33</f>
        <v>0</v>
      </c>
      <c r="G141" s="54" t="s">
        <v>87</v>
      </c>
    </row>
    <row r="142" spans="1:7" x14ac:dyDescent="0.2">
      <c r="B142" s="417" t="s">
        <v>91</v>
      </c>
      <c r="C142" s="417"/>
      <c r="D142" s="80"/>
      <c r="F142" s="417" t="s">
        <v>91</v>
      </c>
      <c r="G142" s="417"/>
    </row>
    <row r="143" spans="1:7" x14ac:dyDescent="0.2">
      <c r="A143" s="2" t="s">
        <v>251</v>
      </c>
      <c r="B143" s="69">
        <f>ROUND(fbpp*P.Monday!B147,1)</f>
        <v>0</v>
      </c>
      <c r="C143" s="70" t="s">
        <v>87</v>
      </c>
      <c r="D143" s="101"/>
      <c r="E143" s="8" t="s">
        <v>10</v>
      </c>
      <c r="F143" s="250">
        <f>ROUND(pssp*P.Monday!F147,1)</f>
        <v>0</v>
      </c>
      <c r="G143" s="154" t="s">
        <v>87</v>
      </c>
    </row>
    <row r="144" spans="1:7" x14ac:dyDescent="0.2">
      <c r="A144" s="5" t="s">
        <v>3</v>
      </c>
      <c r="B144" s="162">
        <f>ROUND(recipe!C109*P.Monday!B143,1)</f>
        <v>0</v>
      </c>
      <c r="C144" s="146" t="s">
        <v>92</v>
      </c>
      <c r="D144" s="101"/>
      <c r="E144" s="8" t="s">
        <v>170</v>
      </c>
      <c r="F144" s="262">
        <f>ROUND(recipe!G109*P.Monday!F143,1)</f>
        <v>0</v>
      </c>
      <c r="G144" s="100" t="s">
        <v>87</v>
      </c>
    </row>
    <row r="145" spans="1:8" x14ac:dyDescent="0.2">
      <c r="A145" s="5" t="s">
        <v>5</v>
      </c>
      <c r="B145" s="142">
        <f>ROUND(recipe!C110*P.Monday!B143,2)*1000</f>
        <v>0</v>
      </c>
      <c r="C145" s="146" t="s">
        <v>94</v>
      </c>
      <c r="D145" s="101"/>
      <c r="E145" s="8" t="s">
        <v>3</v>
      </c>
      <c r="F145" s="250">
        <f>ROUND(recipe!G110*P.Monday!F143,1)</f>
        <v>0</v>
      </c>
      <c r="G145" s="154" t="s">
        <v>87</v>
      </c>
    </row>
    <row r="146" spans="1:8" x14ac:dyDescent="0.2">
      <c r="A146" s="3" t="s">
        <v>246</v>
      </c>
      <c r="B146" s="151">
        <f>ROUND(recipe!C111*P.Monday!B143,1)</f>
        <v>0</v>
      </c>
      <c r="C146" s="163" t="s">
        <v>87</v>
      </c>
      <c r="D146" s="101"/>
      <c r="E146" s="8" t="s">
        <v>5</v>
      </c>
      <c r="F146" s="261">
        <f>ROUND(recipe!G111*P.Monday!F143,2)*1000</f>
        <v>0</v>
      </c>
      <c r="G146" s="100" t="s">
        <v>94</v>
      </c>
    </row>
    <row r="147" spans="1:8" hidden="1" x14ac:dyDescent="0.2">
      <c r="B147" s="134">
        <f>B141/recipe!B113</f>
        <v>0</v>
      </c>
      <c r="C147" s="135"/>
      <c r="F147" s="170">
        <f>F141/recipe!F114</f>
        <v>0</v>
      </c>
      <c r="G147" s="148"/>
    </row>
    <row r="148" spans="1:8" x14ac:dyDescent="0.2">
      <c r="B148" s="134"/>
      <c r="C148" s="135"/>
      <c r="F148" s="166"/>
      <c r="G148" s="148"/>
    </row>
    <row r="149" spans="1:8" ht="15.75" x14ac:dyDescent="0.25">
      <c r="A149" s="176" t="s">
        <v>281</v>
      </c>
      <c r="B149" s="53">
        <f>Monday!R105</f>
        <v>23.3</v>
      </c>
      <c r="C149" s="54" t="s">
        <v>87</v>
      </c>
      <c r="D149" s="132"/>
      <c r="E149" s="176" t="s">
        <v>13</v>
      </c>
      <c r="F149" s="64">
        <f>Monday!R153</f>
        <v>158.72</v>
      </c>
      <c r="G149" s="54" t="s">
        <v>87</v>
      </c>
      <c r="H149" s="57"/>
    </row>
    <row r="150" spans="1:8" x14ac:dyDescent="0.2">
      <c r="B150" s="417" t="s">
        <v>91</v>
      </c>
      <c r="C150" s="417"/>
      <c r="D150" s="80"/>
      <c r="F150" s="417" t="s">
        <v>91</v>
      </c>
      <c r="G150" s="417"/>
      <c r="H150" s="80"/>
    </row>
    <row r="151" spans="1:8" x14ac:dyDescent="0.2">
      <c r="A151" s="2" t="s">
        <v>10</v>
      </c>
      <c r="B151" s="161">
        <f>ROUND(fpsfgr*P.Monday!B158,0)</f>
        <v>15</v>
      </c>
      <c r="C151" s="154" t="s">
        <v>87</v>
      </c>
      <c r="D151" s="101"/>
      <c r="E151" s="2" t="s">
        <v>15</v>
      </c>
      <c r="F151" s="152">
        <f>ROUND(frr*P.Monday!F158,1)</f>
        <v>81.8</v>
      </c>
      <c r="G151" s="141" t="s">
        <v>87</v>
      </c>
      <c r="H151" s="101"/>
    </row>
    <row r="152" spans="1:8" x14ac:dyDescent="0.2">
      <c r="A152" s="5" t="s">
        <v>3</v>
      </c>
      <c r="B152" s="169">
        <f>ROUND(recipe!G156*P.Monday!B151,1)</f>
        <v>7.8</v>
      </c>
      <c r="C152" s="155" t="s">
        <v>92</v>
      </c>
      <c r="D152" s="101"/>
      <c r="E152" s="5" t="s">
        <v>3</v>
      </c>
      <c r="F152" s="144">
        <f>ROUND(recipe!C33*P.Monday!F151,1)</f>
        <v>42.5</v>
      </c>
      <c r="G152" s="143" t="s">
        <v>92</v>
      </c>
      <c r="H152" s="101"/>
    </row>
    <row r="153" spans="1:8" x14ac:dyDescent="0.2">
      <c r="A153" s="5" t="s">
        <v>205</v>
      </c>
      <c r="B153" s="169">
        <f>ROUND(recipe!G157*P.Monday!B151,1)</f>
        <v>0.3</v>
      </c>
      <c r="C153" s="155" t="s">
        <v>87</v>
      </c>
      <c r="D153" s="101"/>
      <c r="E153" s="5" t="s">
        <v>5</v>
      </c>
      <c r="F153" s="145">
        <f>ROUND(recipe!C34*P.Monday!F151,2)</f>
        <v>1.64</v>
      </c>
      <c r="G153" s="146" t="s">
        <v>87</v>
      </c>
      <c r="H153" s="101"/>
    </row>
    <row r="154" spans="1:8" x14ac:dyDescent="0.2">
      <c r="A154" s="5" t="s">
        <v>4</v>
      </c>
      <c r="B154" s="157">
        <f>ROUND(recipe!G158*P.Monday!B151,2)*1000</f>
        <v>300</v>
      </c>
      <c r="C154" s="155" t="s">
        <v>94</v>
      </c>
      <c r="D154" s="101"/>
      <c r="E154" s="5" t="s">
        <v>16</v>
      </c>
      <c r="F154" s="145">
        <f>ROUND(recipe!C35*P.Monday!F151,1)</f>
        <v>32.700000000000003</v>
      </c>
      <c r="G154" s="146" t="s">
        <v>87</v>
      </c>
      <c r="H154" s="101"/>
    </row>
    <row r="155" spans="1:8" ht="12.75" customHeight="1" x14ac:dyDescent="0.2">
      <c r="A155" s="5" t="s">
        <v>5</v>
      </c>
      <c r="B155" s="157">
        <f>ROUND(recipe!G159*P.Monday!B151,2)*1000</f>
        <v>240</v>
      </c>
      <c r="C155" s="155" t="s">
        <v>94</v>
      </c>
      <c r="D155" s="101"/>
      <c r="E155" s="65"/>
      <c r="F155" s="97"/>
      <c r="G155" s="143"/>
      <c r="H155" s="101"/>
    </row>
    <row r="156" spans="1:8" x14ac:dyDescent="0.2">
      <c r="A156" s="5" t="s">
        <v>6</v>
      </c>
      <c r="B156" s="157">
        <f>ROUND(recipe!G160*P.Monday!B151,2)*1000</f>
        <v>30</v>
      </c>
      <c r="C156" s="155" t="s">
        <v>94</v>
      </c>
      <c r="D156" s="101"/>
      <c r="E156" s="231"/>
      <c r="G156" s="156"/>
      <c r="H156" s="101"/>
    </row>
    <row r="157" spans="1:8" x14ac:dyDescent="0.2">
      <c r="A157" s="3" t="s">
        <v>12</v>
      </c>
      <c r="B157" s="157">
        <f>ROUND(recipe!G161*P.Monday!B151,1)*1000</f>
        <v>300</v>
      </c>
      <c r="C157" s="155" t="s">
        <v>94</v>
      </c>
      <c r="D157" s="101"/>
      <c r="E157" s="231"/>
      <c r="G157" s="156"/>
      <c r="H157" s="101"/>
    </row>
    <row r="158" spans="1:8" ht="25.9" hidden="1" customHeight="1" x14ac:dyDescent="0.2">
      <c r="B158" s="134">
        <f>B149/recipe!F162</f>
        <v>14.598997493734336</v>
      </c>
      <c r="C158" s="148"/>
      <c r="F158" s="134">
        <f>F149/recipe!B39</f>
        <v>81.814432989690729</v>
      </c>
      <c r="G158" s="160"/>
    </row>
    <row r="159" spans="1:8" ht="18" x14ac:dyDescent="0.25">
      <c r="A159" s="422" t="s">
        <v>97</v>
      </c>
      <c r="B159" s="365"/>
      <c r="C159" s="365"/>
      <c r="D159" s="366"/>
      <c r="E159" s="367"/>
      <c r="G159" s="160"/>
      <c r="H159" s="108"/>
    </row>
    <row r="160" spans="1:8" ht="18" x14ac:dyDescent="0.25">
      <c r="A160" s="422"/>
      <c r="B160" s="368"/>
      <c r="C160" s="368"/>
      <c r="D160" s="369"/>
      <c r="E160" s="370" t="s">
        <v>98</v>
      </c>
      <c r="G160" s="174"/>
      <c r="H160" s="103"/>
    </row>
    <row r="161" spans="1:10" ht="15.75" x14ac:dyDescent="0.2">
      <c r="A161" s="73"/>
      <c r="B161" s="175"/>
      <c r="C161" s="175"/>
      <c r="D161" s="103"/>
      <c r="E161" s="74"/>
      <c r="G161" s="174"/>
      <c r="H161" s="103"/>
    </row>
    <row r="162" spans="1:10" s="78" customFormat="1" ht="30" customHeight="1" x14ac:dyDescent="0.45">
      <c r="A162" s="423" t="s">
        <v>99</v>
      </c>
      <c r="B162" s="423"/>
      <c r="C162" s="423"/>
      <c r="D162" s="423"/>
      <c r="E162" s="371">
        <f>Monday!S122/15</f>
        <v>82.266666666666666</v>
      </c>
      <c r="F162" s="75"/>
      <c r="G162" s="76"/>
      <c r="H162" s="77"/>
      <c r="J162" s="179"/>
    </row>
    <row r="163" spans="1:10" s="78" customFormat="1" ht="30" customHeight="1" x14ac:dyDescent="0.45">
      <c r="A163" s="421" t="s">
        <v>100</v>
      </c>
      <c r="B163" s="421"/>
      <c r="C163" s="421"/>
      <c r="D163" s="421"/>
      <c r="E163" s="371">
        <f>Monday!S123/15</f>
        <v>13.6</v>
      </c>
      <c r="F163" s="75"/>
      <c r="G163" s="76"/>
      <c r="H163" s="77"/>
      <c r="J163" s="179"/>
    </row>
    <row r="164" spans="1:10" s="78" customFormat="1" ht="30" customHeight="1" x14ac:dyDescent="0.45">
      <c r="A164" s="421" t="s">
        <v>101</v>
      </c>
      <c r="B164" s="421"/>
      <c r="C164" s="421"/>
      <c r="D164" s="421"/>
      <c r="E164" s="371">
        <f>Monday!S124/15</f>
        <v>11.866666666666667</v>
      </c>
      <c r="F164" s="75"/>
      <c r="G164" s="76"/>
      <c r="H164" s="77"/>
      <c r="J164" s="179"/>
    </row>
    <row r="165" spans="1:10" s="78" customFormat="1" ht="30" customHeight="1" x14ac:dyDescent="0.45">
      <c r="A165" s="421" t="s">
        <v>209</v>
      </c>
      <c r="B165" s="421"/>
      <c r="C165" s="421"/>
      <c r="D165" s="421"/>
      <c r="E165" s="371">
        <f>Monday!S125/15</f>
        <v>3.6</v>
      </c>
      <c r="F165" s="75"/>
      <c r="G165" s="76"/>
      <c r="H165" s="77"/>
      <c r="J165" s="179"/>
    </row>
    <row r="166" spans="1:10" s="78" customFormat="1" ht="30" customHeight="1" x14ac:dyDescent="0.45">
      <c r="A166" s="421" t="s">
        <v>210</v>
      </c>
      <c r="B166" s="421"/>
      <c r="C166" s="421"/>
      <c r="D166" s="421"/>
      <c r="E166" s="371">
        <f>Monday!S121/30</f>
        <v>0</v>
      </c>
      <c r="F166" s="75"/>
      <c r="G166" s="79"/>
      <c r="J166" s="179"/>
    </row>
    <row r="167" spans="1:10" s="78" customFormat="1" ht="30" customHeight="1" x14ac:dyDescent="0.45">
      <c r="A167" s="421" t="s">
        <v>212</v>
      </c>
      <c r="B167" s="421"/>
      <c r="C167" s="421"/>
      <c r="D167" s="421"/>
      <c r="E167" s="371">
        <f>Monday!S126/30</f>
        <v>0</v>
      </c>
      <c r="F167" s="75"/>
      <c r="G167" s="79"/>
      <c r="J167" s="179"/>
    </row>
    <row r="168" spans="1:10" s="78" customFormat="1" ht="30" customHeight="1" x14ac:dyDescent="0.45">
      <c r="A168" s="421" t="s">
        <v>213</v>
      </c>
      <c r="B168" s="421"/>
      <c r="C168" s="421"/>
      <c r="D168" s="421"/>
      <c r="E168" s="371">
        <f>Monday!S127/30</f>
        <v>0</v>
      </c>
      <c r="F168" s="75"/>
      <c r="G168" s="79"/>
      <c r="J168" s="179"/>
    </row>
    <row r="169" spans="1:10" s="78" customFormat="1" ht="30" customHeight="1" x14ac:dyDescent="0.45">
      <c r="A169" s="363" t="s">
        <v>214</v>
      </c>
      <c r="B169" s="363"/>
      <c r="C169" s="363"/>
      <c r="D169" s="363"/>
      <c r="E169" s="371">
        <f>Monday!S128/30</f>
        <v>0</v>
      </c>
      <c r="F169" s="75"/>
      <c r="G169" s="79"/>
      <c r="J169" s="179"/>
    </row>
    <row r="170" spans="1:10" s="78" customFormat="1" ht="30" customHeight="1" x14ac:dyDescent="0.45">
      <c r="A170" s="363" t="s">
        <v>219</v>
      </c>
      <c r="B170" s="363"/>
      <c r="C170" s="363"/>
      <c r="D170" s="363"/>
      <c r="E170" s="371">
        <f>Monday!S129/12</f>
        <v>2.5</v>
      </c>
      <c r="F170" s="75"/>
      <c r="G170" s="79"/>
      <c r="J170" s="179"/>
    </row>
    <row r="171" spans="1:10" s="78" customFormat="1" ht="30" customHeight="1" x14ac:dyDescent="0.45">
      <c r="A171" s="363" t="s">
        <v>216</v>
      </c>
      <c r="B171" s="363"/>
      <c r="C171" s="363"/>
      <c r="D171" s="363"/>
      <c r="E171" s="372">
        <f>Monday!S131</f>
        <v>2</v>
      </c>
      <c r="F171" s="75"/>
      <c r="G171" s="79"/>
      <c r="J171" s="179"/>
    </row>
    <row r="172" spans="1:10" s="78" customFormat="1" ht="30" customHeight="1" x14ac:dyDescent="0.45">
      <c r="A172" s="364" t="s">
        <v>220</v>
      </c>
      <c r="B172" s="364"/>
      <c r="C172" s="364"/>
      <c r="D172" s="364"/>
      <c r="E172" s="371">
        <f>Monday!S134/15</f>
        <v>0</v>
      </c>
      <c r="F172" s="75"/>
      <c r="G172" s="79"/>
      <c r="J172" s="179"/>
    </row>
    <row r="173" spans="1:10" s="78" customFormat="1" ht="30" customHeight="1" x14ac:dyDescent="0.45">
      <c r="A173" s="364" t="s">
        <v>222</v>
      </c>
      <c r="B173" s="364"/>
      <c r="C173" s="364"/>
      <c r="D173" s="364"/>
      <c r="E173" s="371">
        <f>Monday!S135/12</f>
        <v>4.166666666666667</v>
      </c>
      <c r="F173" s="75"/>
      <c r="G173" s="79"/>
      <c r="J173" s="179"/>
    </row>
    <row r="174" spans="1:10" s="78" customFormat="1" ht="30" customHeight="1" x14ac:dyDescent="0.45">
      <c r="A174" s="363" t="s">
        <v>221</v>
      </c>
      <c r="B174" s="363"/>
      <c r="C174" s="363"/>
      <c r="D174" s="363"/>
      <c r="E174" s="371">
        <f>Monday!S136/15</f>
        <v>1.3333333333333333</v>
      </c>
      <c r="F174" s="75"/>
      <c r="G174" s="79"/>
      <c r="J174" s="179"/>
    </row>
    <row r="175" spans="1:10" s="78" customFormat="1" ht="30" customHeight="1" x14ac:dyDescent="0.45">
      <c r="A175" s="363" t="s">
        <v>277</v>
      </c>
      <c r="B175" s="363"/>
      <c r="C175" s="363"/>
      <c r="D175" s="363"/>
      <c r="E175" s="371">
        <f>Monday!S137/15</f>
        <v>1.3333333333333333</v>
      </c>
      <c r="F175" s="75"/>
      <c r="G175" s="79"/>
      <c r="J175" s="179"/>
    </row>
    <row r="176" spans="1:10" s="78" customFormat="1" ht="34.5" x14ac:dyDescent="0.45">
      <c r="A176" s="364" t="s">
        <v>278</v>
      </c>
      <c r="B176" s="364"/>
      <c r="C176" s="364"/>
      <c r="D176" s="364"/>
      <c r="E176" s="371">
        <f>Monday!S138/15</f>
        <v>1</v>
      </c>
      <c r="F176" s="75"/>
      <c r="G176" s="79"/>
      <c r="J176" s="179"/>
    </row>
    <row r="182" spans="2:2" x14ac:dyDescent="0.2">
      <c r="B182" s="97" t="s">
        <v>102</v>
      </c>
    </row>
  </sheetData>
  <sheetProtection password="C71F" sheet="1" objects="1" scenarios="1"/>
  <mergeCells count="38">
    <mergeCell ref="A168:D168"/>
    <mergeCell ref="B142:C142"/>
    <mergeCell ref="F142:G142"/>
    <mergeCell ref="B150:C150"/>
    <mergeCell ref="F150:G150"/>
    <mergeCell ref="A159:A160"/>
    <mergeCell ref="A162:D162"/>
    <mergeCell ref="A163:D163"/>
    <mergeCell ref="A164:D164"/>
    <mergeCell ref="A165:D165"/>
    <mergeCell ref="A166:D166"/>
    <mergeCell ref="A167:D167"/>
    <mergeCell ref="B110:C110"/>
    <mergeCell ref="F110:G110"/>
    <mergeCell ref="B122:C122"/>
    <mergeCell ref="F122:G122"/>
    <mergeCell ref="B134:C134"/>
    <mergeCell ref="F134:G134"/>
    <mergeCell ref="B60:C60"/>
    <mergeCell ref="F60:G60"/>
    <mergeCell ref="B71:C71"/>
    <mergeCell ref="F71:G71"/>
    <mergeCell ref="B100:C100"/>
    <mergeCell ref="F100:G100"/>
    <mergeCell ref="F79:G79"/>
    <mergeCell ref="B39:C39"/>
    <mergeCell ref="F39:G39"/>
    <mergeCell ref="B47:C47"/>
    <mergeCell ref="F47:G47"/>
    <mergeCell ref="B53:C53"/>
    <mergeCell ref="F53:G53"/>
    <mergeCell ref="B26:C26"/>
    <mergeCell ref="F26:G26"/>
    <mergeCell ref="A4:E4"/>
    <mergeCell ref="B7:C7"/>
    <mergeCell ref="F7:G7"/>
    <mergeCell ref="B16:C16"/>
    <mergeCell ref="F16:G16"/>
  </mergeCells>
  <printOptions horizontalCentered="1"/>
  <pageMargins left="0.196850393700787" right="0.196850393700787" top="0.39370078740157499" bottom="0.196850393700787" header="0.31496062992126" footer="0.31496062992126"/>
  <pageSetup paperSize="9" scale="78" orientation="portrait" r:id="rId1"/>
  <headerFooter alignWithMargins="0">
    <oddFooter>&amp;Lécole boulangerie&amp;CPage &amp;P</oddFooter>
  </headerFooter>
  <rowBreaks count="1" manualBreakCount="1">
    <brk id="158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U164"/>
  <sheetViews>
    <sheetView showGridLines="0" view="pageBreakPreview" zoomScale="80" zoomScaleNormal="70" zoomScaleSheetLayoutView="80" workbookViewId="0">
      <pane xSplit="3" ySplit="3" topLeftCell="F4" activePane="bottomRight" state="frozen"/>
      <selection activeCell="A4" sqref="A4:E4"/>
      <selection pane="topRight" activeCell="A4" sqref="A4:E4"/>
      <selection pane="bottomLeft" activeCell="A4" sqref="A4:E4"/>
      <selection pane="bottomRight" activeCell="A4" sqref="A4:E4"/>
    </sheetView>
  </sheetViews>
  <sheetFormatPr defaultColWidth="11.42578125" defaultRowHeight="15" customHeight="1" x14ac:dyDescent="0.2"/>
  <cols>
    <col min="1" max="1" width="9.140625" style="374" bestFit="1" customWidth="1"/>
    <col min="2" max="2" width="52.85546875" style="340" bestFit="1" customWidth="1"/>
    <col min="3" max="3" width="6.5703125" style="19" hidden="1" customWidth="1"/>
    <col min="4" max="4" width="5.7109375" style="19" hidden="1" customWidth="1"/>
    <col min="5" max="5" width="6.140625" style="19" hidden="1" customWidth="1"/>
    <col min="6" max="6" width="11" style="290" customWidth="1"/>
    <col min="7" max="7" width="13.42578125" style="290" customWidth="1"/>
    <col min="8" max="10" width="0" style="290" hidden="1" customWidth="1"/>
    <col min="11" max="11" width="12.7109375" style="293" customWidth="1"/>
    <col min="12" max="12" width="9.28515625" style="299" bestFit="1" customWidth="1"/>
    <col min="13" max="13" width="7.5703125" style="300" customWidth="1"/>
    <col min="14" max="15" width="7.7109375" style="300" customWidth="1"/>
    <col min="16" max="16" width="7.7109375" style="300" hidden="1" customWidth="1"/>
    <col min="17" max="17" width="8" style="21" hidden="1" customWidth="1"/>
    <col min="18" max="18" width="9.7109375" style="21" hidden="1" customWidth="1"/>
    <col min="19" max="19" width="11.42578125" style="21" hidden="1" customWidth="1"/>
    <col min="20" max="20" width="25.140625" style="21" hidden="1" customWidth="1"/>
    <col min="21" max="21" width="11.42578125" style="21" hidden="1" customWidth="1"/>
    <col min="22" max="16384" width="11.42578125" style="21"/>
  </cols>
  <sheetData>
    <row r="1" spans="1:21" ht="21" customHeight="1" x14ac:dyDescent="0.2">
      <c r="B1" s="340" t="s">
        <v>76</v>
      </c>
      <c r="F1" s="40">
        <v>50</v>
      </c>
      <c r="G1" s="295" t="s">
        <v>242</v>
      </c>
      <c r="H1" s="295"/>
      <c r="I1" s="295"/>
      <c r="J1" s="295"/>
      <c r="K1" s="296">
        <f>Monday!K1+1</f>
        <v>42458</v>
      </c>
      <c r="L1" s="401" t="s">
        <v>274</v>
      </c>
      <c r="M1" s="402"/>
      <c r="N1" s="402"/>
      <c r="O1" s="402"/>
      <c r="P1" s="402"/>
      <c r="Q1" s="41"/>
    </row>
    <row r="2" spans="1:21" ht="13.15" customHeight="1" x14ac:dyDescent="0.2">
      <c r="B2" s="403" t="s">
        <v>23</v>
      </c>
      <c r="C2" s="404" t="s">
        <v>78</v>
      </c>
      <c r="D2" s="404" t="s">
        <v>79</v>
      </c>
      <c r="E2" s="405" t="s">
        <v>80</v>
      </c>
      <c r="F2" s="407" t="s">
        <v>183</v>
      </c>
      <c r="G2" s="408" t="s">
        <v>81</v>
      </c>
      <c r="H2" s="319"/>
      <c r="I2" s="319"/>
      <c r="J2" s="319"/>
      <c r="K2" s="410" t="s">
        <v>82</v>
      </c>
      <c r="L2" s="411" t="s">
        <v>243</v>
      </c>
      <c r="M2" s="411" t="s">
        <v>275</v>
      </c>
      <c r="N2" s="411" t="s">
        <v>306</v>
      </c>
      <c r="O2" s="411" t="s">
        <v>307</v>
      </c>
      <c r="P2" s="411" t="s">
        <v>276</v>
      </c>
      <c r="Q2" s="413" t="s">
        <v>83</v>
      </c>
      <c r="R2" s="415" t="s">
        <v>84</v>
      </c>
    </row>
    <row r="3" spans="1:21" s="28" customFormat="1" ht="17.45" customHeight="1" thickBot="1" x14ac:dyDescent="0.25">
      <c r="A3" s="375"/>
      <c r="B3" s="403"/>
      <c r="C3" s="404"/>
      <c r="D3" s="404"/>
      <c r="E3" s="406"/>
      <c r="F3" s="407"/>
      <c r="G3" s="409"/>
      <c r="H3" s="320"/>
      <c r="I3" s="320"/>
      <c r="J3" s="320"/>
      <c r="K3" s="410"/>
      <c r="L3" s="412"/>
      <c r="M3" s="412"/>
      <c r="N3" s="412"/>
      <c r="O3" s="412"/>
      <c r="P3" s="412"/>
      <c r="Q3" s="414"/>
      <c r="R3" s="415"/>
    </row>
    <row r="4" spans="1:21" s="25" customFormat="1" ht="20.100000000000001" customHeight="1" x14ac:dyDescent="0.15">
      <c r="A4" s="376">
        <v>755730</v>
      </c>
      <c r="B4" s="341" t="s">
        <v>103</v>
      </c>
      <c r="C4" s="85">
        <f>PV!C4</f>
        <v>0.17499999999999999</v>
      </c>
      <c r="D4" s="42" t="s">
        <v>85</v>
      </c>
      <c r="E4" s="43">
        <f>IF(D4="h",PV!E4,IF(D4="M",PV!G4,PV!I4))</f>
        <v>1.1000000000000001</v>
      </c>
      <c r="F4" s="291">
        <v>16</v>
      </c>
      <c r="G4" s="291">
        <v>13</v>
      </c>
      <c r="H4" s="291"/>
      <c r="I4" s="291"/>
      <c r="J4" s="291"/>
      <c r="K4" s="373"/>
      <c r="L4" s="327"/>
      <c r="M4" s="328"/>
      <c r="N4" s="329"/>
      <c r="O4" s="329"/>
      <c r="P4" s="330"/>
      <c r="Q4" s="275">
        <f t="shared" ref="Q4:Q23" si="0">(K4*E4)</f>
        <v>0</v>
      </c>
      <c r="R4" s="280">
        <f t="shared" ref="R4:R23" si="1">K4*C4</f>
        <v>0</v>
      </c>
      <c r="U4" s="294">
        <f>K4-L4</f>
        <v>0</v>
      </c>
    </row>
    <row r="5" spans="1:21" s="25" customFormat="1" ht="20.100000000000001" customHeight="1" x14ac:dyDescent="0.15">
      <c r="A5" s="376">
        <v>65846</v>
      </c>
      <c r="B5" s="341" t="s">
        <v>104</v>
      </c>
      <c r="C5" s="85">
        <f>PV!C5</f>
        <v>0.35</v>
      </c>
      <c r="D5" s="44" t="str">
        <f t="shared" ref="D5:D68" si="2">D4</f>
        <v>h</v>
      </c>
      <c r="E5" s="43">
        <f>IF(D5="h",PV!E5,IF(D5="M",PV!G5,PV!I5))</f>
        <v>1.8</v>
      </c>
      <c r="F5" s="291">
        <v>11</v>
      </c>
      <c r="G5" s="291">
        <v>0</v>
      </c>
      <c r="H5" s="291"/>
      <c r="I5" s="291"/>
      <c r="J5" s="291"/>
      <c r="K5" s="373"/>
      <c r="L5" s="331"/>
      <c r="M5" s="332"/>
      <c r="N5" s="333"/>
      <c r="O5" s="333"/>
      <c r="P5" s="334"/>
      <c r="Q5" s="275">
        <f t="shared" si="0"/>
        <v>0</v>
      </c>
      <c r="R5" s="280">
        <f t="shared" si="1"/>
        <v>0</v>
      </c>
      <c r="U5" s="294"/>
    </row>
    <row r="6" spans="1:21" s="25" customFormat="1" ht="20.100000000000001" customHeight="1" x14ac:dyDescent="0.15">
      <c r="A6" s="377">
        <v>358700</v>
      </c>
      <c r="B6" s="341" t="s">
        <v>35</v>
      </c>
      <c r="C6" s="85">
        <f>PV!C6</f>
        <v>0.35</v>
      </c>
      <c r="D6" s="44" t="str">
        <f t="shared" si="2"/>
        <v>h</v>
      </c>
      <c r="E6" s="43">
        <f>IF(D6="h",PV!E6,IF(D6="M",PV!G6,PV!I6))</f>
        <v>3.45</v>
      </c>
      <c r="F6" s="291">
        <v>0</v>
      </c>
      <c r="G6" s="291">
        <v>0</v>
      </c>
      <c r="H6" s="291"/>
      <c r="I6" s="291"/>
      <c r="J6" s="291"/>
      <c r="K6" s="373"/>
      <c r="L6" s="331"/>
      <c r="M6" s="332"/>
      <c r="N6" s="333"/>
      <c r="O6" s="333"/>
      <c r="P6" s="334"/>
      <c r="Q6" s="275">
        <f t="shared" si="0"/>
        <v>0</v>
      </c>
      <c r="R6" s="280">
        <f t="shared" si="1"/>
        <v>0</v>
      </c>
      <c r="U6" s="294">
        <f t="shared" ref="U6:U37" si="3">K6-L6</f>
        <v>0</v>
      </c>
    </row>
    <row r="7" spans="1:21" s="25" customFormat="1" ht="20.100000000000001" customHeight="1" x14ac:dyDescent="0.15">
      <c r="A7" s="377">
        <v>348164</v>
      </c>
      <c r="B7" s="341" t="s">
        <v>105</v>
      </c>
      <c r="C7" s="85">
        <f>PV!C7</f>
        <v>0.35</v>
      </c>
      <c r="D7" s="44" t="str">
        <f t="shared" si="2"/>
        <v>h</v>
      </c>
      <c r="E7" s="43">
        <f>IF(D7="h",PV!E7,IF(D7="M",PV!G7,PV!I7))</f>
        <v>5.95</v>
      </c>
      <c r="F7" s="291">
        <v>0</v>
      </c>
      <c r="G7" s="291">
        <v>0</v>
      </c>
      <c r="H7" s="291"/>
      <c r="I7" s="291"/>
      <c r="J7" s="291"/>
      <c r="K7" s="373"/>
      <c r="L7" s="331"/>
      <c r="M7" s="332"/>
      <c r="N7" s="333"/>
      <c r="O7" s="333"/>
      <c r="P7" s="334"/>
      <c r="Q7" s="275">
        <f t="shared" si="0"/>
        <v>0</v>
      </c>
      <c r="R7" s="280">
        <f t="shared" si="1"/>
        <v>0</v>
      </c>
      <c r="U7" s="294">
        <f t="shared" si="3"/>
        <v>0</v>
      </c>
    </row>
    <row r="8" spans="1:21" s="25" customFormat="1" ht="20.100000000000001" customHeight="1" x14ac:dyDescent="0.15">
      <c r="A8" s="377">
        <v>358194</v>
      </c>
      <c r="B8" s="341" t="s">
        <v>106</v>
      </c>
      <c r="C8" s="85">
        <f>PV!C8</f>
        <v>0.35</v>
      </c>
      <c r="D8" s="44" t="str">
        <f t="shared" si="2"/>
        <v>h</v>
      </c>
      <c r="E8" s="43">
        <f>IF(D8="h",PV!E8,IF(D8="M",PV!G8,PV!I8))</f>
        <v>5.5</v>
      </c>
      <c r="F8" s="291">
        <v>7</v>
      </c>
      <c r="G8" s="291">
        <v>4</v>
      </c>
      <c r="H8" s="291"/>
      <c r="I8" s="291"/>
      <c r="J8" s="291"/>
      <c r="K8" s="373"/>
      <c r="L8" s="331"/>
      <c r="M8" s="332"/>
      <c r="N8" s="333"/>
      <c r="O8" s="333"/>
      <c r="P8" s="334"/>
      <c r="Q8" s="275">
        <f t="shared" si="0"/>
        <v>0</v>
      </c>
      <c r="R8" s="280">
        <f t="shared" si="1"/>
        <v>0</v>
      </c>
      <c r="U8" s="294">
        <f t="shared" si="3"/>
        <v>0</v>
      </c>
    </row>
    <row r="9" spans="1:21" s="25" customFormat="1" ht="20.100000000000001" customHeight="1" x14ac:dyDescent="0.15">
      <c r="A9" s="377">
        <v>65888</v>
      </c>
      <c r="B9" s="336" t="s">
        <v>305</v>
      </c>
      <c r="C9" s="85">
        <f>PV!C9</f>
        <v>0.35</v>
      </c>
      <c r="D9" s="44" t="str">
        <f t="shared" si="2"/>
        <v>h</v>
      </c>
      <c r="E9" s="43">
        <f>IF(D9="h",PV!E9,IF(D9="M",PV!G9,PV!I9))</f>
        <v>5.5</v>
      </c>
      <c r="F9" s="291">
        <v>0</v>
      </c>
      <c r="G9" s="291">
        <v>7</v>
      </c>
      <c r="H9" s="291"/>
      <c r="I9" s="291"/>
      <c r="J9" s="291"/>
      <c r="K9" s="373"/>
      <c r="L9" s="331"/>
      <c r="M9" s="332"/>
      <c r="N9" s="333"/>
      <c r="O9" s="333"/>
      <c r="P9" s="334"/>
      <c r="Q9" s="275">
        <f t="shared" si="0"/>
        <v>0</v>
      </c>
      <c r="R9" s="280">
        <f t="shared" si="1"/>
        <v>0</v>
      </c>
      <c r="U9" s="294">
        <f t="shared" si="3"/>
        <v>0</v>
      </c>
    </row>
    <row r="10" spans="1:21" s="25" customFormat="1" ht="20.100000000000001" customHeight="1" x14ac:dyDescent="0.15">
      <c r="A10" s="377">
        <v>65850</v>
      </c>
      <c r="B10" s="341" t="s">
        <v>108</v>
      </c>
      <c r="C10" s="85">
        <f>PV!C10</f>
        <v>0.35</v>
      </c>
      <c r="D10" s="44" t="str">
        <f t="shared" si="2"/>
        <v>h</v>
      </c>
      <c r="E10" s="43">
        <f>IF(D10="h",PV!E10,IF(D10="M",PV!G10,PV!I10))</f>
        <v>3.45</v>
      </c>
      <c r="F10" s="291">
        <v>1</v>
      </c>
      <c r="G10" s="291">
        <v>2</v>
      </c>
      <c r="H10" s="291"/>
      <c r="I10" s="291"/>
      <c r="J10" s="291"/>
      <c r="K10" s="373"/>
      <c r="L10" s="331"/>
      <c r="M10" s="332"/>
      <c r="N10" s="333"/>
      <c r="O10" s="333"/>
      <c r="P10" s="334"/>
      <c r="Q10" s="275">
        <f t="shared" si="0"/>
        <v>0</v>
      </c>
      <c r="R10" s="280">
        <f t="shared" si="1"/>
        <v>0</v>
      </c>
      <c r="U10" s="294">
        <f t="shared" si="3"/>
        <v>0</v>
      </c>
    </row>
    <row r="11" spans="1:21" s="25" customFormat="1" ht="20.100000000000001" customHeight="1" x14ac:dyDescent="0.15">
      <c r="A11" s="377">
        <v>65852</v>
      </c>
      <c r="B11" s="341" t="s">
        <v>109</v>
      </c>
      <c r="C11" s="85">
        <f>PV!C11</f>
        <v>0.35</v>
      </c>
      <c r="D11" s="44" t="str">
        <f t="shared" si="2"/>
        <v>h</v>
      </c>
      <c r="E11" s="43">
        <f>IF(D11="h",PV!E11,IF(D11="M",PV!G11,PV!I11))</f>
        <v>1.95</v>
      </c>
      <c r="F11" s="291">
        <v>306</v>
      </c>
      <c r="G11" s="291">
        <v>224</v>
      </c>
      <c r="H11" s="291"/>
      <c r="I11" s="291"/>
      <c r="J11" s="291"/>
      <c r="K11" s="373"/>
      <c r="L11" s="331"/>
      <c r="M11" s="332"/>
      <c r="N11" s="333"/>
      <c r="O11" s="333"/>
      <c r="P11" s="334"/>
      <c r="Q11" s="275">
        <f t="shared" si="0"/>
        <v>0</v>
      </c>
      <c r="R11" s="280">
        <f t="shared" si="1"/>
        <v>0</v>
      </c>
      <c r="U11" s="294">
        <f t="shared" si="3"/>
        <v>0</v>
      </c>
    </row>
    <row r="12" spans="1:21" s="25" customFormat="1" ht="20.100000000000001" customHeight="1" x14ac:dyDescent="0.15">
      <c r="A12" s="377">
        <v>303831</v>
      </c>
      <c r="B12" s="336" t="s">
        <v>110</v>
      </c>
      <c r="C12" s="85">
        <f>PV!C12</f>
        <v>0.35</v>
      </c>
      <c r="D12" s="44" t="str">
        <f t="shared" si="2"/>
        <v>h</v>
      </c>
      <c r="E12" s="43">
        <f>IF(D12="h",PV!E12,IF(D12="M",PV!G12,PV!I12))</f>
        <v>2.5</v>
      </c>
      <c r="F12" s="291">
        <v>7</v>
      </c>
      <c r="G12" s="291">
        <v>8</v>
      </c>
      <c r="H12" s="291"/>
      <c r="I12" s="291"/>
      <c r="J12" s="291"/>
      <c r="K12" s="373"/>
      <c r="L12" s="331"/>
      <c r="M12" s="332"/>
      <c r="N12" s="333"/>
      <c r="O12" s="333"/>
      <c r="P12" s="334"/>
      <c r="Q12" s="275">
        <f t="shared" si="0"/>
        <v>0</v>
      </c>
      <c r="R12" s="280">
        <f t="shared" si="1"/>
        <v>0</v>
      </c>
      <c r="U12" s="294">
        <f t="shared" si="3"/>
        <v>0</v>
      </c>
    </row>
    <row r="13" spans="1:21" s="25" customFormat="1" ht="20.100000000000001" customHeight="1" x14ac:dyDescent="0.15">
      <c r="A13" s="377">
        <v>292745</v>
      </c>
      <c r="B13" s="341" t="s">
        <v>111</v>
      </c>
      <c r="C13" s="85">
        <f>PV!C13</f>
        <v>0.48</v>
      </c>
      <c r="D13" s="44" t="str">
        <f t="shared" si="2"/>
        <v>h</v>
      </c>
      <c r="E13" s="43">
        <f>IF(D13="h",PV!E13,IF(D13="M",PV!G13,PV!I13))</f>
        <v>2.95</v>
      </c>
      <c r="F13" s="291">
        <v>55</v>
      </c>
      <c r="G13" s="291">
        <v>93</v>
      </c>
      <c r="H13" s="291"/>
      <c r="I13" s="291"/>
      <c r="J13" s="291"/>
      <c r="K13" s="373"/>
      <c r="L13" s="331"/>
      <c r="M13" s="332"/>
      <c r="N13" s="333"/>
      <c r="O13" s="333"/>
      <c r="P13" s="334"/>
      <c r="Q13" s="275">
        <f t="shared" si="0"/>
        <v>0</v>
      </c>
      <c r="R13" s="280">
        <f t="shared" si="1"/>
        <v>0</v>
      </c>
      <c r="U13" s="294">
        <f t="shared" si="3"/>
        <v>0</v>
      </c>
    </row>
    <row r="14" spans="1:21" s="25" customFormat="1" ht="20.100000000000001" customHeight="1" x14ac:dyDescent="0.15">
      <c r="A14" s="377">
        <v>65890</v>
      </c>
      <c r="B14" s="341" t="s">
        <v>30</v>
      </c>
      <c r="C14" s="85">
        <f>PV!C14</f>
        <v>1.165</v>
      </c>
      <c r="D14" s="44" t="str">
        <f t="shared" si="2"/>
        <v>h</v>
      </c>
      <c r="E14" s="43">
        <f>IF(D14="h",PV!E14,IF(D14="M",PV!G14,PV!I14))</f>
        <v>8.4499999999999993</v>
      </c>
      <c r="F14" s="291">
        <v>27</v>
      </c>
      <c r="G14" s="291">
        <v>18</v>
      </c>
      <c r="H14" s="291"/>
      <c r="I14" s="291"/>
      <c r="J14" s="291"/>
      <c r="K14" s="373"/>
      <c r="L14" s="331"/>
      <c r="M14" s="332"/>
      <c r="N14" s="333"/>
      <c r="O14" s="333"/>
      <c r="P14" s="334"/>
      <c r="Q14" s="275">
        <f t="shared" si="0"/>
        <v>0</v>
      </c>
      <c r="R14" s="280">
        <f t="shared" si="1"/>
        <v>0</v>
      </c>
      <c r="U14" s="294">
        <f t="shared" si="3"/>
        <v>0</v>
      </c>
    </row>
    <row r="15" spans="1:21" s="25" customFormat="1" ht="20.100000000000001" customHeight="1" x14ac:dyDescent="0.15">
      <c r="A15" s="377">
        <v>65892</v>
      </c>
      <c r="B15" s="341" t="s">
        <v>29</v>
      </c>
      <c r="C15" s="85">
        <f>PV!C15</f>
        <v>0.58499999999999996</v>
      </c>
      <c r="D15" s="44" t="str">
        <f t="shared" si="2"/>
        <v>h</v>
      </c>
      <c r="E15" s="43">
        <f>IF(D15="h",PV!E15,IF(D15="M",PV!G15,PV!I15))</f>
        <v>5.5</v>
      </c>
      <c r="F15" s="291">
        <v>13</v>
      </c>
      <c r="G15" s="291">
        <v>11</v>
      </c>
      <c r="H15" s="291"/>
      <c r="I15" s="291"/>
      <c r="J15" s="291"/>
      <c r="K15" s="373"/>
      <c r="L15" s="331"/>
      <c r="M15" s="332"/>
      <c r="N15" s="333"/>
      <c r="O15" s="333"/>
      <c r="P15" s="334"/>
      <c r="Q15" s="275">
        <f t="shared" si="0"/>
        <v>0</v>
      </c>
      <c r="R15" s="280">
        <f t="shared" si="1"/>
        <v>0</v>
      </c>
      <c r="U15" s="294">
        <f t="shared" si="3"/>
        <v>0</v>
      </c>
    </row>
    <row r="16" spans="1:21" s="25" customFormat="1" ht="20.100000000000001" customHeight="1" x14ac:dyDescent="0.15">
      <c r="A16" s="377">
        <v>886852</v>
      </c>
      <c r="B16" s="336" t="s">
        <v>303</v>
      </c>
      <c r="C16" s="85">
        <f>PV!C16</f>
        <v>1.165</v>
      </c>
      <c r="D16" s="44" t="str">
        <f t="shared" si="2"/>
        <v>h</v>
      </c>
      <c r="E16" s="43">
        <f>IF(D16="h",PV!E16,IF(D16="M",PV!G16,PV!I16))</f>
        <v>8.4499999999999993</v>
      </c>
      <c r="F16" s="291">
        <v>0</v>
      </c>
      <c r="G16" s="291">
        <v>0</v>
      </c>
      <c r="H16" s="291"/>
      <c r="I16" s="291"/>
      <c r="J16" s="291"/>
      <c r="K16" s="373"/>
      <c r="L16" s="331"/>
      <c r="M16" s="332"/>
      <c r="N16" s="333"/>
      <c r="O16" s="333"/>
      <c r="P16" s="334"/>
      <c r="Q16" s="275">
        <f t="shared" si="0"/>
        <v>0</v>
      </c>
      <c r="R16" s="280">
        <f t="shared" si="1"/>
        <v>0</v>
      </c>
      <c r="U16" s="294">
        <f t="shared" si="3"/>
        <v>0</v>
      </c>
    </row>
    <row r="17" spans="1:21" s="25" customFormat="1" ht="20.100000000000001" customHeight="1" x14ac:dyDescent="0.15">
      <c r="A17" s="377">
        <v>886849</v>
      </c>
      <c r="B17" s="341" t="s">
        <v>304</v>
      </c>
      <c r="C17" s="85">
        <f>PV!C17</f>
        <v>0.58499999999999996</v>
      </c>
      <c r="D17" s="44" t="str">
        <f t="shared" si="2"/>
        <v>h</v>
      </c>
      <c r="E17" s="43">
        <f>IF(D17="h",PV!E17,IF(D17="M",PV!G17,PV!I17))</f>
        <v>5.5</v>
      </c>
      <c r="F17" s="291">
        <v>3</v>
      </c>
      <c r="G17" s="291">
        <v>0</v>
      </c>
      <c r="H17" s="291"/>
      <c r="I17" s="291"/>
      <c r="J17" s="291"/>
      <c r="K17" s="373"/>
      <c r="L17" s="331"/>
      <c r="M17" s="332"/>
      <c r="N17" s="333"/>
      <c r="O17" s="333"/>
      <c r="P17" s="334"/>
      <c r="Q17" s="275">
        <f t="shared" si="0"/>
        <v>0</v>
      </c>
      <c r="R17" s="280">
        <f t="shared" si="1"/>
        <v>0</v>
      </c>
      <c r="U17" s="294">
        <f t="shared" si="3"/>
        <v>0</v>
      </c>
    </row>
    <row r="18" spans="1:21" s="25" customFormat="1" ht="20.100000000000001" customHeight="1" x14ac:dyDescent="0.15">
      <c r="A18" s="377">
        <v>65897</v>
      </c>
      <c r="B18" s="341" t="s">
        <v>36</v>
      </c>
      <c r="C18" s="85">
        <f>PV!C18</f>
        <v>0.24</v>
      </c>
      <c r="D18" s="44" t="str">
        <f t="shared" si="2"/>
        <v>h</v>
      </c>
      <c r="E18" s="43">
        <f>IF(D18="h",PV!E18,IF(D18="M",PV!G18,PV!I18))</f>
        <v>3</v>
      </c>
      <c r="F18" s="291">
        <v>25</v>
      </c>
      <c r="G18" s="291">
        <v>0</v>
      </c>
      <c r="H18" s="291"/>
      <c r="I18" s="291"/>
      <c r="J18" s="291"/>
      <c r="K18" s="373"/>
      <c r="L18" s="331"/>
      <c r="M18" s="332"/>
      <c r="N18" s="333"/>
      <c r="O18" s="333"/>
      <c r="P18" s="334"/>
      <c r="Q18" s="275">
        <f t="shared" si="0"/>
        <v>0</v>
      </c>
      <c r="R18" s="280">
        <f t="shared" si="1"/>
        <v>0</v>
      </c>
      <c r="U18" s="294">
        <f t="shared" si="3"/>
        <v>0</v>
      </c>
    </row>
    <row r="19" spans="1:21" s="25" customFormat="1" ht="20.100000000000001" customHeight="1" x14ac:dyDescent="0.15">
      <c r="A19" s="377">
        <v>403773</v>
      </c>
      <c r="B19" s="341" t="s">
        <v>112</v>
      </c>
      <c r="C19" s="85">
        <f>PV!C19</f>
        <v>0.24</v>
      </c>
      <c r="D19" s="44" t="str">
        <f t="shared" si="2"/>
        <v>h</v>
      </c>
      <c r="E19" s="43">
        <f>IF(D19="h",PV!E19,IF(D19="M",PV!G19,PV!I19))</f>
        <v>3.75</v>
      </c>
      <c r="F19" s="291">
        <v>0</v>
      </c>
      <c r="G19" s="291">
        <v>0</v>
      </c>
      <c r="H19" s="291"/>
      <c r="I19" s="291"/>
      <c r="J19" s="291"/>
      <c r="K19" s="373"/>
      <c r="L19" s="331"/>
      <c r="M19" s="332"/>
      <c r="N19" s="333"/>
      <c r="O19" s="333"/>
      <c r="P19" s="334"/>
      <c r="Q19" s="275">
        <f t="shared" si="0"/>
        <v>0</v>
      </c>
      <c r="R19" s="280">
        <f t="shared" si="1"/>
        <v>0</v>
      </c>
      <c r="U19" s="294">
        <f t="shared" si="3"/>
        <v>0</v>
      </c>
    </row>
    <row r="20" spans="1:21" s="25" customFormat="1" ht="20.100000000000001" customHeight="1" x14ac:dyDescent="0.15">
      <c r="A20" s="377">
        <v>886858</v>
      </c>
      <c r="B20" s="336" t="s">
        <v>113</v>
      </c>
      <c r="C20" s="85">
        <f>PV!C20</f>
        <v>0.7</v>
      </c>
      <c r="D20" s="44" t="str">
        <f t="shared" si="2"/>
        <v>h</v>
      </c>
      <c r="E20" s="43">
        <f>IF(D20="h",PV!E20,IF(D20="M",PV!G20,PV!I20))</f>
        <v>6.45</v>
      </c>
      <c r="F20" s="291">
        <v>3</v>
      </c>
      <c r="G20" s="291">
        <v>0</v>
      </c>
      <c r="H20" s="291"/>
      <c r="I20" s="291"/>
      <c r="J20" s="291"/>
      <c r="K20" s="373"/>
      <c r="L20" s="331"/>
      <c r="M20" s="332"/>
      <c r="N20" s="333"/>
      <c r="O20" s="333"/>
      <c r="P20" s="334"/>
      <c r="Q20" s="275">
        <f t="shared" si="0"/>
        <v>0</v>
      </c>
      <c r="R20" s="280">
        <f t="shared" si="1"/>
        <v>0</v>
      </c>
      <c r="U20" s="294">
        <f t="shared" si="3"/>
        <v>0</v>
      </c>
    </row>
    <row r="21" spans="1:21" s="25" customFormat="1" ht="20.100000000000001" customHeight="1" x14ac:dyDescent="0.15">
      <c r="A21" s="377">
        <v>886854</v>
      </c>
      <c r="B21" s="341" t="s">
        <v>114</v>
      </c>
      <c r="C21" s="85">
        <f>PV!C21</f>
        <v>0.35</v>
      </c>
      <c r="D21" s="44" t="str">
        <f t="shared" si="2"/>
        <v>h</v>
      </c>
      <c r="E21" s="43">
        <f>IF(D21="h",PV!E21,IF(D21="M",PV!G21,PV!I21))</f>
        <v>3.75</v>
      </c>
      <c r="F21" s="291">
        <v>1</v>
      </c>
      <c r="G21" s="291">
        <v>0</v>
      </c>
      <c r="H21" s="291"/>
      <c r="I21" s="291"/>
      <c r="J21" s="291"/>
      <c r="K21" s="373"/>
      <c r="L21" s="331"/>
      <c r="M21" s="332"/>
      <c r="N21" s="333"/>
      <c r="O21" s="333"/>
      <c r="P21" s="334"/>
      <c r="Q21" s="275">
        <f t="shared" si="0"/>
        <v>0</v>
      </c>
      <c r="R21" s="280">
        <f t="shared" si="1"/>
        <v>0</v>
      </c>
      <c r="U21" s="294">
        <f t="shared" si="3"/>
        <v>0</v>
      </c>
    </row>
    <row r="22" spans="1:21" s="25" customFormat="1" ht="20.100000000000001" customHeight="1" x14ac:dyDescent="0.15">
      <c r="A22" s="377">
        <v>65929</v>
      </c>
      <c r="B22" s="341" t="s">
        <v>32</v>
      </c>
      <c r="C22" s="85">
        <f>PV!C22</f>
        <v>0.7</v>
      </c>
      <c r="D22" s="44" t="str">
        <f t="shared" si="2"/>
        <v>h</v>
      </c>
      <c r="E22" s="43">
        <f>IF(D22="h",PV!E22,IF(D22="M",PV!G22,PV!I22))</f>
        <v>6.45</v>
      </c>
      <c r="F22" s="291">
        <v>26</v>
      </c>
      <c r="G22" s="291">
        <v>46</v>
      </c>
      <c r="H22" s="291"/>
      <c r="I22" s="291"/>
      <c r="J22" s="291"/>
      <c r="K22" s="373"/>
      <c r="L22" s="331"/>
      <c r="M22" s="332"/>
      <c r="N22" s="333"/>
      <c r="O22" s="333"/>
      <c r="P22" s="334"/>
      <c r="Q22" s="275">
        <f t="shared" si="0"/>
        <v>0</v>
      </c>
      <c r="R22" s="280">
        <f t="shared" si="1"/>
        <v>0</v>
      </c>
      <c r="U22" s="294">
        <f t="shared" si="3"/>
        <v>0</v>
      </c>
    </row>
    <row r="23" spans="1:21" s="25" customFormat="1" ht="18.75" customHeight="1" x14ac:dyDescent="0.15">
      <c r="A23" s="335">
        <v>65926</v>
      </c>
      <c r="B23" s="341" t="s">
        <v>31</v>
      </c>
      <c r="C23" s="85">
        <f>PV!C23</f>
        <v>0.35</v>
      </c>
      <c r="D23" s="44" t="str">
        <f t="shared" si="2"/>
        <v>h</v>
      </c>
      <c r="E23" s="43">
        <f>IF(D23="h",PV!E23,IF(D23="M",PV!G23,PV!I23))</f>
        <v>3.75</v>
      </c>
      <c r="F23" s="291">
        <v>4</v>
      </c>
      <c r="G23" s="291">
        <v>1</v>
      </c>
      <c r="H23" s="291"/>
      <c r="I23" s="291"/>
      <c r="J23" s="291"/>
      <c r="K23" s="373"/>
      <c r="L23" s="331"/>
      <c r="M23" s="332"/>
      <c r="N23" s="333"/>
      <c r="O23" s="333"/>
      <c r="P23" s="334"/>
      <c r="Q23" s="275">
        <f t="shared" si="0"/>
        <v>0</v>
      </c>
      <c r="R23" s="280">
        <f t="shared" si="1"/>
        <v>0</v>
      </c>
      <c r="U23" s="294">
        <f t="shared" si="3"/>
        <v>0</v>
      </c>
    </row>
    <row r="24" spans="1:21" s="25" customFormat="1" ht="9.75" customHeight="1" x14ac:dyDescent="0.2">
      <c r="A24" s="378"/>
      <c r="B24" s="342"/>
      <c r="C24" s="85">
        <f>PV!C24</f>
        <v>0</v>
      </c>
      <c r="D24" s="44" t="str">
        <f t="shared" si="2"/>
        <v>h</v>
      </c>
      <c r="E24" s="43">
        <f>IF(D24="h",PV!E24,IF(D24="M",PV!G24,PV!I24))</f>
        <v>0</v>
      </c>
      <c r="F24" s="291">
        <v>0</v>
      </c>
      <c r="G24" s="291">
        <v>0</v>
      </c>
      <c r="H24" s="291"/>
      <c r="I24" s="291"/>
      <c r="J24" s="291"/>
      <c r="K24" s="373"/>
      <c r="L24" s="331"/>
      <c r="M24" s="332"/>
      <c r="N24" s="333"/>
      <c r="O24" s="333"/>
      <c r="P24" s="334"/>
      <c r="Q24" s="276"/>
      <c r="R24" s="281">
        <f>SUM(R4:R23)</f>
        <v>0</v>
      </c>
      <c r="U24" s="294">
        <f t="shared" si="3"/>
        <v>0</v>
      </c>
    </row>
    <row r="25" spans="1:21" s="25" customFormat="1" ht="16.149999999999999" customHeight="1" x14ac:dyDescent="0.2">
      <c r="A25" s="379">
        <v>206112</v>
      </c>
      <c r="B25" s="343" t="s">
        <v>301</v>
      </c>
      <c r="C25" s="85">
        <f>PV!C25</f>
        <v>0.72</v>
      </c>
      <c r="D25" s="44" t="str">
        <f t="shared" si="2"/>
        <v>h</v>
      </c>
      <c r="E25" s="43">
        <f>IF(D25="h",PV!E25,IF(D25="M",PV!G25,PV!I25))</f>
        <v>7.95</v>
      </c>
      <c r="F25" s="291">
        <v>0</v>
      </c>
      <c r="G25" s="291">
        <v>0</v>
      </c>
      <c r="H25" s="291"/>
      <c r="I25" s="291"/>
      <c r="J25" s="291"/>
      <c r="K25" s="373"/>
      <c r="L25" s="331"/>
      <c r="M25" s="332"/>
      <c r="N25" s="333"/>
      <c r="O25" s="333"/>
      <c r="P25" s="334"/>
      <c r="Q25" s="275">
        <f>(K25*E25)</f>
        <v>0</v>
      </c>
      <c r="R25" s="280">
        <f>K25*C25</f>
        <v>0</v>
      </c>
      <c r="U25" s="294">
        <f t="shared" si="3"/>
        <v>0</v>
      </c>
    </row>
    <row r="26" spans="1:21" s="25" customFormat="1" ht="18.75" customHeight="1" x14ac:dyDescent="0.2">
      <c r="A26" s="379">
        <v>206120</v>
      </c>
      <c r="B26" s="343" t="s">
        <v>302</v>
      </c>
      <c r="C26" s="85">
        <f>PV!C26</f>
        <v>0.36</v>
      </c>
      <c r="D26" s="44" t="str">
        <f t="shared" si="2"/>
        <v>h</v>
      </c>
      <c r="E26" s="43">
        <f>IF(D26="h",PV!E26,IF(D26="M",PV!G26,PV!I26))</f>
        <v>4.95</v>
      </c>
      <c r="F26" s="291">
        <v>10</v>
      </c>
      <c r="G26" s="291">
        <v>6</v>
      </c>
      <c r="H26" s="291"/>
      <c r="I26" s="291"/>
      <c r="J26" s="291"/>
      <c r="K26" s="373"/>
      <c r="L26" s="331"/>
      <c r="M26" s="332"/>
      <c r="N26" s="333"/>
      <c r="O26" s="333"/>
      <c r="P26" s="334"/>
      <c r="Q26" s="275">
        <f>(K26*E26)</f>
        <v>0</v>
      </c>
      <c r="R26" s="280">
        <f>K26*C26</f>
        <v>0</v>
      </c>
      <c r="U26" s="294">
        <f t="shared" si="3"/>
        <v>0</v>
      </c>
    </row>
    <row r="27" spans="1:21" s="25" customFormat="1" ht="18.75" customHeight="1" x14ac:dyDescent="0.2">
      <c r="A27" s="379">
        <v>65864</v>
      </c>
      <c r="B27" s="343" t="s">
        <v>136</v>
      </c>
      <c r="C27" s="85">
        <f>PV!C27</f>
        <v>0.48</v>
      </c>
      <c r="D27" s="44" t="str">
        <f t="shared" si="2"/>
        <v>h</v>
      </c>
      <c r="E27" s="43">
        <f>IF(D27="h",PV!E27,IF(D27="M",PV!G27,PV!I27))</f>
        <v>5.5</v>
      </c>
      <c r="F27" s="291">
        <v>14</v>
      </c>
      <c r="G27" s="291">
        <v>8</v>
      </c>
      <c r="H27" s="291"/>
      <c r="I27" s="291"/>
      <c r="J27" s="291"/>
      <c r="K27" s="373"/>
      <c r="L27" s="331"/>
      <c r="M27" s="332"/>
      <c r="N27" s="333"/>
      <c r="O27" s="333"/>
      <c r="P27" s="334"/>
      <c r="Q27" s="275">
        <f>(K27*E27)</f>
        <v>0</v>
      </c>
      <c r="R27" s="280">
        <f>K27*C27</f>
        <v>0</v>
      </c>
      <c r="U27" s="294">
        <f t="shared" si="3"/>
        <v>0</v>
      </c>
    </row>
    <row r="28" spans="1:21" s="25" customFormat="1" ht="18.75" customHeight="1" x14ac:dyDescent="0.2">
      <c r="A28" s="379">
        <v>1263736</v>
      </c>
      <c r="B28" s="343" t="s">
        <v>273</v>
      </c>
      <c r="C28" s="85">
        <f>PV!C28</f>
        <v>0.47499999999999998</v>
      </c>
      <c r="D28" s="44" t="str">
        <f t="shared" si="2"/>
        <v>h</v>
      </c>
      <c r="E28" s="43">
        <f>IF(D28="h",PV!E28,IF(D28="M",PV!G28,PV!I28))</f>
        <v>5.5</v>
      </c>
      <c r="F28" s="291">
        <v>3</v>
      </c>
      <c r="G28" s="291">
        <v>8</v>
      </c>
      <c r="H28" s="291"/>
      <c r="I28" s="291"/>
      <c r="J28" s="291"/>
      <c r="K28" s="373"/>
      <c r="L28" s="331"/>
      <c r="M28" s="332"/>
      <c r="N28" s="333"/>
      <c r="O28" s="333"/>
      <c r="P28" s="334"/>
      <c r="Q28" s="275">
        <f>(K28*E28)</f>
        <v>0</v>
      </c>
      <c r="R28" s="280">
        <f>K28*C28</f>
        <v>0</v>
      </c>
      <c r="U28" s="294">
        <f t="shared" si="3"/>
        <v>0</v>
      </c>
    </row>
    <row r="29" spans="1:21" s="36" customFormat="1" ht="18.600000000000001" customHeight="1" x14ac:dyDescent="0.2">
      <c r="A29" s="380">
        <v>68789</v>
      </c>
      <c r="B29" s="344" t="s">
        <v>137</v>
      </c>
      <c r="C29" s="85">
        <f>PV!C29</f>
        <v>0.35</v>
      </c>
      <c r="D29" s="44" t="str">
        <f t="shared" si="2"/>
        <v>h</v>
      </c>
      <c r="E29" s="43">
        <f>IF(D29="h",PV!E29,IF(D29="M",PV!G29,PV!I29))</f>
        <v>3.5</v>
      </c>
      <c r="F29" s="291">
        <v>6</v>
      </c>
      <c r="G29" s="291">
        <v>8</v>
      </c>
      <c r="H29" s="291"/>
      <c r="I29" s="291"/>
      <c r="J29" s="291"/>
      <c r="K29" s="373"/>
      <c r="L29" s="331"/>
      <c r="M29" s="332"/>
      <c r="N29" s="333"/>
      <c r="O29" s="333"/>
      <c r="P29" s="334"/>
      <c r="Q29" s="275">
        <f>(K29*E29)</f>
        <v>0</v>
      </c>
      <c r="R29" s="280">
        <f>K29*C29</f>
        <v>0</v>
      </c>
      <c r="U29" s="294">
        <f t="shared" si="3"/>
        <v>0</v>
      </c>
    </row>
    <row r="30" spans="1:21" s="25" customFormat="1" ht="0.6" customHeight="1" x14ac:dyDescent="0.15">
      <c r="A30" s="376"/>
      <c r="B30" s="345"/>
      <c r="C30" s="85">
        <f>PV!C30</f>
        <v>0</v>
      </c>
      <c r="D30" s="44" t="str">
        <f t="shared" si="2"/>
        <v>h</v>
      </c>
      <c r="E30" s="43">
        <f>IF(D30="h",PV!E30,IF(D30="M",PV!G30,PV!I30))</f>
        <v>0</v>
      </c>
      <c r="F30" s="291">
        <v>0</v>
      </c>
      <c r="G30" s="291">
        <v>0</v>
      </c>
      <c r="H30" s="291"/>
      <c r="I30" s="291"/>
      <c r="J30" s="291"/>
      <c r="K30" s="373"/>
      <c r="L30" s="331"/>
      <c r="M30" s="332"/>
      <c r="N30" s="333"/>
      <c r="O30" s="333"/>
      <c r="P30" s="334"/>
      <c r="Q30" s="277"/>
      <c r="R30" s="281">
        <f>SUM(R25:R29)</f>
        <v>0</v>
      </c>
      <c r="U30" s="294">
        <f t="shared" si="3"/>
        <v>0</v>
      </c>
    </row>
    <row r="31" spans="1:21" s="25" customFormat="1" ht="20.100000000000001" customHeight="1" x14ac:dyDescent="0.15">
      <c r="A31" s="377">
        <v>445146</v>
      </c>
      <c r="B31" s="341" t="s">
        <v>132</v>
      </c>
      <c r="C31" s="85">
        <f>PV!C31</f>
        <v>0.48</v>
      </c>
      <c r="D31" s="44" t="str">
        <f t="shared" si="2"/>
        <v>h</v>
      </c>
      <c r="E31" s="43">
        <f>IF(D31="h",PV!E31,IF(D31="M",PV!G31,PV!I31))</f>
        <v>5.95</v>
      </c>
      <c r="F31" s="291">
        <v>11</v>
      </c>
      <c r="G31" s="291">
        <v>7</v>
      </c>
      <c r="H31" s="291"/>
      <c r="I31" s="291"/>
      <c r="J31" s="291"/>
      <c r="K31" s="373"/>
      <c r="L31" s="331"/>
      <c r="M31" s="332"/>
      <c r="N31" s="333"/>
      <c r="O31" s="333"/>
      <c r="P31" s="334"/>
      <c r="Q31" s="275">
        <f>(K31*E31)</f>
        <v>0</v>
      </c>
      <c r="R31" s="280">
        <f>K31*C31</f>
        <v>0</v>
      </c>
      <c r="U31" s="294">
        <f t="shared" si="3"/>
        <v>0</v>
      </c>
    </row>
    <row r="32" spans="1:21" s="25" customFormat="1" ht="0.6" customHeight="1" x14ac:dyDescent="0.15">
      <c r="A32" s="377"/>
      <c r="B32" s="341"/>
      <c r="C32" s="85">
        <f>PV!C32</f>
        <v>0</v>
      </c>
      <c r="D32" s="44" t="str">
        <f t="shared" si="2"/>
        <v>h</v>
      </c>
      <c r="E32" s="43">
        <f>IF(D32="h",PV!E32,IF(D32="M",PV!G32,PV!I32))</f>
        <v>0</v>
      </c>
      <c r="F32" s="291">
        <v>0</v>
      </c>
      <c r="G32" s="291">
        <v>0</v>
      </c>
      <c r="H32" s="291"/>
      <c r="I32" s="291"/>
      <c r="J32" s="291"/>
      <c r="K32" s="373"/>
      <c r="L32" s="331"/>
      <c r="M32" s="332"/>
      <c r="N32" s="333"/>
      <c r="O32" s="333"/>
      <c r="P32" s="334"/>
      <c r="Q32" s="275"/>
      <c r="R32" s="280"/>
      <c r="U32" s="294">
        <f t="shared" si="3"/>
        <v>0</v>
      </c>
    </row>
    <row r="33" spans="1:21" s="25" customFormat="1" ht="22.5" x14ac:dyDescent="0.25">
      <c r="A33" s="381">
        <v>951452</v>
      </c>
      <c r="B33" s="346" t="s">
        <v>163</v>
      </c>
      <c r="C33" s="85">
        <f>PV!C33</f>
        <v>0.45</v>
      </c>
      <c r="D33" s="44" t="str">
        <f t="shared" si="2"/>
        <v>h</v>
      </c>
      <c r="E33" s="43">
        <f>IF(D33="h",PV!E33,IF(D33="M",PV!G33,PV!I33))</f>
        <v>4.95</v>
      </c>
      <c r="F33" s="291">
        <v>0</v>
      </c>
      <c r="G33" s="291">
        <v>0</v>
      </c>
      <c r="H33" s="291"/>
      <c r="I33" s="291"/>
      <c r="J33" s="291"/>
      <c r="K33" s="373"/>
      <c r="L33" s="331"/>
      <c r="M33" s="332"/>
      <c r="N33" s="333"/>
      <c r="O33" s="333"/>
      <c r="P33" s="334"/>
      <c r="Q33" s="275">
        <f>(K33*E33)</f>
        <v>0</v>
      </c>
      <c r="R33" s="281">
        <f>K33*C33</f>
        <v>0</v>
      </c>
      <c r="U33" s="294">
        <f t="shared" si="3"/>
        <v>0</v>
      </c>
    </row>
    <row r="34" spans="1:21" s="25" customFormat="1" ht="0.6" customHeight="1" x14ac:dyDescent="0.2">
      <c r="A34" s="382"/>
      <c r="B34" s="343"/>
      <c r="C34" s="85">
        <f>PV!C34</f>
        <v>0</v>
      </c>
      <c r="D34" s="44" t="str">
        <f t="shared" si="2"/>
        <v>h</v>
      </c>
      <c r="E34" s="43">
        <f>IF(D34="h",PV!E34,IF(D34="M",PV!G34,PV!I34))</f>
        <v>0</v>
      </c>
      <c r="F34" s="291">
        <v>0</v>
      </c>
      <c r="G34" s="291">
        <v>0</v>
      </c>
      <c r="H34" s="291"/>
      <c r="I34" s="291"/>
      <c r="J34" s="291"/>
      <c r="K34" s="373"/>
      <c r="L34" s="331"/>
      <c r="M34" s="332"/>
      <c r="N34" s="333"/>
      <c r="O34" s="333"/>
      <c r="P34" s="334"/>
      <c r="Q34" s="278"/>
      <c r="R34" s="280">
        <f>K34*C34</f>
        <v>0</v>
      </c>
      <c r="U34" s="294">
        <f t="shared" si="3"/>
        <v>0</v>
      </c>
    </row>
    <row r="35" spans="1:21" s="25" customFormat="1" ht="20.100000000000001" customHeight="1" x14ac:dyDescent="0.2">
      <c r="A35" s="379">
        <v>1263737</v>
      </c>
      <c r="B35" s="343" t="s">
        <v>271</v>
      </c>
      <c r="C35" s="85">
        <f>PV!C35</f>
        <v>0.5</v>
      </c>
      <c r="D35" s="44" t="str">
        <f t="shared" si="2"/>
        <v>h</v>
      </c>
      <c r="E35" s="43">
        <f>IF(D35="h",PV!E35,IF(D35="M",PV!G35,PV!I35))</f>
        <v>6.5</v>
      </c>
      <c r="F35" s="291">
        <v>3</v>
      </c>
      <c r="G35" s="291">
        <v>7</v>
      </c>
      <c r="H35" s="291"/>
      <c r="I35" s="291"/>
      <c r="J35" s="291"/>
      <c r="K35" s="373"/>
      <c r="L35" s="331"/>
      <c r="M35" s="332"/>
      <c r="N35" s="333"/>
      <c r="O35" s="333"/>
      <c r="P35" s="334"/>
      <c r="Q35" s="275">
        <f>(K35*E35)</f>
        <v>0</v>
      </c>
      <c r="R35" s="280">
        <f>K35*C35</f>
        <v>0</v>
      </c>
      <c r="U35" s="294">
        <f t="shared" si="3"/>
        <v>0</v>
      </c>
    </row>
    <row r="36" spans="1:21" s="25" customFormat="1" ht="20.100000000000001" customHeight="1" x14ac:dyDescent="0.2">
      <c r="A36" s="379">
        <v>1098038</v>
      </c>
      <c r="B36" s="343" t="s">
        <v>150</v>
      </c>
      <c r="C36" s="85">
        <f>PV!C36</f>
        <v>0.7</v>
      </c>
      <c r="D36" s="44" t="str">
        <f t="shared" si="2"/>
        <v>h</v>
      </c>
      <c r="E36" s="43">
        <f>IF(D36="h",PV!E36,IF(D36="M",PV!G36,PV!I36))</f>
        <v>8.9499999999999993</v>
      </c>
      <c r="F36" s="291">
        <v>0</v>
      </c>
      <c r="G36" s="291">
        <v>0</v>
      </c>
      <c r="H36" s="291"/>
      <c r="I36" s="291"/>
      <c r="J36" s="291"/>
      <c r="K36" s="373"/>
      <c r="L36" s="331"/>
      <c r="M36" s="332"/>
      <c r="N36" s="333"/>
      <c r="O36" s="333"/>
      <c r="P36" s="334"/>
      <c r="Q36" s="275">
        <f>(K36*E36)</f>
        <v>0</v>
      </c>
      <c r="R36" s="280">
        <f>K36*C36</f>
        <v>0</v>
      </c>
      <c r="U36" s="294">
        <f t="shared" si="3"/>
        <v>0</v>
      </c>
    </row>
    <row r="37" spans="1:21" ht="0.6" customHeight="1" x14ac:dyDescent="0.2">
      <c r="A37" s="382"/>
      <c r="B37" s="347"/>
      <c r="C37" s="85">
        <f>PV!C37</f>
        <v>0</v>
      </c>
      <c r="D37" s="44" t="str">
        <f t="shared" si="2"/>
        <v>h</v>
      </c>
      <c r="E37" s="43">
        <f>IF(D37="h",PV!E37,IF(D37="M",PV!G37,PV!I37))</f>
        <v>0</v>
      </c>
      <c r="F37" s="291">
        <v>0</v>
      </c>
      <c r="G37" s="291">
        <v>0</v>
      </c>
      <c r="H37" s="291"/>
      <c r="I37" s="291"/>
      <c r="J37" s="291"/>
      <c r="K37" s="373"/>
      <c r="L37" s="331"/>
      <c r="M37" s="332"/>
      <c r="N37" s="333"/>
      <c r="O37" s="333"/>
      <c r="P37" s="334"/>
      <c r="Q37" s="275"/>
      <c r="R37" s="282">
        <f>SUM(R35:R36)</f>
        <v>0</v>
      </c>
      <c r="U37" s="294">
        <f t="shared" si="3"/>
        <v>0</v>
      </c>
    </row>
    <row r="38" spans="1:21" s="25" customFormat="1" ht="20.100000000000001" customHeight="1" x14ac:dyDescent="0.15">
      <c r="A38" s="335">
        <v>1079156</v>
      </c>
      <c r="B38" s="343" t="s">
        <v>121</v>
      </c>
      <c r="C38" s="85">
        <f>PV!C38</f>
        <v>0.45</v>
      </c>
      <c r="D38" s="44" t="str">
        <f t="shared" si="2"/>
        <v>h</v>
      </c>
      <c r="E38" s="43">
        <f>IF(D38="h",PV!E38,IF(D38="M",PV!G38,PV!I38))</f>
        <v>6.5</v>
      </c>
      <c r="F38" s="291">
        <v>0</v>
      </c>
      <c r="G38" s="291">
        <v>0</v>
      </c>
      <c r="H38" s="291"/>
      <c r="I38" s="291"/>
      <c r="J38" s="291"/>
      <c r="K38" s="373"/>
      <c r="L38" s="331"/>
      <c r="M38" s="332"/>
      <c r="N38" s="333"/>
      <c r="O38" s="333"/>
      <c r="P38" s="334"/>
      <c r="Q38" s="275">
        <f>(K38*E38)</f>
        <v>0</v>
      </c>
      <c r="R38" s="280">
        <f>K38*C38</f>
        <v>0</v>
      </c>
      <c r="U38" s="294">
        <f t="shared" ref="U38:U69" si="4">K38-L38</f>
        <v>0</v>
      </c>
    </row>
    <row r="39" spans="1:21" s="25" customFormat="1" ht="20.100000000000001" customHeight="1" x14ac:dyDescent="0.15">
      <c r="A39" s="383">
        <v>65857</v>
      </c>
      <c r="B39" s="348" t="s">
        <v>122</v>
      </c>
      <c r="C39" s="85">
        <f>PV!C39</f>
        <v>0.5</v>
      </c>
      <c r="D39" s="44" t="str">
        <f t="shared" si="2"/>
        <v>h</v>
      </c>
      <c r="E39" s="43">
        <f>IF(D39="h",PV!E39,IF(D39="M",PV!G39,PV!I39))</f>
        <v>3.15</v>
      </c>
      <c r="F39" s="291">
        <v>50</v>
      </c>
      <c r="G39" s="291">
        <v>29</v>
      </c>
      <c r="H39" s="291"/>
      <c r="I39" s="291"/>
      <c r="J39" s="291"/>
      <c r="K39" s="373"/>
      <c r="L39" s="331"/>
      <c r="M39" s="332"/>
      <c r="N39" s="333"/>
      <c r="O39" s="333"/>
      <c r="P39" s="334"/>
      <c r="Q39" s="275">
        <f>(K39*E39)</f>
        <v>0</v>
      </c>
      <c r="R39" s="280">
        <f>K39*C39</f>
        <v>0</v>
      </c>
      <c r="U39" s="294">
        <f t="shared" si="4"/>
        <v>0</v>
      </c>
    </row>
    <row r="40" spans="1:21" s="25" customFormat="1" ht="20.100000000000001" customHeight="1" x14ac:dyDescent="0.2">
      <c r="A40" s="379">
        <v>645788</v>
      </c>
      <c r="B40" s="343" t="s">
        <v>123</v>
      </c>
      <c r="C40" s="85">
        <f>PV!C40</f>
        <v>0.5</v>
      </c>
      <c r="D40" s="44" t="str">
        <f t="shared" si="2"/>
        <v>h</v>
      </c>
      <c r="E40" s="43">
        <f>IF(D40="h",PV!E40,IF(D40="M",PV!G40,PV!I40))</f>
        <v>5.95</v>
      </c>
      <c r="F40" s="291">
        <v>5</v>
      </c>
      <c r="G40" s="291">
        <v>8</v>
      </c>
      <c r="H40" s="291"/>
      <c r="I40" s="291"/>
      <c r="J40" s="291"/>
      <c r="K40" s="373"/>
      <c r="L40" s="331"/>
      <c r="M40" s="332"/>
      <c r="N40" s="333"/>
      <c r="O40" s="333"/>
      <c r="P40" s="334"/>
      <c r="Q40" s="275">
        <f>(K40*E40)</f>
        <v>0</v>
      </c>
      <c r="R40" s="280">
        <f>K40*C40</f>
        <v>0</v>
      </c>
      <c r="U40" s="294">
        <f t="shared" si="4"/>
        <v>0</v>
      </c>
    </row>
    <row r="41" spans="1:21" s="25" customFormat="1" ht="20.100000000000001" customHeight="1" x14ac:dyDescent="0.2">
      <c r="A41" s="379">
        <v>95901</v>
      </c>
      <c r="B41" s="337" t="s">
        <v>300</v>
      </c>
      <c r="C41" s="85">
        <f>PV!C41</f>
        <v>0.11</v>
      </c>
      <c r="D41" s="44" t="str">
        <f t="shared" si="2"/>
        <v>h</v>
      </c>
      <c r="E41" s="43">
        <f>IF(D41="h",PV!E41,IF(D41="M",PV!G41,PV!I41))</f>
        <v>1.5</v>
      </c>
      <c r="F41" s="291">
        <v>110</v>
      </c>
      <c r="G41" s="291">
        <v>248</v>
      </c>
      <c r="H41" s="291"/>
      <c r="I41" s="291"/>
      <c r="J41" s="291"/>
      <c r="K41" s="373"/>
      <c r="L41" s="331"/>
      <c r="M41" s="332"/>
      <c r="N41" s="333"/>
      <c r="O41" s="333"/>
      <c r="P41" s="334"/>
      <c r="Q41" s="275">
        <f>(K41*E41)</f>
        <v>0</v>
      </c>
      <c r="R41" s="280">
        <f>K41*C41</f>
        <v>0</v>
      </c>
      <c r="U41" s="294">
        <f t="shared" si="4"/>
        <v>0</v>
      </c>
    </row>
    <row r="42" spans="1:21" ht="0.6" customHeight="1" x14ac:dyDescent="0.2">
      <c r="A42" s="384"/>
      <c r="B42" s="349"/>
      <c r="C42" s="85">
        <f>PV!C42</f>
        <v>0</v>
      </c>
      <c r="D42" s="44" t="str">
        <f t="shared" si="2"/>
        <v>h</v>
      </c>
      <c r="E42" s="43">
        <f>IF(D42="h",PV!E42,IF(D42="M",PV!G42,PV!I42))</f>
        <v>0</v>
      </c>
      <c r="F42" s="291">
        <v>0</v>
      </c>
      <c r="G42" s="291">
        <v>0</v>
      </c>
      <c r="H42" s="291"/>
      <c r="I42" s="291"/>
      <c r="J42" s="291"/>
      <c r="K42" s="373"/>
      <c r="L42" s="331"/>
      <c r="M42" s="332"/>
      <c r="N42" s="333"/>
      <c r="O42" s="333"/>
      <c r="P42" s="334"/>
      <c r="Q42" s="271"/>
      <c r="R42" s="283">
        <f>SUM(R38:R41)</f>
        <v>0</v>
      </c>
      <c r="U42" s="294">
        <f t="shared" si="4"/>
        <v>0</v>
      </c>
    </row>
    <row r="43" spans="1:21" s="25" customFormat="1" ht="20.100000000000001" customHeight="1" x14ac:dyDescent="0.25">
      <c r="A43" s="381">
        <v>65882</v>
      </c>
      <c r="B43" s="346" t="s">
        <v>157</v>
      </c>
      <c r="C43" s="85">
        <f>PV!C43</f>
        <v>0.72</v>
      </c>
      <c r="D43" s="44" t="str">
        <f t="shared" si="2"/>
        <v>h</v>
      </c>
      <c r="E43" s="43">
        <f>IF(D43="h",PV!E43,IF(D43="M",PV!G43,PV!I43))</f>
        <v>6.5</v>
      </c>
      <c r="F43" s="291">
        <v>9</v>
      </c>
      <c r="G43" s="291">
        <v>12</v>
      </c>
      <c r="H43" s="291"/>
      <c r="I43" s="291"/>
      <c r="J43" s="291"/>
      <c r="K43" s="373"/>
      <c r="L43" s="331"/>
      <c r="M43" s="332"/>
      <c r="N43" s="333"/>
      <c r="O43" s="333"/>
      <c r="P43" s="334"/>
      <c r="Q43" s="275">
        <f>(K43*E43)</f>
        <v>0</v>
      </c>
      <c r="R43" s="280">
        <f>K43*C43</f>
        <v>0</v>
      </c>
      <c r="U43" s="294">
        <f t="shared" si="4"/>
        <v>0</v>
      </c>
    </row>
    <row r="44" spans="1:21" ht="0.6" customHeight="1" x14ac:dyDescent="0.2">
      <c r="A44" s="380"/>
      <c r="B44" s="347"/>
      <c r="C44" s="85">
        <f>PV!C44</f>
        <v>0</v>
      </c>
      <c r="D44" s="44" t="str">
        <f t="shared" si="2"/>
        <v>h</v>
      </c>
      <c r="E44" s="43">
        <f>IF(D44="h",PV!E44,IF(D44="M",PV!G44,PV!I44))</f>
        <v>0</v>
      </c>
      <c r="F44" s="291">
        <v>0</v>
      </c>
      <c r="G44" s="291">
        <v>0</v>
      </c>
      <c r="H44" s="291"/>
      <c r="I44" s="291"/>
      <c r="J44" s="291"/>
      <c r="K44" s="373"/>
      <c r="L44" s="331"/>
      <c r="M44" s="332"/>
      <c r="N44" s="333"/>
      <c r="O44" s="333"/>
      <c r="P44" s="334"/>
      <c r="Q44" s="271"/>
      <c r="R44" s="283">
        <f>SUM(R43:R43)</f>
        <v>0</v>
      </c>
      <c r="U44" s="294">
        <f t="shared" si="4"/>
        <v>0</v>
      </c>
    </row>
    <row r="45" spans="1:21" ht="22.5" x14ac:dyDescent="0.2">
      <c r="A45" s="380">
        <v>951448</v>
      </c>
      <c r="B45" s="347" t="s">
        <v>153</v>
      </c>
      <c r="C45" s="85">
        <f>PV!C45</f>
        <v>0.06</v>
      </c>
      <c r="D45" s="44" t="str">
        <f t="shared" si="2"/>
        <v>h</v>
      </c>
      <c r="E45" s="43">
        <f>IF(D45="h",PV!E45,IF(D45="M",PV!G45,PV!I45))</f>
        <v>0.5</v>
      </c>
      <c r="F45" s="291">
        <v>0</v>
      </c>
      <c r="G45" s="291">
        <v>0</v>
      </c>
      <c r="H45" s="291"/>
      <c r="I45" s="291"/>
      <c r="J45" s="291"/>
      <c r="K45" s="373"/>
      <c r="L45" s="331"/>
      <c r="M45" s="332"/>
      <c r="N45" s="333"/>
      <c r="O45" s="333"/>
      <c r="P45" s="334"/>
      <c r="Q45" s="275">
        <f>(K45*E45)</f>
        <v>0</v>
      </c>
      <c r="R45" s="280">
        <f>K45*C45</f>
        <v>0</v>
      </c>
      <c r="U45" s="294">
        <f t="shared" si="4"/>
        <v>0</v>
      </c>
    </row>
    <row r="46" spans="1:21" s="25" customFormat="1" ht="20.100000000000001" customHeight="1" x14ac:dyDescent="0.15">
      <c r="A46" s="335">
        <v>1037864</v>
      </c>
      <c r="B46" s="343" t="s">
        <v>154</v>
      </c>
      <c r="C46" s="85">
        <f>PV!C46</f>
        <v>0.36</v>
      </c>
      <c r="D46" s="44" t="str">
        <f t="shared" si="2"/>
        <v>h</v>
      </c>
      <c r="E46" s="43">
        <f>IF(D46="h",PV!E46,IF(D46="M",PV!G46,PV!I46))</f>
        <v>3</v>
      </c>
      <c r="F46" s="291">
        <v>0</v>
      </c>
      <c r="G46" s="291">
        <v>0</v>
      </c>
      <c r="H46" s="291"/>
      <c r="I46" s="291"/>
      <c r="J46" s="291"/>
      <c r="K46" s="373"/>
      <c r="L46" s="331"/>
      <c r="M46" s="332"/>
      <c r="N46" s="333"/>
      <c r="O46" s="333"/>
      <c r="P46" s="334"/>
      <c r="Q46" s="275">
        <f>(K46*E46)</f>
        <v>0</v>
      </c>
      <c r="R46" s="280">
        <f>K46*C46</f>
        <v>0</v>
      </c>
      <c r="U46" s="294">
        <f t="shared" si="4"/>
        <v>0</v>
      </c>
    </row>
    <row r="47" spans="1:21" s="25" customFormat="1" ht="20.100000000000001" customHeight="1" x14ac:dyDescent="0.2">
      <c r="A47" s="379">
        <v>1022414</v>
      </c>
      <c r="B47" s="343" t="s">
        <v>155</v>
      </c>
      <c r="C47" s="85">
        <f>PV!C47</f>
        <v>0.6</v>
      </c>
      <c r="D47" s="44" t="str">
        <f t="shared" si="2"/>
        <v>h</v>
      </c>
      <c r="E47" s="43">
        <f>IF(D47="h",PV!E47,IF(D47="M",PV!G47,PV!I47))</f>
        <v>5</v>
      </c>
      <c r="F47" s="291">
        <v>0</v>
      </c>
      <c r="G47" s="291">
        <v>0</v>
      </c>
      <c r="H47" s="291"/>
      <c r="I47" s="291"/>
      <c r="J47" s="291"/>
      <c r="K47" s="373"/>
      <c r="L47" s="331"/>
      <c r="M47" s="332"/>
      <c r="N47" s="333"/>
      <c r="O47" s="333"/>
      <c r="P47" s="334"/>
      <c r="Q47" s="275">
        <f>(K47*E47)</f>
        <v>0</v>
      </c>
      <c r="R47" s="280">
        <f>K47*C47</f>
        <v>0</v>
      </c>
      <c r="U47" s="294">
        <f t="shared" si="4"/>
        <v>0</v>
      </c>
    </row>
    <row r="48" spans="1:21" s="25" customFormat="1" ht="0.6" customHeight="1" x14ac:dyDescent="0.2">
      <c r="A48" s="382"/>
      <c r="B48" s="343"/>
      <c r="C48" s="85">
        <f>PV!C48</f>
        <v>0</v>
      </c>
      <c r="D48" s="44" t="str">
        <f t="shared" si="2"/>
        <v>h</v>
      </c>
      <c r="E48" s="43">
        <f>IF(D48="h",PV!E48,IF(D48="M",PV!G48,PV!I48))</f>
        <v>0</v>
      </c>
      <c r="F48" s="291">
        <v>0</v>
      </c>
      <c r="G48" s="291">
        <v>0</v>
      </c>
      <c r="H48" s="291"/>
      <c r="I48" s="291"/>
      <c r="J48" s="291"/>
      <c r="K48" s="373"/>
      <c r="L48" s="331"/>
      <c r="M48" s="332"/>
      <c r="N48" s="333"/>
      <c r="O48" s="333"/>
      <c r="P48" s="334"/>
      <c r="Q48" s="271"/>
      <c r="R48" s="281">
        <f>SUM(R45:R47)</f>
        <v>0</v>
      </c>
      <c r="U48" s="294">
        <f t="shared" si="4"/>
        <v>0</v>
      </c>
    </row>
    <row r="49" spans="1:21" s="25" customFormat="1" ht="20.100000000000001" customHeight="1" x14ac:dyDescent="0.15">
      <c r="A49" s="377">
        <v>65860</v>
      </c>
      <c r="B49" s="350" t="s">
        <v>286</v>
      </c>
      <c r="C49" s="85">
        <f>PV!C49</f>
        <v>0.48</v>
      </c>
      <c r="D49" s="44" t="str">
        <f t="shared" si="2"/>
        <v>h</v>
      </c>
      <c r="E49" s="43">
        <f>IF(D49="h",PV!E49,IF(D49="M",PV!G49,PV!I49))</f>
        <v>6.45</v>
      </c>
      <c r="F49" s="291">
        <v>12</v>
      </c>
      <c r="G49" s="291">
        <v>12</v>
      </c>
      <c r="H49" s="291"/>
      <c r="I49" s="291"/>
      <c r="J49" s="291"/>
      <c r="K49" s="373"/>
      <c r="L49" s="331"/>
      <c r="M49" s="332"/>
      <c r="N49" s="333"/>
      <c r="O49" s="333"/>
      <c r="P49" s="334"/>
      <c r="Q49" s="275">
        <f t="shared" ref="Q49:Q57" si="5">(K49*E49)</f>
        <v>0</v>
      </c>
      <c r="R49" s="280">
        <f t="shared" ref="R49:R57" si="6">K49*C49</f>
        <v>0</v>
      </c>
      <c r="U49" s="294">
        <f t="shared" si="4"/>
        <v>0</v>
      </c>
    </row>
    <row r="50" spans="1:21" s="25" customFormat="1" ht="20.100000000000001" customHeight="1" x14ac:dyDescent="0.15">
      <c r="A50" s="377">
        <v>65859</v>
      </c>
      <c r="B50" s="350" t="s">
        <v>287</v>
      </c>
      <c r="C50" s="85">
        <f>PV!C50</f>
        <v>0.96</v>
      </c>
      <c r="D50" s="44" t="str">
        <f t="shared" si="2"/>
        <v>h</v>
      </c>
      <c r="E50" s="43">
        <f>IF(D50="h",PV!E50,IF(D50="M",PV!G50,PV!I50))</f>
        <v>10.75</v>
      </c>
      <c r="F50" s="291">
        <v>4</v>
      </c>
      <c r="G50" s="291">
        <v>3</v>
      </c>
      <c r="H50" s="291"/>
      <c r="I50" s="291"/>
      <c r="J50" s="291"/>
      <c r="K50" s="373"/>
      <c r="L50" s="331"/>
      <c r="M50" s="332"/>
      <c r="N50" s="333"/>
      <c r="O50" s="333"/>
      <c r="P50" s="334"/>
      <c r="Q50" s="275">
        <f t="shared" si="5"/>
        <v>0</v>
      </c>
      <c r="R50" s="280">
        <f t="shared" si="6"/>
        <v>0</v>
      </c>
      <c r="U50" s="294">
        <f t="shared" si="4"/>
        <v>0</v>
      </c>
    </row>
    <row r="51" spans="1:21" s="25" customFormat="1" ht="20.100000000000001" customHeight="1" x14ac:dyDescent="0.15">
      <c r="A51" s="377">
        <v>270450</v>
      </c>
      <c r="B51" s="350" t="s">
        <v>125</v>
      </c>
      <c r="C51" s="85">
        <f>PV!C51</f>
        <v>0.35</v>
      </c>
      <c r="D51" s="44" t="str">
        <f t="shared" si="2"/>
        <v>h</v>
      </c>
      <c r="E51" s="43">
        <f>IF(D51="h",PV!E51,IF(D51="M",PV!G51,PV!I51))</f>
        <v>3.95</v>
      </c>
      <c r="F51" s="291">
        <v>0</v>
      </c>
      <c r="G51" s="291">
        <v>0</v>
      </c>
      <c r="H51" s="291"/>
      <c r="I51" s="291"/>
      <c r="J51" s="291"/>
      <c r="K51" s="373"/>
      <c r="L51" s="331"/>
      <c r="M51" s="332"/>
      <c r="N51" s="333"/>
      <c r="O51" s="333"/>
      <c r="P51" s="334"/>
      <c r="Q51" s="275">
        <f t="shared" si="5"/>
        <v>0</v>
      </c>
      <c r="R51" s="280">
        <f t="shared" si="6"/>
        <v>0</v>
      </c>
      <c r="U51" s="294">
        <f t="shared" si="4"/>
        <v>0</v>
      </c>
    </row>
    <row r="52" spans="1:21" s="25" customFormat="1" ht="20.100000000000001" customHeight="1" x14ac:dyDescent="0.15">
      <c r="A52" s="377">
        <v>270462</v>
      </c>
      <c r="B52" s="339" t="s">
        <v>288</v>
      </c>
      <c r="C52" s="85">
        <f>PV!C52</f>
        <v>0.43636364</v>
      </c>
      <c r="D52" s="44" t="str">
        <f t="shared" si="2"/>
        <v>h</v>
      </c>
      <c r="E52" s="43">
        <f>IF(D52="h",PV!E52,IF(D52="M",PV!G52,PV!I52))</f>
        <v>7.5</v>
      </c>
      <c r="F52" s="291">
        <v>4</v>
      </c>
      <c r="G52" s="291">
        <v>7</v>
      </c>
      <c r="H52" s="291"/>
      <c r="I52" s="291"/>
      <c r="J52" s="291"/>
      <c r="K52" s="373"/>
      <c r="L52" s="331"/>
      <c r="M52" s="332"/>
      <c r="N52" s="333"/>
      <c r="O52" s="333"/>
      <c r="P52" s="334"/>
      <c r="Q52" s="275">
        <f t="shared" si="5"/>
        <v>0</v>
      </c>
      <c r="R52" s="280">
        <f t="shared" si="6"/>
        <v>0</v>
      </c>
      <c r="U52" s="294">
        <f t="shared" si="4"/>
        <v>0</v>
      </c>
    </row>
    <row r="53" spans="1:21" s="25" customFormat="1" ht="20.100000000000001" customHeight="1" x14ac:dyDescent="0.15">
      <c r="A53" s="377">
        <v>305568</v>
      </c>
      <c r="B53" s="350" t="s">
        <v>127</v>
      </c>
      <c r="C53" s="85">
        <f>PV!C53</f>
        <v>1</v>
      </c>
      <c r="D53" s="44" t="str">
        <f t="shared" si="2"/>
        <v>h</v>
      </c>
      <c r="E53" s="43">
        <f>IF(D53="h",PV!E53,IF(D53="M",PV!G53,PV!I53))</f>
        <v>13.5</v>
      </c>
      <c r="F53" s="291">
        <v>3.4220000000000002</v>
      </c>
      <c r="G53" s="291">
        <v>0</v>
      </c>
      <c r="H53" s="291"/>
      <c r="I53" s="291"/>
      <c r="J53" s="291"/>
      <c r="K53" s="373"/>
      <c r="L53" s="331"/>
      <c r="M53" s="332"/>
      <c r="N53" s="333"/>
      <c r="O53" s="333"/>
      <c r="P53" s="334"/>
      <c r="Q53" s="275">
        <f t="shared" si="5"/>
        <v>0</v>
      </c>
      <c r="R53" s="280">
        <f t="shared" si="6"/>
        <v>0</v>
      </c>
      <c r="U53" s="294">
        <f t="shared" si="4"/>
        <v>0</v>
      </c>
    </row>
    <row r="54" spans="1:21" s="25" customFormat="1" ht="20.100000000000001" customHeight="1" x14ac:dyDescent="0.15">
      <c r="A54" s="377">
        <v>65865</v>
      </c>
      <c r="B54" s="339" t="s">
        <v>128</v>
      </c>
      <c r="C54" s="85">
        <f>PV!C54</f>
        <v>0.43636364</v>
      </c>
      <c r="D54" s="44" t="str">
        <f t="shared" si="2"/>
        <v>h</v>
      </c>
      <c r="E54" s="43">
        <f>IF(D54="h",PV!E54,IF(D54="M",PV!G54,PV!I54))</f>
        <v>7.95</v>
      </c>
      <c r="F54" s="291">
        <v>4</v>
      </c>
      <c r="G54" s="291">
        <v>0</v>
      </c>
      <c r="H54" s="291"/>
      <c r="I54" s="291"/>
      <c r="J54" s="291"/>
      <c r="K54" s="373"/>
      <c r="L54" s="331"/>
      <c r="M54" s="332"/>
      <c r="N54" s="333"/>
      <c r="O54" s="333"/>
      <c r="P54" s="334"/>
      <c r="Q54" s="275">
        <f t="shared" si="5"/>
        <v>0</v>
      </c>
      <c r="R54" s="280">
        <f t="shared" si="6"/>
        <v>0</v>
      </c>
      <c r="U54" s="294">
        <f t="shared" si="4"/>
        <v>0</v>
      </c>
    </row>
    <row r="55" spans="1:21" s="25" customFormat="1" ht="20.100000000000001" customHeight="1" x14ac:dyDescent="0.15">
      <c r="A55" s="377">
        <v>308648</v>
      </c>
      <c r="B55" s="350" t="s">
        <v>129</v>
      </c>
      <c r="C55" s="85">
        <f>PV!C55</f>
        <v>0.58499999999999996</v>
      </c>
      <c r="D55" s="44" t="str">
        <f t="shared" si="2"/>
        <v>h</v>
      </c>
      <c r="E55" s="43">
        <f>IF(D55="h",PV!E55,IF(D55="M",PV!G55,PV!I55))</f>
        <v>5.75</v>
      </c>
      <c r="F55" s="291">
        <v>2</v>
      </c>
      <c r="G55" s="291">
        <v>5</v>
      </c>
      <c r="H55" s="291"/>
      <c r="I55" s="291"/>
      <c r="J55" s="291"/>
      <c r="K55" s="373"/>
      <c r="L55" s="331"/>
      <c r="M55" s="332"/>
      <c r="N55" s="333"/>
      <c r="O55" s="333"/>
      <c r="P55" s="334"/>
      <c r="Q55" s="275">
        <f t="shared" si="5"/>
        <v>0</v>
      </c>
      <c r="R55" s="280">
        <f t="shared" si="6"/>
        <v>0</v>
      </c>
      <c r="U55" s="294">
        <f t="shared" si="4"/>
        <v>0</v>
      </c>
    </row>
    <row r="56" spans="1:21" s="25" customFormat="1" ht="20.100000000000001" customHeight="1" x14ac:dyDescent="0.15">
      <c r="A56" s="377">
        <v>270459</v>
      </c>
      <c r="B56" s="341" t="s">
        <v>130</v>
      </c>
      <c r="C56" s="85">
        <f>PV!C56</f>
        <v>0.43636364</v>
      </c>
      <c r="D56" s="44" t="str">
        <f t="shared" si="2"/>
        <v>h</v>
      </c>
      <c r="E56" s="43">
        <f>IF(D56="h",PV!E56,IF(D56="M",PV!G56,PV!I56))</f>
        <v>7.95</v>
      </c>
      <c r="F56" s="291">
        <v>1</v>
      </c>
      <c r="G56" s="291">
        <v>4</v>
      </c>
      <c r="H56" s="291"/>
      <c r="I56" s="291"/>
      <c r="J56" s="291"/>
      <c r="K56" s="373"/>
      <c r="L56" s="331"/>
      <c r="M56" s="332"/>
      <c r="N56" s="333"/>
      <c r="O56" s="333"/>
      <c r="P56" s="334"/>
      <c r="Q56" s="275">
        <f t="shared" si="5"/>
        <v>0</v>
      </c>
      <c r="R56" s="280">
        <f t="shared" si="6"/>
        <v>0</v>
      </c>
      <c r="U56" s="294">
        <f t="shared" si="4"/>
        <v>0</v>
      </c>
    </row>
    <row r="57" spans="1:21" s="25" customFormat="1" ht="20.100000000000001" customHeight="1" x14ac:dyDescent="0.15">
      <c r="A57" s="377">
        <v>65855</v>
      </c>
      <c r="B57" s="341" t="s">
        <v>289</v>
      </c>
      <c r="C57" s="85">
        <f>PV!C57</f>
        <v>0.63600000000000001</v>
      </c>
      <c r="D57" s="44" t="str">
        <f t="shared" si="2"/>
        <v>h</v>
      </c>
      <c r="E57" s="43">
        <f>IF(D57="h",PV!E57,IF(D57="M",PV!G57,PV!I57))</f>
        <v>6.75</v>
      </c>
      <c r="F57" s="291">
        <v>0</v>
      </c>
      <c r="G57" s="291">
        <v>0</v>
      </c>
      <c r="H57" s="291"/>
      <c r="I57" s="291"/>
      <c r="J57" s="291"/>
      <c r="K57" s="373"/>
      <c r="L57" s="331"/>
      <c r="M57" s="332"/>
      <c r="N57" s="333"/>
      <c r="O57" s="333"/>
      <c r="P57" s="334"/>
      <c r="Q57" s="275">
        <f t="shared" si="5"/>
        <v>0</v>
      </c>
      <c r="R57" s="280">
        <f t="shared" si="6"/>
        <v>0</v>
      </c>
      <c r="U57" s="294">
        <f t="shared" si="4"/>
        <v>0</v>
      </c>
    </row>
    <row r="58" spans="1:21" ht="0.6" customHeight="1" x14ac:dyDescent="0.2">
      <c r="A58" s="384"/>
      <c r="B58" s="347"/>
      <c r="C58" s="85">
        <f>PV!C58</f>
        <v>0</v>
      </c>
      <c r="D58" s="44" t="str">
        <f t="shared" si="2"/>
        <v>h</v>
      </c>
      <c r="E58" s="43">
        <f>IF(D58="h",PV!E58,IF(D58="M",PV!G58,PV!I58))</f>
        <v>0</v>
      </c>
      <c r="F58" s="291">
        <v>0</v>
      </c>
      <c r="G58" s="291">
        <v>0</v>
      </c>
      <c r="H58" s="291"/>
      <c r="I58" s="291"/>
      <c r="J58" s="291"/>
      <c r="K58" s="373"/>
      <c r="L58" s="331"/>
      <c r="M58" s="332"/>
      <c r="N58" s="333"/>
      <c r="O58" s="333"/>
      <c r="P58" s="334"/>
      <c r="Q58" s="271"/>
      <c r="R58" s="284">
        <f>SUM(R49:R57)</f>
        <v>0</v>
      </c>
      <c r="U58" s="294">
        <f t="shared" si="4"/>
        <v>0</v>
      </c>
    </row>
    <row r="59" spans="1:21" s="25" customFormat="1" ht="20.100000000000001" customHeight="1" x14ac:dyDescent="0.25">
      <c r="A59" s="377">
        <v>65928</v>
      </c>
      <c r="B59" s="351" t="s">
        <v>43</v>
      </c>
      <c r="C59" s="85">
        <f>PV!C59</f>
        <v>0.36</v>
      </c>
      <c r="D59" s="44" t="str">
        <f t="shared" si="2"/>
        <v>h</v>
      </c>
      <c r="E59" s="43">
        <f>IF(D59="h",PV!E59,IF(D59="M",PV!G59,PV!I59))</f>
        <v>3.5</v>
      </c>
      <c r="F59" s="291">
        <v>5</v>
      </c>
      <c r="G59" s="291">
        <v>7</v>
      </c>
      <c r="H59" s="291"/>
      <c r="I59" s="291"/>
      <c r="J59" s="291"/>
      <c r="K59" s="373"/>
      <c r="L59" s="331"/>
      <c r="M59" s="332"/>
      <c r="N59" s="333"/>
      <c r="O59" s="333"/>
      <c r="P59" s="334"/>
      <c r="Q59" s="275">
        <f t="shared" ref="Q59:Q73" si="7">(K59*E59)</f>
        <v>0</v>
      </c>
      <c r="R59" s="280">
        <f t="shared" ref="R59:R73" si="8">K59*C59</f>
        <v>0</v>
      </c>
      <c r="U59" s="294">
        <f t="shared" si="4"/>
        <v>0</v>
      </c>
    </row>
    <row r="60" spans="1:21" s="25" customFormat="1" ht="20.100000000000001" customHeight="1" x14ac:dyDescent="0.25">
      <c r="A60" s="377">
        <v>65894</v>
      </c>
      <c r="B60" s="351" t="s">
        <v>45</v>
      </c>
      <c r="C60" s="85">
        <f>PV!C60</f>
        <v>0.36</v>
      </c>
      <c r="D60" s="44" t="str">
        <f t="shared" si="2"/>
        <v>h</v>
      </c>
      <c r="E60" s="43">
        <f>IF(D60="h",PV!E60,IF(D60="M",PV!G60,PV!I60))</f>
        <v>2.25</v>
      </c>
      <c r="F60" s="291">
        <v>16</v>
      </c>
      <c r="G60" s="291">
        <v>16</v>
      </c>
      <c r="H60" s="291"/>
      <c r="I60" s="291"/>
      <c r="J60" s="291"/>
      <c r="K60" s="373"/>
      <c r="L60" s="331"/>
      <c r="M60" s="332"/>
      <c r="N60" s="333"/>
      <c r="O60" s="333"/>
      <c r="P60" s="334"/>
      <c r="Q60" s="275">
        <f t="shared" si="7"/>
        <v>0</v>
      </c>
      <c r="R60" s="280">
        <f t="shared" si="8"/>
        <v>0</v>
      </c>
      <c r="U60" s="294">
        <f t="shared" si="4"/>
        <v>0</v>
      </c>
    </row>
    <row r="61" spans="1:21" s="25" customFormat="1" ht="20.100000000000001" customHeight="1" x14ac:dyDescent="0.25">
      <c r="A61" s="377">
        <v>65927</v>
      </c>
      <c r="B61" s="351" t="s">
        <v>46</v>
      </c>
      <c r="C61" s="85">
        <f>PV!C61</f>
        <v>0.36</v>
      </c>
      <c r="D61" s="44" t="str">
        <f t="shared" si="2"/>
        <v>h</v>
      </c>
      <c r="E61" s="43">
        <f>IF(D61="h",PV!E61,IF(D61="M",PV!G61,PV!I61))</f>
        <v>2.95</v>
      </c>
      <c r="F61" s="291">
        <v>22</v>
      </c>
      <c r="G61" s="291">
        <v>42</v>
      </c>
      <c r="H61" s="291"/>
      <c r="I61" s="291"/>
      <c r="J61" s="291"/>
      <c r="K61" s="373"/>
      <c r="L61" s="331"/>
      <c r="M61" s="332"/>
      <c r="N61" s="333"/>
      <c r="O61" s="333"/>
      <c r="P61" s="334"/>
      <c r="Q61" s="275">
        <f t="shared" si="7"/>
        <v>0</v>
      </c>
      <c r="R61" s="280">
        <f t="shared" si="8"/>
        <v>0</v>
      </c>
      <c r="U61" s="294">
        <f t="shared" si="4"/>
        <v>0</v>
      </c>
    </row>
    <row r="62" spans="1:21" s="25" customFormat="1" ht="20.100000000000001" customHeight="1" x14ac:dyDescent="0.25">
      <c r="A62" s="377">
        <v>425032</v>
      </c>
      <c r="B62" s="351" t="s">
        <v>115</v>
      </c>
      <c r="C62" s="85">
        <f>PV!C62</f>
        <v>0.36</v>
      </c>
      <c r="D62" s="44" t="str">
        <f t="shared" si="2"/>
        <v>h</v>
      </c>
      <c r="E62" s="43">
        <f>IF(D62="h",PV!E62,IF(D62="M",PV!G62,PV!I62))</f>
        <v>2.75</v>
      </c>
      <c r="F62" s="291">
        <v>11</v>
      </c>
      <c r="G62" s="291">
        <v>3</v>
      </c>
      <c r="H62" s="291"/>
      <c r="I62" s="291"/>
      <c r="J62" s="291"/>
      <c r="K62" s="373"/>
      <c r="L62" s="331"/>
      <c r="M62" s="332"/>
      <c r="N62" s="333"/>
      <c r="O62" s="333"/>
      <c r="P62" s="334"/>
      <c r="Q62" s="275">
        <f t="shared" si="7"/>
        <v>0</v>
      </c>
      <c r="R62" s="280">
        <f t="shared" si="8"/>
        <v>0</v>
      </c>
      <c r="U62" s="294">
        <f t="shared" si="4"/>
        <v>0</v>
      </c>
    </row>
    <row r="63" spans="1:21" s="25" customFormat="1" ht="20.100000000000001" customHeight="1" x14ac:dyDescent="0.25">
      <c r="A63" s="377">
        <v>270448</v>
      </c>
      <c r="B63" s="351" t="s">
        <v>116</v>
      </c>
      <c r="C63" s="85">
        <f>PV!C63</f>
        <v>0.35</v>
      </c>
      <c r="D63" s="44" t="str">
        <f t="shared" si="2"/>
        <v>h</v>
      </c>
      <c r="E63" s="43">
        <f>IF(D63="h",PV!E63,IF(D63="M",PV!G63,PV!I63))</f>
        <v>2.95</v>
      </c>
      <c r="F63" s="291">
        <v>10</v>
      </c>
      <c r="G63" s="291">
        <v>4</v>
      </c>
      <c r="H63" s="291"/>
      <c r="I63" s="291"/>
      <c r="J63" s="291"/>
      <c r="K63" s="373"/>
      <c r="L63" s="331"/>
      <c r="M63" s="332"/>
      <c r="N63" s="333"/>
      <c r="O63" s="333"/>
      <c r="P63" s="334"/>
      <c r="Q63" s="275">
        <f t="shared" si="7"/>
        <v>0</v>
      </c>
      <c r="R63" s="280">
        <f t="shared" si="8"/>
        <v>0</v>
      </c>
      <c r="U63" s="294">
        <f t="shared" si="4"/>
        <v>0</v>
      </c>
    </row>
    <row r="64" spans="1:21" s="25" customFormat="1" ht="20.100000000000001" customHeight="1" x14ac:dyDescent="0.25">
      <c r="A64" s="377">
        <v>65871</v>
      </c>
      <c r="B64" s="351" t="s">
        <v>290</v>
      </c>
      <c r="C64" s="85">
        <f>PV!C64</f>
        <v>0.58499999999999996</v>
      </c>
      <c r="D64" s="44" t="str">
        <f t="shared" si="2"/>
        <v>h</v>
      </c>
      <c r="E64" s="43">
        <f>IF(D64="h",PV!E64,IF(D64="M",PV!G64,PV!I64))</f>
        <v>6.45</v>
      </c>
      <c r="F64" s="291">
        <v>18</v>
      </c>
      <c r="G64" s="291">
        <v>51</v>
      </c>
      <c r="H64" s="291"/>
      <c r="I64" s="291"/>
      <c r="J64" s="291"/>
      <c r="K64" s="373"/>
      <c r="L64" s="331"/>
      <c r="M64" s="332"/>
      <c r="N64" s="333"/>
      <c r="O64" s="333"/>
      <c r="P64" s="334"/>
      <c r="Q64" s="275">
        <f t="shared" si="7"/>
        <v>0</v>
      </c>
      <c r="R64" s="280">
        <f t="shared" si="8"/>
        <v>0</v>
      </c>
      <c r="U64" s="294">
        <f t="shared" si="4"/>
        <v>0</v>
      </c>
    </row>
    <row r="65" spans="1:21" s="25" customFormat="1" ht="20.100000000000001" customHeight="1" x14ac:dyDescent="0.25">
      <c r="A65" s="377">
        <v>286631</v>
      </c>
      <c r="B65" s="351" t="s">
        <v>118</v>
      </c>
      <c r="C65" s="85">
        <f>PV!C65</f>
        <v>0.4</v>
      </c>
      <c r="D65" s="44" t="str">
        <f t="shared" si="2"/>
        <v>h</v>
      </c>
      <c r="E65" s="43">
        <f>IF(D65="h",PV!E65,IF(D65="M",PV!G65,PV!I65))</f>
        <v>4.75</v>
      </c>
      <c r="F65" s="291">
        <v>9</v>
      </c>
      <c r="G65" s="291">
        <v>10</v>
      </c>
      <c r="H65" s="291"/>
      <c r="I65" s="291"/>
      <c r="J65" s="291"/>
      <c r="K65" s="373"/>
      <c r="L65" s="331"/>
      <c r="M65" s="332"/>
      <c r="N65" s="333"/>
      <c r="O65" s="333"/>
      <c r="P65" s="334"/>
      <c r="Q65" s="275">
        <f t="shared" si="7"/>
        <v>0</v>
      </c>
      <c r="R65" s="280">
        <f t="shared" si="8"/>
        <v>0</v>
      </c>
      <c r="U65" s="294">
        <f t="shared" si="4"/>
        <v>0</v>
      </c>
    </row>
    <row r="66" spans="1:21" s="25" customFormat="1" ht="20.100000000000001" customHeight="1" x14ac:dyDescent="0.25">
      <c r="A66" s="377">
        <v>306903</v>
      </c>
      <c r="B66" s="351" t="s">
        <v>52</v>
      </c>
      <c r="C66" s="85">
        <f>PV!C66</f>
        <v>0.6</v>
      </c>
      <c r="D66" s="44" t="str">
        <f t="shared" si="2"/>
        <v>h</v>
      </c>
      <c r="E66" s="43">
        <f>IF(D66="h",PV!E66,IF(D66="M",PV!G66,PV!I66))</f>
        <v>6.95</v>
      </c>
      <c r="F66" s="291">
        <v>0</v>
      </c>
      <c r="G66" s="291">
        <v>0</v>
      </c>
      <c r="H66" s="291"/>
      <c r="I66" s="291"/>
      <c r="J66" s="291"/>
      <c r="K66" s="373"/>
      <c r="L66" s="331"/>
      <c r="M66" s="332"/>
      <c r="N66" s="333"/>
      <c r="O66" s="333"/>
      <c r="P66" s="334"/>
      <c r="Q66" s="275">
        <f t="shared" si="7"/>
        <v>0</v>
      </c>
      <c r="R66" s="280">
        <f t="shared" si="8"/>
        <v>0</v>
      </c>
      <c r="U66" s="294">
        <f t="shared" si="4"/>
        <v>0</v>
      </c>
    </row>
    <row r="67" spans="1:21" s="25" customFormat="1" ht="20.100000000000001" customHeight="1" x14ac:dyDescent="0.25">
      <c r="A67" s="377">
        <v>330142</v>
      </c>
      <c r="B67" s="351" t="s">
        <v>51</v>
      </c>
      <c r="C67" s="85">
        <f>PV!C67</f>
        <v>0.3</v>
      </c>
      <c r="D67" s="44" t="str">
        <f t="shared" si="2"/>
        <v>h</v>
      </c>
      <c r="E67" s="43">
        <f>IF(D67="h",PV!E67,IF(D67="M",PV!G67,PV!I67))</f>
        <v>4.5</v>
      </c>
      <c r="F67" s="291">
        <v>0</v>
      </c>
      <c r="G67" s="291">
        <v>0</v>
      </c>
      <c r="H67" s="291"/>
      <c r="I67" s="291"/>
      <c r="J67" s="291"/>
      <c r="K67" s="373"/>
      <c r="L67" s="331"/>
      <c r="M67" s="332"/>
      <c r="N67" s="333"/>
      <c r="O67" s="333"/>
      <c r="P67" s="334"/>
      <c r="Q67" s="275">
        <f t="shared" si="7"/>
        <v>0</v>
      </c>
      <c r="R67" s="280">
        <f t="shared" si="8"/>
        <v>0</v>
      </c>
      <c r="U67" s="294">
        <f t="shared" si="4"/>
        <v>0</v>
      </c>
    </row>
    <row r="68" spans="1:21" s="25" customFormat="1" ht="20.100000000000001" customHeight="1" x14ac:dyDescent="0.25">
      <c r="A68" s="377">
        <v>65877</v>
      </c>
      <c r="B68" s="351" t="s">
        <v>48</v>
      </c>
      <c r="C68" s="85">
        <f>PV!C68</f>
        <v>0.7</v>
      </c>
      <c r="D68" s="44" t="str">
        <f t="shared" si="2"/>
        <v>h</v>
      </c>
      <c r="E68" s="43">
        <f>IF(D68="h",PV!E68,IF(D68="M",PV!G68,PV!I68))</f>
        <v>7.95</v>
      </c>
      <c r="F68" s="291">
        <v>7</v>
      </c>
      <c r="G68" s="291">
        <v>31</v>
      </c>
      <c r="H68" s="291"/>
      <c r="I68" s="291"/>
      <c r="J68" s="291"/>
      <c r="K68" s="373"/>
      <c r="L68" s="331"/>
      <c r="M68" s="332"/>
      <c r="N68" s="333"/>
      <c r="O68" s="333"/>
      <c r="P68" s="334"/>
      <c r="Q68" s="275">
        <f t="shared" si="7"/>
        <v>0</v>
      </c>
      <c r="R68" s="280">
        <f t="shared" si="8"/>
        <v>0</v>
      </c>
      <c r="U68" s="294">
        <f t="shared" si="4"/>
        <v>0</v>
      </c>
    </row>
    <row r="69" spans="1:21" s="25" customFormat="1" ht="20.100000000000001" customHeight="1" x14ac:dyDescent="0.25">
      <c r="A69" s="377">
        <v>206123</v>
      </c>
      <c r="B69" s="351" t="s">
        <v>47</v>
      </c>
      <c r="C69" s="85">
        <f>PV!C69</f>
        <v>0.35</v>
      </c>
      <c r="D69" s="44" t="str">
        <f t="shared" ref="D69:D134" si="9">D68</f>
        <v>h</v>
      </c>
      <c r="E69" s="43">
        <f>IF(D69="h",PV!E69,IF(D69="M",PV!G69,PV!I69))</f>
        <v>4.95</v>
      </c>
      <c r="F69" s="291">
        <v>9</v>
      </c>
      <c r="G69" s="291">
        <v>10</v>
      </c>
      <c r="H69" s="291"/>
      <c r="I69" s="291"/>
      <c r="J69" s="291"/>
      <c r="K69" s="373"/>
      <c r="L69" s="331"/>
      <c r="M69" s="332"/>
      <c r="N69" s="333"/>
      <c r="O69" s="333"/>
      <c r="P69" s="334"/>
      <c r="Q69" s="275">
        <f t="shared" si="7"/>
        <v>0</v>
      </c>
      <c r="R69" s="280">
        <f t="shared" si="8"/>
        <v>0</v>
      </c>
      <c r="U69" s="294">
        <f t="shared" si="4"/>
        <v>0</v>
      </c>
    </row>
    <row r="70" spans="1:21" s="25" customFormat="1" ht="20.100000000000001" customHeight="1" x14ac:dyDescent="0.25">
      <c r="A70" s="377">
        <v>830252</v>
      </c>
      <c r="B70" s="351" t="s">
        <v>119</v>
      </c>
      <c r="C70" s="85">
        <f>PV!C70</f>
        <v>0.36</v>
      </c>
      <c r="D70" s="44" t="str">
        <f t="shared" si="9"/>
        <v>h</v>
      </c>
      <c r="E70" s="43">
        <f>IF(D70="h",PV!E70,IF(D70="M",PV!G70,PV!I70))</f>
        <v>2.75</v>
      </c>
      <c r="F70" s="291">
        <v>26</v>
      </c>
      <c r="G70" s="291">
        <v>15</v>
      </c>
      <c r="H70" s="291"/>
      <c r="I70" s="291"/>
      <c r="J70" s="291"/>
      <c r="K70" s="373"/>
      <c r="L70" s="331"/>
      <c r="M70" s="332"/>
      <c r="N70" s="333"/>
      <c r="O70" s="333"/>
      <c r="P70" s="334"/>
      <c r="Q70" s="275">
        <f t="shared" si="7"/>
        <v>0</v>
      </c>
      <c r="R70" s="280">
        <f t="shared" si="8"/>
        <v>0</v>
      </c>
      <c r="U70" s="294">
        <f t="shared" ref="U70:U75" si="10">K70-L70</f>
        <v>0</v>
      </c>
    </row>
    <row r="71" spans="1:21" s="25" customFormat="1" ht="20.100000000000001" customHeight="1" x14ac:dyDescent="0.25">
      <c r="A71" s="377">
        <v>425026</v>
      </c>
      <c r="B71" s="351" t="s">
        <v>50</v>
      </c>
      <c r="C71" s="85">
        <f>PV!C71</f>
        <v>0.72</v>
      </c>
      <c r="D71" s="44" t="str">
        <f t="shared" si="9"/>
        <v>h</v>
      </c>
      <c r="E71" s="43">
        <f>IF(D71="h",PV!E71,IF(D71="M",PV!G71,PV!I71))</f>
        <v>3.95</v>
      </c>
      <c r="F71" s="291">
        <v>4</v>
      </c>
      <c r="G71" s="291">
        <v>7</v>
      </c>
      <c r="H71" s="291"/>
      <c r="I71" s="291"/>
      <c r="J71" s="291"/>
      <c r="K71" s="373"/>
      <c r="L71" s="331"/>
      <c r="M71" s="332"/>
      <c r="N71" s="333"/>
      <c r="O71" s="333"/>
      <c r="P71" s="334"/>
      <c r="Q71" s="275">
        <f t="shared" si="7"/>
        <v>0</v>
      </c>
      <c r="R71" s="280">
        <f t="shared" si="8"/>
        <v>0</v>
      </c>
      <c r="U71" s="294">
        <f t="shared" si="10"/>
        <v>0</v>
      </c>
    </row>
    <row r="72" spans="1:21" s="25" customFormat="1" ht="20.100000000000001" customHeight="1" x14ac:dyDescent="0.25">
      <c r="A72" s="377">
        <v>286632</v>
      </c>
      <c r="B72" s="351" t="s">
        <v>49</v>
      </c>
      <c r="C72" s="85">
        <f>PV!C72</f>
        <v>0.36</v>
      </c>
      <c r="D72" s="44" t="str">
        <f t="shared" si="9"/>
        <v>h</v>
      </c>
      <c r="E72" s="43">
        <f>IF(D72="h",PV!E72,IF(D72="M",PV!G72,PV!I72))</f>
        <v>1</v>
      </c>
      <c r="F72" s="291">
        <v>19</v>
      </c>
      <c r="G72" s="291">
        <v>3</v>
      </c>
      <c r="H72" s="291"/>
      <c r="I72" s="291"/>
      <c r="J72" s="291"/>
      <c r="K72" s="373"/>
      <c r="L72" s="331"/>
      <c r="M72" s="332"/>
      <c r="N72" s="333"/>
      <c r="O72" s="333"/>
      <c r="P72" s="334"/>
      <c r="Q72" s="275">
        <f t="shared" si="7"/>
        <v>0</v>
      </c>
      <c r="R72" s="280">
        <f t="shared" si="8"/>
        <v>0</v>
      </c>
      <c r="U72" s="294">
        <f t="shared" si="10"/>
        <v>0</v>
      </c>
    </row>
    <row r="73" spans="1:21" s="25" customFormat="1" ht="20.100000000000001" customHeight="1" x14ac:dyDescent="0.25">
      <c r="A73" s="379">
        <v>1008121</v>
      </c>
      <c r="B73" s="351" t="s">
        <v>120</v>
      </c>
      <c r="C73" s="85">
        <f>PV!C73</f>
        <v>0.5</v>
      </c>
      <c r="D73" s="44" t="str">
        <f t="shared" si="9"/>
        <v>h</v>
      </c>
      <c r="E73" s="43">
        <f>IF(D73="h",PV!E73,IF(D73="M",PV!G73,PV!I73))</f>
        <v>3.95</v>
      </c>
      <c r="F73" s="291">
        <v>0</v>
      </c>
      <c r="G73" s="291">
        <v>0</v>
      </c>
      <c r="H73" s="291"/>
      <c r="I73" s="291"/>
      <c r="J73" s="291"/>
      <c r="K73" s="373"/>
      <c r="L73" s="331"/>
      <c r="M73" s="332"/>
      <c r="N73" s="333"/>
      <c r="O73" s="333"/>
      <c r="P73" s="334"/>
      <c r="Q73" s="275">
        <f t="shared" si="7"/>
        <v>0</v>
      </c>
      <c r="R73" s="280">
        <f t="shared" si="8"/>
        <v>0</v>
      </c>
      <c r="U73" s="294">
        <f t="shared" si="10"/>
        <v>0</v>
      </c>
    </row>
    <row r="74" spans="1:21" ht="0.6" customHeight="1" x14ac:dyDescent="0.2">
      <c r="A74" s="382"/>
      <c r="B74" s="347"/>
      <c r="C74" s="85">
        <f>PV!C74</f>
        <v>0</v>
      </c>
      <c r="D74" s="44" t="str">
        <f t="shared" si="9"/>
        <v>h</v>
      </c>
      <c r="E74" s="43">
        <f>IF(D74="h",PV!E74,IF(D74="M",PV!G74,PV!I74))</f>
        <v>0</v>
      </c>
      <c r="F74" s="291">
        <v>0</v>
      </c>
      <c r="G74" s="291">
        <v>0</v>
      </c>
      <c r="H74" s="291"/>
      <c r="I74" s="291"/>
      <c r="J74" s="291"/>
      <c r="K74" s="373"/>
      <c r="L74" s="331"/>
      <c r="M74" s="332"/>
      <c r="N74" s="333"/>
      <c r="O74" s="333"/>
      <c r="P74" s="334"/>
      <c r="Q74" s="271"/>
      <c r="R74" s="281">
        <f>SUM(R59:R73)</f>
        <v>0</v>
      </c>
      <c r="U74" s="294">
        <f t="shared" si="10"/>
        <v>0</v>
      </c>
    </row>
    <row r="75" spans="1:21" s="25" customFormat="1" ht="20.100000000000001" customHeight="1" x14ac:dyDescent="0.25">
      <c r="A75" s="377">
        <v>1263740</v>
      </c>
      <c r="B75" s="351" t="s">
        <v>267</v>
      </c>
      <c r="C75" s="85">
        <f>PV!C75</f>
        <v>0.8</v>
      </c>
      <c r="D75" s="44" t="str">
        <f t="shared" si="9"/>
        <v>h</v>
      </c>
      <c r="E75" s="43">
        <f>IF(D75="h",PV!E75,IF(D75="M",PV!G75,PV!I75))</f>
        <v>4.75</v>
      </c>
      <c r="F75" s="291">
        <v>14</v>
      </c>
      <c r="G75" s="291">
        <v>19</v>
      </c>
      <c r="H75" s="291"/>
      <c r="I75" s="291"/>
      <c r="J75" s="291"/>
      <c r="K75" s="373"/>
      <c r="L75" s="331"/>
      <c r="M75" s="332"/>
      <c r="N75" s="333"/>
      <c r="O75" s="333"/>
      <c r="P75" s="334"/>
      <c r="Q75" s="275">
        <f>(K75*E75)</f>
        <v>0</v>
      </c>
      <c r="R75" s="280">
        <f>K75*C75</f>
        <v>0</v>
      </c>
      <c r="U75" s="294">
        <f t="shared" si="10"/>
        <v>0</v>
      </c>
    </row>
    <row r="76" spans="1:21" s="25" customFormat="1" ht="0.6" customHeight="1" x14ac:dyDescent="0.25">
      <c r="A76" s="376"/>
      <c r="B76" s="351"/>
      <c r="C76" s="85">
        <f>PV!C76</f>
        <v>0</v>
      </c>
      <c r="D76" s="44" t="str">
        <f t="shared" si="9"/>
        <v>h</v>
      </c>
      <c r="E76" s="43">
        <f>IF(D76="h",PV!E76,IF(D76="M",PV!G76,PV!I76))</f>
        <v>0</v>
      </c>
      <c r="F76" s="291">
        <v>0</v>
      </c>
      <c r="G76" s="291">
        <v>0</v>
      </c>
      <c r="H76" s="291"/>
      <c r="I76" s="291"/>
      <c r="J76" s="291"/>
      <c r="K76" s="373"/>
      <c r="L76" s="331"/>
      <c r="M76" s="332"/>
      <c r="N76" s="333"/>
      <c r="O76" s="333"/>
      <c r="P76" s="334"/>
      <c r="Q76" s="279"/>
      <c r="R76" s="281">
        <f>SUM(R75:R75)</f>
        <v>0</v>
      </c>
      <c r="U76" s="294"/>
    </row>
    <row r="77" spans="1:21" s="25" customFormat="1" ht="20.100000000000001" customHeight="1" x14ac:dyDescent="0.25">
      <c r="A77" s="376">
        <v>364629</v>
      </c>
      <c r="B77" s="352" t="s">
        <v>134</v>
      </c>
      <c r="C77" s="85">
        <f>PV!C77</f>
        <v>0.36</v>
      </c>
      <c r="D77" s="44" t="str">
        <f t="shared" si="9"/>
        <v>h</v>
      </c>
      <c r="E77" s="43">
        <f>IF(D77="h",PV!E77,IF(D77="M",PV!G77,PV!I77))</f>
        <v>2.5</v>
      </c>
      <c r="F77" s="291">
        <v>10</v>
      </c>
      <c r="G77" s="291">
        <v>20</v>
      </c>
      <c r="H77" s="291"/>
      <c r="I77" s="291"/>
      <c r="J77" s="291"/>
      <c r="K77" s="373"/>
      <c r="L77" s="331"/>
      <c r="M77" s="332"/>
      <c r="N77" s="333"/>
      <c r="O77" s="333"/>
      <c r="P77" s="334"/>
      <c r="Q77" s="279">
        <f>(K77*E77)</f>
        <v>0</v>
      </c>
      <c r="R77" s="280">
        <f>K77*C77</f>
        <v>0</v>
      </c>
      <c r="U77" s="294">
        <f>K77-L77</f>
        <v>0</v>
      </c>
    </row>
    <row r="78" spans="1:21" s="25" customFormat="1" ht="20.100000000000001" customHeight="1" x14ac:dyDescent="0.25">
      <c r="A78" s="377">
        <v>370600</v>
      </c>
      <c r="B78" s="352" t="s">
        <v>135</v>
      </c>
      <c r="C78" s="85">
        <f>PV!C78</f>
        <v>0.36</v>
      </c>
      <c r="D78" s="44" t="str">
        <f t="shared" si="9"/>
        <v>h</v>
      </c>
      <c r="E78" s="43">
        <f>IF(D78="h",PV!E78,IF(D78="M",PV!G78,PV!I78))</f>
        <v>2.5</v>
      </c>
      <c r="F78" s="291">
        <v>15</v>
      </c>
      <c r="G78" s="291">
        <v>21</v>
      </c>
      <c r="H78" s="291"/>
      <c r="I78" s="291"/>
      <c r="J78" s="291"/>
      <c r="K78" s="373"/>
      <c r="L78" s="331"/>
      <c r="M78" s="332"/>
      <c r="N78" s="333"/>
      <c r="O78" s="333"/>
      <c r="P78" s="334"/>
      <c r="Q78" s="275">
        <f>(K78*E78)</f>
        <v>0</v>
      </c>
      <c r="R78" s="280">
        <f>K78*C78</f>
        <v>0</v>
      </c>
      <c r="U78" s="294">
        <f>K78-L78</f>
        <v>0</v>
      </c>
    </row>
    <row r="79" spans="1:21" s="25" customFormat="1" ht="0.6" customHeight="1" x14ac:dyDescent="0.25">
      <c r="A79" s="377"/>
      <c r="B79" s="352"/>
      <c r="C79" s="85"/>
      <c r="D79" s="44"/>
      <c r="E79" s="43"/>
      <c r="F79" s="291">
        <v>0</v>
      </c>
      <c r="G79" s="291">
        <v>0</v>
      </c>
      <c r="H79" s="291"/>
      <c r="I79" s="291"/>
      <c r="J79" s="291"/>
      <c r="K79" s="373"/>
      <c r="L79" s="331"/>
      <c r="M79" s="332"/>
      <c r="N79" s="333"/>
      <c r="O79" s="333"/>
      <c r="P79" s="334"/>
      <c r="Q79" s="275"/>
      <c r="R79" s="281">
        <f>SUM(R77:R78)</f>
        <v>0</v>
      </c>
      <c r="U79" s="294"/>
    </row>
    <row r="80" spans="1:21" s="25" customFormat="1" ht="20.100000000000001" customHeight="1" x14ac:dyDescent="0.25">
      <c r="A80" s="377">
        <v>1263741</v>
      </c>
      <c r="B80" s="352" t="s">
        <v>268</v>
      </c>
      <c r="C80" s="85">
        <f>PV!C80</f>
        <v>0.8</v>
      </c>
      <c r="D80" s="44" t="str">
        <f>D78</f>
        <v>h</v>
      </c>
      <c r="E80" s="43">
        <f>IF(D80="h",PV!E80,IF(D80="M",PV!G80,PV!I80))</f>
        <v>5.75</v>
      </c>
      <c r="F80" s="291">
        <v>22</v>
      </c>
      <c r="G80" s="291">
        <v>40</v>
      </c>
      <c r="H80" s="291"/>
      <c r="I80" s="291"/>
      <c r="J80" s="291"/>
      <c r="K80" s="373"/>
      <c r="L80" s="331"/>
      <c r="M80" s="332"/>
      <c r="N80" s="333"/>
      <c r="O80" s="333"/>
      <c r="P80" s="334"/>
      <c r="Q80" s="275">
        <f t="shared" ref="Q80:Q86" si="11">(K80*E80)</f>
        <v>0</v>
      </c>
      <c r="R80" s="280">
        <f>K80*C80</f>
        <v>0</v>
      </c>
      <c r="U80" s="294">
        <f t="shared" ref="U80:U97" si="12">K80-L80</f>
        <v>0</v>
      </c>
    </row>
    <row r="81" spans="1:21" s="25" customFormat="1" ht="20.100000000000001" customHeight="1" x14ac:dyDescent="0.25">
      <c r="A81" s="377">
        <v>1263742</v>
      </c>
      <c r="B81" s="352" t="s">
        <v>291</v>
      </c>
      <c r="C81" s="85">
        <f>PV!C81</f>
        <v>0.47</v>
      </c>
      <c r="D81" s="44" t="str">
        <f t="shared" si="9"/>
        <v>h</v>
      </c>
      <c r="E81" s="43">
        <f>IF(D81="h",PV!E81,IF(D81="M",PV!G81,PV!I81))</f>
        <v>3.6</v>
      </c>
      <c r="F81" s="291">
        <v>20</v>
      </c>
      <c r="G81" s="291">
        <v>7</v>
      </c>
      <c r="H81" s="291"/>
      <c r="I81" s="291"/>
      <c r="J81" s="291"/>
      <c r="K81" s="373"/>
      <c r="L81" s="331"/>
      <c r="M81" s="332"/>
      <c r="N81" s="333"/>
      <c r="O81" s="333"/>
      <c r="P81" s="334"/>
      <c r="Q81" s="275">
        <f t="shared" si="11"/>
        <v>0</v>
      </c>
      <c r="R81" s="280">
        <f>K81*C81</f>
        <v>0</v>
      </c>
      <c r="U81" s="294">
        <f t="shared" si="12"/>
        <v>0</v>
      </c>
    </row>
    <row r="82" spans="1:21" s="25" customFormat="1" ht="20.100000000000001" customHeight="1" x14ac:dyDescent="0.25">
      <c r="A82" s="377">
        <v>1263743</v>
      </c>
      <c r="B82" s="352" t="s">
        <v>292</v>
      </c>
      <c r="C82" s="85">
        <f>PV!C82</f>
        <v>0.8</v>
      </c>
      <c r="D82" s="44" t="str">
        <f t="shared" si="9"/>
        <v>h</v>
      </c>
      <c r="E82" s="43">
        <f>IF(D82="h",PV!E82,IF(D82="M",PV!G82,PV!I82))</f>
        <v>5.75</v>
      </c>
      <c r="F82" s="291">
        <v>9</v>
      </c>
      <c r="G82" s="291">
        <v>18</v>
      </c>
      <c r="H82" s="291"/>
      <c r="I82" s="291"/>
      <c r="J82" s="291"/>
      <c r="K82" s="373"/>
      <c r="L82" s="331"/>
      <c r="M82" s="332"/>
      <c r="N82" s="333"/>
      <c r="O82" s="333"/>
      <c r="P82" s="334"/>
      <c r="Q82" s="275">
        <f t="shared" si="11"/>
        <v>0</v>
      </c>
      <c r="R82" s="280">
        <f>K82*C82</f>
        <v>0</v>
      </c>
      <c r="U82" s="294">
        <f t="shared" si="12"/>
        <v>0</v>
      </c>
    </row>
    <row r="83" spans="1:21" s="25" customFormat="1" ht="22.5" x14ac:dyDescent="0.25">
      <c r="A83" s="381">
        <v>65862</v>
      </c>
      <c r="B83" s="346" t="s">
        <v>178</v>
      </c>
      <c r="C83" s="85">
        <f>PV!C83</f>
        <v>0.48</v>
      </c>
      <c r="D83" s="44" t="str">
        <f t="shared" si="9"/>
        <v>h</v>
      </c>
      <c r="E83" s="43">
        <f>IF(D83="h",PV!E83,IF(D83="M",PV!G83,PV!I83))</f>
        <v>3.95</v>
      </c>
      <c r="F83" s="291">
        <v>4</v>
      </c>
      <c r="G83" s="291">
        <v>12</v>
      </c>
      <c r="H83" s="291"/>
      <c r="I83" s="291"/>
      <c r="J83" s="291"/>
      <c r="K83" s="373"/>
      <c r="L83" s="331"/>
      <c r="M83" s="332"/>
      <c r="N83" s="333"/>
      <c r="O83" s="333"/>
      <c r="P83" s="334"/>
      <c r="Q83" s="275">
        <f t="shared" si="11"/>
        <v>0</v>
      </c>
      <c r="R83" s="280">
        <f>K83*C83</f>
        <v>0</v>
      </c>
      <c r="U83" s="294">
        <f t="shared" si="12"/>
        <v>0</v>
      </c>
    </row>
    <row r="84" spans="1:21" s="25" customFormat="1" ht="0.6" customHeight="1" x14ac:dyDescent="0.25">
      <c r="A84" s="335"/>
      <c r="B84" s="353"/>
      <c r="C84" s="85">
        <f>PV!C84</f>
        <v>0</v>
      </c>
      <c r="D84" s="44" t="str">
        <f t="shared" si="9"/>
        <v>h</v>
      </c>
      <c r="E84" s="43">
        <f>IF(D84="h",PV!E84,IF(D84="M",PV!G84,PV!I84))</f>
        <v>0</v>
      </c>
      <c r="F84" s="291">
        <v>0</v>
      </c>
      <c r="G84" s="291">
        <v>0</v>
      </c>
      <c r="H84" s="291"/>
      <c r="I84" s="291"/>
      <c r="J84" s="291"/>
      <c r="K84" s="373"/>
      <c r="L84" s="331"/>
      <c r="M84" s="332"/>
      <c r="N84" s="333"/>
      <c r="O84" s="333"/>
      <c r="P84" s="334"/>
      <c r="Q84" s="275">
        <f t="shared" si="11"/>
        <v>0</v>
      </c>
      <c r="R84" s="281">
        <f>SUM(R80:R83)</f>
        <v>0</v>
      </c>
      <c r="U84" s="294">
        <f t="shared" si="12"/>
        <v>0</v>
      </c>
    </row>
    <row r="85" spans="1:21" s="25" customFormat="1" ht="22.5" x14ac:dyDescent="0.25">
      <c r="A85" s="381">
        <v>1263732</v>
      </c>
      <c r="B85" s="346" t="s">
        <v>263</v>
      </c>
      <c r="C85" s="85">
        <f>PV!C85</f>
        <v>0.47</v>
      </c>
      <c r="D85" s="44" t="str">
        <f t="shared" si="9"/>
        <v>h</v>
      </c>
      <c r="E85" s="43">
        <f>IF(D85="h",PV!E85,IF(D85="M",PV!G85,PV!I85))</f>
        <v>2.75</v>
      </c>
      <c r="F85" s="291">
        <v>9</v>
      </c>
      <c r="G85" s="291">
        <v>31</v>
      </c>
      <c r="H85" s="291"/>
      <c r="I85" s="291"/>
      <c r="J85" s="291"/>
      <c r="K85" s="373"/>
      <c r="L85" s="331"/>
      <c r="M85" s="332"/>
      <c r="N85" s="333"/>
      <c r="O85" s="333"/>
      <c r="P85" s="334"/>
      <c r="Q85" s="275">
        <f t="shared" si="11"/>
        <v>0</v>
      </c>
      <c r="R85" s="280">
        <f>K85*C85</f>
        <v>0</v>
      </c>
      <c r="U85" s="294">
        <f t="shared" si="12"/>
        <v>0</v>
      </c>
    </row>
    <row r="86" spans="1:21" s="25" customFormat="1" ht="22.5" x14ac:dyDescent="0.25">
      <c r="A86" s="381">
        <v>1263733</v>
      </c>
      <c r="B86" s="346" t="s">
        <v>264</v>
      </c>
      <c r="C86" s="85">
        <f>PV!C86</f>
        <v>0.8</v>
      </c>
      <c r="D86" s="44" t="str">
        <f t="shared" si="9"/>
        <v>h</v>
      </c>
      <c r="E86" s="43">
        <f>IF(D86="h",PV!E86,IF(D86="M",PV!G86,PV!I86))</f>
        <v>5.5</v>
      </c>
      <c r="F86" s="291">
        <v>6</v>
      </c>
      <c r="G86" s="291">
        <v>0</v>
      </c>
      <c r="H86" s="291"/>
      <c r="I86" s="291"/>
      <c r="J86" s="291"/>
      <c r="K86" s="373"/>
      <c r="L86" s="331"/>
      <c r="M86" s="332"/>
      <c r="N86" s="333"/>
      <c r="O86" s="333"/>
      <c r="P86" s="334"/>
      <c r="Q86" s="275">
        <f t="shared" si="11"/>
        <v>0</v>
      </c>
      <c r="R86" s="280">
        <f>K86*C86</f>
        <v>0</v>
      </c>
      <c r="U86" s="294">
        <f t="shared" si="12"/>
        <v>0</v>
      </c>
    </row>
    <row r="87" spans="1:21" s="25" customFormat="1" ht="0.6" customHeight="1" x14ac:dyDescent="0.2">
      <c r="A87" s="382"/>
      <c r="B87" s="343"/>
      <c r="C87" s="85">
        <f>PV!C87</f>
        <v>0</v>
      </c>
      <c r="D87" s="44" t="str">
        <f t="shared" si="9"/>
        <v>h</v>
      </c>
      <c r="E87" s="43">
        <f>IF(D87="h",PV!E87,IF(D87="M",PV!G87,PV!I87))</f>
        <v>0</v>
      </c>
      <c r="F87" s="291">
        <v>0</v>
      </c>
      <c r="G87" s="291">
        <v>0</v>
      </c>
      <c r="H87" s="291"/>
      <c r="I87" s="291"/>
      <c r="J87" s="291"/>
      <c r="K87" s="373"/>
      <c r="L87" s="331"/>
      <c r="M87" s="332"/>
      <c r="N87" s="333"/>
      <c r="O87" s="333"/>
      <c r="P87" s="334"/>
      <c r="Q87" s="275"/>
      <c r="R87" s="281">
        <f>SUM(R85:R86)</f>
        <v>0</v>
      </c>
      <c r="U87" s="294">
        <f t="shared" si="12"/>
        <v>0</v>
      </c>
    </row>
    <row r="88" spans="1:21" ht="22.5" x14ac:dyDescent="0.2">
      <c r="A88" s="379">
        <v>1095099</v>
      </c>
      <c r="B88" s="354" t="s">
        <v>161</v>
      </c>
      <c r="C88" s="85">
        <f>PV!C88</f>
        <v>0.15</v>
      </c>
      <c r="D88" s="44" t="str">
        <f t="shared" si="9"/>
        <v>h</v>
      </c>
      <c r="E88" s="43">
        <f>IF(D88="h",PV!E88,IF(D88="M",PV!G88,PV!I88))</f>
        <v>2.5</v>
      </c>
      <c r="F88" s="291">
        <v>0</v>
      </c>
      <c r="G88" s="291">
        <v>0</v>
      </c>
      <c r="H88" s="291"/>
      <c r="I88" s="291"/>
      <c r="J88" s="291"/>
      <c r="K88" s="373"/>
      <c r="L88" s="331"/>
      <c r="M88" s="332"/>
      <c r="N88" s="333"/>
      <c r="O88" s="333"/>
      <c r="P88" s="334"/>
      <c r="Q88" s="275">
        <f>(K88*E88)</f>
        <v>0</v>
      </c>
      <c r="R88" s="280">
        <f>K88*C88</f>
        <v>0</v>
      </c>
      <c r="U88" s="294">
        <f t="shared" si="12"/>
        <v>0</v>
      </c>
    </row>
    <row r="89" spans="1:21" s="28" customFormat="1" ht="22.5" x14ac:dyDescent="0.2">
      <c r="A89" s="380">
        <v>1008120</v>
      </c>
      <c r="B89" s="355" t="s">
        <v>162</v>
      </c>
      <c r="C89" s="85">
        <f>PV!C89</f>
        <v>0.12</v>
      </c>
      <c r="D89" s="44" t="str">
        <f t="shared" si="9"/>
        <v>h</v>
      </c>
      <c r="E89" s="43">
        <f>IF(D89="h",PV!E89,IF(D89="M",PV!G89,PV!I89))</f>
        <v>2.5</v>
      </c>
      <c r="F89" s="291">
        <v>0</v>
      </c>
      <c r="G89" s="291">
        <v>0</v>
      </c>
      <c r="H89" s="291"/>
      <c r="I89" s="291"/>
      <c r="J89" s="291"/>
      <c r="K89" s="373"/>
      <c r="L89" s="331"/>
      <c r="M89" s="332"/>
      <c r="N89" s="333"/>
      <c r="O89" s="333"/>
      <c r="P89" s="334"/>
      <c r="Q89" s="275">
        <f>(K89*E89)</f>
        <v>0</v>
      </c>
      <c r="R89" s="280">
        <f>K89*C89</f>
        <v>0</v>
      </c>
      <c r="U89" s="294">
        <f t="shared" si="12"/>
        <v>0</v>
      </c>
    </row>
    <row r="90" spans="1:21" s="25" customFormat="1" ht="22.5" x14ac:dyDescent="0.2">
      <c r="A90" s="379">
        <v>1263735</v>
      </c>
      <c r="B90" s="343" t="s">
        <v>272</v>
      </c>
      <c r="C90" s="85">
        <f>PV!C90</f>
        <v>0.7</v>
      </c>
      <c r="D90" s="44" t="str">
        <f t="shared" si="9"/>
        <v>h</v>
      </c>
      <c r="E90" s="43">
        <f>IF(D90="h",PV!E90,IF(D90="M",PV!G90,PV!I90))</f>
        <v>6.2</v>
      </c>
      <c r="F90" s="291">
        <v>6</v>
      </c>
      <c r="G90" s="291">
        <v>27.177</v>
      </c>
      <c r="H90" s="291"/>
      <c r="I90" s="291"/>
      <c r="J90" s="291"/>
      <c r="K90" s="373"/>
      <c r="L90" s="331"/>
      <c r="M90" s="332"/>
      <c r="N90" s="333"/>
      <c r="O90" s="333"/>
      <c r="P90" s="334"/>
      <c r="Q90" s="275">
        <f>(K90*E90)</f>
        <v>0</v>
      </c>
      <c r="R90" s="280">
        <f>K90*C90</f>
        <v>0</v>
      </c>
      <c r="U90" s="294">
        <f t="shared" si="12"/>
        <v>0</v>
      </c>
    </row>
    <row r="91" spans="1:21" ht="22.5" x14ac:dyDescent="0.2">
      <c r="A91" s="379">
        <v>1008119</v>
      </c>
      <c r="B91" s="354" t="s">
        <v>158</v>
      </c>
      <c r="C91" s="85">
        <f>PV!C91</f>
        <v>0.3</v>
      </c>
      <c r="D91" s="44" t="str">
        <f t="shared" si="9"/>
        <v>h</v>
      </c>
      <c r="E91" s="43">
        <f>IF(D91="h",PV!E91,IF(D91="M",PV!G91,PV!I91))</f>
        <v>2.7</v>
      </c>
      <c r="F91" s="291">
        <v>0</v>
      </c>
      <c r="G91" s="291">
        <v>0</v>
      </c>
      <c r="H91" s="291"/>
      <c r="I91" s="291"/>
      <c r="J91" s="291"/>
      <c r="K91" s="373"/>
      <c r="L91" s="331"/>
      <c r="M91" s="332"/>
      <c r="N91" s="333"/>
      <c r="O91" s="333"/>
      <c r="P91" s="334"/>
      <c r="Q91" s="275">
        <f>(K91*E91)</f>
        <v>0</v>
      </c>
      <c r="R91" s="280">
        <f>K91*C91</f>
        <v>0</v>
      </c>
      <c r="U91" s="294">
        <f t="shared" si="12"/>
        <v>0</v>
      </c>
    </row>
    <row r="92" spans="1:21" s="28" customFormat="1" ht="0.6" customHeight="1" x14ac:dyDescent="0.2">
      <c r="A92" s="380"/>
      <c r="B92" s="356"/>
      <c r="C92" s="85">
        <f>PV!C92</f>
        <v>0</v>
      </c>
      <c r="D92" s="44" t="str">
        <f t="shared" si="9"/>
        <v>h</v>
      </c>
      <c r="E92" s="43">
        <f>IF(D92="h",PV!E92,IF(D92="M",PV!G92,PV!I92))</f>
        <v>0</v>
      </c>
      <c r="F92" s="291">
        <v>0</v>
      </c>
      <c r="G92" s="291">
        <v>0</v>
      </c>
      <c r="H92" s="291"/>
      <c r="I92" s="291"/>
      <c r="J92" s="291"/>
      <c r="K92" s="373"/>
      <c r="L92" s="331"/>
      <c r="M92" s="332"/>
      <c r="N92" s="333"/>
      <c r="O92" s="333"/>
      <c r="P92" s="334"/>
      <c r="Q92" s="271"/>
      <c r="R92" s="281">
        <f>SUM(R88:R91)</f>
        <v>0</v>
      </c>
      <c r="U92" s="294">
        <f t="shared" si="12"/>
        <v>0</v>
      </c>
    </row>
    <row r="93" spans="1:21" s="25" customFormat="1" ht="22.5" x14ac:dyDescent="0.25">
      <c r="A93" s="335">
        <v>401788</v>
      </c>
      <c r="B93" s="352" t="s">
        <v>138</v>
      </c>
      <c r="C93" s="85">
        <f>PV!C93</f>
        <v>0.2</v>
      </c>
      <c r="D93" s="44" t="str">
        <f t="shared" si="9"/>
        <v>h</v>
      </c>
      <c r="E93" s="43">
        <f>IF(D93="h",PV!E93,IF(D93="M",PV!G93,PV!I93))</f>
        <v>0.5</v>
      </c>
      <c r="F93" s="291">
        <v>30</v>
      </c>
      <c r="G93" s="291">
        <v>193</v>
      </c>
      <c r="H93" s="291"/>
      <c r="I93" s="291"/>
      <c r="J93" s="291"/>
      <c r="K93" s="373"/>
      <c r="L93" s="331"/>
      <c r="M93" s="332"/>
      <c r="N93" s="333"/>
      <c r="O93" s="333"/>
      <c r="P93" s="334"/>
      <c r="Q93" s="279">
        <f>(K93*E93)</f>
        <v>0</v>
      </c>
      <c r="R93" s="280">
        <f>K93*C93</f>
        <v>0</v>
      </c>
      <c r="U93" s="294">
        <f t="shared" si="12"/>
        <v>0</v>
      </c>
    </row>
    <row r="94" spans="1:21" s="25" customFormat="1" ht="22.5" x14ac:dyDescent="0.25">
      <c r="A94" s="335">
        <v>391720</v>
      </c>
      <c r="B94" s="352" t="s">
        <v>139</v>
      </c>
      <c r="C94" s="85">
        <f>PV!C94</f>
        <v>0.84</v>
      </c>
      <c r="D94" s="44" t="str">
        <f t="shared" si="9"/>
        <v>h</v>
      </c>
      <c r="E94" s="43">
        <f>IF(D94="h",PV!E94,IF(D94="M",PV!G94,PV!I94))</f>
        <v>3.5</v>
      </c>
      <c r="F94" s="291">
        <v>0</v>
      </c>
      <c r="G94" s="291">
        <v>0</v>
      </c>
      <c r="H94" s="291"/>
      <c r="I94" s="291"/>
      <c r="J94" s="291"/>
      <c r="K94" s="373"/>
      <c r="L94" s="331"/>
      <c r="M94" s="332"/>
      <c r="N94" s="333"/>
      <c r="O94" s="333"/>
      <c r="P94" s="334"/>
      <c r="Q94" s="275">
        <f>(K94*E94)</f>
        <v>0</v>
      </c>
      <c r="R94" s="280">
        <f>K94*C94</f>
        <v>0</v>
      </c>
      <c r="U94" s="294">
        <f t="shared" si="12"/>
        <v>0</v>
      </c>
    </row>
    <row r="95" spans="1:21" s="25" customFormat="1" ht="22.5" x14ac:dyDescent="0.25">
      <c r="A95" s="335">
        <v>438079</v>
      </c>
      <c r="B95" s="352" t="s">
        <v>293</v>
      </c>
      <c r="C95" s="85">
        <f>PV!C95</f>
        <v>0.3</v>
      </c>
      <c r="D95" s="44" t="str">
        <f t="shared" si="9"/>
        <v>h</v>
      </c>
      <c r="E95" s="43">
        <f>IF(D95="h",PV!E95,IF(D95="M",PV!G95,PV!I95))</f>
        <v>2.65</v>
      </c>
      <c r="F95" s="291">
        <v>0</v>
      </c>
      <c r="G95" s="291">
        <v>0</v>
      </c>
      <c r="H95" s="291"/>
      <c r="I95" s="291"/>
      <c r="J95" s="291"/>
      <c r="K95" s="373"/>
      <c r="L95" s="331"/>
      <c r="M95" s="332"/>
      <c r="N95" s="333"/>
      <c r="O95" s="333"/>
      <c r="P95" s="334"/>
      <c r="Q95" s="275">
        <f>(K95*E95)</f>
        <v>0</v>
      </c>
      <c r="R95" s="280">
        <f>K95*C95</f>
        <v>0</v>
      </c>
      <c r="U95" s="294">
        <f t="shared" si="12"/>
        <v>0</v>
      </c>
    </row>
    <row r="96" spans="1:21" s="25" customFormat="1" ht="22.5" x14ac:dyDescent="0.25">
      <c r="A96" s="335">
        <v>391741</v>
      </c>
      <c r="B96" s="352" t="s">
        <v>41</v>
      </c>
      <c r="C96" s="85">
        <f>PV!C96</f>
        <v>1.2</v>
      </c>
      <c r="D96" s="44" t="str">
        <f t="shared" si="9"/>
        <v>h</v>
      </c>
      <c r="E96" s="43">
        <f>IF(D96="h",PV!E96,IF(D96="M",PV!G96,PV!I96))</f>
        <v>2.5</v>
      </c>
      <c r="F96" s="291">
        <v>65</v>
      </c>
      <c r="G96" s="291">
        <v>63</v>
      </c>
      <c r="H96" s="291"/>
      <c r="I96" s="291"/>
      <c r="J96" s="291"/>
      <c r="K96" s="373"/>
      <c r="L96" s="331"/>
      <c r="M96" s="332"/>
      <c r="N96" s="333"/>
      <c r="O96" s="333"/>
      <c r="P96" s="334"/>
      <c r="Q96" s="275">
        <f>(K96*E96)</f>
        <v>0</v>
      </c>
      <c r="R96" s="280">
        <f>K96*C96</f>
        <v>0</v>
      </c>
      <c r="U96" s="294">
        <f t="shared" si="12"/>
        <v>0</v>
      </c>
    </row>
    <row r="97" spans="1:21" s="25" customFormat="1" ht="22.5" x14ac:dyDescent="0.25">
      <c r="A97" s="335">
        <v>391742</v>
      </c>
      <c r="B97" s="352" t="s">
        <v>141</v>
      </c>
      <c r="C97" s="85">
        <f>PV!C97</f>
        <v>0.6</v>
      </c>
      <c r="D97" s="44" t="str">
        <f t="shared" si="9"/>
        <v>h</v>
      </c>
      <c r="E97" s="43">
        <f>IF(D97="h",PV!E97,IF(D97="M",PV!G97,PV!I97))</f>
        <v>1.25</v>
      </c>
      <c r="F97" s="291">
        <v>0</v>
      </c>
      <c r="G97" s="291">
        <v>0</v>
      </c>
      <c r="H97" s="291"/>
      <c r="I97" s="291"/>
      <c r="J97" s="291"/>
      <c r="K97" s="373"/>
      <c r="L97" s="331"/>
      <c r="M97" s="332"/>
      <c r="N97" s="333"/>
      <c r="O97" s="333"/>
      <c r="P97" s="334"/>
      <c r="Q97" s="275">
        <f>(K97*E97)</f>
        <v>0</v>
      </c>
      <c r="R97" s="280">
        <f>K97*C97</f>
        <v>0</v>
      </c>
      <c r="U97" s="294">
        <f t="shared" si="12"/>
        <v>0</v>
      </c>
    </row>
    <row r="98" spans="1:21" s="25" customFormat="1" ht="0.6" customHeight="1" x14ac:dyDescent="0.25">
      <c r="A98" s="335"/>
      <c r="B98" s="352"/>
      <c r="C98" s="85"/>
      <c r="D98" s="44"/>
      <c r="E98" s="43"/>
      <c r="F98" s="291">
        <v>0</v>
      </c>
      <c r="G98" s="291">
        <v>0</v>
      </c>
      <c r="H98" s="291"/>
      <c r="I98" s="291"/>
      <c r="J98" s="291"/>
      <c r="K98" s="373"/>
      <c r="L98" s="331"/>
      <c r="M98" s="332"/>
      <c r="N98" s="333"/>
      <c r="O98" s="333"/>
      <c r="P98" s="334"/>
      <c r="Q98" s="275"/>
      <c r="R98" s="282">
        <f>SUM(R93:R97)</f>
        <v>0</v>
      </c>
      <c r="U98" s="294"/>
    </row>
    <row r="99" spans="1:21" s="25" customFormat="1" ht="22.5" x14ac:dyDescent="0.25">
      <c r="A99" s="335">
        <v>875635</v>
      </c>
      <c r="B99" s="352" t="s">
        <v>142</v>
      </c>
      <c r="C99" s="85">
        <f>PV!C99</f>
        <v>0.05</v>
      </c>
      <c r="D99" s="44" t="str">
        <f>D97</f>
        <v>h</v>
      </c>
      <c r="E99" s="43">
        <f>IF(D99="h",PV!E99,IF(D99="M",PV!G99,PV!I99))</f>
        <v>1.5</v>
      </c>
      <c r="F99" s="291">
        <v>0</v>
      </c>
      <c r="G99" s="291">
        <v>13</v>
      </c>
      <c r="H99" s="291"/>
      <c r="I99" s="291"/>
      <c r="J99" s="291"/>
      <c r="K99" s="373"/>
      <c r="L99" s="331"/>
      <c r="M99" s="332"/>
      <c r="N99" s="333"/>
      <c r="O99" s="333"/>
      <c r="P99" s="334"/>
      <c r="Q99" s="275">
        <f t="shared" ref="Q99:Q107" si="13">(K99*E99)</f>
        <v>0</v>
      </c>
      <c r="R99" s="280">
        <f t="shared" ref="R99:R104" si="14">K99*C99</f>
        <v>0</v>
      </c>
      <c r="U99" s="294">
        <f t="shared" ref="U99:U130" si="15">K99-L99</f>
        <v>0</v>
      </c>
    </row>
    <row r="100" spans="1:21" s="48" customFormat="1" ht="22.5" x14ac:dyDescent="0.25">
      <c r="A100" s="335">
        <v>391727</v>
      </c>
      <c r="B100" s="352" t="s">
        <v>143</v>
      </c>
      <c r="C100" s="85">
        <f>PV!C100</f>
        <v>0.1</v>
      </c>
      <c r="D100" s="44" t="str">
        <f t="shared" si="9"/>
        <v>h</v>
      </c>
      <c r="E100" s="43">
        <f>IF(D100="h",PV!E100,IF(D100="M",PV!G100,PV!I100))</f>
        <v>5.75</v>
      </c>
      <c r="F100" s="291">
        <v>33</v>
      </c>
      <c r="G100" s="291">
        <v>67</v>
      </c>
      <c r="H100" s="291"/>
      <c r="I100" s="291"/>
      <c r="J100" s="291"/>
      <c r="K100" s="373"/>
      <c r="L100" s="331"/>
      <c r="M100" s="332"/>
      <c r="N100" s="333"/>
      <c r="O100" s="333"/>
      <c r="P100" s="334"/>
      <c r="Q100" s="275">
        <f t="shared" si="13"/>
        <v>0</v>
      </c>
      <c r="R100" s="280">
        <f t="shared" si="14"/>
        <v>0</v>
      </c>
      <c r="U100" s="294">
        <f t="shared" si="15"/>
        <v>0</v>
      </c>
    </row>
    <row r="101" spans="1:21" s="48" customFormat="1" ht="22.5" x14ac:dyDescent="0.25">
      <c r="A101" s="379">
        <v>401769</v>
      </c>
      <c r="B101" s="352" t="s">
        <v>299</v>
      </c>
      <c r="C101" s="85">
        <f>PV!C101</f>
        <v>0.1</v>
      </c>
      <c r="D101" s="44" t="str">
        <f t="shared" si="9"/>
        <v>h</v>
      </c>
      <c r="E101" s="43">
        <f>IF(D101="h",PV!E101,IF(D101="M",PV!G101,PV!I101))</f>
        <v>4.75</v>
      </c>
      <c r="F101" s="291">
        <v>30</v>
      </c>
      <c r="G101" s="291">
        <v>51.356999999999999</v>
      </c>
      <c r="H101" s="291"/>
      <c r="I101" s="291"/>
      <c r="J101" s="291"/>
      <c r="K101" s="373"/>
      <c r="L101" s="331"/>
      <c r="M101" s="332"/>
      <c r="N101" s="333"/>
      <c r="O101" s="333"/>
      <c r="P101" s="334"/>
      <c r="Q101" s="275">
        <f t="shared" si="13"/>
        <v>0</v>
      </c>
      <c r="R101" s="280">
        <f t="shared" si="14"/>
        <v>0</v>
      </c>
      <c r="U101" s="294">
        <f t="shared" si="15"/>
        <v>0</v>
      </c>
    </row>
    <row r="102" spans="1:21" s="25" customFormat="1" ht="22.5" x14ac:dyDescent="0.25">
      <c r="A102" s="379">
        <v>915518</v>
      </c>
      <c r="B102" s="352" t="s">
        <v>145</v>
      </c>
      <c r="C102" s="85">
        <f>PV!C102</f>
        <v>0.1</v>
      </c>
      <c r="D102" s="44" t="str">
        <f t="shared" si="9"/>
        <v>h</v>
      </c>
      <c r="E102" s="43">
        <f>IF(D102="h",PV!E102,IF(D102="M",PV!G102,PV!I102))</f>
        <v>5.75</v>
      </c>
      <c r="F102" s="291">
        <v>5</v>
      </c>
      <c r="G102" s="291">
        <v>0</v>
      </c>
      <c r="H102" s="291"/>
      <c r="I102" s="291"/>
      <c r="J102" s="291"/>
      <c r="K102" s="373"/>
      <c r="L102" s="331"/>
      <c r="M102" s="332"/>
      <c r="N102" s="333"/>
      <c r="O102" s="333"/>
      <c r="P102" s="334"/>
      <c r="Q102" s="275">
        <f t="shared" si="13"/>
        <v>0</v>
      </c>
      <c r="R102" s="280">
        <f t="shared" si="14"/>
        <v>0</v>
      </c>
      <c r="U102" s="294">
        <f t="shared" si="15"/>
        <v>0</v>
      </c>
    </row>
    <row r="103" spans="1:21" ht="22.5" x14ac:dyDescent="0.2">
      <c r="A103" s="380">
        <v>915523</v>
      </c>
      <c r="B103" s="354" t="s">
        <v>146</v>
      </c>
      <c r="C103" s="85">
        <f>PV!C103</f>
        <v>0.1</v>
      </c>
      <c r="D103" s="44" t="str">
        <f t="shared" si="9"/>
        <v>h</v>
      </c>
      <c r="E103" s="43">
        <f>IF(D103="h",PV!E103,IF(D103="M",PV!G103,PV!I103))</f>
        <v>5.25</v>
      </c>
      <c r="F103" s="291">
        <v>0</v>
      </c>
      <c r="G103" s="291">
        <v>8</v>
      </c>
      <c r="H103" s="291"/>
      <c r="I103" s="291"/>
      <c r="J103" s="291"/>
      <c r="K103" s="373"/>
      <c r="L103" s="331"/>
      <c r="M103" s="332"/>
      <c r="N103" s="333"/>
      <c r="O103" s="333"/>
      <c r="P103" s="334"/>
      <c r="Q103" s="275">
        <f t="shared" si="13"/>
        <v>0</v>
      </c>
      <c r="R103" s="280">
        <f t="shared" si="14"/>
        <v>0</v>
      </c>
      <c r="U103" s="294">
        <f t="shared" si="15"/>
        <v>0</v>
      </c>
    </row>
    <row r="104" spans="1:21" s="25" customFormat="1" ht="22.5" x14ac:dyDescent="0.25">
      <c r="A104" s="385">
        <v>391721</v>
      </c>
      <c r="B104" s="357" t="s">
        <v>147</v>
      </c>
      <c r="C104" s="85">
        <f>PV!C104</f>
        <v>0.1</v>
      </c>
      <c r="D104" s="44" t="str">
        <f t="shared" si="9"/>
        <v>h</v>
      </c>
      <c r="E104" s="43">
        <f>IF(D104="h",PV!E104,IF(D104="M",PV!G104,PV!I104))</f>
        <v>3.75</v>
      </c>
      <c r="F104" s="291">
        <v>55</v>
      </c>
      <c r="G104" s="291">
        <v>31</v>
      </c>
      <c r="H104" s="291"/>
      <c r="I104" s="291"/>
      <c r="J104" s="291"/>
      <c r="K104" s="373"/>
      <c r="L104" s="331"/>
      <c r="M104" s="332"/>
      <c r="N104" s="333"/>
      <c r="O104" s="333"/>
      <c r="P104" s="334"/>
      <c r="Q104" s="275">
        <f t="shared" si="13"/>
        <v>0</v>
      </c>
      <c r="R104" s="280">
        <f t="shared" si="14"/>
        <v>0</v>
      </c>
      <c r="U104" s="294">
        <f t="shared" si="15"/>
        <v>0</v>
      </c>
    </row>
    <row r="105" spans="1:21" s="25" customFormat="1" ht="0.6" customHeight="1" x14ac:dyDescent="0.25">
      <c r="A105" s="382"/>
      <c r="B105" s="353"/>
      <c r="C105" s="85">
        <f>PV!C105</f>
        <v>0</v>
      </c>
      <c r="D105" s="44" t="str">
        <f t="shared" si="9"/>
        <v>h</v>
      </c>
      <c r="E105" s="43">
        <f>IF(D105="h",PV!E105,IF(D105="M",PV!G105,PV!I105))</f>
        <v>0</v>
      </c>
      <c r="F105" s="291">
        <v>0</v>
      </c>
      <c r="G105" s="291">
        <v>0</v>
      </c>
      <c r="H105" s="291"/>
      <c r="I105" s="291"/>
      <c r="J105" s="291"/>
      <c r="K105" s="373"/>
      <c r="L105" s="331"/>
      <c r="M105" s="332"/>
      <c r="N105" s="333"/>
      <c r="O105" s="333"/>
      <c r="P105" s="334"/>
      <c r="Q105" s="275">
        <f t="shared" si="13"/>
        <v>0</v>
      </c>
      <c r="R105" s="318">
        <f>SUM(R99:R104)</f>
        <v>0</v>
      </c>
      <c r="U105" s="294">
        <f t="shared" si="15"/>
        <v>0</v>
      </c>
    </row>
    <row r="106" spans="1:21" ht="18.75" customHeight="1" x14ac:dyDescent="0.2">
      <c r="A106" s="381">
        <v>391717</v>
      </c>
      <c r="B106" s="338" t="s">
        <v>294</v>
      </c>
      <c r="C106" s="85">
        <f>PV!C106</f>
        <v>1.2</v>
      </c>
      <c r="D106" s="44" t="str">
        <f t="shared" si="9"/>
        <v>h</v>
      </c>
      <c r="E106" s="43">
        <f>IF(D106="h",PV!E106,IF(D106="M",PV!G106,PV!I106))</f>
        <v>4.25</v>
      </c>
      <c r="F106" s="291">
        <v>35</v>
      </c>
      <c r="G106" s="291">
        <v>17</v>
      </c>
      <c r="H106" s="291"/>
      <c r="I106" s="291"/>
      <c r="J106" s="291"/>
      <c r="K106" s="373"/>
      <c r="L106" s="331"/>
      <c r="M106" s="332"/>
      <c r="N106" s="333"/>
      <c r="O106" s="333"/>
      <c r="P106" s="334"/>
      <c r="Q106" s="275">
        <f t="shared" si="13"/>
        <v>0</v>
      </c>
      <c r="R106" s="280">
        <f>K106*C106</f>
        <v>0</v>
      </c>
      <c r="U106" s="294">
        <f t="shared" si="15"/>
        <v>0</v>
      </c>
    </row>
    <row r="107" spans="1:21" ht="22.5" x14ac:dyDescent="0.2">
      <c r="A107" s="381">
        <v>438604</v>
      </c>
      <c r="B107" s="338" t="s">
        <v>295</v>
      </c>
      <c r="C107" s="85">
        <f>PV!C107</f>
        <v>0.6</v>
      </c>
      <c r="D107" s="44" t="str">
        <f t="shared" si="9"/>
        <v>h</v>
      </c>
      <c r="E107" s="43">
        <f>IF(D107="h",PV!E107,IF(D107="M",PV!G107,PV!I107))</f>
        <v>3.25</v>
      </c>
      <c r="F107" s="291">
        <v>0</v>
      </c>
      <c r="G107" s="291">
        <v>0</v>
      </c>
      <c r="H107" s="291"/>
      <c r="I107" s="291"/>
      <c r="J107" s="291"/>
      <c r="K107" s="373"/>
      <c r="L107" s="331"/>
      <c r="M107" s="332"/>
      <c r="N107" s="333"/>
      <c r="O107" s="333"/>
      <c r="P107" s="334"/>
      <c r="Q107" s="275">
        <f t="shared" si="13"/>
        <v>0</v>
      </c>
      <c r="R107" s="280">
        <f>K107*C107</f>
        <v>0</v>
      </c>
      <c r="U107" s="294">
        <f t="shared" si="15"/>
        <v>0</v>
      </c>
    </row>
    <row r="108" spans="1:21" s="25" customFormat="1" ht="0.6" customHeight="1" x14ac:dyDescent="0.15">
      <c r="A108" s="335"/>
      <c r="B108" s="343"/>
      <c r="C108" s="85">
        <f>PV!C108</f>
        <v>0</v>
      </c>
      <c r="D108" s="44" t="str">
        <f t="shared" si="9"/>
        <v>h</v>
      </c>
      <c r="E108" s="43">
        <f>IF(D108="h",PV!E108,IF(D108="M",PV!G108,PV!I108))</f>
        <v>0</v>
      </c>
      <c r="F108" s="291">
        <v>0</v>
      </c>
      <c r="G108" s="291">
        <v>0</v>
      </c>
      <c r="H108" s="291"/>
      <c r="I108" s="291"/>
      <c r="J108" s="291"/>
      <c r="K108" s="373"/>
      <c r="L108" s="331"/>
      <c r="M108" s="332"/>
      <c r="N108" s="333"/>
      <c r="O108" s="333"/>
      <c r="P108" s="334"/>
      <c r="Q108" s="275"/>
      <c r="R108" s="281">
        <f>SUM(R106:R107)</f>
        <v>0</v>
      </c>
      <c r="U108" s="294">
        <f t="shared" si="15"/>
        <v>0</v>
      </c>
    </row>
    <row r="109" spans="1:21" s="25" customFormat="1" ht="22.5" x14ac:dyDescent="0.25">
      <c r="A109" s="381">
        <v>1008122</v>
      </c>
      <c r="B109" s="346" t="s">
        <v>165</v>
      </c>
      <c r="C109" s="85">
        <f>PV!C109</f>
        <v>0.3</v>
      </c>
      <c r="D109" s="44" t="str">
        <f t="shared" si="9"/>
        <v>h</v>
      </c>
      <c r="E109" s="43">
        <f>IF(D109="h",PV!E109,IF(D109="M",PV!G109,PV!I109))</f>
        <v>4</v>
      </c>
      <c r="F109" s="291">
        <v>0</v>
      </c>
      <c r="G109" s="291">
        <v>0</v>
      </c>
      <c r="H109" s="291"/>
      <c r="I109" s="291"/>
      <c r="J109" s="291"/>
      <c r="K109" s="373"/>
      <c r="L109" s="331"/>
      <c r="M109" s="332"/>
      <c r="N109" s="333"/>
      <c r="O109" s="333"/>
      <c r="P109" s="334"/>
      <c r="Q109" s="275">
        <f>(K109*E109)</f>
        <v>0</v>
      </c>
      <c r="R109" s="280">
        <f>K109*C109</f>
        <v>0</v>
      </c>
      <c r="U109" s="294">
        <f t="shared" si="15"/>
        <v>0</v>
      </c>
    </row>
    <row r="110" spans="1:21" s="25" customFormat="1" ht="22.5" x14ac:dyDescent="0.25">
      <c r="A110" s="381">
        <v>1008124</v>
      </c>
      <c r="B110" s="346" t="s">
        <v>166</v>
      </c>
      <c r="C110" s="85">
        <f>PV!C110</f>
        <v>0.3</v>
      </c>
      <c r="D110" s="44" t="str">
        <f t="shared" si="9"/>
        <v>h</v>
      </c>
      <c r="E110" s="43">
        <f>IF(D110="h",PV!E110,IF(D110="M",PV!G110,PV!I110))</f>
        <v>5</v>
      </c>
      <c r="F110" s="291">
        <v>27</v>
      </c>
      <c r="G110" s="291">
        <v>7</v>
      </c>
      <c r="H110" s="291"/>
      <c r="I110" s="291"/>
      <c r="J110" s="291"/>
      <c r="K110" s="373"/>
      <c r="L110" s="331"/>
      <c r="M110" s="332"/>
      <c r="N110" s="333"/>
      <c r="O110" s="333"/>
      <c r="P110" s="334"/>
      <c r="Q110" s="275">
        <f>(K110*E110)</f>
        <v>0</v>
      </c>
      <c r="R110" s="280">
        <f>K110*C110</f>
        <v>0</v>
      </c>
      <c r="U110" s="294">
        <f t="shared" si="15"/>
        <v>0</v>
      </c>
    </row>
    <row r="111" spans="1:21" s="25" customFormat="1" ht="22.5" x14ac:dyDescent="0.25">
      <c r="A111" s="381">
        <v>1007683</v>
      </c>
      <c r="B111" s="346" t="s">
        <v>167</v>
      </c>
      <c r="C111" s="85">
        <f>PV!C111</f>
        <v>0.3</v>
      </c>
      <c r="D111" s="44" t="str">
        <f t="shared" si="9"/>
        <v>h</v>
      </c>
      <c r="E111" s="43">
        <f>IF(D111="h",PV!E111,IF(D111="M",PV!G111,PV!I111))</f>
        <v>1.5</v>
      </c>
      <c r="F111" s="291">
        <v>84</v>
      </c>
      <c r="G111" s="291">
        <v>223</v>
      </c>
      <c r="H111" s="291"/>
      <c r="I111" s="291"/>
      <c r="J111" s="291"/>
      <c r="K111" s="373"/>
      <c r="L111" s="331"/>
      <c r="M111" s="332"/>
      <c r="N111" s="333"/>
      <c r="O111" s="333"/>
      <c r="P111" s="334"/>
      <c r="Q111" s="275">
        <f>(K111*E111)</f>
        <v>0</v>
      </c>
      <c r="R111" s="280">
        <f>K111*C111</f>
        <v>0</v>
      </c>
      <c r="U111" s="294">
        <f t="shared" si="15"/>
        <v>0</v>
      </c>
    </row>
    <row r="112" spans="1:21" s="25" customFormat="1" ht="22.5" x14ac:dyDescent="0.25">
      <c r="A112" s="381">
        <v>1008123</v>
      </c>
      <c r="B112" s="346" t="s">
        <v>168</v>
      </c>
      <c r="C112" s="85">
        <f>PV!C112</f>
        <v>0.3</v>
      </c>
      <c r="D112" s="44" t="str">
        <f t="shared" si="9"/>
        <v>h</v>
      </c>
      <c r="E112" s="43">
        <f>IF(D112="h",PV!E112,IF(D112="M",PV!G112,PV!I112))</f>
        <v>3</v>
      </c>
      <c r="F112" s="291">
        <v>9</v>
      </c>
      <c r="G112" s="291">
        <v>12</v>
      </c>
      <c r="H112" s="291"/>
      <c r="I112" s="291"/>
      <c r="J112" s="291"/>
      <c r="K112" s="373"/>
      <c r="L112" s="331"/>
      <c r="M112" s="332"/>
      <c r="N112" s="333"/>
      <c r="O112" s="333"/>
      <c r="P112" s="334"/>
      <c r="Q112" s="275">
        <f>(K112*E112)</f>
        <v>0</v>
      </c>
      <c r="R112" s="280">
        <f>K112*C112</f>
        <v>0</v>
      </c>
      <c r="U112" s="294">
        <f t="shared" si="15"/>
        <v>0</v>
      </c>
    </row>
    <row r="113" spans="1:21" s="25" customFormat="1" ht="22.5" x14ac:dyDescent="0.2">
      <c r="A113" s="382"/>
      <c r="B113" s="343"/>
      <c r="C113" s="85">
        <f>PV!C113</f>
        <v>0</v>
      </c>
      <c r="D113" s="44" t="str">
        <f t="shared" si="9"/>
        <v>h</v>
      </c>
      <c r="E113" s="43">
        <f>IF(D113="h",PV!E113,IF(D113="M",PV!G113,PV!I113))</f>
        <v>0</v>
      </c>
      <c r="F113" s="291">
        <v>0</v>
      </c>
      <c r="G113" s="291">
        <v>0</v>
      </c>
      <c r="H113" s="291"/>
      <c r="I113" s="291"/>
      <c r="J113" s="291"/>
      <c r="K113" s="373"/>
      <c r="L113" s="331"/>
      <c r="M113" s="332"/>
      <c r="N113" s="333"/>
      <c r="O113" s="333"/>
      <c r="P113" s="334"/>
      <c r="Q113" s="275"/>
      <c r="R113" s="281">
        <f>SUM(R109:R112)</f>
        <v>0</v>
      </c>
      <c r="U113" s="294">
        <f t="shared" si="15"/>
        <v>0</v>
      </c>
    </row>
    <row r="114" spans="1:21" ht="22.5" x14ac:dyDescent="0.25">
      <c r="A114" s="381">
        <v>949835</v>
      </c>
      <c r="B114" s="346" t="s">
        <v>179</v>
      </c>
      <c r="C114" s="85">
        <f>PV!C114</f>
        <v>0.24</v>
      </c>
      <c r="D114" s="44" t="str">
        <f t="shared" si="9"/>
        <v>h</v>
      </c>
      <c r="E114" s="43">
        <f>IF(D114="h",PV!E114,IF(D114="M",PV!G114,PV!I114))</f>
        <v>5.95</v>
      </c>
      <c r="F114" s="291">
        <v>0</v>
      </c>
      <c r="G114" s="291">
        <v>0</v>
      </c>
      <c r="H114" s="291"/>
      <c r="I114" s="291"/>
      <c r="J114" s="291"/>
      <c r="K114" s="373"/>
      <c r="L114" s="331"/>
      <c r="M114" s="332"/>
      <c r="N114" s="333"/>
      <c r="O114" s="333"/>
      <c r="P114" s="334"/>
      <c r="Q114" s="275">
        <f>(K114*E114)</f>
        <v>0</v>
      </c>
      <c r="R114" s="280">
        <f>K114*C114</f>
        <v>0</v>
      </c>
      <c r="U114" s="294">
        <f t="shared" si="15"/>
        <v>0</v>
      </c>
    </row>
    <row r="115" spans="1:21" ht="22.5" x14ac:dyDescent="0.2">
      <c r="A115" s="380"/>
      <c r="B115" s="358"/>
      <c r="C115" s="85">
        <f>PV!C115</f>
        <v>0</v>
      </c>
      <c r="D115" s="44" t="str">
        <f t="shared" si="9"/>
        <v>h</v>
      </c>
      <c r="E115" s="43">
        <f>IF(D115="h",PV!E115,IF(D115="M",PV!G115,PV!I115))</f>
        <v>0</v>
      </c>
      <c r="F115" s="291">
        <v>0</v>
      </c>
      <c r="G115" s="291">
        <v>0</v>
      </c>
      <c r="H115" s="291"/>
      <c r="I115" s="291"/>
      <c r="J115" s="291"/>
      <c r="K115" s="373"/>
      <c r="L115" s="331"/>
      <c r="M115" s="332"/>
      <c r="N115" s="333"/>
      <c r="O115" s="333"/>
      <c r="P115" s="334"/>
      <c r="Q115" s="278"/>
      <c r="R115" s="281">
        <f>SUM(R114:R114)</f>
        <v>0</v>
      </c>
      <c r="U115" s="294">
        <f t="shared" si="15"/>
        <v>0</v>
      </c>
    </row>
    <row r="116" spans="1:21" ht="22.5" x14ac:dyDescent="0.25">
      <c r="A116" s="381">
        <v>65916</v>
      </c>
      <c r="B116" s="359" t="s">
        <v>171</v>
      </c>
      <c r="C116" s="85">
        <f>PV!C116</f>
        <v>0.42</v>
      </c>
      <c r="D116" s="44" t="str">
        <f t="shared" si="9"/>
        <v>h</v>
      </c>
      <c r="E116" s="43">
        <f>IF(D116="h",PV!E116,IF(D116="M",PV!G116,PV!I116))</f>
        <v>11.95</v>
      </c>
      <c r="F116" s="291">
        <v>2</v>
      </c>
      <c r="G116" s="291">
        <v>0</v>
      </c>
      <c r="H116" s="291"/>
      <c r="I116" s="291"/>
      <c r="J116" s="291"/>
      <c r="K116" s="373"/>
      <c r="L116" s="331"/>
      <c r="M116" s="332"/>
      <c r="N116" s="333"/>
      <c r="O116" s="333"/>
      <c r="P116" s="334"/>
      <c r="Q116" s="275">
        <f>(K116*E116)</f>
        <v>0</v>
      </c>
      <c r="R116" s="280">
        <f>K116*C116</f>
        <v>0</v>
      </c>
      <c r="U116" s="294">
        <f t="shared" si="15"/>
        <v>0</v>
      </c>
    </row>
    <row r="117" spans="1:21" s="25" customFormat="1" ht="22.5" x14ac:dyDescent="0.25">
      <c r="A117" s="381">
        <v>65898</v>
      </c>
      <c r="B117" s="359" t="s">
        <v>172</v>
      </c>
      <c r="C117" s="85">
        <f>PV!C117</f>
        <v>0.42</v>
      </c>
      <c r="D117" s="44" t="str">
        <f t="shared" si="9"/>
        <v>h</v>
      </c>
      <c r="E117" s="43">
        <f>IF(D117="h",PV!E117,IF(D117="M",PV!G117,PV!I117))</f>
        <v>12.95</v>
      </c>
      <c r="F117" s="291">
        <v>1</v>
      </c>
      <c r="G117" s="291">
        <v>2</v>
      </c>
      <c r="H117" s="291"/>
      <c r="I117" s="291"/>
      <c r="J117" s="291"/>
      <c r="K117" s="373"/>
      <c r="L117" s="331"/>
      <c r="M117" s="332"/>
      <c r="N117" s="333"/>
      <c r="O117" s="333"/>
      <c r="P117" s="334"/>
      <c r="Q117" s="275">
        <f>(K117*E117)</f>
        <v>0</v>
      </c>
      <c r="R117" s="280">
        <f>K117*C117</f>
        <v>0</v>
      </c>
      <c r="U117" s="294">
        <f t="shared" si="15"/>
        <v>0</v>
      </c>
    </row>
    <row r="118" spans="1:21" s="25" customFormat="1" ht="22.5" x14ac:dyDescent="0.25">
      <c r="A118" s="381">
        <v>811956</v>
      </c>
      <c r="B118" s="359" t="s">
        <v>173</v>
      </c>
      <c r="C118" s="85">
        <f>PV!C118</f>
        <v>1.2</v>
      </c>
      <c r="D118" s="44" t="str">
        <f t="shared" si="9"/>
        <v>h</v>
      </c>
      <c r="E118" s="43">
        <f>IF(D118="h",PV!E118,IF(D118="M",PV!G118,PV!I118))</f>
        <v>29.75</v>
      </c>
      <c r="F118" s="291">
        <v>0</v>
      </c>
      <c r="G118" s="291">
        <v>0</v>
      </c>
      <c r="H118" s="291"/>
      <c r="I118" s="291"/>
      <c r="J118" s="291"/>
      <c r="K118" s="373"/>
      <c r="L118" s="331"/>
      <c r="M118" s="332"/>
      <c r="N118" s="333"/>
      <c r="O118" s="333"/>
      <c r="P118" s="334"/>
      <c r="Q118" s="275">
        <f>(K118*E118)</f>
        <v>0</v>
      </c>
      <c r="R118" s="280">
        <f>K118*C118</f>
        <v>0</v>
      </c>
      <c r="U118" s="294">
        <f t="shared" si="15"/>
        <v>0</v>
      </c>
    </row>
    <row r="119" spans="1:21" s="25" customFormat="1" ht="22.5" x14ac:dyDescent="0.25">
      <c r="A119" s="381">
        <v>445249</v>
      </c>
      <c r="B119" s="359" t="s">
        <v>174</v>
      </c>
      <c r="C119" s="85">
        <f>PV!C119</f>
        <v>0.35</v>
      </c>
      <c r="D119" s="44" t="str">
        <f t="shared" si="9"/>
        <v>h</v>
      </c>
      <c r="E119" s="43">
        <f>IF(D119="h",PV!E119,IF(D119="M",PV!G119,PV!I119))</f>
        <v>8.9</v>
      </c>
      <c r="F119" s="291">
        <v>0</v>
      </c>
      <c r="G119" s="291">
        <v>4</v>
      </c>
      <c r="H119" s="291"/>
      <c r="I119" s="291"/>
      <c r="J119" s="291"/>
      <c r="K119" s="373"/>
      <c r="L119" s="331"/>
      <c r="M119" s="332"/>
      <c r="N119" s="333"/>
      <c r="O119" s="333"/>
      <c r="P119" s="334"/>
      <c r="Q119" s="275">
        <f>(K119*E119)</f>
        <v>0</v>
      </c>
      <c r="R119" s="280">
        <f>K119*C119</f>
        <v>0</v>
      </c>
      <c r="U119" s="294">
        <f t="shared" si="15"/>
        <v>0</v>
      </c>
    </row>
    <row r="120" spans="1:21" ht="22.5" x14ac:dyDescent="0.25">
      <c r="A120" s="381">
        <v>65922</v>
      </c>
      <c r="B120" s="359" t="s">
        <v>74</v>
      </c>
      <c r="C120" s="85">
        <f>PV!C120</f>
        <v>0.35</v>
      </c>
      <c r="D120" s="44" t="str">
        <f t="shared" si="9"/>
        <v>h</v>
      </c>
      <c r="E120" s="43">
        <f>IF(D120="h",PV!E120,IF(D120="M",PV!G120,PV!I120))</f>
        <v>8.6999999999999993</v>
      </c>
      <c r="F120" s="291">
        <v>0</v>
      </c>
      <c r="G120" s="291">
        <v>2</v>
      </c>
      <c r="H120" s="291"/>
      <c r="I120" s="291"/>
      <c r="J120" s="291"/>
      <c r="K120" s="373"/>
      <c r="L120" s="331"/>
      <c r="M120" s="332"/>
      <c r="N120" s="333"/>
      <c r="O120" s="333"/>
      <c r="P120" s="334"/>
      <c r="Q120" s="275">
        <f>(K120*E120)</f>
        <v>0</v>
      </c>
      <c r="R120" s="280">
        <f>K120*C120</f>
        <v>0</v>
      </c>
      <c r="U120" s="294">
        <f t="shared" si="15"/>
        <v>0</v>
      </c>
    </row>
    <row r="121" spans="1:21" ht="22.5" x14ac:dyDescent="0.2">
      <c r="A121" s="380"/>
      <c r="B121" s="358"/>
      <c r="C121" s="85">
        <f>PV!C121</f>
        <v>0</v>
      </c>
      <c r="D121" s="44" t="str">
        <f t="shared" si="9"/>
        <v>h</v>
      </c>
      <c r="E121" s="43">
        <f>IF(D121="h",PV!E121,IF(D121="M",PV!G121,PV!I121))</f>
        <v>0</v>
      </c>
      <c r="F121" s="291">
        <v>0</v>
      </c>
      <c r="G121" s="291">
        <v>0</v>
      </c>
      <c r="H121" s="291"/>
      <c r="I121" s="291"/>
      <c r="J121" s="291"/>
      <c r="K121" s="373"/>
      <c r="L121" s="331"/>
      <c r="M121" s="332"/>
      <c r="N121" s="333"/>
      <c r="O121" s="333"/>
      <c r="P121" s="334"/>
      <c r="Q121" s="278"/>
      <c r="R121" s="281">
        <f>SUM(R116:R120)</f>
        <v>0</v>
      </c>
      <c r="S121" s="21">
        <f>K122*10</f>
        <v>0</v>
      </c>
      <c r="T121" s="21" t="s">
        <v>189</v>
      </c>
      <c r="U121" s="294">
        <f t="shared" si="15"/>
        <v>0</v>
      </c>
    </row>
    <row r="122" spans="1:21" ht="22.5" x14ac:dyDescent="0.2">
      <c r="A122" s="380">
        <v>1126414</v>
      </c>
      <c r="B122" s="358" t="s">
        <v>189</v>
      </c>
      <c r="C122" s="85">
        <f>PV!C122</f>
        <v>0.45</v>
      </c>
      <c r="D122" s="44" t="str">
        <f t="shared" si="9"/>
        <v>h</v>
      </c>
      <c r="E122" s="43">
        <f>IF(D122="h",PV!E122,IF(D122="M",PV!G122,PV!I122))</f>
        <v>11.25</v>
      </c>
      <c r="F122" s="291">
        <v>33</v>
      </c>
      <c r="G122" s="291">
        <v>0</v>
      </c>
      <c r="H122" s="291"/>
      <c r="I122" s="291"/>
      <c r="J122" s="291"/>
      <c r="K122" s="373"/>
      <c r="L122" s="331"/>
      <c r="M122" s="332"/>
      <c r="N122" s="333"/>
      <c r="O122" s="333"/>
      <c r="P122" s="334"/>
      <c r="Q122" s="275">
        <f t="shared" ref="Q122:Q152" si="16">(K122*E122)</f>
        <v>0</v>
      </c>
      <c r="R122" s="286">
        <f t="shared" ref="R122:R152" si="17">K122*C122</f>
        <v>0</v>
      </c>
      <c r="S122" s="21">
        <f>(K123*2)+(K124*5)+(K125*8)+(K138*4)+K137</f>
        <v>0</v>
      </c>
      <c r="T122" s="21" t="s">
        <v>99</v>
      </c>
      <c r="U122" s="294">
        <f t="shared" si="15"/>
        <v>0</v>
      </c>
    </row>
    <row r="123" spans="1:21" s="25" customFormat="1" ht="20.100000000000001" customHeight="1" x14ac:dyDescent="0.25">
      <c r="A123" s="335">
        <v>65842</v>
      </c>
      <c r="B123" s="360" t="s">
        <v>55</v>
      </c>
      <c r="C123" s="85">
        <f>PV!C123</f>
        <v>0.16</v>
      </c>
      <c r="D123" s="44" t="str">
        <f t="shared" si="9"/>
        <v>h</v>
      </c>
      <c r="E123" s="43">
        <f>IF(D123="h",PV!E123,IF(D123="M",PV!G123,PV!I123))</f>
        <v>5.5</v>
      </c>
      <c r="F123" s="291">
        <v>13</v>
      </c>
      <c r="G123" s="291">
        <v>14</v>
      </c>
      <c r="H123" s="291"/>
      <c r="I123" s="291"/>
      <c r="J123" s="291"/>
      <c r="K123" s="373"/>
      <c r="L123" s="331"/>
      <c r="M123" s="332"/>
      <c r="N123" s="333"/>
      <c r="O123" s="333"/>
      <c r="P123" s="334"/>
      <c r="Q123" s="275">
        <f t="shared" si="16"/>
        <v>0</v>
      </c>
      <c r="R123" s="286">
        <f t="shared" si="17"/>
        <v>0</v>
      </c>
      <c r="S123" s="25">
        <f>(K127*2)+(K128*5)+(K129*8)+(K138*4)+K137</f>
        <v>0</v>
      </c>
      <c r="T123" s="25" t="s">
        <v>100</v>
      </c>
      <c r="U123" s="294">
        <f t="shared" si="15"/>
        <v>0</v>
      </c>
    </row>
    <row r="124" spans="1:21" s="25" customFormat="1" ht="20.100000000000001" customHeight="1" x14ac:dyDescent="0.25">
      <c r="A124" s="335">
        <v>65902</v>
      </c>
      <c r="B124" s="360" t="s">
        <v>57</v>
      </c>
      <c r="C124" s="85">
        <f>PV!C124</f>
        <v>0.4</v>
      </c>
      <c r="D124" s="44" t="str">
        <f t="shared" si="9"/>
        <v>h</v>
      </c>
      <c r="E124" s="43">
        <f>IF(D124="h",PV!E124,IF(D124="M",PV!G124,PV!I124))</f>
        <v>10.5</v>
      </c>
      <c r="F124" s="291">
        <v>11</v>
      </c>
      <c r="G124" s="291">
        <v>0</v>
      </c>
      <c r="H124" s="291"/>
      <c r="I124" s="291"/>
      <c r="J124" s="291"/>
      <c r="K124" s="373"/>
      <c r="L124" s="331"/>
      <c r="M124" s="332"/>
      <c r="N124" s="333"/>
      <c r="O124" s="333"/>
      <c r="P124" s="334"/>
      <c r="Q124" s="275">
        <f t="shared" si="16"/>
        <v>0</v>
      </c>
      <c r="R124" s="286">
        <f t="shared" si="17"/>
        <v>0</v>
      </c>
      <c r="S124" s="25">
        <f>(K131*2)+(K132*5)+(K133*8)</f>
        <v>0</v>
      </c>
      <c r="T124" s="25" t="s">
        <v>101</v>
      </c>
      <c r="U124" s="294">
        <f t="shared" si="15"/>
        <v>0</v>
      </c>
    </row>
    <row r="125" spans="1:21" s="25" customFormat="1" ht="20.100000000000001" customHeight="1" x14ac:dyDescent="0.25">
      <c r="A125" s="335">
        <v>905815</v>
      </c>
      <c r="B125" s="360" t="s">
        <v>182</v>
      </c>
      <c r="C125" s="85">
        <f>PV!C125</f>
        <v>0.64</v>
      </c>
      <c r="D125" s="44" t="str">
        <f t="shared" si="9"/>
        <v>h</v>
      </c>
      <c r="E125" s="43">
        <f>IF(D125="h",PV!E125,IF(D125="M",PV!G125,PV!I125))</f>
        <v>15.55</v>
      </c>
      <c r="F125" s="291">
        <v>111</v>
      </c>
      <c r="G125" s="291">
        <v>88</v>
      </c>
      <c r="H125" s="291"/>
      <c r="I125" s="291"/>
      <c r="J125" s="291"/>
      <c r="K125" s="373"/>
      <c r="L125" s="331"/>
      <c r="M125" s="332"/>
      <c r="N125" s="333"/>
      <c r="O125" s="333"/>
      <c r="P125" s="334"/>
      <c r="Q125" s="275">
        <f t="shared" si="16"/>
        <v>0</v>
      </c>
      <c r="R125" s="286">
        <f t="shared" si="17"/>
        <v>0</v>
      </c>
      <c r="S125" s="25">
        <f>(K134*2)+(K135*5)+(K136*8)</f>
        <v>0</v>
      </c>
      <c r="T125" s="25" t="s">
        <v>209</v>
      </c>
      <c r="U125" s="294">
        <f t="shared" si="15"/>
        <v>0</v>
      </c>
    </row>
    <row r="126" spans="1:21" s="25" customFormat="1" ht="20.100000000000001" customHeight="1" x14ac:dyDescent="0.25">
      <c r="A126" s="335">
        <v>1126415</v>
      </c>
      <c r="B126" s="360" t="s">
        <v>296</v>
      </c>
      <c r="C126" s="85">
        <f>PV!C126</f>
        <v>0.45</v>
      </c>
      <c r="D126" s="44" t="str">
        <f t="shared" si="9"/>
        <v>h</v>
      </c>
      <c r="E126" s="43">
        <f>IF(D126="h",PV!E126,IF(D126="M",PV!G126,PV!I126))</f>
        <v>12.5</v>
      </c>
      <c r="F126" s="291">
        <v>5</v>
      </c>
      <c r="G126" s="291">
        <v>0</v>
      </c>
      <c r="H126" s="291"/>
      <c r="I126" s="291"/>
      <c r="J126" s="291"/>
      <c r="K126" s="373"/>
      <c r="L126" s="331"/>
      <c r="M126" s="332"/>
      <c r="N126" s="333"/>
      <c r="O126" s="333"/>
      <c r="P126" s="334"/>
      <c r="Q126" s="275">
        <f t="shared" si="16"/>
        <v>0</v>
      </c>
      <c r="R126" s="286">
        <f t="shared" si="17"/>
        <v>0</v>
      </c>
      <c r="S126" s="25">
        <f>(K126*10)</f>
        <v>0</v>
      </c>
      <c r="T126" s="25" t="s">
        <v>212</v>
      </c>
      <c r="U126" s="294">
        <f t="shared" si="15"/>
        <v>0</v>
      </c>
    </row>
    <row r="127" spans="1:21" s="25" customFormat="1" ht="20.100000000000001" customHeight="1" x14ac:dyDescent="0.25">
      <c r="A127" s="335">
        <v>65907</v>
      </c>
      <c r="B127" s="360" t="s">
        <v>261</v>
      </c>
      <c r="C127" s="85">
        <f>PV!C127</f>
        <v>0.16</v>
      </c>
      <c r="D127" s="44" t="str">
        <f t="shared" si="9"/>
        <v>h</v>
      </c>
      <c r="E127" s="43">
        <f>IF(D127="h",PV!E127,IF(D127="M",PV!G127,PV!I127))</f>
        <v>6.25</v>
      </c>
      <c r="F127" s="291">
        <v>10</v>
      </c>
      <c r="G127" s="291">
        <v>17</v>
      </c>
      <c r="H127" s="291"/>
      <c r="I127" s="291"/>
      <c r="J127" s="291"/>
      <c r="K127" s="373"/>
      <c r="L127" s="331"/>
      <c r="M127" s="332"/>
      <c r="N127" s="333"/>
      <c r="O127" s="333"/>
      <c r="P127" s="334"/>
      <c r="Q127" s="275">
        <f t="shared" si="16"/>
        <v>0</v>
      </c>
      <c r="R127" s="286">
        <f t="shared" si="17"/>
        <v>0</v>
      </c>
      <c r="S127" s="25">
        <f>(K130*10)</f>
        <v>0</v>
      </c>
      <c r="T127" s="25" t="s">
        <v>213</v>
      </c>
      <c r="U127" s="294">
        <f t="shared" si="15"/>
        <v>0</v>
      </c>
    </row>
    <row r="128" spans="1:21" s="25" customFormat="1" ht="20.100000000000001" customHeight="1" x14ac:dyDescent="0.25">
      <c r="A128" s="335">
        <v>65909</v>
      </c>
      <c r="B128" s="360" t="s">
        <v>262</v>
      </c>
      <c r="C128" s="85">
        <f>PV!C128</f>
        <v>0.4</v>
      </c>
      <c r="D128" s="44" t="str">
        <f t="shared" si="9"/>
        <v>h</v>
      </c>
      <c r="E128" s="43">
        <f>IF(D128="h",PV!E128,IF(D128="M",PV!G128,PV!I128))</f>
        <v>11.75</v>
      </c>
      <c r="F128" s="291">
        <v>14</v>
      </c>
      <c r="G128" s="291">
        <v>0</v>
      </c>
      <c r="H128" s="291"/>
      <c r="I128" s="291"/>
      <c r="J128" s="291"/>
      <c r="K128" s="373"/>
      <c r="L128" s="331"/>
      <c r="M128" s="332"/>
      <c r="N128" s="333"/>
      <c r="O128" s="333"/>
      <c r="P128" s="334"/>
      <c r="Q128" s="275">
        <f t="shared" si="16"/>
        <v>0</v>
      </c>
      <c r="R128" s="286">
        <f t="shared" si="17"/>
        <v>0</v>
      </c>
      <c r="S128" s="25">
        <f>K139*10</f>
        <v>0</v>
      </c>
      <c r="T128" s="25" t="s">
        <v>214</v>
      </c>
      <c r="U128" s="294">
        <f t="shared" si="15"/>
        <v>0</v>
      </c>
    </row>
    <row r="129" spans="1:21" s="25" customFormat="1" ht="20.100000000000001" customHeight="1" x14ac:dyDescent="0.25">
      <c r="A129" s="335">
        <v>905816</v>
      </c>
      <c r="B129" s="360" t="s">
        <v>184</v>
      </c>
      <c r="C129" s="85">
        <f>PV!C129</f>
        <v>0.64</v>
      </c>
      <c r="D129" s="44" t="str">
        <f t="shared" si="9"/>
        <v>h</v>
      </c>
      <c r="E129" s="43">
        <f>IF(D129="h",PV!E129,IF(D129="M",PV!G129,PV!I129))</f>
        <v>15.85</v>
      </c>
      <c r="F129" s="291">
        <v>9</v>
      </c>
      <c r="G129" s="291">
        <v>18</v>
      </c>
      <c r="H129" s="291"/>
      <c r="I129" s="291"/>
      <c r="J129" s="291"/>
      <c r="K129" s="373"/>
      <c r="L129" s="331"/>
      <c r="M129" s="332"/>
      <c r="N129" s="333"/>
      <c r="O129" s="333"/>
      <c r="P129" s="334"/>
      <c r="Q129" s="275">
        <f t="shared" si="16"/>
        <v>0</v>
      </c>
      <c r="R129" s="286">
        <f t="shared" si="17"/>
        <v>0</v>
      </c>
      <c r="S129" s="25">
        <f>(K148*2)+(K149*4)</f>
        <v>0</v>
      </c>
      <c r="T129" s="25" t="s">
        <v>219</v>
      </c>
      <c r="U129" s="294">
        <f t="shared" si="15"/>
        <v>0</v>
      </c>
    </row>
    <row r="130" spans="1:21" s="25" customFormat="1" ht="20.100000000000001" customHeight="1" x14ac:dyDescent="0.25">
      <c r="A130" s="335">
        <v>1126416</v>
      </c>
      <c r="B130" s="360" t="s">
        <v>188</v>
      </c>
      <c r="C130" s="85">
        <f>PV!C130</f>
        <v>0.45</v>
      </c>
      <c r="D130" s="44" t="str">
        <f t="shared" si="9"/>
        <v>h</v>
      </c>
      <c r="E130" s="43">
        <f>IF(D130="h",PV!E130,IF(D130="M",PV!G130,PV!I130))</f>
        <v>12.5</v>
      </c>
      <c r="F130" s="291">
        <v>0</v>
      </c>
      <c r="G130" s="291">
        <v>0</v>
      </c>
      <c r="H130" s="291"/>
      <c r="I130" s="291"/>
      <c r="J130" s="291"/>
      <c r="K130" s="373"/>
      <c r="L130" s="331"/>
      <c r="M130" s="332"/>
      <c r="N130" s="333"/>
      <c r="O130" s="333"/>
      <c r="P130" s="334"/>
      <c r="Q130" s="275">
        <f t="shared" si="16"/>
        <v>0</v>
      </c>
      <c r="R130" s="286">
        <f t="shared" si="17"/>
        <v>0</v>
      </c>
      <c r="T130" s="25" t="s">
        <v>215</v>
      </c>
      <c r="U130" s="294">
        <f t="shared" si="15"/>
        <v>0</v>
      </c>
    </row>
    <row r="131" spans="1:21" s="25" customFormat="1" ht="20.100000000000001" customHeight="1" x14ac:dyDescent="0.25">
      <c r="A131" s="335">
        <v>65920</v>
      </c>
      <c r="B131" s="360" t="s">
        <v>60</v>
      </c>
      <c r="C131" s="85">
        <f>PV!C131</f>
        <v>0.16</v>
      </c>
      <c r="D131" s="44" t="str">
        <f t="shared" si="9"/>
        <v>h</v>
      </c>
      <c r="E131" s="43">
        <f>IF(D131="h",PV!E131,IF(D131="M",PV!G131,PV!I131))</f>
        <v>6.75</v>
      </c>
      <c r="F131" s="291">
        <v>20</v>
      </c>
      <c r="G131" s="291">
        <v>14</v>
      </c>
      <c r="H131" s="291"/>
      <c r="I131" s="291"/>
      <c r="J131" s="291"/>
      <c r="K131" s="373"/>
      <c r="L131" s="331"/>
      <c r="M131" s="332"/>
      <c r="N131" s="333"/>
      <c r="O131" s="333"/>
      <c r="P131" s="334"/>
      <c r="Q131" s="275">
        <f t="shared" si="16"/>
        <v>0</v>
      </c>
      <c r="R131" s="286">
        <f t="shared" si="17"/>
        <v>0</v>
      </c>
      <c r="S131" s="25">
        <f>K152</f>
        <v>0</v>
      </c>
      <c r="T131" s="25" t="s">
        <v>216</v>
      </c>
      <c r="U131" s="294">
        <f t="shared" ref="U131:U153" si="18">K131-L131</f>
        <v>0</v>
      </c>
    </row>
    <row r="132" spans="1:21" s="25" customFormat="1" ht="19.5" customHeight="1" x14ac:dyDescent="0.25">
      <c r="A132" s="335">
        <v>65921</v>
      </c>
      <c r="B132" s="360" t="s">
        <v>61</v>
      </c>
      <c r="C132" s="85">
        <f>PV!C132</f>
        <v>0.4</v>
      </c>
      <c r="D132" s="44" t="str">
        <f t="shared" si="9"/>
        <v>h</v>
      </c>
      <c r="E132" s="43">
        <f>IF(D132="h",PV!E132,IF(D132="M",PV!G132,PV!I132))</f>
        <v>12.75</v>
      </c>
      <c r="F132" s="291">
        <v>11</v>
      </c>
      <c r="G132" s="291">
        <v>0</v>
      </c>
      <c r="H132" s="291"/>
      <c r="I132" s="291"/>
      <c r="J132" s="291"/>
      <c r="K132" s="373"/>
      <c r="L132" s="331"/>
      <c r="M132" s="332"/>
      <c r="N132" s="333"/>
      <c r="O132" s="333"/>
      <c r="P132" s="334"/>
      <c r="Q132" s="275">
        <f t="shared" si="16"/>
        <v>0</v>
      </c>
      <c r="R132" s="286">
        <f t="shared" si="17"/>
        <v>0</v>
      </c>
      <c r="S132" s="25" t="e">
        <f>#REF!</f>
        <v>#REF!</v>
      </c>
      <c r="T132" s="25" t="s">
        <v>217</v>
      </c>
      <c r="U132" s="294">
        <f t="shared" si="18"/>
        <v>0</v>
      </c>
    </row>
    <row r="133" spans="1:21" s="25" customFormat="1" ht="19.5" customHeight="1" x14ac:dyDescent="0.25">
      <c r="A133" s="335">
        <v>905817</v>
      </c>
      <c r="B133" s="360" t="s">
        <v>185</v>
      </c>
      <c r="C133" s="85">
        <f>PV!C133</f>
        <v>0.64</v>
      </c>
      <c r="D133" s="44" t="str">
        <f t="shared" si="9"/>
        <v>h</v>
      </c>
      <c r="E133" s="43">
        <f>IF(D133="h",PV!E133,IF(D133="M",PV!G133,PV!I133))</f>
        <v>17.95</v>
      </c>
      <c r="F133" s="291">
        <v>6</v>
      </c>
      <c r="G133" s="291">
        <v>16</v>
      </c>
      <c r="H133" s="291"/>
      <c r="I133" s="291"/>
      <c r="J133" s="291"/>
      <c r="K133" s="373"/>
      <c r="L133" s="331"/>
      <c r="M133" s="332"/>
      <c r="N133" s="333"/>
      <c r="O133" s="333"/>
      <c r="P133" s="334"/>
      <c r="Q133" s="275">
        <f t="shared" si="16"/>
        <v>0</v>
      </c>
      <c r="R133" s="286">
        <f t="shared" si="17"/>
        <v>0</v>
      </c>
      <c r="S133" s="25" t="e">
        <f>#REF!</f>
        <v>#REF!</v>
      </c>
      <c r="T133" s="25" t="s">
        <v>218</v>
      </c>
      <c r="U133" s="294">
        <f t="shared" si="18"/>
        <v>0</v>
      </c>
    </row>
    <row r="134" spans="1:21" s="25" customFormat="1" ht="20.100000000000001" customHeight="1" x14ac:dyDescent="0.25">
      <c r="A134" s="335">
        <v>65918</v>
      </c>
      <c r="B134" s="360" t="s">
        <v>62</v>
      </c>
      <c r="C134" s="85">
        <f>PV!C134</f>
        <v>0.16</v>
      </c>
      <c r="D134" s="44" t="str">
        <f t="shared" si="9"/>
        <v>h</v>
      </c>
      <c r="E134" s="43">
        <f>IF(D134="h",PV!E134,IF(D134="M",PV!G134,PV!I134))</f>
        <v>5.95</v>
      </c>
      <c r="F134" s="291">
        <v>6</v>
      </c>
      <c r="G134" s="291">
        <v>10</v>
      </c>
      <c r="H134" s="291"/>
      <c r="I134" s="291"/>
      <c r="J134" s="291"/>
      <c r="K134" s="373"/>
      <c r="L134" s="331"/>
      <c r="M134" s="332"/>
      <c r="N134" s="333"/>
      <c r="O134" s="333"/>
      <c r="P134" s="334"/>
      <c r="Q134" s="275">
        <f t="shared" si="16"/>
        <v>0</v>
      </c>
      <c r="R134" s="286">
        <f t="shared" si="17"/>
        <v>0</v>
      </c>
      <c r="S134" s="25">
        <f>(K144*2)+(K145*5)</f>
        <v>0</v>
      </c>
      <c r="T134" s="25" t="s">
        <v>220</v>
      </c>
      <c r="U134" s="294">
        <f t="shared" si="18"/>
        <v>0</v>
      </c>
    </row>
    <row r="135" spans="1:21" s="25" customFormat="1" ht="20.100000000000001" customHeight="1" x14ac:dyDescent="0.25">
      <c r="A135" s="335">
        <v>65919</v>
      </c>
      <c r="B135" s="360" t="s">
        <v>63</v>
      </c>
      <c r="C135" s="85">
        <f>PV!C135</f>
        <v>0.64</v>
      </c>
      <c r="D135" s="44" t="str">
        <f t="shared" ref="D135:D152" si="19">D134</f>
        <v>h</v>
      </c>
      <c r="E135" s="43">
        <f>IF(D135="h",PV!E135,IF(D135="M",PV!G135,PV!I135))</f>
        <v>10.65</v>
      </c>
      <c r="F135" s="291">
        <v>14</v>
      </c>
      <c r="G135" s="291">
        <v>0</v>
      </c>
      <c r="H135" s="291"/>
      <c r="I135" s="291"/>
      <c r="J135" s="291"/>
      <c r="K135" s="373"/>
      <c r="L135" s="331"/>
      <c r="M135" s="332"/>
      <c r="N135" s="333"/>
      <c r="O135" s="333"/>
      <c r="P135" s="334"/>
      <c r="Q135" s="275">
        <f t="shared" si="16"/>
        <v>0</v>
      </c>
      <c r="R135" s="286">
        <f t="shared" si="17"/>
        <v>0</v>
      </c>
      <c r="S135" s="25">
        <f>(K146*2)+(K147*5)</f>
        <v>0</v>
      </c>
      <c r="T135" s="25" t="s">
        <v>222</v>
      </c>
      <c r="U135" s="294">
        <f t="shared" si="18"/>
        <v>0</v>
      </c>
    </row>
    <row r="136" spans="1:21" s="25" customFormat="1" ht="20.100000000000001" customHeight="1" x14ac:dyDescent="0.25">
      <c r="A136" s="335">
        <v>905818</v>
      </c>
      <c r="B136" s="360" t="s">
        <v>186</v>
      </c>
      <c r="C136" s="85">
        <f>PV!C136</f>
        <v>0.64</v>
      </c>
      <c r="D136" s="44" t="str">
        <f t="shared" si="19"/>
        <v>h</v>
      </c>
      <c r="E136" s="43">
        <f>IF(D136="h",PV!E136,IF(D136="M",PV!G136,PV!I136))</f>
        <v>15.9</v>
      </c>
      <c r="F136" s="291">
        <v>5</v>
      </c>
      <c r="G136" s="291">
        <v>8</v>
      </c>
      <c r="H136" s="291"/>
      <c r="I136" s="291"/>
      <c r="J136" s="291"/>
      <c r="K136" s="373"/>
      <c r="L136" s="331"/>
      <c r="M136" s="332"/>
      <c r="N136" s="333"/>
      <c r="O136" s="333"/>
      <c r="P136" s="334"/>
      <c r="Q136" s="275">
        <f t="shared" si="16"/>
        <v>0</v>
      </c>
      <c r="R136" s="286">
        <f t="shared" si="17"/>
        <v>0</v>
      </c>
      <c r="S136" s="25">
        <f>(K140*2)+(K141*4)</f>
        <v>0</v>
      </c>
      <c r="T136" s="25" t="s">
        <v>221</v>
      </c>
      <c r="U136" s="294">
        <f t="shared" si="18"/>
        <v>0</v>
      </c>
    </row>
    <row r="137" spans="1:21" s="25" customFormat="1" ht="20.100000000000001" customHeight="1" x14ac:dyDescent="0.25">
      <c r="A137" s="335">
        <v>970195</v>
      </c>
      <c r="B137" s="360" t="s">
        <v>298</v>
      </c>
      <c r="C137" s="85">
        <f>PV!C137</f>
        <v>0.16</v>
      </c>
      <c r="D137" s="44" t="str">
        <f t="shared" si="19"/>
        <v>h</v>
      </c>
      <c r="E137" s="43">
        <f>IF(D137="h",PV!E137,IF(D137="M",PV!G137,PV!I137))</f>
        <v>5.75</v>
      </c>
      <c r="F137" s="291">
        <v>0</v>
      </c>
      <c r="G137" s="291">
        <v>0</v>
      </c>
      <c r="H137" s="291"/>
      <c r="I137" s="291"/>
      <c r="J137" s="291"/>
      <c r="K137" s="373"/>
      <c r="L137" s="331"/>
      <c r="M137" s="332"/>
      <c r="N137" s="333"/>
      <c r="O137" s="333"/>
      <c r="P137" s="334"/>
      <c r="Q137" s="275">
        <f t="shared" si="16"/>
        <v>0</v>
      </c>
      <c r="R137" s="286">
        <f t="shared" si="17"/>
        <v>0</v>
      </c>
      <c r="S137" s="25">
        <f>K119*5</f>
        <v>0</v>
      </c>
      <c r="T137" s="25" t="s">
        <v>174</v>
      </c>
      <c r="U137" s="294">
        <f t="shared" si="18"/>
        <v>0</v>
      </c>
    </row>
    <row r="138" spans="1:21" s="25" customFormat="1" ht="20.100000000000001" customHeight="1" x14ac:dyDescent="0.25">
      <c r="A138" s="335">
        <v>905820</v>
      </c>
      <c r="B138" s="360" t="s">
        <v>297</v>
      </c>
      <c r="C138" s="85">
        <f>PV!C138</f>
        <v>0.64</v>
      </c>
      <c r="D138" s="44" t="str">
        <f t="shared" si="19"/>
        <v>h</v>
      </c>
      <c r="E138" s="43">
        <f>IF(D138="h",PV!E138,IF(D138="M",PV!G138,PV!I138))</f>
        <v>15.55</v>
      </c>
      <c r="F138" s="291">
        <v>0</v>
      </c>
      <c r="G138" s="291">
        <v>9</v>
      </c>
      <c r="H138" s="291"/>
      <c r="I138" s="291"/>
      <c r="J138" s="291"/>
      <c r="K138" s="373"/>
      <c r="L138" s="331"/>
      <c r="M138" s="332"/>
      <c r="N138" s="333"/>
      <c r="O138" s="333"/>
      <c r="P138" s="334"/>
      <c r="Q138" s="275">
        <f t="shared" si="16"/>
        <v>0</v>
      </c>
      <c r="R138" s="286">
        <f t="shared" si="17"/>
        <v>0</v>
      </c>
      <c r="S138" s="25">
        <f>K120*5</f>
        <v>0</v>
      </c>
      <c r="T138" s="25" t="s">
        <v>74</v>
      </c>
      <c r="U138" s="294">
        <f t="shared" si="18"/>
        <v>0</v>
      </c>
    </row>
    <row r="139" spans="1:21" s="25" customFormat="1" ht="19.5" customHeight="1" x14ac:dyDescent="0.25">
      <c r="A139" s="335">
        <v>1126417</v>
      </c>
      <c r="B139" s="360" t="s">
        <v>187</v>
      </c>
      <c r="C139" s="85">
        <f>PV!C139</f>
        <v>0.45</v>
      </c>
      <c r="D139" s="44" t="str">
        <f t="shared" si="19"/>
        <v>h</v>
      </c>
      <c r="E139" s="43">
        <f>IF(D139="h",PV!E139,IF(D139="M",PV!G139,PV!I139))</f>
        <v>9.9499999999999993</v>
      </c>
      <c r="F139" s="291">
        <v>0</v>
      </c>
      <c r="G139" s="291">
        <v>0</v>
      </c>
      <c r="H139" s="291"/>
      <c r="I139" s="291"/>
      <c r="J139" s="291"/>
      <c r="K139" s="373"/>
      <c r="L139" s="331"/>
      <c r="M139" s="332"/>
      <c r="N139" s="333"/>
      <c r="O139" s="333"/>
      <c r="P139" s="334"/>
      <c r="Q139" s="275">
        <f t="shared" si="16"/>
        <v>0</v>
      </c>
      <c r="R139" s="286">
        <f t="shared" si="17"/>
        <v>0</v>
      </c>
      <c r="U139" s="294">
        <f t="shared" si="18"/>
        <v>0</v>
      </c>
    </row>
    <row r="140" spans="1:21" s="25" customFormat="1" ht="20.100000000000001" customHeight="1" x14ac:dyDescent="0.25">
      <c r="A140" s="335">
        <v>67493</v>
      </c>
      <c r="B140" s="360" t="s">
        <v>64</v>
      </c>
      <c r="C140" s="85">
        <f>PV!C140</f>
        <v>0.16</v>
      </c>
      <c r="D140" s="44" t="str">
        <f t="shared" si="19"/>
        <v>h</v>
      </c>
      <c r="E140" s="43">
        <f>IF(D140="h",PV!E140,IF(D140="M",PV!G140,PV!I140))</f>
        <v>6.75</v>
      </c>
      <c r="F140" s="291">
        <v>13</v>
      </c>
      <c r="G140" s="291">
        <v>11</v>
      </c>
      <c r="H140" s="291"/>
      <c r="I140" s="291"/>
      <c r="J140" s="291"/>
      <c r="K140" s="373"/>
      <c r="L140" s="331"/>
      <c r="M140" s="332"/>
      <c r="N140" s="333"/>
      <c r="O140" s="333"/>
      <c r="P140" s="334"/>
      <c r="Q140" s="275">
        <f t="shared" si="16"/>
        <v>0</v>
      </c>
      <c r="R140" s="286">
        <f t="shared" si="17"/>
        <v>0</v>
      </c>
      <c r="U140" s="294">
        <f t="shared" si="18"/>
        <v>0</v>
      </c>
    </row>
    <row r="141" spans="1:21" s="25" customFormat="1" ht="18.75" customHeight="1" x14ac:dyDescent="0.25">
      <c r="A141" s="335">
        <v>65906</v>
      </c>
      <c r="B141" s="360" t="s">
        <v>65</v>
      </c>
      <c r="C141" s="85">
        <f>PV!C141</f>
        <v>0.24</v>
      </c>
      <c r="D141" s="44" t="str">
        <f t="shared" si="19"/>
        <v>h</v>
      </c>
      <c r="E141" s="43">
        <f>IF(D141="h",PV!E141,IF(D141="M",PV!G141,PV!I141))</f>
        <v>12.5</v>
      </c>
      <c r="F141" s="291">
        <v>9</v>
      </c>
      <c r="G141" s="291">
        <v>9</v>
      </c>
      <c r="H141" s="291"/>
      <c r="I141" s="291"/>
      <c r="J141" s="291"/>
      <c r="K141" s="373"/>
      <c r="L141" s="331"/>
      <c r="M141" s="332"/>
      <c r="N141" s="333"/>
      <c r="O141" s="333"/>
      <c r="P141" s="334"/>
      <c r="Q141" s="275">
        <f t="shared" si="16"/>
        <v>0</v>
      </c>
      <c r="R141" s="286">
        <f t="shared" si="17"/>
        <v>0</v>
      </c>
      <c r="U141" s="294">
        <f t="shared" si="18"/>
        <v>0</v>
      </c>
    </row>
    <row r="142" spans="1:21" s="25" customFormat="1" ht="19.5" customHeight="1" x14ac:dyDescent="0.25">
      <c r="A142" s="335">
        <v>270422</v>
      </c>
      <c r="B142" s="360" t="s">
        <v>66</v>
      </c>
      <c r="C142" s="85">
        <f>PV!C142</f>
        <v>0.24</v>
      </c>
      <c r="D142" s="44" t="str">
        <f t="shared" si="19"/>
        <v>h</v>
      </c>
      <c r="E142" s="43">
        <f>IF(D142="h",PV!E142,IF(D142="M",PV!G142,PV!I142))</f>
        <v>5.95</v>
      </c>
      <c r="F142" s="291">
        <v>5</v>
      </c>
      <c r="G142" s="291">
        <v>8</v>
      </c>
      <c r="H142" s="291"/>
      <c r="I142" s="291"/>
      <c r="J142" s="291"/>
      <c r="K142" s="373"/>
      <c r="L142" s="331"/>
      <c r="M142" s="332"/>
      <c r="N142" s="333"/>
      <c r="O142" s="333"/>
      <c r="P142" s="334"/>
      <c r="Q142" s="275">
        <f t="shared" si="16"/>
        <v>0</v>
      </c>
      <c r="R142" s="286">
        <f t="shared" si="17"/>
        <v>0</v>
      </c>
      <c r="U142" s="294">
        <f t="shared" si="18"/>
        <v>0</v>
      </c>
    </row>
    <row r="143" spans="1:21" s="25" customFormat="1" ht="20.100000000000001" customHeight="1" x14ac:dyDescent="0.25">
      <c r="A143" s="335">
        <v>67778</v>
      </c>
      <c r="B143" s="360" t="s">
        <v>67</v>
      </c>
      <c r="C143" s="85">
        <f>PV!C143</f>
        <v>0.6</v>
      </c>
      <c r="D143" s="44" t="str">
        <f t="shared" si="19"/>
        <v>h</v>
      </c>
      <c r="E143" s="43">
        <f>IF(D143="h",PV!E143,IF(D143="M",PV!G143,PV!I143))</f>
        <v>10.95</v>
      </c>
      <c r="F143" s="291">
        <v>11</v>
      </c>
      <c r="G143" s="291">
        <v>0</v>
      </c>
      <c r="H143" s="291"/>
      <c r="I143" s="291"/>
      <c r="J143" s="291"/>
      <c r="K143" s="373"/>
      <c r="L143" s="331"/>
      <c r="M143" s="332"/>
      <c r="N143" s="333"/>
      <c r="O143" s="333"/>
      <c r="P143" s="334"/>
      <c r="Q143" s="275">
        <f t="shared" si="16"/>
        <v>0</v>
      </c>
      <c r="R143" s="286">
        <f t="shared" si="17"/>
        <v>0</v>
      </c>
      <c r="U143" s="294">
        <f t="shared" si="18"/>
        <v>0</v>
      </c>
    </row>
    <row r="144" spans="1:21" s="25" customFormat="1" ht="20.100000000000001" customHeight="1" x14ac:dyDescent="0.25">
      <c r="A144" s="335">
        <v>1039726</v>
      </c>
      <c r="B144" s="360" t="s">
        <v>193</v>
      </c>
      <c r="C144" s="85">
        <f>PV!C144</f>
        <v>0.24</v>
      </c>
      <c r="D144" s="44" t="str">
        <f t="shared" si="19"/>
        <v>h</v>
      </c>
      <c r="E144" s="43">
        <f>IF(D144="h",PV!E144,IF(D144="M",PV!G144,PV!I144))</f>
        <v>5.95</v>
      </c>
      <c r="F144" s="291">
        <v>3</v>
      </c>
      <c r="G144" s="291">
        <v>0</v>
      </c>
      <c r="H144" s="291"/>
      <c r="I144" s="291"/>
      <c r="J144" s="291"/>
      <c r="K144" s="373"/>
      <c r="L144" s="331"/>
      <c r="M144" s="332"/>
      <c r="N144" s="333"/>
      <c r="O144" s="333"/>
      <c r="P144" s="334"/>
      <c r="Q144" s="275">
        <f t="shared" si="16"/>
        <v>0</v>
      </c>
      <c r="R144" s="286">
        <f t="shared" si="17"/>
        <v>0</v>
      </c>
      <c r="U144" s="294">
        <f t="shared" si="18"/>
        <v>0</v>
      </c>
    </row>
    <row r="145" spans="1:21" s="25" customFormat="1" ht="20.100000000000001" customHeight="1" x14ac:dyDescent="0.25">
      <c r="A145" s="335">
        <v>1039725</v>
      </c>
      <c r="B145" s="360" t="s">
        <v>194</v>
      </c>
      <c r="C145" s="85">
        <f>PV!C145</f>
        <v>0.6</v>
      </c>
      <c r="D145" s="44" t="str">
        <f t="shared" si="19"/>
        <v>h</v>
      </c>
      <c r="E145" s="43">
        <f>IF(D145="h",PV!E145,IF(D145="M",PV!G145,PV!I145))</f>
        <v>10.95</v>
      </c>
      <c r="F145" s="291">
        <v>2</v>
      </c>
      <c r="G145" s="291">
        <v>0</v>
      </c>
      <c r="H145" s="291"/>
      <c r="I145" s="291"/>
      <c r="J145" s="291"/>
      <c r="K145" s="373"/>
      <c r="L145" s="331"/>
      <c r="M145" s="332"/>
      <c r="N145" s="333"/>
      <c r="O145" s="333"/>
      <c r="P145" s="334"/>
      <c r="Q145" s="275">
        <f t="shared" si="16"/>
        <v>0</v>
      </c>
      <c r="R145" s="286">
        <f t="shared" si="17"/>
        <v>0</v>
      </c>
      <c r="U145" s="294">
        <f t="shared" si="18"/>
        <v>0</v>
      </c>
    </row>
    <row r="146" spans="1:21" s="25" customFormat="1" ht="20.100000000000001" customHeight="1" x14ac:dyDescent="0.25">
      <c r="A146" s="335">
        <v>270418</v>
      </c>
      <c r="B146" s="360" t="s">
        <v>68</v>
      </c>
      <c r="C146" s="85">
        <f>PV!C146</f>
        <v>0.24</v>
      </c>
      <c r="D146" s="44" t="str">
        <f t="shared" si="19"/>
        <v>h</v>
      </c>
      <c r="E146" s="43">
        <f>IF(D146="h",PV!E146,IF(D146="M",PV!G146,PV!I146))</f>
        <v>6.25</v>
      </c>
      <c r="F146" s="291">
        <v>5</v>
      </c>
      <c r="G146" s="291">
        <v>13</v>
      </c>
      <c r="H146" s="291"/>
      <c r="I146" s="291"/>
      <c r="J146" s="291"/>
      <c r="K146" s="373"/>
      <c r="L146" s="331"/>
      <c r="M146" s="332"/>
      <c r="N146" s="333"/>
      <c r="O146" s="333"/>
      <c r="P146" s="334"/>
      <c r="Q146" s="275">
        <f t="shared" si="16"/>
        <v>0</v>
      </c>
      <c r="R146" s="286">
        <f t="shared" si="17"/>
        <v>0</v>
      </c>
      <c r="U146" s="294">
        <f t="shared" si="18"/>
        <v>0</v>
      </c>
    </row>
    <row r="147" spans="1:21" s="25" customFormat="1" ht="20.100000000000001" customHeight="1" x14ac:dyDescent="0.25">
      <c r="A147" s="335">
        <v>65912</v>
      </c>
      <c r="B147" s="360" t="s">
        <v>69</v>
      </c>
      <c r="C147" s="85">
        <f>PV!C147</f>
        <v>0.6</v>
      </c>
      <c r="D147" s="44" t="str">
        <f t="shared" si="19"/>
        <v>h</v>
      </c>
      <c r="E147" s="43">
        <f>IF(D147="h",PV!E147,IF(D147="M",PV!G147,PV!I147))</f>
        <v>11.45</v>
      </c>
      <c r="F147" s="291">
        <v>11</v>
      </c>
      <c r="G147" s="291">
        <v>0</v>
      </c>
      <c r="H147" s="291"/>
      <c r="I147" s="291"/>
      <c r="J147" s="291"/>
      <c r="K147" s="373"/>
      <c r="L147" s="331"/>
      <c r="M147" s="332"/>
      <c r="N147" s="333"/>
      <c r="O147" s="333"/>
      <c r="P147" s="334"/>
      <c r="Q147" s="275">
        <f t="shared" si="16"/>
        <v>0</v>
      </c>
      <c r="R147" s="286">
        <f t="shared" si="17"/>
        <v>0</v>
      </c>
      <c r="U147" s="294">
        <f t="shared" si="18"/>
        <v>0</v>
      </c>
    </row>
    <row r="148" spans="1:21" s="25" customFormat="1" ht="20.100000000000001" customHeight="1" x14ac:dyDescent="0.25">
      <c r="A148" s="335">
        <v>425024</v>
      </c>
      <c r="B148" s="360" t="s">
        <v>70</v>
      </c>
      <c r="C148" s="85">
        <f>PV!C148</f>
        <v>0.24</v>
      </c>
      <c r="D148" s="44" t="str">
        <f t="shared" si="19"/>
        <v>h</v>
      </c>
      <c r="E148" s="43">
        <f>IF(D148="h",PV!E148,IF(D148="M",PV!G148,PV!I148))</f>
        <v>9.4499999999999993</v>
      </c>
      <c r="F148" s="291">
        <v>3</v>
      </c>
      <c r="G148" s="291">
        <v>9</v>
      </c>
      <c r="H148" s="291"/>
      <c r="I148" s="291"/>
      <c r="J148" s="291"/>
      <c r="K148" s="373"/>
      <c r="L148" s="331"/>
      <c r="M148" s="332"/>
      <c r="N148" s="333"/>
      <c r="O148" s="333"/>
      <c r="P148" s="334"/>
      <c r="Q148" s="275">
        <f t="shared" si="16"/>
        <v>0</v>
      </c>
      <c r="R148" s="286">
        <f t="shared" si="17"/>
        <v>0</v>
      </c>
      <c r="U148" s="294">
        <f t="shared" si="18"/>
        <v>0</v>
      </c>
    </row>
    <row r="149" spans="1:21" s="25" customFormat="1" ht="20.100000000000001" customHeight="1" x14ac:dyDescent="0.25">
      <c r="A149" s="335">
        <v>294817</v>
      </c>
      <c r="B149" s="360" t="s">
        <v>71</v>
      </c>
      <c r="C149" s="85">
        <f>PV!C149</f>
        <v>0.6</v>
      </c>
      <c r="D149" s="44" t="str">
        <f t="shared" si="19"/>
        <v>h</v>
      </c>
      <c r="E149" s="43">
        <f>IF(D149="h",PV!E149,IF(D149="M",PV!G149,PV!I149))</f>
        <v>14.95</v>
      </c>
      <c r="F149" s="291">
        <v>10</v>
      </c>
      <c r="G149" s="291">
        <v>6</v>
      </c>
      <c r="H149" s="291"/>
      <c r="I149" s="291"/>
      <c r="J149" s="291"/>
      <c r="K149" s="373"/>
      <c r="L149" s="331"/>
      <c r="M149" s="332"/>
      <c r="N149" s="333"/>
      <c r="O149" s="333"/>
      <c r="P149" s="334"/>
      <c r="Q149" s="275">
        <f t="shared" si="16"/>
        <v>0</v>
      </c>
      <c r="R149" s="286">
        <f t="shared" si="17"/>
        <v>0</v>
      </c>
      <c r="U149" s="294">
        <f t="shared" si="18"/>
        <v>0</v>
      </c>
    </row>
    <row r="150" spans="1:21" s="25" customFormat="1" ht="20.100000000000001" customHeight="1" x14ac:dyDescent="0.25">
      <c r="A150" s="335">
        <v>441991</v>
      </c>
      <c r="B150" s="360" t="s">
        <v>72</v>
      </c>
      <c r="C150" s="85">
        <f>PV!C150</f>
        <v>0.16</v>
      </c>
      <c r="D150" s="44" t="str">
        <f t="shared" si="19"/>
        <v>h</v>
      </c>
      <c r="E150" s="43">
        <f>IF(D150="h",PV!E150,IF(D150="M",PV!G150,PV!I150))</f>
        <v>4.75</v>
      </c>
      <c r="F150" s="291">
        <v>5</v>
      </c>
      <c r="G150" s="291">
        <v>7</v>
      </c>
      <c r="H150" s="291"/>
      <c r="I150" s="291"/>
      <c r="J150" s="291"/>
      <c r="K150" s="373"/>
      <c r="L150" s="331"/>
      <c r="M150" s="332"/>
      <c r="N150" s="333"/>
      <c r="O150" s="333"/>
      <c r="P150" s="334"/>
      <c r="Q150" s="275">
        <f t="shared" si="16"/>
        <v>0</v>
      </c>
      <c r="R150" s="286">
        <f t="shared" si="17"/>
        <v>0</v>
      </c>
      <c r="U150" s="294">
        <f t="shared" si="18"/>
        <v>0</v>
      </c>
    </row>
    <row r="151" spans="1:21" s="25" customFormat="1" ht="20.100000000000001" customHeight="1" x14ac:dyDescent="0.25">
      <c r="A151" s="335">
        <v>65899</v>
      </c>
      <c r="B151" s="360" t="s">
        <v>73</v>
      </c>
      <c r="C151" s="85">
        <f>PV!C151</f>
        <v>0.32</v>
      </c>
      <c r="D151" s="44" t="str">
        <f t="shared" si="19"/>
        <v>h</v>
      </c>
      <c r="E151" s="43">
        <f>IF(D151="h",PV!E151,IF(D151="M",PV!G151,PV!I151))</f>
        <v>9.75</v>
      </c>
      <c r="F151" s="291">
        <v>17</v>
      </c>
      <c r="G151" s="291">
        <v>14</v>
      </c>
      <c r="H151" s="291"/>
      <c r="I151" s="291"/>
      <c r="J151" s="291"/>
      <c r="K151" s="373"/>
      <c r="L151" s="331"/>
      <c r="M151" s="332"/>
      <c r="N151" s="333"/>
      <c r="O151" s="333"/>
      <c r="P151" s="334"/>
      <c r="Q151" s="275">
        <f t="shared" si="16"/>
        <v>0</v>
      </c>
      <c r="R151" s="286">
        <f t="shared" si="17"/>
        <v>0</v>
      </c>
      <c r="U151" s="294">
        <f t="shared" si="18"/>
        <v>0</v>
      </c>
    </row>
    <row r="152" spans="1:21" s="25" customFormat="1" ht="20.100000000000001" customHeight="1" x14ac:dyDescent="0.25">
      <c r="A152" s="335">
        <v>65925</v>
      </c>
      <c r="B152" s="360" t="s">
        <v>75</v>
      </c>
      <c r="C152" s="85">
        <f>PV!C152</f>
        <v>0.72</v>
      </c>
      <c r="D152" s="44" t="str">
        <f t="shared" si="19"/>
        <v>h</v>
      </c>
      <c r="E152" s="43">
        <f>IF(D152="h",PV!E152,IF(D152="M",PV!G152,PV!I152))</f>
        <v>14.95</v>
      </c>
      <c r="F152" s="291">
        <v>1</v>
      </c>
      <c r="G152" s="291">
        <v>0</v>
      </c>
      <c r="H152" s="291"/>
      <c r="I152" s="291"/>
      <c r="J152" s="291"/>
      <c r="K152" s="373"/>
      <c r="L152" s="331"/>
      <c r="M152" s="332"/>
      <c r="N152" s="333"/>
      <c r="O152" s="333"/>
      <c r="P152" s="334"/>
      <c r="Q152" s="275">
        <f t="shared" si="16"/>
        <v>0</v>
      </c>
      <c r="R152" s="286">
        <f t="shared" si="17"/>
        <v>0</v>
      </c>
      <c r="U152" s="294">
        <f t="shared" si="18"/>
        <v>0</v>
      </c>
    </row>
    <row r="153" spans="1:21" s="25" customFormat="1" ht="20.100000000000001" customHeight="1" x14ac:dyDescent="0.25">
      <c r="A153" s="335"/>
      <c r="B153" s="360"/>
      <c r="C153" s="85"/>
      <c r="D153" s="44"/>
      <c r="E153" s="43"/>
      <c r="F153" s="291"/>
      <c r="G153" s="291"/>
      <c r="H153" s="291"/>
      <c r="I153" s="291"/>
      <c r="J153" s="291"/>
      <c r="K153" s="45"/>
      <c r="L153" s="331"/>
      <c r="M153" s="332"/>
      <c r="N153" s="333"/>
      <c r="O153" s="333"/>
      <c r="P153" s="334"/>
      <c r="Q153" s="278"/>
      <c r="R153" s="287">
        <f>SUM(R122:R152)</f>
        <v>0</v>
      </c>
      <c r="U153" s="294">
        <f t="shared" si="18"/>
        <v>0</v>
      </c>
    </row>
    <row r="154" spans="1:21" ht="11.25" customHeight="1" x14ac:dyDescent="0.2">
      <c r="A154" s="416"/>
      <c r="B154" s="416"/>
      <c r="C154" s="33"/>
      <c r="D154" s="47"/>
      <c r="E154" s="46"/>
      <c r="F154" s="292"/>
    </row>
    <row r="155" spans="1:21" ht="15" customHeight="1" x14ac:dyDescent="0.2">
      <c r="A155" s="416"/>
      <c r="B155" s="416"/>
      <c r="C155" s="33"/>
      <c r="D155" s="47"/>
      <c r="E155" s="46"/>
      <c r="F155" s="292"/>
    </row>
    <row r="156" spans="1:21" ht="15.75" customHeight="1" x14ac:dyDescent="0.2">
      <c r="A156" s="416"/>
      <c r="B156" s="416"/>
      <c r="C156" s="33"/>
      <c r="D156" s="47"/>
      <c r="E156" s="46"/>
      <c r="F156" s="292"/>
    </row>
    <row r="157" spans="1:21" ht="13.5" customHeight="1" x14ac:dyDescent="0.2">
      <c r="A157" s="416"/>
      <c r="B157" s="416"/>
      <c r="C157" s="33"/>
      <c r="D157" s="47"/>
      <c r="E157" s="46"/>
      <c r="F157" s="292"/>
    </row>
    <row r="158" spans="1:21" ht="15" customHeight="1" x14ac:dyDescent="0.2">
      <c r="A158" s="416"/>
      <c r="B158" s="416"/>
      <c r="C158" s="33"/>
      <c r="D158" s="47"/>
      <c r="E158" s="46"/>
      <c r="F158" s="292"/>
    </row>
    <row r="159" spans="1:21" ht="19.5" customHeight="1" x14ac:dyDescent="0.2">
      <c r="A159" s="375"/>
      <c r="B159" s="361"/>
      <c r="C159" s="33"/>
      <c r="D159" s="47"/>
      <c r="E159" s="46"/>
      <c r="F159" s="292"/>
    </row>
    <row r="160" spans="1:21" ht="21.75" customHeight="1" x14ac:dyDescent="0.2">
      <c r="A160" s="375"/>
      <c r="B160" s="361"/>
      <c r="C160" s="33"/>
      <c r="D160" s="47"/>
      <c r="E160" s="46"/>
      <c r="F160" s="292"/>
    </row>
    <row r="161" spans="1:18" ht="19.5" customHeight="1" x14ac:dyDescent="0.2">
      <c r="A161" s="375"/>
      <c r="B161" s="361"/>
      <c r="C161" s="33"/>
      <c r="D161" s="47"/>
      <c r="E161" s="46"/>
      <c r="F161" s="292"/>
    </row>
    <row r="162" spans="1:18" ht="19.5" x14ac:dyDescent="0.2">
      <c r="A162" s="375"/>
      <c r="B162" s="361"/>
      <c r="C162" s="33"/>
      <c r="D162" s="47"/>
      <c r="E162" s="46"/>
      <c r="F162" s="292"/>
    </row>
    <row r="163" spans="1:18" ht="11.25" customHeight="1" x14ac:dyDescent="0.2">
      <c r="A163" s="375"/>
      <c r="B163" s="362"/>
      <c r="C163" s="33"/>
      <c r="D163" s="33"/>
      <c r="E163" s="33"/>
      <c r="F163" s="292"/>
      <c r="Q163" s="49"/>
      <c r="R163" s="50"/>
    </row>
    <row r="164" spans="1:18" ht="15.75" customHeight="1" x14ac:dyDescent="0.2">
      <c r="A164" s="375"/>
      <c r="B164" s="362"/>
      <c r="C164" s="33"/>
      <c r="D164" s="33"/>
      <c r="E164" s="33"/>
      <c r="F164" s="292"/>
    </row>
  </sheetData>
  <sheetProtection password="C71F" sheet="1" objects="1" scenarios="1" formatCells="0"/>
  <mergeCells count="20">
    <mergeCell ref="A154:B154"/>
    <mergeCell ref="A155:B155"/>
    <mergeCell ref="A156:B156"/>
    <mergeCell ref="A157:B157"/>
    <mergeCell ref="A158:B158"/>
    <mergeCell ref="L1:P1"/>
    <mergeCell ref="B2:B3"/>
    <mergeCell ref="C2:C3"/>
    <mergeCell ref="D2:D3"/>
    <mergeCell ref="E2:E3"/>
    <mergeCell ref="F2:F3"/>
    <mergeCell ref="G2:G3"/>
    <mergeCell ref="K2:K3"/>
    <mergeCell ref="L2:L3"/>
    <mergeCell ref="Q2:Q3"/>
    <mergeCell ref="R2:R3"/>
    <mergeCell ref="M2:M3"/>
    <mergeCell ref="N2:N3"/>
    <mergeCell ref="O2:O3"/>
    <mergeCell ref="P2:P3"/>
  </mergeCells>
  <conditionalFormatting sqref="L4:P153">
    <cfRule type="cellIs" dxfId="5" priority="1" operator="lessThan">
      <formula>1</formula>
    </cfRule>
  </conditionalFormatting>
  <printOptions horizontalCentered="1"/>
  <pageMargins left="0" right="0" top="0.39370078740157499" bottom="0.59055118110236204" header="0.15748031496063" footer="0.15748031496063"/>
  <pageSetup paperSize="9" scale="70" fitToHeight="5" orientation="portrait" r:id="rId1"/>
  <headerFooter alignWithMargins="0">
    <oddFooter>&amp;Lécole boulangerie&amp;CPage &amp;P</oddFooter>
  </headerFooter>
  <rowBreaks count="2" manualBreakCount="2">
    <brk id="57" max="15" man="1"/>
    <brk id="112" max="15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J182"/>
  <sheetViews>
    <sheetView showGridLines="0" topLeftCell="A144" zoomScaleNormal="100" workbookViewId="0">
      <selection activeCell="A4" sqref="A4:E4"/>
    </sheetView>
  </sheetViews>
  <sheetFormatPr defaultColWidth="11.42578125" defaultRowHeight="12.75" x14ac:dyDescent="0.2"/>
  <cols>
    <col min="1" max="1" width="22.28515625" style="97" customWidth="1"/>
    <col min="2" max="2" width="12" style="97" bestFit="1" customWidth="1"/>
    <col min="3" max="3" width="4" style="97" bestFit="1" customWidth="1"/>
    <col min="4" max="4" width="3.85546875" style="97" customWidth="1"/>
    <col min="5" max="5" width="26.5703125" style="97" bestFit="1" customWidth="1"/>
    <col min="6" max="6" width="8.28515625" style="134" customWidth="1"/>
    <col min="7" max="7" width="10.42578125" style="135" customWidth="1"/>
    <col min="8" max="8" width="7" style="97" customWidth="1"/>
    <col min="9" max="9" width="4.28515625" style="97" customWidth="1"/>
    <col min="10" max="10" width="11.42578125" style="179"/>
    <col min="11" max="16384" width="11.42578125" style="97"/>
  </cols>
  <sheetData>
    <row r="1" spans="1:7" ht="15.75" x14ac:dyDescent="0.25">
      <c r="A1" s="51" t="str">
        <f>tuesday!G1</f>
        <v>Tuesday</v>
      </c>
      <c r="B1" s="52">
        <f>tuesday!K1</f>
        <v>42458</v>
      </c>
    </row>
    <row r="2" spans="1:7" ht="18" x14ac:dyDescent="0.25">
      <c r="A2" s="177" t="s">
        <v>86</v>
      </c>
    </row>
    <row r="3" spans="1:7" ht="6" customHeight="1" x14ac:dyDescent="0.25">
      <c r="A3" s="136"/>
    </row>
    <row r="4" spans="1:7" ht="15.75" x14ac:dyDescent="0.25">
      <c r="A4" s="418" t="s">
        <v>0</v>
      </c>
      <c r="B4" s="418"/>
      <c r="C4" s="418"/>
      <c r="D4" s="418"/>
      <c r="E4" s="418"/>
      <c r="F4" s="53">
        <f>tuesday!R24</f>
        <v>0</v>
      </c>
      <c r="G4" s="54" t="s">
        <v>87</v>
      </c>
    </row>
    <row r="5" spans="1:7" ht="13.5" customHeight="1" x14ac:dyDescent="0.25">
      <c r="A5" s="55" t="s">
        <v>88</v>
      </c>
      <c r="B5" s="137">
        <f>tuesday!F1</f>
        <v>50</v>
      </c>
      <c r="C5" s="56"/>
      <c r="D5" s="57"/>
    </row>
    <row r="6" spans="1:7" ht="15.75" x14ac:dyDescent="0.25">
      <c r="A6" s="138" t="s">
        <v>89</v>
      </c>
      <c r="B6" s="139">
        <f>ROUNDDOWN(A7/B5,0)</f>
        <v>0</v>
      </c>
      <c r="C6" s="56"/>
      <c r="D6" s="57"/>
      <c r="E6" s="58" t="s">
        <v>90</v>
      </c>
    </row>
    <row r="7" spans="1:7" x14ac:dyDescent="0.2">
      <c r="A7" s="289">
        <f>B13*farine</f>
        <v>0</v>
      </c>
      <c r="B7" s="417" t="s">
        <v>91</v>
      </c>
      <c r="C7" s="417"/>
      <c r="D7" s="298"/>
      <c r="F7" s="417" t="s">
        <v>91</v>
      </c>
      <c r="G7" s="417"/>
    </row>
    <row r="8" spans="1:7" x14ac:dyDescent="0.2">
      <c r="A8" s="2" t="s">
        <v>2</v>
      </c>
      <c r="B8" s="140">
        <f>B5</f>
        <v>50</v>
      </c>
      <c r="C8" s="141" t="s">
        <v>87</v>
      </c>
      <c r="D8" s="96"/>
      <c r="E8" s="2" t="s">
        <v>2</v>
      </c>
      <c r="F8" s="72">
        <f>ROUNDUP(A7-(B6*B5),0)</f>
        <v>0</v>
      </c>
      <c r="G8" s="141" t="s">
        <v>87</v>
      </c>
    </row>
    <row r="9" spans="1:7" x14ac:dyDescent="0.2">
      <c r="A9" s="5" t="s">
        <v>3</v>
      </c>
      <c r="B9" s="142">
        <f>recipe!C5*P.tuesday!B8</f>
        <v>30.5</v>
      </c>
      <c r="C9" s="143" t="s">
        <v>92</v>
      </c>
      <c r="D9" s="131"/>
      <c r="E9" s="5" t="s">
        <v>3</v>
      </c>
      <c r="F9" s="144">
        <f>recipe!C5*P.tuesday!F8</f>
        <v>0</v>
      </c>
      <c r="G9" s="143" t="s">
        <v>92</v>
      </c>
    </row>
    <row r="10" spans="1:7" x14ac:dyDescent="0.2">
      <c r="A10" s="5" t="s">
        <v>4</v>
      </c>
      <c r="B10" s="145">
        <f>recipe!C6*P.tuesday!B8</f>
        <v>1</v>
      </c>
      <c r="C10" s="146" t="s">
        <v>87</v>
      </c>
      <c r="D10" s="131"/>
      <c r="E10" s="5" t="s">
        <v>4</v>
      </c>
      <c r="F10" s="142">
        <f>ROUND(recipe!C6*P.tuesday!F9,2)*1000</f>
        <v>0</v>
      </c>
      <c r="G10" s="146" t="s">
        <v>93</v>
      </c>
    </row>
    <row r="11" spans="1:7" x14ac:dyDescent="0.2">
      <c r="A11" s="5" t="s">
        <v>5</v>
      </c>
      <c r="B11" s="145">
        <f>recipe!C7*P.tuesday!B8</f>
        <v>0.5</v>
      </c>
      <c r="C11" s="146" t="s">
        <v>87</v>
      </c>
      <c r="D11" s="131"/>
      <c r="E11" s="5" t="s">
        <v>5</v>
      </c>
      <c r="F11" s="142">
        <f>ROUND(recipe!C7*P.tuesday!F8,2)*1000</f>
        <v>0</v>
      </c>
      <c r="G11" s="146" t="s">
        <v>93</v>
      </c>
    </row>
    <row r="12" spans="1:7" x14ac:dyDescent="0.2">
      <c r="A12" s="5" t="s">
        <v>6</v>
      </c>
      <c r="B12" s="142">
        <f>(recipe!C8*P.tuesday!B8)*1000</f>
        <v>500</v>
      </c>
      <c r="C12" s="146" t="s">
        <v>94</v>
      </c>
      <c r="D12" s="131"/>
      <c r="E12" s="5" t="s">
        <v>6</v>
      </c>
      <c r="F12" s="142">
        <f>ROUND(recipe!C8*P.tuesday!F8,2)*1000</f>
        <v>0</v>
      </c>
      <c r="G12" s="146" t="s">
        <v>94</v>
      </c>
    </row>
    <row r="13" spans="1:7" hidden="1" x14ac:dyDescent="0.2">
      <c r="A13" s="147"/>
      <c r="B13" s="134">
        <f>F4/recipe!B9</f>
        <v>0</v>
      </c>
      <c r="C13" s="135"/>
      <c r="D13" s="96"/>
    </row>
    <row r="14" spans="1:7" x14ac:dyDescent="0.2">
      <c r="A14" s="59"/>
      <c r="B14" s="60"/>
      <c r="C14" s="61"/>
      <c r="D14" s="96"/>
    </row>
    <row r="15" spans="1:7" ht="15.75" x14ac:dyDescent="0.25">
      <c r="A15" s="240" t="s">
        <v>1</v>
      </c>
      <c r="B15" s="53">
        <f>tuesday!R42</f>
        <v>0</v>
      </c>
      <c r="C15" s="54" t="s">
        <v>87</v>
      </c>
      <c r="D15" s="96"/>
      <c r="E15" s="176" t="s">
        <v>232</v>
      </c>
      <c r="F15" s="67">
        <f>tuesday!K38</f>
        <v>0</v>
      </c>
      <c r="G15" s="54" t="s">
        <v>233</v>
      </c>
    </row>
    <row r="16" spans="1:7" x14ac:dyDescent="0.2">
      <c r="B16" s="417" t="s">
        <v>91</v>
      </c>
      <c r="C16" s="417"/>
      <c r="D16" s="96"/>
      <c r="F16" s="417" t="s">
        <v>91</v>
      </c>
      <c r="G16" s="417"/>
    </row>
    <row r="17" spans="1:7" x14ac:dyDescent="0.2">
      <c r="A17" s="2" t="s">
        <v>2</v>
      </c>
      <c r="B17" s="149">
        <f>ROUND(ftf*P.tuesday!B23,0)</f>
        <v>0</v>
      </c>
      <c r="C17" s="141" t="s">
        <v>87</v>
      </c>
      <c r="D17" s="96"/>
      <c r="E17" s="8" t="s">
        <v>234</v>
      </c>
      <c r="F17" s="250">
        <f>ROUND(F15*recipe!B136,1)</f>
        <v>0</v>
      </c>
      <c r="G17" s="70" t="s">
        <v>87</v>
      </c>
    </row>
    <row r="18" spans="1:7" x14ac:dyDescent="0.2">
      <c r="A18" s="5" t="s">
        <v>3</v>
      </c>
      <c r="B18" s="145">
        <f>ROUND(recipe!G5*P.tuesday!B17,1)</f>
        <v>0</v>
      </c>
      <c r="C18" s="143" t="s">
        <v>92</v>
      </c>
      <c r="D18" s="96"/>
      <c r="E18" s="62" t="s">
        <v>200</v>
      </c>
      <c r="F18" s="251">
        <f>ROUND(F15*recipe!B137,1)*1000</f>
        <v>0</v>
      </c>
      <c r="G18" s="163" t="s">
        <v>94</v>
      </c>
    </row>
    <row r="19" spans="1:7" x14ac:dyDescent="0.2">
      <c r="A19" s="5" t="s">
        <v>4</v>
      </c>
      <c r="B19" s="142">
        <f>ROUND(recipe!G6*P.tuesday!B17,2)*1000</f>
        <v>0</v>
      </c>
      <c r="C19" s="146" t="s">
        <v>94</v>
      </c>
      <c r="D19" s="96"/>
      <c r="F19" s="172"/>
      <c r="G19" s="148"/>
    </row>
    <row r="20" spans="1:7" x14ac:dyDescent="0.2">
      <c r="A20" s="5" t="s">
        <v>5</v>
      </c>
      <c r="B20" s="142">
        <f>ROUND(recipe!G7*P.tuesday!B17,2)*1000</f>
        <v>0</v>
      </c>
      <c r="C20" s="146" t="s">
        <v>94</v>
      </c>
      <c r="D20" s="96"/>
    </row>
    <row r="21" spans="1:7" x14ac:dyDescent="0.2">
      <c r="A21" s="5" t="s">
        <v>195</v>
      </c>
      <c r="B21" s="95">
        <f>ROUND(recipe!G8*P.tuesday!B17,1)</f>
        <v>0</v>
      </c>
      <c r="C21" s="150" t="s">
        <v>87</v>
      </c>
      <c r="D21" s="96"/>
    </row>
    <row r="22" spans="1:7" x14ac:dyDescent="0.2">
      <c r="A22" s="5"/>
      <c r="B22" s="151"/>
      <c r="C22" s="150"/>
      <c r="D22" s="96"/>
    </row>
    <row r="23" spans="1:7" hidden="1" x14ac:dyDescent="0.2">
      <c r="B23" s="134">
        <f>B15/recipe!F9</f>
        <v>0</v>
      </c>
      <c r="C23" s="148"/>
      <c r="D23" s="96"/>
    </row>
    <row r="24" spans="1:7" x14ac:dyDescent="0.2">
      <c r="A24" s="147"/>
      <c r="B24" s="134"/>
      <c r="C24" s="135"/>
      <c r="D24" s="96"/>
    </row>
    <row r="25" spans="1:7" ht="15.75" x14ac:dyDescent="0.25">
      <c r="A25" s="240" t="s">
        <v>159</v>
      </c>
      <c r="B25" s="53">
        <f>tuesday!R121</f>
        <v>0</v>
      </c>
      <c r="C25" s="54" t="s">
        <v>87</v>
      </c>
      <c r="E25" s="176" t="s">
        <v>96</v>
      </c>
      <c r="F25" s="66">
        <f>tuesday!R117+tuesday!R119</f>
        <v>0</v>
      </c>
      <c r="G25" s="54" t="s">
        <v>87</v>
      </c>
    </row>
    <row r="26" spans="1:7" x14ac:dyDescent="0.2">
      <c r="B26" s="417" t="s">
        <v>91</v>
      </c>
      <c r="C26" s="417"/>
      <c r="F26" s="417" t="s">
        <v>91</v>
      </c>
      <c r="G26" s="417"/>
    </row>
    <row r="27" spans="1:7" x14ac:dyDescent="0.2">
      <c r="A27" s="2" t="s">
        <v>10</v>
      </c>
      <c r="B27" s="149">
        <f>ROUND(flr*P.tuesday!B36,1)</f>
        <v>0</v>
      </c>
      <c r="C27" s="141" t="s">
        <v>87</v>
      </c>
      <c r="E27" s="8" t="s">
        <v>224</v>
      </c>
      <c r="F27" s="252">
        <f>F25*recipe!F145/recipe!F147</f>
        <v>0</v>
      </c>
      <c r="G27" s="154" t="s">
        <v>87</v>
      </c>
    </row>
    <row r="28" spans="1:7" x14ac:dyDescent="0.2">
      <c r="A28" s="5" t="s">
        <v>3</v>
      </c>
      <c r="B28" s="145">
        <f>ROUND(recipe!G17*P.tuesday!B27,1)</f>
        <v>0</v>
      </c>
      <c r="C28" s="143" t="s">
        <v>87</v>
      </c>
      <c r="E28" s="62" t="s">
        <v>225</v>
      </c>
      <c r="F28" s="252">
        <f>F25*recipe!F146/recipe!F147</f>
        <v>0</v>
      </c>
      <c r="G28" s="100" t="s">
        <v>87</v>
      </c>
    </row>
    <row r="29" spans="1:7" x14ac:dyDescent="0.2">
      <c r="A29" s="5" t="s">
        <v>176</v>
      </c>
      <c r="B29" s="145">
        <f>ROUND(recipe!G18*P.tuesday!B27,1)</f>
        <v>0</v>
      </c>
      <c r="C29" s="143" t="s">
        <v>92</v>
      </c>
      <c r="E29" s="63"/>
      <c r="F29" s="97"/>
      <c r="G29" s="148"/>
    </row>
    <row r="30" spans="1:7" x14ac:dyDescent="0.2">
      <c r="A30" s="5" t="s">
        <v>12</v>
      </c>
      <c r="B30" s="145">
        <f>ROUND(recipe!G19*P.tuesday!B27,1)</f>
        <v>0</v>
      </c>
      <c r="C30" s="146" t="s">
        <v>94</v>
      </c>
    </row>
    <row r="31" spans="1:7" x14ac:dyDescent="0.2">
      <c r="A31" s="5" t="s">
        <v>4</v>
      </c>
      <c r="B31" s="142">
        <f>ROUND(recipe!G20*P.tuesday!B27,1)*1000</f>
        <v>0</v>
      </c>
      <c r="C31" s="146" t="s">
        <v>94</v>
      </c>
    </row>
    <row r="32" spans="1:7" x14ac:dyDescent="0.2">
      <c r="A32" s="5" t="s">
        <v>6</v>
      </c>
      <c r="B32" s="142">
        <f>ROUND(recipe!G21*P.tuesday!B27,2)*1000</f>
        <v>0</v>
      </c>
      <c r="C32" s="146" t="s">
        <v>94</v>
      </c>
    </row>
    <row r="33" spans="1:7" x14ac:dyDescent="0.2">
      <c r="A33" s="5" t="s">
        <v>5</v>
      </c>
      <c r="B33" s="142">
        <f>ROUND(recipe!G22*P.tuesday!B27,1)*1000</f>
        <v>0</v>
      </c>
      <c r="C33" s="146" t="s">
        <v>94</v>
      </c>
    </row>
    <row r="34" spans="1:7" x14ac:dyDescent="0.2">
      <c r="A34" s="5" t="s">
        <v>177</v>
      </c>
      <c r="B34" s="142">
        <f>ROUND(recipe!G23*P.tuesday!B27,2)*1000</f>
        <v>0</v>
      </c>
      <c r="C34" s="146" t="s">
        <v>94</v>
      </c>
      <c r="F34" s="97"/>
      <c r="G34" s="97"/>
    </row>
    <row r="35" spans="1:7" x14ac:dyDescent="0.2">
      <c r="A35" s="3" t="s">
        <v>16</v>
      </c>
      <c r="B35" s="153">
        <f>ROUND(recipe!G24*P.tuesday!B27,2)</f>
        <v>0</v>
      </c>
      <c r="C35" s="150" t="s">
        <v>87</v>
      </c>
      <c r="F35" s="97"/>
      <c r="G35" s="97"/>
    </row>
    <row r="36" spans="1:7" hidden="1" x14ac:dyDescent="0.2">
      <c r="B36" s="134">
        <f>B25/recipe!F25</f>
        <v>0</v>
      </c>
      <c r="C36" s="148"/>
      <c r="F36" s="166">
        <f>F25/recipe!F147</f>
        <v>0</v>
      </c>
      <c r="G36" s="97"/>
    </row>
    <row r="37" spans="1:7" x14ac:dyDescent="0.2">
      <c r="B37" s="134"/>
      <c r="C37" s="135"/>
      <c r="D37" s="101"/>
      <c r="F37" s="97"/>
      <c r="G37" s="97"/>
    </row>
    <row r="38" spans="1:7" ht="15.75" x14ac:dyDescent="0.25">
      <c r="A38" s="240" t="s">
        <v>7</v>
      </c>
      <c r="B38" s="53">
        <f>tuesday!R58</f>
        <v>0</v>
      </c>
      <c r="C38" s="54" t="s">
        <v>87</v>
      </c>
      <c r="D38" s="57"/>
      <c r="E38" s="176" t="s">
        <v>229</v>
      </c>
      <c r="F38" s="67">
        <f>tuesday!K57</f>
        <v>0</v>
      </c>
      <c r="G38" s="54" t="s">
        <v>235</v>
      </c>
    </row>
    <row r="39" spans="1:7" x14ac:dyDescent="0.2">
      <c r="B39" s="417" t="s">
        <v>91</v>
      </c>
      <c r="C39" s="417"/>
      <c r="D39" s="80"/>
      <c r="F39" s="417" t="s">
        <v>91</v>
      </c>
      <c r="G39" s="417"/>
    </row>
    <row r="40" spans="1:7" x14ac:dyDescent="0.2">
      <c r="A40" s="8" t="s">
        <v>9</v>
      </c>
      <c r="B40" s="267">
        <f>ROUNDUP(fcr*P.tuesday!B44,0)</f>
        <v>0</v>
      </c>
      <c r="C40" s="141" t="s">
        <v>87</v>
      </c>
      <c r="D40" s="101"/>
      <c r="E40" s="8" t="s">
        <v>199</v>
      </c>
      <c r="F40" s="266">
        <f>ROUND(F38*recipe!B128,1)</f>
        <v>0</v>
      </c>
      <c r="G40" s="70" t="s">
        <v>87</v>
      </c>
    </row>
    <row r="41" spans="1:7" x14ac:dyDescent="0.2">
      <c r="A41" s="9" t="s">
        <v>197</v>
      </c>
      <c r="B41" s="268">
        <f>ROUND(recipe!C17*P.tuesday!B40,1)</f>
        <v>0</v>
      </c>
      <c r="C41" s="143" t="s">
        <v>87</v>
      </c>
      <c r="D41" s="101"/>
      <c r="E41" s="62" t="s">
        <v>230</v>
      </c>
      <c r="F41" s="251">
        <f>ROUND(F38*recipe!B129,1)*1000</f>
        <v>0</v>
      </c>
      <c r="G41" s="163" t="s">
        <v>94</v>
      </c>
    </row>
    <row r="42" spans="1:7" x14ac:dyDescent="0.2">
      <c r="A42" s="9" t="s">
        <v>11</v>
      </c>
      <c r="B42" s="269">
        <f>ROUND(recipe!C18*P.tuesday!B40,1)</f>
        <v>0</v>
      </c>
      <c r="C42" s="143" t="s">
        <v>92</v>
      </c>
      <c r="D42" s="101"/>
      <c r="E42" s="62" t="s">
        <v>236</v>
      </c>
      <c r="F42" s="251">
        <f>ROUND(F38*recipe!B130,1)*1000</f>
        <v>0</v>
      </c>
      <c r="G42" s="163" t="s">
        <v>94</v>
      </c>
    </row>
    <row r="43" spans="1:7" x14ac:dyDescent="0.2">
      <c r="A43" s="9" t="s">
        <v>5</v>
      </c>
      <c r="B43" s="270">
        <f>ROUND(recipe!C19*P.tuesday!B40,2)*1000</f>
        <v>0</v>
      </c>
      <c r="C43" s="146" t="s">
        <v>94</v>
      </c>
      <c r="D43" s="101"/>
      <c r="F43" s="97"/>
      <c r="G43" s="97"/>
    </row>
    <row r="44" spans="1:7" hidden="1" x14ac:dyDescent="0.2">
      <c r="B44" s="134">
        <f>B38/recipe!B25</f>
        <v>0</v>
      </c>
      <c r="C44" s="135"/>
      <c r="D44" s="101"/>
      <c r="G44" s="148"/>
    </row>
    <row r="45" spans="1:7" x14ac:dyDescent="0.2">
      <c r="B45" s="134"/>
      <c r="C45" s="135"/>
      <c r="D45" s="101"/>
      <c r="G45" s="148"/>
    </row>
    <row r="46" spans="1:7" ht="15.75" x14ac:dyDescent="0.25">
      <c r="A46" s="176" t="s">
        <v>226</v>
      </c>
      <c r="B46" s="67">
        <f>tuesday!K54</f>
        <v>0</v>
      </c>
      <c r="C46" s="54" t="s">
        <v>235</v>
      </c>
      <c r="D46" s="132"/>
      <c r="E46" s="227"/>
      <c r="F46" s="228"/>
      <c r="G46" s="229"/>
    </row>
    <row r="47" spans="1:7" x14ac:dyDescent="0.2">
      <c r="B47" s="417" t="s">
        <v>91</v>
      </c>
      <c r="C47" s="417"/>
      <c r="D47" s="80"/>
      <c r="E47" s="230"/>
      <c r="F47" s="419"/>
      <c r="G47" s="419"/>
    </row>
    <row r="48" spans="1:7" x14ac:dyDescent="0.2">
      <c r="A48" s="8" t="s">
        <v>199</v>
      </c>
      <c r="B48" s="250">
        <f>ROUND(B46*recipe!F119,1)</f>
        <v>0</v>
      </c>
      <c r="C48" s="70" t="s">
        <v>87</v>
      </c>
      <c r="D48" s="101"/>
      <c r="E48" s="231"/>
      <c r="F48" s="232"/>
      <c r="G48" s="239"/>
    </row>
    <row r="49" spans="1:8" x14ac:dyDescent="0.2">
      <c r="A49" s="62" t="s">
        <v>231</v>
      </c>
      <c r="B49" s="261">
        <f>ROUND(B46*recipe!F120,2)*1000</f>
        <v>0</v>
      </c>
      <c r="C49" s="163" t="s">
        <v>94</v>
      </c>
      <c r="D49" s="101"/>
      <c r="E49" s="231"/>
      <c r="F49" s="232"/>
      <c r="G49" s="239"/>
    </row>
    <row r="50" spans="1:8" hidden="1" x14ac:dyDescent="0.2">
      <c r="B50" s="134">
        <f>B46/recipe!F121</f>
        <v>0</v>
      </c>
      <c r="C50" s="135"/>
      <c r="D50" s="101"/>
      <c r="E50" s="230"/>
      <c r="F50" s="237"/>
      <c r="G50" s="234"/>
    </row>
    <row r="51" spans="1:8" ht="4.5" customHeight="1" x14ac:dyDescent="0.2">
      <c r="B51" s="134"/>
      <c r="C51" s="135"/>
      <c r="G51" s="160"/>
    </row>
    <row r="52" spans="1:8" ht="15.75" x14ac:dyDescent="0.25">
      <c r="A52" s="176" t="s">
        <v>227</v>
      </c>
      <c r="B52" s="67">
        <f>tuesday!K56</f>
        <v>0</v>
      </c>
      <c r="C52" s="54" t="s">
        <v>235</v>
      </c>
      <c r="D52" s="132"/>
      <c r="E52" s="176" t="s">
        <v>228</v>
      </c>
      <c r="F52" s="67">
        <f>tuesday!K52</f>
        <v>0</v>
      </c>
      <c r="G52" s="54" t="s">
        <v>235</v>
      </c>
    </row>
    <row r="53" spans="1:8" x14ac:dyDescent="0.2">
      <c r="B53" s="417" t="s">
        <v>91</v>
      </c>
      <c r="C53" s="417"/>
      <c r="D53" s="80"/>
      <c r="F53" s="417" t="s">
        <v>91</v>
      </c>
      <c r="G53" s="417"/>
    </row>
    <row r="54" spans="1:8" x14ac:dyDescent="0.2">
      <c r="A54" s="8" t="s">
        <v>199</v>
      </c>
      <c r="B54" s="250">
        <f>ROUND(B52*recipe!B119,1)</f>
        <v>0</v>
      </c>
      <c r="C54" s="70" t="s">
        <v>87</v>
      </c>
      <c r="D54" s="101"/>
      <c r="E54" s="8" t="s">
        <v>199</v>
      </c>
      <c r="F54" s="266">
        <f>ROUND(F52*recipe!F128,1)</f>
        <v>0</v>
      </c>
      <c r="G54" s="70" t="s">
        <v>87</v>
      </c>
    </row>
    <row r="55" spans="1:8" x14ac:dyDescent="0.2">
      <c r="A55" s="62" t="s">
        <v>230</v>
      </c>
      <c r="B55" s="265">
        <f>ROUND(B52*recipe!B120,2)*1000</f>
        <v>0</v>
      </c>
      <c r="C55" s="163" t="s">
        <v>94</v>
      </c>
      <c r="D55" s="101"/>
      <c r="E55" s="62" t="s">
        <v>22</v>
      </c>
      <c r="F55" s="261">
        <f>ROUND(F52*recipe!F129,2)*1000</f>
        <v>0</v>
      </c>
      <c r="G55" s="163" t="s">
        <v>94</v>
      </c>
    </row>
    <row r="56" spans="1:8" hidden="1" x14ac:dyDescent="0.2">
      <c r="B56" s="134">
        <f>B52/recipe!B121</f>
        <v>0</v>
      </c>
      <c r="C56" s="135"/>
      <c r="D56" s="101"/>
      <c r="F56" s="134">
        <f>F52/recipe!F130</f>
        <v>0</v>
      </c>
      <c r="G56" s="148"/>
    </row>
    <row r="57" spans="1:8" ht="4.5" customHeight="1" x14ac:dyDescent="0.2">
      <c r="B57" s="134"/>
      <c r="C57" s="135"/>
      <c r="G57" s="160"/>
    </row>
    <row r="58" spans="1:8" ht="15.75" x14ac:dyDescent="0.25">
      <c r="D58" s="132"/>
      <c r="F58" s="97"/>
      <c r="G58" s="97"/>
    </row>
    <row r="59" spans="1:8" ht="15.75" x14ac:dyDescent="0.25">
      <c r="A59" s="176" t="s">
        <v>21</v>
      </c>
      <c r="B59" s="53">
        <f>tuesday!R74</f>
        <v>0</v>
      </c>
      <c r="C59" s="54" t="s">
        <v>87</v>
      </c>
      <c r="D59" s="101"/>
      <c r="E59" s="176" t="s">
        <v>17</v>
      </c>
      <c r="F59" s="53">
        <f>tuesday!R44</f>
        <v>0</v>
      </c>
      <c r="G59" s="54" t="s">
        <v>87</v>
      </c>
    </row>
    <row r="60" spans="1:8" x14ac:dyDescent="0.2">
      <c r="B60" s="417" t="s">
        <v>91</v>
      </c>
      <c r="C60" s="417"/>
      <c r="D60" s="101"/>
      <c r="F60" s="417" t="s">
        <v>91</v>
      </c>
      <c r="G60" s="417"/>
    </row>
    <row r="61" spans="1:8" x14ac:dyDescent="0.2">
      <c r="A61" s="2" t="s">
        <v>10</v>
      </c>
      <c r="B61" s="69">
        <f>ROUND(B68*fvr,1)</f>
        <v>0</v>
      </c>
      <c r="C61" s="70" t="s">
        <v>87</v>
      </c>
      <c r="E61" s="2" t="s">
        <v>10</v>
      </c>
      <c r="F61" s="149">
        <f>ROUND(fbr*P.tuesday!F68,1)</f>
        <v>0</v>
      </c>
      <c r="G61" s="70" t="s">
        <v>87</v>
      </c>
    </row>
    <row r="62" spans="1:8" x14ac:dyDescent="0.2">
      <c r="A62" s="5" t="s">
        <v>3</v>
      </c>
      <c r="B62" s="69">
        <f>ROUND(B68*recipe!B80,1)</f>
        <v>0</v>
      </c>
      <c r="C62" s="146" t="s">
        <v>92</v>
      </c>
      <c r="E62" s="5" t="s">
        <v>3</v>
      </c>
      <c r="F62" s="145">
        <f>ROUND(recipe!C56*P.tuesday!F61,1)</f>
        <v>0</v>
      </c>
      <c r="G62" s="146" t="s">
        <v>92</v>
      </c>
      <c r="H62" s="115"/>
    </row>
    <row r="63" spans="1:8" x14ac:dyDescent="0.2">
      <c r="A63" s="5" t="s">
        <v>4</v>
      </c>
      <c r="B63" s="72">
        <f>ROUND(B68*recipe!B81,2)*1000</f>
        <v>0</v>
      </c>
      <c r="C63" s="146" t="s">
        <v>94</v>
      </c>
      <c r="E63" s="5" t="s">
        <v>5</v>
      </c>
      <c r="F63" s="142">
        <f>ROUND(recipe!C57*P.tuesday!F61,2)*1000</f>
        <v>0</v>
      </c>
      <c r="G63" s="146" t="s">
        <v>94</v>
      </c>
      <c r="H63" s="115"/>
    </row>
    <row r="64" spans="1:8" x14ac:dyDescent="0.2">
      <c r="A64" s="5" t="s">
        <v>5</v>
      </c>
      <c r="B64" s="72">
        <f>ROUND(B68*recipe!B82,2)*1000</f>
        <v>0</v>
      </c>
      <c r="C64" s="146" t="s">
        <v>94</v>
      </c>
      <c r="D64" s="115"/>
      <c r="E64" s="5" t="s">
        <v>196</v>
      </c>
      <c r="F64" s="142">
        <f>ROUND(recipe!C58*P.tuesday!F61,2)*1000</f>
        <v>0</v>
      </c>
      <c r="G64" s="146" t="s">
        <v>94</v>
      </c>
    </row>
    <row r="65" spans="1:7" x14ac:dyDescent="0.2">
      <c r="A65" s="5" t="s">
        <v>6</v>
      </c>
      <c r="B65" s="72">
        <f>ROUND(B68*recipe!B83,2)*1000</f>
        <v>0</v>
      </c>
      <c r="C65" s="146" t="s">
        <v>94</v>
      </c>
      <c r="E65" s="5" t="s">
        <v>133</v>
      </c>
      <c r="F65" s="142">
        <f>ROUND(recipe!C58*P.tuesday!F62,1)*1000</f>
        <v>0</v>
      </c>
      <c r="G65" s="146" t="s">
        <v>87</v>
      </c>
    </row>
    <row r="66" spans="1:7" x14ac:dyDescent="0.2">
      <c r="A66" s="5" t="s">
        <v>12</v>
      </c>
      <c r="B66" s="69">
        <f>ROUND(B68*recipe!B84,1)</f>
        <v>0</v>
      </c>
      <c r="C66" s="146" t="s">
        <v>87</v>
      </c>
      <c r="E66" s="3" t="s">
        <v>4</v>
      </c>
      <c r="F66" s="142">
        <f>ROUND(recipe!C60*P.tuesday!F61,2)*1000</f>
        <v>0</v>
      </c>
      <c r="G66" s="100" t="s">
        <v>94</v>
      </c>
    </row>
    <row r="67" spans="1:7" x14ac:dyDescent="0.2">
      <c r="A67" s="5" t="s">
        <v>205</v>
      </c>
      <c r="B67" s="69">
        <f>ROUND(B68*recipe!B85,1)</f>
        <v>0</v>
      </c>
      <c r="C67" s="146" t="s">
        <v>87</v>
      </c>
      <c r="F67" s="97"/>
    </row>
    <row r="68" spans="1:7" hidden="1" x14ac:dyDescent="0.2">
      <c r="A68" s="59"/>
      <c r="B68" s="60">
        <f>B59/recipe!B86</f>
        <v>0</v>
      </c>
      <c r="C68" s="135"/>
      <c r="D68" s="101"/>
      <c r="E68" s="231"/>
      <c r="F68" s="134">
        <f>F59/recipe!B61</f>
        <v>0</v>
      </c>
      <c r="G68" s="238"/>
    </row>
    <row r="69" spans="1:7" x14ac:dyDescent="0.2">
      <c r="A69" s="230"/>
      <c r="B69" s="237"/>
      <c r="C69" s="233"/>
      <c r="D69" s="101"/>
      <c r="E69" s="231"/>
      <c r="F69" s="235"/>
      <c r="G69" s="238"/>
    </row>
    <row r="70" spans="1:7" ht="15.75" x14ac:dyDescent="0.25">
      <c r="A70" s="176" t="s">
        <v>169</v>
      </c>
      <c r="B70" s="67">
        <f>tuesday!R113</f>
        <v>0</v>
      </c>
      <c r="C70" s="54" t="s">
        <v>87</v>
      </c>
      <c r="E70" s="176" t="s">
        <v>211</v>
      </c>
      <c r="F70" s="64">
        <f>tuesday!R84</f>
        <v>0</v>
      </c>
      <c r="G70" s="54" t="s">
        <v>87</v>
      </c>
    </row>
    <row r="71" spans="1:7" x14ac:dyDescent="0.2">
      <c r="B71" s="417" t="s">
        <v>91</v>
      </c>
      <c r="C71" s="417"/>
      <c r="F71" s="417" t="s">
        <v>91</v>
      </c>
      <c r="G71" s="417"/>
    </row>
    <row r="72" spans="1:7" x14ac:dyDescent="0.2">
      <c r="A72" s="8" t="s">
        <v>10</v>
      </c>
      <c r="B72" s="250">
        <f>ROUND(prnr*P.tuesday!B76,1)</f>
        <v>0</v>
      </c>
      <c r="C72" s="154" t="s">
        <v>87</v>
      </c>
      <c r="E72" s="2" t="s">
        <v>284</v>
      </c>
      <c r="F72" s="164">
        <f>ROUND(fpbr*P.tuesday!F76,1)</f>
        <v>0</v>
      </c>
      <c r="G72" s="154" t="s">
        <v>87</v>
      </c>
    </row>
    <row r="73" spans="1:7" x14ac:dyDescent="0.2">
      <c r="A73" s="9" t="s">
        <v>3</v>
      </c>
      <c r="B73" s="250">
        <f>ROUND(B72*recipe!G137,1)</f>
        <v>0</v>
      </c>
      <c r="C73" s="155" t="s">
        <v>87</v>
      </c>
      <c r="E73" s="5" t="s">
        <v>246</v>
      </c>
      <c r="F73" s="158">
        <f>ROUND(recipe!G33*P.tuesday!F72,1)</f>
        <v>0</v>
      </c>
      <c r="G73" s="155" t="s">
        <v>87</v>
      </c>
    </row>
    <row r="74" spans="1:7" x14ac:dyDescent="0.2">
      <c r="A74" s="62" t="s">
        <v>4</v>
      </c>
      <c r="B74" s="251">
        <f>ROUND(B72*recipe!G138,2)*1000</f>
        <v>0</v>
      </c>
      <c r="C74" s="100" t="s">
        <v>94</v>
      </c>
      <c r="E74" s="5" t="s">
        <v>3</v>
      </c>
      <c r="F74" s="158">
        <f>ROUND(recipe!G34*P.tuesday!F72,1)</f>
        <v>0</v>
      </c>
      <c r="G74" s="155" t="s">
        <v>92</v>
      </c>
    </row>
    <row r="75" spans="1:7" x14ac:dyDescent="0.2">
      <c r="A75" s="249" t="s">
        <v>5</v>
      </c>
      <c r="B75" s="251">
        <f>ROUND(B72*recipe!G139,2)*1000</f>
        <v>0</v>
      </c>
      <c r="C75" s="100" t="s">
        <v>94</v>
      </c>
      <c r="E75" s="5" t="s">
        <v>5</v>
      </c>
      <c r="F75" s="157">
        <f>ROUND(recipe!G35*P.tuesday!F72,2)*1000</f>
        <v>0</v>
      </c>
      <c r="G75" s="155" t="s">
        <v>94</v>
      </c>
    </row>
    <row r="76" spans="1:7" hidden="1" x14ac:dyDescent="0.2">
      <c r="B76" s="97">
        <f>B70/recipe!F140</f>
        <v>0</v>
      </c>
      <c r="C76" s="135"/>
      <c r="D76" s="101"/>
      <c r="F76" s="134">
        <f>F70/recipe!F39</f>
        <v>0</v>
      </c>
      <c r="G76" s="148"/>
    </row>
    <row r="77" spans="1:7" x14ac:dyDescent="0.2">
      <c r="C77" s="135"/>
      <c r="D77" s="101"/>
      <c r="G77" s="148"/>
    </row>
    <row r="78" spans="1:7" ht="15.75" x14ac:dyDescent="0.25">
      <c r="A78" s="227"/>
      <c r="B78" s="236"/>
      <c r="C78" s="324"/>
      <c r="E78" s="176" t="s">
        <v>285</v>
      </c>
      <c r="F78" s="64">
        <f>tuesday!R79</f>
        <v>0</v>
      </c>
      <c r="G78" s="54" t="s">
        <v>87</v>
      </c>
    </row>
    <row r="79" spans="1:7" ht="15.75" x14ac:dyDescent="0.25">
      <c r="A79" s="227"/>
      <c r="B79" s="236"/>
      <c r="C79" s="324"/>
      <c r="F79" s="417" t="s">
        <v>91</v>
      </c>
      <c r="G79" s="417"/>
    </row>
    <row r="80" spans="1:7" ht="15.75" x14ac:dyDescent="0.25">
      <c r="A80" s="227"/>
      <c r="B80" s="236"/>
      <c r="C80" s="324"/>
      <c r="E80" s="2" t="s">
        <v>10</v>
      </c>
      <c r="F80" s="164">
        <f>ROUND(fpbr*P.tuesday!F87,1)</f>
        <v>0</v>
      </c>
      <c r="G80" s="154" t="s">
        <v>87</v>
      </c>
    </row>
    <row r="81" spans="1:7" ht="15.75" x14ac:dyDescent="0.25">
      <c r="A81" s="227"/>
      <c r="B81" s="236"/>
      <c r="C81" s="324"/>
      <c r="E81" s="5" t="s">
        <v>282</v>
      </c>
      <c r="F81" s="158">
        <f>ROUND(recipe!G168*P.tuesday!F80,1)</f>
        <v>0</v>
      </c>
      <c r="G81" s="155" t="s">
        <v>87</v>
      </c>
    </row>
    <row r="82" spans="1:7" ht="15.75" x14ac:dyDescent="0.25">
      <c r="A82" s="227"/>
      <c r="B82" s="236"/>
      <c r="C82" s="324"/>
      <c r="E82" s="3" t="s">
        <v>3</v>
      </c>
      <c r="F82" s="158">
        <f>ROUND(recipe!G169*P.tuesday!F80,1)</f>
        <v>0</v>
      </c>
      <c r="G82" s="155" t="s">
        <v>92</v>
      </c>
    </row>
    <row r="83" spans="1:7" ht="15.75" x14ac:dyDescent="0.25">
      <c r="A83" s="227"/>
      <c r="B83" s="236"/>
      <c r="C83" s="324"/>
      <c r="E83" s="5" t="s">
        <v>4</v>
      </c>
      <c r="F83" s="157">
        <f>ROUND(recipe!G170*P.tuesday!F80,2)*1000</f>
        <v>0</v>
      </c>
      <c r="G83" s="155" t="s">
        <v>94</v>
      </c>
    </row>
    <row r="84" spans="1:7" ht="15.75" x14ac:dyDescent="0.25">
      <c r="A84" s="227"/>
      <c r="B84" s="236"/>
      <c r="C84" s="324"/>
      <c r="E84" s="5" t="s">
        <v>6</v>
      </c>
      <c r="F84" s="157">
        <f>ROUND(recipe!G171*P.tuesday!F80,2)*1000</f>
        <v>0</v>
      </c>
      <c r="G84" s="155" t="s">
        <v>94</v>
      </c>
    </row>
    <row r="85" spans="1:7" ht="15.75" x14ac:dyDescent="0.25">
      <c r="A85" s="227"/>
      <c r="B85" s="236"/>
      <c r="C85" s="324"/>
      <c r="D85" s="101"/>
      <c r="E85" s="14" t="s">
        <v>205</v>
      </c>
      <c r="F85" s="157">
        <f>ROUND(recipe!G172*P.tuesday!F80,2)*1000</f>
        <v>0</v>
      </c>
      <c r="G85" s="155" t="s">
        <v>94</v>
      </c>
    </row>
    <row r="86" spans="1:7" x14ac:dyDescent="0.2">
      <c r="A86" s="231"/>
      <c r="B86" s="236"/>
      <c r="C86" s="324"/>
      <c r="D86" s="101"/>
      <c r="E86" s="5" t="s">
        <v>283</v>
      </c>
      <c r="F86" s="157">
        <f>ROUND(recipe!G173*P.tuesday!F80,3)*1000</f>
        <v>0</v>
      </c>
      <c r="G86" s="155" t="s">
        <v>94</v>
      </c>
    </row>
    <row r="87" spans="1:7" hidden="1" x14ac:dyDescent="0.2">
      <c r="A87" s="323"/>
      <c r="B87" s="323"/>
      <c r="C87" s="325"/>
      <c r="D87" s="101"/>
      <c r="F87" s="134">
        <f>F78/recipe!F174</f>
        <v>0</v>
      </c>
      <c r="G87" s="148"/>
    </row>
    <row r="88" spans="1:7" x14ac:dyDescent="0.2">
      <c r="A88" s="323"/>
      <c r="B88" s="323"/>
      <c r="C88" s="325"/>
      <c r="D88" s="101"/>
      <c r="G88" s="148"/>
    </row>
    <row r="89" spans="1:7" ht="14.25" customHeight="1" x14ac:dyDescent="0.25">
      <c r="A89" s="176" t="s">
        <v>95</v>
      </c>
      <c r="B89" s="53">
        <f>tuesday!R30</f>
        <v>0</v>
      </c>
      <c r="C89" s="54" t="s">
        <v>87</v>
      </c>
      <c r="D89" s="179" t="s">
        <v>198</v>
      </c>
      <c r="E89" s="176" t="s">
        <v>95</v>
      </c>
      <c r="F89" s="53">
        <f>tuesday!R30</f>
        <v>0</v>
      </c>
      <c r="G89" s="54" t="s">
        <v>87</v>
      </c>
    </row>
    <row r="90" spans="1:7" ht="14.25" customHeight="1" x14ac:dyDescent="0.2">
      <c r="B90" s="297" t="s">
        <v>91</v>
      </c>
      <c r="C90" s="297"/>
      <c r="F90" s="297" t="s">
        <v>91</v>
      </c>
      <c r="G90" s="297"/>
    </row>
    <row r="91" spans="1:7" ht="14.25" customHeight="1" x14ac:dyDescent="0.2">
      <c r="A91" s="8" t="s">
        <v>9</v>
      </c>
      <c r="B91" s="252">
        <f>ROUND(fpcr*P.tuesday!B97,0)</f>
        <v>0</v>
      </c>
      <c r="C91" s="154" t="s">
        <v>87</v>
      </c>
      <c r="E91" s="8" t="s">
        <v>199</v>
      </c>
      <c r="F91" s="255">
        <f>ROUND(F97*recipe!F44,1)</f>
        <v>0</v>
      </c>
      <c r="G91" s="154" t="s">
        <v>87</v>
      </c>
    </row>
    <row r="92" spans="1:7" ht="14.25" customHeight="1" x14ac:dyDescent="0.2">
      <c r="A92" s="9" t="s">
        <v>197</v>
      </c>
      <c r="B92" s="253">
        <f>ROUND(recipe!C45*P.tuesday!B97,1)</f>
        <v>0</v>
      </c>
      <c r="C92" s="155" t="s">
        <v>92</v>
      </c>
      <c r="E92" s="9" t="s">
        <v>200</v>
      </c>
      <c r="F92" s="252">
        <f>ROUND(F97*recipe!F45,1)</f>
        <v>0</v>
      </c>
      <c r="G92" s="155" t="s">
        <v>87</v>
      </c>
    </row>
    <row r="93" spans="1:7" ht="14.25" customHeight="1" x14ac:dyDescent="0.2">
      <c r="A93" s="9" t="s">
        <v>11</v>
      </c>
      <c r="B93" s="253">
        <f>ROUND(recipe!C46*P.tuesday!B91,1)</f>
        <v>0</v>
      </c>
      <c r="C93" s="155" t="s">
        <v>94</v>
      </c>
      <c r="E93" s="9" t="s">
        <v>201</v>
      </c>
      <c r="F93" s="256">
        <f>ROUND(F97*recipe!F46,1)*1000</f>
        <v>0</v>
      </c>
      <c r="G93" s="155" t="s">
        <v>94</v>
      </c>
    </row>
    <row r="94" spans="1:7" ht="14.25" customHeight="1" x14ac:dyDescent="0.2">
      <c r="A94" s="9" t="s">
        <v>5</v>
      </c>
      <c r="B94" s="254">
        <f>ROUND(recipe!C47*P.tuesday!B91,1)*1000</f>
        <v>0</v>
      </c>
      <c r="C94" s="155" t="s">
        <v>94</v>
      </c>
      <c r="E94" s="84"/>
      <c r="F94" s="159"/>
      <c r="G94" s="257"/>
    </row>
    <row r="95" spans="1:7" ht="14.25" customHeight="1" x14ac:dyDescent="0.2">
      <c r="A95" s="65" t="s">
        <v>200</v>
      </c>
      <c r="B95" s="253">
        <f>ROUND(recipe!C48*P.tuesday!B91,1)</f>
        <v>0</v>
      </c>
      <c r="C95" s="155" t="s">
        <v>87</v>
      </c>
      <c r="E95" s="231"/>
      <c r="F95" s="184"/>
      <c r="G95" s="148"/>
    </row>
    <row r="96" spans="1:7" ht="14.25" customHeight="1" x14ac:dyDescent="0.2">
      <c r="A96" s="9" t="s">
        <v>201</v>
      </c>
      <c r="B96" s="254">
        <f>ROUND(recipe!C49*P.tuesday!B91,1)*1000</f>
        <v>0</v>
      </c>
      <c r="C96" s="163" t="s">
        <v>94</v>
      </c>
      <c r="E96" s="63"/>
      <c r="F96" s="181"/>
      <c r="G96" s="165"/>
    </row>
    <row r="97" spans="1:7" ht="14.25" hidden="1" customHeight="1" x14ac:dyDescent="0.2">
      <c r="B97" s="180">
        <f>B89/recipe!B50</f>
        <v>0</v>
      </c>
      <c r="C97" s="148"/>
      <c r="F97" s="134">
        <f>F89/recipe!F50</f>
        <v>0</v>
      </c>
      <c r="G97" s="148"/>
    </row>
    <row r="98" spans="1:7" x14ac:dyDescent="0.2">
      <c r="B98" s="134"/>
      <c r="C98" s="160"/>
    </row>
    <row r="99" spans="1:7" ht="15.75" x14ac:dyDescent="0.25">
      <c r="A99" s="176" t="s">
        <v>18</v>
      </c>
      <c r="B99" s="64">
        <f>tuesday!R31</f>
        <v>0</v>
      </c>
      <c r="C99" s="54" t="s">
        <v>87</v>
      </c>
      <c r="D99" s="57"/>
      <c r="E99" s="176" t="s">
        <v>151</v>
      </c>
      <c r="F99" s="64">
        <f>tuesday!R37</f>
        <v>0</v>
      </c>
      <c r="G99" s="54" t="s">
        <v>87</v>
      </c>
    </row>
    <row r="100" spans="1:7" x14ac:dyDescent="0.2">
      <c r="B100" s="417" t="s">
        <v>91</v>
      </c>
      <c r="C100" s="417"/>
      <c r="D100" s="80"/>
      <c r="F100" s="417" t="s">
        <v>91</v>
      </c>
      <c r="G100" s="417"/>
    </row>
    <row r="101" spans="1:7" x14ac:dyDescent="0.2">
      <c r="A101" s="2" t="s">
        <v>204</v>
      </c>
      <c r="B101" s="69">
        <f>ROUND(psr*P.tuesday!B106,1)</f>
        <v>0</v>
      </c>
      <c r="C101" s="70" t="s">
        <v>87</v>
      </c>
      <c r="D101" s="101"/>
      <c r="E101" s="8" t="s">
        <v>152</v>
      </c>
      <c r="F101" s="263">
        <f>ROUND(fcre*P.tuesday!F106,1)</f>
        <v>0</v>
      </c>
      <c r="G101" s="70" t="s">
        <v>87</v>
      </c>
    </row>
    <row r="102" spans="1:7" x14ac:dyDescent="0.2">
      <c r="A102" s="5" t="s">
        <v>19</v>
      </c>
      <c r="B102" s="69">
        <f>ROUND(recipe!C69*P.tuesday!B101,1)</f>
        <v>0</v>
      </c>
      <c r="C102" s="146" t="s">
        <v>87</v>
      </c>
      <c r="D102" s="101"/>
      <c r="E102" s="9" t="s">
        <v>10</v>
      </c>
      <c r="F102" s="263">
        <f>ROUND(recipe!G69*P.tuesday!F101,1)</f>
        <v>0</v>
      </c>
      <c r="G102" s="146" t="s">
        <v>87</v>
      </c>
    </row>
    <row r="103" spans="1:7" x14ac:dyDescent="0.2">
      <c r="A103" s="5" t="s">
        <v>252</v>
      </c>
      <c r="B103" s="69">
        <f>ROUND(recipe!C70*P.tuesday!B101,1)</f>
        <v>0</v>
      </c>
      <c r="C103" s="146" t="s">
        <v>87</v>
      </c>
      <c r="D103" s="101"/>
      <c r="E103" s="84" t="s">
        <v>5</v>
      </c>
      <c r="F103" s="263">
        <f>ROUND(recipe!G70*P.tuesday!F101,1)</f>
        <v>0</v>
      </c>
      <c r="G103" s="167" t="s">
        <v>94</v>
      </c>
    </row>
    <row r="104" spans="1:7" x14ac:dyDescent="0.2">
      <c r="A104" s="5" t="s">
        <v>3</v>
      </c>
      <c r="B104" s="97">
        <f>ROUND(recipe!C71*P.tuesday!B101,1)</f>
        <v>0</v>
      </c>
      <c r="C104" s="163" t="s">
        <v>87</v>
      </c>
      <c r="D104" s="101"/>
      <c r="E104" s="62" t="s">
        <v>3</v>
      </c>
      <c r="F104" s="264">
        <f>ROUND(recipe!G71*P.tuesday!F101,1)</f>
        <v>0</v>
      </c>
      <c r="G104" s="163" t="s">
        <v>92</v>
      </c>
    </row>
    <row r="105" spans="1:7" x14ac:dyDescent="0.2">
      <c r="A105" s="5" t="s">
        <v>5</v>
      </c>
      <c r="B105" s="168">
        <f>ROUND(recipe!C72*P.tuesday!B101,2)*1000</f>
        <v>0</v>
      </c>
      <c r="C105" s="163" t="s">
        <v>94</v>
      </c>
      <c r="D105" s="101"/>
      <c r="E105" s="244" t="s">
        <v>4</v>
      </c>
      <c r="F105" s="256">
        <f>ROUND(recipe!G72*P.tuesday!F101,2)*1000</f>
        <v>0</v>
      </c>
      <c r="G105" s="246" t="s">
        <v>94</v>
      </c>
    </row>
    <row r="106" spans="1:7" hidden="1" x14ac:dyDescent="0.2">
      <c r="B106" s="134">
        <f>B99/recipe!B73</f>
        <v>0</v>
      </c>
      <c r="C106" s="135"/>
      <c r="D106" s="101"/>
      <c r="F106" s="134">
        <f>F99/recipe!F73</f>
        <v>0</v>
      </c>
      <c r="G106" s="148"/>
    </row>
    <row r="107" spans="1:7" x14ac:dyDescent="0.2">
      <c r="B107" s="134"/>
      <c r="C107" s="135"/>
      <c r="G107" s="160"/>
    </row>
    <row r="108" spans="1:7" ht="4.5" customHeight="1" x14ac:dyDescent="0.2">
      <c r="B108" s="134"/>
      <c r="C108" s="135"/>
      <c r="G108" s="160"/>
    </row>
    <row r="109" spans="1:7" ht="15.75" x14ac:dyDescent="0.25">
      <c r="A109" s="176" t="s">
        <v>20</v>
      </c>
      <c r="B109" s="53">
        <f>tuesday!R108</f>
        <v>0</v>
      </c>
      <c r="C109" s="54" t="s">
        <v>87</v>
      </c>
      <c r="D109" s="132"/>
      <c r="E109" s="176" t="s">
        <v>8</v>
      </c>
      <c r="F109" s="53">
        <f>tuesday!R98</f>
        <v>0</v>
      </c>
      <c r="G109" s="54" t="s">
        <v>87</v>
      </c>
    </row>
    <row r="110" spans="1:7" x14ac:dyDescent="0.2">
      <c r="B110" s="417" t="s">
        <v>91</v>
      </c>
      <c r="C110" s="417"/>
      <c r="D110" s="80"/>
      <c r="F110" s="417" t="s">
        <v>91</v>
      </c>
      <c r="G110" s="417"/>
    </row>
    <row r="111" spans="1:7" x14ac:dyDescent="0.2">
      <c r="A111" s="2" t="s">
        <v>206</v>
      </c>
      <c r="B111" s="161">
        <f>ROUND(fasr*P.tuesday!B118,0)</f>
        <v>0</v>
      </c>
      <c r="C111" s="70" t="s">
        <v>87</v>
      </c>
      <c r="D111" s="101"/>
      <c r="E111" s="2" t="s">
        <v>10</v>
      </c>
      <c r="F111" s="161">
        <f>ROUND(fpsfgr*P.tuesday!F118,0)</f>
        <v>0</v>
      </c>
      <c r="G111" s="154" t="s">
        <v>87</v>
      </c>
    </row>
    <row r="112" spans="1:7" x14ac:dyDescent="0.2">
      <c r="A112" s="5" t="s">
        <v>207</v>
      </c>
      <c r="B112" s="169">
        <f>ROUND(recipe!G56*P.tuesday!B111,1)</f>
        <v>0</v>
      </c>
      <c r="C112" s="146" t="s">
        <v>87</v>
      </c>
      <c r="D112" s="101"/>
      <c r="E112" s="5" t="s">
        <v>3</v>
      </c>
      <c r="F112" s="169">
        <f>ROUND(recipe!G80*P.tuesday!F111,1)</f>
        <v>0</v>
      </c>
      <c r="G112" s="155" t="s">
        <v>92</v>
      </c>
    </row>
    <row r="113" spans="1:7" x14ac:dyDescent="0.2">
      <c r="A113" s="5" t="s">
        <v>3</v>
      </c>
      <c r="B113" s="169">
        <f>ROUND(recipe!G57*P.tuesday!B111,1)</f>
        <v>0</v>
      </c>
      <c r="C113" s="146" t="s">
        <v>92</v>
      </c>
      <c r="D113" s="101"/>
      <c r="E113" s="5" t="s">
        <v>205</v>
      </c>
      <c r="F113" s="169">
        <f>ROUND(recipe!G81*P.tuesday!F111,1)</f>
        <v>0</v>
      </c>
      <c r="G113" s="155" t="s">
        <v>87</v>
      </c>
    </row>
    <row r="114" spans="1:7" x14ac:dyDescent="0.2">
      <c r="A114" s="5" t="s">
        <v>4</v>
      </c>
      <c r="B114" s="157">
        <f>ROUND(recipe!G58*P.tuesday!B111,2)*1000</f>
        <v>0</v>
      </c>
      <c r="C114" s="146" t="s">
        <v>94</v>
      </c>
      <c r="D114" s="101"/>
      <c r="E114" s="5" t="s">
        <v>4</v>
      </c>
      <c r="F114" s="157">
        <f>ROUND(recipe!G82*P.tuesday!F111,2)*1000</f>
        <v>0</v>
      </c>
      <c r="G114" s="155" t="s">
        <v>94</v>
      </c>
    </row>
    <row r="115" spans="1:7" x14ac:dyDescent="0.2">
      <c r="A115" s="5" t="s">
        <v>5</v>
      </c>
      <c r="B115" s="157">
        <f>ROUND(recipe!G59*P.tuesday!B111,2)*1000</f>
        <v>0</v>
      </c>
      <c r="C115" s="146" t="s">
        <v>94</v>
      </c>
      <c r="D115" s="101"/>
      <c r="E115" s="5" t="s">
        <v>5</v>
      </c>
      <c r="F115" s="157">
        <f>ROUND(recipe!G83*P.tuesday!F111,2)*1000</f>
        <v>0</v>
      </c>
      <c r="G115" s="155" t="s">
        <v>94</v>
      </c>
    </row>
    <row r="116" spans="1:7" x14ac:dyDescent="0.2">
      <c r="A116" s="3" t="s">
        <v>208</v>
      </c>
      <c r="B116" s="171">
        <f>ROUND(recipe!G60*P.tuesday!B111,1)</f>
        <v>0</v>
      </c>
      <c r="C116" s="100" t="s">
        <v>87</v>
      </c>
      <c r="D116" s="101"/>
      <c r="E116" s="5" t="s">
        <v>6</v>
      </c>
      <c r="F116" s="157">
        <f>ROUND(recipe!G84*P.tuesday!F111,2)*1000</f>
        <v>0</v>
      </c>
      <c r="G116" s="155" t="s">
        <v>94</v>
      </c>
    </row>
    <row r="117" spans="1:7" x14ac:dyDescent="0.2">
      <c r="C117" s="148"/>
      <c r="D117" s="101"/>
      <c r="E117" s="3" t="s">
        <v>12</v>
      </c>
      <c r="F117" s="157">
        <f>ROUND(recipe!G85*P.tuesday!F111,1)*1000</f>
        <v>0</v>
      </c>
      <c r="G117" s="155" t="s">
        <v>94</v>
      </c>
    </row>
    <row r="118" spans="1:7" x14ac:dyDescent="0.2">
      <c r="B118" s="134">
        <f>B109/recipe!F61</f>
        <v>0</v>
      </c>
      <c r="D118" s="101"/>
      <c r="F118" s="134">
        <f>F109/recipe!F86</f>
        <v>0</v>
      </c>
      <c r="G118" s="148"/>
    </row>
    <row r="119" spans="1:7" x14ac:dyDescent="0.2">
      <c r="A119" s="59"/>
      <c r="B119" s="60"/>
      <c r="C119" s="135"/>
      <c r="D119" s="101"/>
      <c r="F119" s="97"/>
      <c r="G119" s="97"/>
    </row>
    <row r="120" spans="1:7" x14ac:dyDescent="0.2">
      <c r="B120" s="134"/>
      <c r="C120" s="135"/>
      <c r="G120" s="160"/>
    </row>
    <row r="121" spans="1:7" ht="15.75" x14ac:dyDescent="0.25">
      <c r="A121" s="176" t="s">
        <v>180</v>
      </c>
      <c r="B121" s="67">
        <f>tuesday!R115</f>
        <v>0</v>
      </c>
      <c r="C121" s="54" t="s">
        <v>87</v>
      </c>
      <c r="D121" s="132"/>
      <c r="E121" s="176" t="s">
        <v>160</v>
      </c>
      <c r="F121" s="67">
        <f>tuesday!R92</f>
        <v>0</v>
      </c>
      <c r="G121" s="54" t="s">
        <v>87</v>
      </c>
    </row>
    <row r="122" spans="1:7" x14ac:dyDescent="0.2">
      <c r="B122" s="420" t="s">
        <v>91</v>
      </c>
      <c r="C122" s="420"/>
      <c r="D122" s="80"/>
      <c r="F122" s="417" t="s">
        <v>91</v>
      </c>
      <c r="G122" s="417"/>
    </row>
    <row r="123" spans="1:7" x14ac:dyDescent="0.2">
      <c r="A123" s="244" t="s">
        <v>10</v>
      </c>
      <c r="B123" s="247">
        <f>ROUND(recipe!B93*P.tuesday!B131,1)</f>
        <v>0</v>
      </c>
      <c r="C123" s="245" t="s">
        <v>87</v>
      </c>
      <c r="D123" s="80"/>
      <c r="E123" s="8" t="s">
        <v>247</v>
      </c>
      <c r="F123" s="267">
        <f>ROUND(fmnp*P.tuesday!F131,1)</f>
        <v>0</v>
      </c>
      <c r="G123" s="70" t="s">
        <v>87</v>
      </c>
    </row>
    <row r="124" spans="1:7" x14ac:dyDescent="0.2">
      <c r="A124" s="244" t="s">
        <v>237</v>
      </c>
      <c r="B124" s="247">
        <f>ROUND(recipe!C94*P.tuesday!B123,2)</f>
        <v>0</v>
      </c>
      <c r="C124" s="245" t="s">
        <v>92</v>
      </c>
      <c r="D124" s="80"/>
      <c r="E124" s="9" t="s">
        <v>246</v>
      </c>
      <c r="F124" s="258">
        <f>ROUND(recipe!G94*P.tuesday!F123,2)</f>
        <v>0</v>
      </c>
      <c r="G124" s="146" t="s">
        <v>87</v>
      </c>
    </row>
    <row r="125" spans="1:7" x14ac:dyDescent="0.2">
      <c r="A125" s="244" t="s">
        <v>238</v>
      </c>
      <c r="B125" s="247">
        <f>ROUND(recipe!C95*P.tuesday!B123,2)</f>
        <v>0</v>
      </c>
      <c r="C125" s="245" t="s">
        <v>92</v>
      </c>
      <c r="D125" s="80"/>
      <c r="E125" s="9" t="s">
        <v>3</v>
      </c>
      <c r="F125" s="259">
        <f>ROUND(recipe!G95*P.tuesday!F123,2)</f>
        <v>0</v>
      </c>
      <c r="G125" s="146" t="s">
        <v>92</v>
      </c>
    </row>
    <row r="126" spans="1:7" x14ac:dyDescent="0.2">
      <c r="A126" s="244" t="s">
        <v>16</v>
      </c>
      <c r="B126" s="247">
        <f>ROUND(recipe!C96*P.tuesday!B123,2)</f>
        <v>0</v>
      </c>
      <c r="C126" s="245" t="s">
        <v>87</v>
      </c>
      <c r="D126" s="80"/>
      <c r="E126" s="9" t="s">
        <v>5</v>
      </c>
      <c r="F126" s="260">
        <f>ROUND(recipe!G96*P.tuesday!F123,2)*1000</f>
        <v>0</v>
      </c>
      <c r="G126" s="146" t="s">
        <v>94</v>
      </c>
    </row>
    <row r="127" spans="1:7" x14ac:dyDescent="0.2">
      <c r="A127" s="244" t="s">
        <v>12</v>
      </c>
      <c r="B127" s="248">
        <f>ROUND(recipe!C97*P.tuesday!B123,2)*1000</f>
        <v>0</v>
      </c>
      <c r="C127" s="245" t="s">
        <v>94</v>
      </c>
      <c r="D127" s="80"/>
      <c r="E127" s="9"/>
      <c r="F127" s="260">
        <f>ROUND(recipe!G97*P.tuesday!F123,2)*1000</f>
        <v>0</v>
      </c>
      <c r="G127" s="146" t="s">
        <v>94</v>
      </c>
    </row>
    <row r="128" spans="1:7" x14ac:dyDescent="0.2">
      <c r="A128" s="244" t="s">
        <v>5</v>
      </c>
      <c r="B128" s="248">
        <f>ROUND(recipe!C98*P.tuesday!B123,2)*1000</f>
        <v>0</v>
      </c>
      <c r="C128" s="245" t="s">
        <v>94</v>
      </c>
      <c r="D128" s="80"/>
      <c r="E128" s="9"/>
      <c r="F128" s="260">
        <f>ROUND(recipe!G98*P.tuesday!F123,2)*1000</f>
        <v>0</v>
      </c>
      <c r="G128" s="146" t="s">
        <v>94</v>
      </c>
    </row>
    <row r="129" spans="1:7" x14ac:dyDescent="0.2">
      <c r="A129" s="244" t="s">
        <v>4</v>
      </c>
      <c r="B129" s="248">
        <f>ROUND(recipe!C99*P.tuesday!B123,2)*1000</f>
        <v>0</v>
      </c>
      <c r="C129" s="246" t="s">
        <v>94</v>
      </c>
      <c r="D129" s="101"/>
      <c r="E129" s="9"/>
      <c r="F129" s="260">
        <f>ROUND(recipe!G99*P.tuesday!F123,2)*1000</f>
        <v>0</v>
      </c>
      <c r="G129" s="146" t="s">
        <v>94</v>
      </c>
    </row>
    <row r="130" spans="1:7" x14ac:dyDescent="0.2">
      <c r="A130" s="244" t="s">
        <v>6</v>
      </c>
      <c r="B130" s="248">
        <f>ROUND(recipe!C100*P.tuesday!B123,2)*1000</f>
        <v>0</v>
      </c>
      <c r="C130" s="246" t="s">
        <v>94</v>
      </c>
      <c r="D130" s="101"/>
      <c r="E130" s="9"/>
      <c r="F130" s="260">
        <f>ROUND(recipe!G100*P.tuesday!F123,2)*1000</f>
        <v>0</v>
      </c>
      <c r="G130" s="146" t="s">
        <v>94</v>
      </c>
    </row>
    <row r="131" spans="1:7" hidden="1" x14ac:dyDescent="0.2">
      <c r="B131" s="172">
        <f>B121/recipe!B101</f>
        <v>0</v>
      </c>
      <c r="C131" s="173"/>
      <c r="D131" s="101"/>
      <c r="E131" s="59"/>
      <c r="F131" s="60">
        <f>F121/recipe!F101</f>
        <v>0</v>
      </c>
      <c r="G131" s="148"/>
    </row>
    <row r="132" spans="1:7" x14ac:dyDescent="0.2">
      <c r="B132" s="134"/>
      <c r="C132" s="135"/>
      <c r="G132" s="160"/>
    </row>
    <row r="133" spans="1:7" ht="15.75" x14ac:dyDescent="0.25">
      <c r="A133" s="176" t="s">
        <v>250</v>
      </c>
      <c r="B133" s="67">
        <f>tuesday!R76</f>
        <v>0</v>
      </c>
      <c r="C133" s="54" t="s">
        <v>87</v>
      </c>
      <c r="D133" s="132"/>
      <c r="E133" s="176" t="s">
        <v>265</v>
      </c>
      <c r="F133" s="67"/>
      <c r="G133" s="54" t="s">
        <v>87</v>
      </c>
    </row>
    <row r="134" spans="1:7" x14ac:dyDescent="0.2">
      <c r="B134" s="417" t="s">
        <v>91</v>
      </c>
      <c r="C134" s="417"/>
      <c r="D134" s="80"/>
      <c r="F134" s="417" t="s">
        <v>91</v>
      </c>
      <c r="G134" s="417"/>
    </row>
    <row r="135" spans="1:7" x14ac:dyDescent="0.2">
      <c r="A135" s="2" t="s">
        <v>266</v>
      </c>
      <c r="B135" s="69">
        <f>ROUND(recipe!B155*P.tuesday!B139,1)</f>
        <v>0</v>
      </c>
      <c r="C135" s="70" t="s">
        <v>87</v>
      </c>
      <c r="D135" s="101"/>
      <c r="E135" s="2" t="s">
        <v>248</v>
      </c>
      <c r="F135" s="69">
        <f>ROUND(recipe!B145*P.tuesday!F139,1)</f>
        <v>0</v>
      </c>
      <c r="G135" s="70" t="s">
        <v>87</v>
      </c>
    </row>
    <row r="136" spans="1:7" x14ac:dyDescent="0.2">
      <c r="A136" s="5" t="s">
        <v>3</v>
      </c>
      <c r="B136" s="69">
        <f>ROUND(recipe!C156*P.tuesday!B135,1)</f>
        <v>0</v>
      </c>
      <c r="C136" s="71" t="s">
        <v>92</v>
      </c>
      <c r="D136" s="101"/>
      <c r="E136" s="5" t="s">
        <v>3</v>
      </c>
      <c r="F136" s="69">
        <f>ROUND(recipe!C146*P.tuesday!F135,1)</f>
        <v>0</v>
      </c>
      <c r="G136" s="71" t="s">
        <v>92</v>
      </c>
    </row>
    <row r="137" spans="1:7" x14ac:dyDescent="0.2">
      <c r="A137" s="5" t="s">
        <v>5</v>
      </c>
      <c r="B137" s="72">
        <f>ROUND(recipe!C157*P.tuesday!B135,2)*1000</f>
        <v>0</v>
      </c>
      <c r="C137" s="146" t="s">
        <v>94</v>
      </c>
      <c r="D137" s="101"/>
      <c r="E137" s="5" t="s">
        <v>5</v>
      </c>
      <c r="F137" s="72">
        <f>ROUND(recipe!C147*P.tuesday!F135,2)*1000</f>
        <v>0</v>
      </c>
      <c r="G137" s="146" t="s">
        <v>94</v>
      </c>
    </row>
    <row r="138" spans="1:7" x14ac:dyDescent="0.2">
      <c r="A138" s="63" t="s">
        <v>246</v>
      </c>
      <c r="B138" s="166">
        <f>ROUND(recipe!C158*P.tuesday!B135,1)</f>
        <v>0</v>
      </c>
      <c r="C138" s="165" t="s">
        <v>87</v>
      </c>
      <c r="D138" s="101"/>
      <c r="E138" s="63" t="s">
        <v>246</v>
      </c>
      <c r="F138" s="166">
        <f>ROUND(recipe!C148*P.tuesday!F135,1)</f>
        <v>0</v>
      </c>
      <c r="G138" s="165" t="s">
        <v>87</v>
      </c>
    </row>
    <row r="139" spans="1:7" hidden="1" x14ac:dyDescent="0.2">
      <c r="B139" s="166">
        <f>B133/recipe!B159</f>
        <v>0</v>
      </c>
      <c r="C139" s="148"/>
      <c r="D139" s="101"/>
      <c r="F139" s="166">
        <f>F133/recipe!B149</f>
        <v>0</v>
      </c>
      <c r="G139" s="148"/>
    </row>
    <row r="140" spans="1:7" x14ac:dyDescent="0.2">
      <c r="B140" s="134"/>
      <c r="C140" s="135"/>
      <c r="G140" s="160"/>
    </row>
    <row r="141" spans="1:7" ht="15.75" x14ac:dyDescent="0.25">
      <c r="A141" s="176" t="s">
        <v>156</v>
      </c>
      <c r="B141" s="68">
        <f>tuesday!R48</f>
        <v>0</v>
      </c>
      <c r="C141" s="54" t="s">
        <v>87</v>
      </c>
      <c r="D141" s="132"/>
      <c r="E141" s="176" t="s">
        <v>164</v>
      </c>
      <c r="F141" s="67">
        <f>tuesday!R33</f>
        <v>0</v>
      </c>
      <c r="G141" s="54" t="s">
        <v>87</v>
      </c>
    </row>
    <row r="142" spans="1:7" x14ac:dyDescent="0.2">
      <c r="B142" s="417" t="s">
        <v>91</v>
      </c>
      <c r="C142" s="417"/>
      <c r="D142" s="80"/>
      <c r="F142" s="417" t="s">
        <v>91</v>
      </c>
      <c r="G142" s="417"/>
    </row>
    <row r="143" spans="1:7" x14ac:dyDescent="0.2">
      <c r="A143" s="2" t="s">
        <v>251</v>
      </c>
      <c r="B143" s="69">
        <f>ROUND(fbpp*P.tuesday!B147,1)</f>
        <v>0</v>
      </c>
      <c r="C143" s="70" t="s">
        <v>87</v>
      </c>
      <c r="D143" s="101"/>
      <c r="E143" s="8" t="s">
        <v>10</v>
      </c>
      <c r="F143" s="250">
        <f>ROUND(pssp*P.tuesday!F147,1)</f>
        <v>0</v>
      </c>
      <c r="G143" s="154" t="s">
        <v>87</v>
      </c>
    </row>
    <row r="144" spans="1:7" x14ac:dyDescent="0.2">
      <c r="A144" s="5" t="s">
        <v>3</v>
      </c>
      <c r="B144" s="162">
        <f>ROUND(recipe!C109*P.tuesday!B143,1)</f>
        <v>0</v>
      </c>
      <c r="C144" s="146" t="s">
        <v>92</v>
      </c>
      <c r="D144" s="101"/>
      <c r="E144" s="8" t="s">
        <v>170</v>
      </c>
      <c r="F144" s="262">
        <f>ROUND(recipe!G109*P.tuesday!F143,1)</f>
        <v>0</v>
      </c>
      <c r="G144" s="100" t="s">
        <v>87</v>
      </c>
    </row>
    <row r="145" spans="1:8" x14ac:dyDescent="0.2">
      <c r="A145" s="5" t="s">
        <v>5</v>
      </c>
      <c r="B145" s="142">
        <f>ROUND(recipe!C110*P.tuesday!B143,2)*1000</f>
        <v>0</v>
      </c>
      <c r="C145" s="146" t="s">
        <v>94</v>
      </c>
      <c r="D145" s="101"/>
      <c r="E145" s="8" t="s">
        <v>3</v>
      </c>
      <c r="F145" s="250">
        <f>ROUND(recipe!G110*P.tuesday!F143,1)</f>
        <v>0</v>
      </c>
      <c r="G145" s="154" t="s">
        <v>87</v>
      </c>
    </row>
    <row r="146" spans="1:8" x14ac:dyDescent="0.2">
      <c r="A146" s="3" t="s">
        <v>246</v>
      </c>
      <c r="B146" s="151">
        <f>ROUND(recipe!C111*P.tuesday!B143,1)</f>
        <v>0</v>
      </c>
      <c r="C146" s="163" t="s">
        <v>87</v>
      </c>
      <c r="D146" s="101"/>
      <c r="E146" s="8" t="s">
        <v>5</v>
      </c>
      <c r="F146" s="261">
        <f>ROUND(recipe!G111*P.tuesday!F143,2)*1000</f>
        <v>0</v>
      </c>
      <c r="G146" s="100" t="s">
        <v>94</v>
      </c>
    </row>
    <row r="147" spans="1:8" hidden="1" x14ac:dyDescent="0.2">
      <c r="B147" s="134">
        <f>B141/recipe!B113</f>
        <v>0</v>
      </c>
      <c r="C147" s="135"/>
      <c r="F147" s="170">
        <f>F141/recipe!F114</f>
        <v>0</v>
      </c>
      <c r="G147" s="148"/>
    </row>
    <row r="148" spans="1:8" x14ac:dyDescent="0.2">
      <c r="B148" s="134"/>
      <c r="C148" s="135"/>
      <c r="F148" s="166"/>
      <c r="G148" s="148"/>
    </row>
    <row r="149" spans="1:8" ht="15.75" x14ac:dyDescent="0.25">
      <c r="A149" s="176" t="s">
        <v>281</v>
      </c>
      <c r="B149" s="53">
        <f>tuesday!R105</f>
        <v>0</v>
      </c>
      <c r="C149" s="54" t="s">
        <v>87</v>
      </c>
      <c r="D149" s="132"/>
      <c r="E149" s="176" t="s">
        <v>13</v>
      </c>
      <c r="F149" s="64">
        <f>tuesday!R153</f>
        <v>0</v>
      </c>
      <c r="G149" s="54" t="s">
        <v>87</v>
      </c>
      <c r="H149" s="57"/>
    </row>
    <row r="150" spans="1:8" x14ac:dyDescent="0.2">
      <c r="B150" s="417" t="s">
        <v>91</v>
      </c>
      <c r="C150" s="417"/>
      <c r="D150" s="80"/>
      <c r="F150" s="417" t="s">
        <v>91</v>
      </c>
      <c r="G150" s="417"/>
      <c r="H150" s="80"/>
    </row>
    <row r="151" spans="1:8" x14ac:dyDescent="0.2">
      <c r="A151" s="2" t="s">
        <v>10</v>
      </c>
      <c r="B151" s="161">
        <f>ROUND(fpsfgr*P.tuesday!B158,0)</f>
        <v>0</v>
      </c>
      <c r="C151" s="154" t="s">
        <v>87</v>
      </c>
      <c r="D151" s="101"/>
      <c r="E151" s="2" t="s">
        <v>15</v>
      </c>
      <c r="F151" s="152">
        <f>ROUND(frr*P.tuesday!F158,1)</f>
        <v>0</v>
      </c>
      <c r="G151" s="141" t="s">
        <v>87</v>
      </c>
      <c r="H151" s="101"/>
    </row>
    <row r="152" spans="1:8" x14ac:dyDescent="0.2">
      <c r="A152" s="5" t="s">
        <v>3</v>
      </c>
      <c r="B152" s="169">
        <f>ROUND(recipe!G156*P.tuesday!B151,1)</f>
        <v>0</v>
      </c>
      <c r="C152" s="155" t="s">
        <v>92</v>
      </c>
      <c r="D152" s="101"/>
      <c r="E152" s="5" t="s">
        <v>3</v>
      </c>
      <c r="F152" s="144">
        <f>ROUND(recipe!C33*P.tuesday!F151,1)</f>
        <v>0</v>
      </c>
      <c r="G152" s="143" t="s">
        <v>92</v>
      </c>
      <c r="H152" s="101"/>
    </row>
    <row r="153" spans="1:8" x14ac:dyDescent="0.2">
      <c r="A153" s="5" t="s">
        <v>205</v>
      </c>
      <c r="B153" s="169">
        <f>ROUND(recipe!G157*P.tuesday!B151,1)</f>
        <v>0</v>
      </c>
      <c r="C153" s="155" t="s">
        <v>87</v>
      </c>
      <c r="D153" s="101"/>
      <c r="E153" s="5" t="s">
        <v>5</v>
      </c>
      <c r="F153" s="145">
        <f>ROUND(recipe!C34*P.tuesday!F151,2)</f>
        <v>0</v>
      </c>
      <c r="G153" s="146" t="s">
        <v>87</v>
      </c>
      <c r="H153" s="101"/>
    </row>
    <row r="154" spans="1:8" x14ac:dyDescent="0.2">
      <c r="A154" s="5" t="s">
        <v>4</v>
      </c>
      <c r="B154" s="157">
        <f>ROUND(recipe!G158*P.tuesday!B151,2)*1000</f>
        <v>0</v>
      </c>
      <c r="C154" s="155" t="s">
        <v>94</v>
      </c>
      <c r="D154" s="101"/>
      <c r="E154" s="5" t="s">
        <v>16</v>
      </c>
      <c r="F154" s="145">
        <f>ROUND(recipe!C35*P.tuesday!F151,1)</f>
        <v>0</v>
      </c>
      <c r="G154" s="146" t="s">
        <v>87</v>
      </c>
      <c r="H154" s="101"/>
    </row>
    <row r="155" spans="1:8" ht="12.75" customHeight="1" x14ac:dyDescent="0.2">
      <c r="A155" s="5" t="s">
        <v>5</v>
      </c>
      <c r="B155" s="157">
        <f>ROUND(recipe!G159*P.tuesday!B151,2)*1000</f>
        <v>0</v>
      </c>
      <c r="C155" s="155" t="s">
        <v>94</v>
      </c>
      <c r="D155" s="101"/>
      <c r="E155" s="65"/>
      <c r="F155" s="97"/>
      <c r="G155" s="143"/>
      <c r="H155" s="101"/>
    </row>
    <row r="156" spans="1:8" x14ac:dyDescent="0.2">
      <c r="A156" s="5" t="s">
        <v>6</v>
      </c>
      <c r="B156" s="157">
        <f>ROUND(recipe!G160*P.tuesday!B151,2)*1000</f>
        <v>0</v>
      </c>
      <c r="C156" s="155" t="s">
        <v>94</v>
      </c>
      <c r="D156" s="101"/>
      <c r="E156" s="231"/>
      <c r="G156" s="156"/>
      <c r="H156" s="101"/>
    </row>
    <row r="157" spans="1:8" x14ac:dyDescent="0.2">
      <c r="A157" s="3" t="s">
        <v>12</v>
      </c>
      <c r="B157" s="157">
        <f>ROUND(recipe!G161*P.tuesday!B151,1)*1000</f>
        <v>0</v>
      </c>
      <c r="C157" s="155" t="s">
        <v>94</v>
      </c>
      <c r="D157" s="101"/>
      <c r="E157" s="231"/>
      <c r="G157" s="156"/>
      <c r="H157" s="101"/>
    </row>
    <row r="158" spans="1:8" ht="25.9" hidden="1" customHeight="1" x14ac:dyDescent="0.2">
      <c r="B158" s="134">
        <f>B149/recipe!F162</f>
        <v>0</v>
      </c>
      <c r="C158" s="148"/>
      <c r="F158" s="134">
        <f>F149/recipe!B39</f>
        <v>0</v>
      </c>
      <c r="G158" s="160"/>
    </row>
    <row r="159" spans="1:8" ht="18" x14ac:dyDescent="0.25">
      <c r="A159" s="422" t="s">
        <v>97</v>
      </c>
      <c r="B159" s="365"/>
      <c r="C159" s="365"/>
      <c r="D159" s="366"/>
      <c r="E159" s="367"/>
      <c r="G159" s="160"/>
      <c r="H159" s="108"/>
    </row>
    <row r="160" spans="1:8" ht="18" x14ac:dyDescent="0.25">
      <c r="A160" s="422"/>
      <c r="B160" s="368"/>
      <c r="C160" s="368"/>
      <c r="D160" s="369"/>
      <c r="E160" s="370" t="s">
        <v>98</v>
      </c>
      <c r="G160" s="174"/>
      <c r="H160" s="103"/>
    </row>
    <row r="161" spans="1:10" ht="15.75" x14ac:dyDescent="0.2">
      <c r="A161" s="73"/>
      <c r="B161" s="175"/>
      <c r="C161" s="175"/>
      <c r="D161" s="103"/>
      <c r="E161" s="74"/>
      <c r="G161" s="174"/>
      <c r="H161" s="103"/>
    </row>
    <row r="162" spans="1:10" s="78" customFormat="1" ht="30" customHeight="1" x14ac:dyDescent="0.45">
      <c r="A162" s="423" t="s">
        <v>99</v>
      </c>
      <c r="B162" s="423"/>
      <c r="C162" s="423"/>
      <c r="D162" s="423"/>
      <c r="E162" s="371">
        <f>tuesday!S122/15</f>
        <v>0</v>
      </c>
      <c r="F162" s="75"/>
      <c r="G162" s="76"/>
      <c r="H162" s="77"/>
      <c r="J162" s="179"/>
    </row>
    <row r="163" spans="1:10" s="78" customFormat="1" ht="30" customHeight="1" x14ac:dyDescent="0.45">
      <c r="A163" s="421" t="s">
        <v>100</v>
      </c>
      <c r="B163" s="421"/>
      <c r="C163" s="421"/>
      <c r="D163" s="421"/>
      <c r="E163" s="371">
        <f>tuesday!S123/15</f>
        <v>0</v>
      </c>
      <c r="F163" s="75"/>
      <c r="G163" s="76"/>
      <c r="H163" s="77"/>
      <c r="J163" s="179"/>
    </row>
    <row r="164" spans="1:10" s="78" customFormat="1" ht="30" customHeight="1" x14ac:dyDescent="0.45">
      <c r="A164" s="421" t="s">
        <v>101</v>
      </c>
      <c r="B164" s="421"/>
      <c r="C164" s="421"/>
      <c r="D164" s="421"/>
      <c r="E164" s="371">
        <f>tuesday!S124/15</f>
        <v>0</v>
      </c>
      <c r="F164" s="75"/>
      <c r="G164" s="76"/>
      <c r="H164" s="77"/>
      <c r="J164" s="179"/>
    </row>
    <row r="165" spans="1:10" s="78" customFormat="1" ht="30" customHeight="1" x14ac:dyDescent="0.45">
      <c r="A165" s="421" t="s">
        <v>209</v>
      </c>
      <c r="B165" s="421"/>
      <c r="C165" s="421"/>
      <c r="D165" s="421"/>
      <c r="E165" s="371">
        <f>tuesday!S125/15</f>
        <v>0</v>
      </c>
      <c r="F165" s="75"/>
      <c r="G165" s="76"/>
      <c r="H165" s="77"/>
      <c r="J165" s="179"/>
    </row>
    <row r="166" spans="1:10" s="78" customFormat="1" ht="30" customHeight="1" x14ac:dyDescent="0.45">
      <c r="A166" s="421" t="s">
        <v>210</v>
      </c>
      <c r="B166" s="421"/>
      <c r="C166" s="421"/>
      <c r="D166" s="421"/>
      <c r="E166" s="371">
        <f>tuesday!S121/30</f>
        <v>0</v>
      </c>
      <c r="F166" s="75"/>
      <c r="G166" s="79"/>
      <c r="J166" s="179"/>
    </row>
    <row r="167" spans="1:10" s="78" customFormat="1" ht="30" customHeight="1" x14ac:dyDescent="0.45">
      <c r="A167" s="421" t="s">
        <v>212</v>
      </c>
      <c r="B167" s="421"/>
      <c r="C167" s="421"/>
      <c r="D167" s="421"/>
      <c r="E167" s="371">
        <f>tuesday!S126/30</f>
        <v>0</v>
      </c>
      <c r="F167" s="75"/>
      <c r="G167" s="79"/>
      <c r="J167" s="179"/>
    </row>
    <row r="168" spans="1:10" s="78" customFormat="1" ht="30" customHeight="1" x14ac:dyDescent="0.45">
      <c r="A168" s="421" t="s">
        <v>213</v>
      </c>
      <c r="B168" s="421"/>
      <c r="C168" s="421"/>
      <c r="D168" s="421"/>
      <c r="E168" s="371">
        <f>tuesday!S127/30</f>
        <v>0</v>
      </c>
      <c r="F168" s="75"/>
      <c r="G168" s="79"/>
      <c r="J168" s="179"/>
    </row>
    <row r="169" spans="1:10" s="78" customFormat="1" ht="30" customHeight="1" x14ac:dyDescent="0.45">
      <c r="A169" s="363" t="s">
        <v>214</v>
      </c>
      <c r="B169" s="363"/>
      <c r="C169" s="363"/>
      <c r="D169" s="363"/>
      <c r="E169" s="371">
        <f>tuesday!S128/30</f>
        <v>0</v>
      </c>
      <c r="F169" s="75"/>
      <c r="G169" s="79"/>
      <c r="J169" s="179"/>
    </row>
    <row r="170" spans="1:10" s="78" customFormat="1" ht="30" customHeight="1" x14ac:dyDescent="0.45">
      <c r="A170" s="363" t="s">
        <v>219</v>
      </c>
      <c r="B170" s="363"/>
      <c r="C170" s="363"/>
      <c r="D170" s="363"/>
      <c r="E170" s="371">
        <f>tuesday!S129/12</f>
        <v>0</v>
      </c>
      <c r="F170" s="75"/>
      <c r="G170" s="79"/>
      <c r="J170" s="179"/>
    </row>
    <row r="171" spans="1:10" s="78" customFormat="1" ht="30" customHeight="1" x14ac:dyDescent="0.45">
      <c r="A171" s="363" t="s">
        <v>216</v>
      </c>
      <c r="B171" s="363"/>
      <c r="C171" s="363"/>
      <c r="D171" s="363"/>
      <c r="E171" s="372">
        <f>tuesday!S131</f>
        <v>0</v>
      </c>
      <c r="F171" s="75"/>
      <c r="G171" s="79"/>
      <c r="J171" s="179"/>
    </row>
    <row r="172" spans="1:10" s="78" customFormat="1" ht="30" customHeight="1" x14ac:dyDescent="0.45">
      <c r="A172" s="364" t="s">
        <v>220</v>
      </c>
      <c r="B172" s="364"/>
      <c r="C172" s="364"/>
      <c r="D172" s="364"/>
      <c r="E172" s="371">
        <f>tuesday!S134/15</f>
        <v>0</v>
      </c>
      <c r="F172" s="75"/>
      <c r="G172" s="79"/>
      <c r="J172" s="179"/>
    </row>
    <row r="173" spans="1:10" s="78" customFormat="1" ht="30" customHeight="1" x14ac:dyDescent="0.45">
      <c r="A173" s="364" t="s">
        <v>222</v>
      </c>
      <c r="B173" s="364"/>
      <c r="C173" s="364"/>
      <c r="D173" s="364"/>
      <c r="E173" s="371">
        <f>tuesday!S135/12</f>
        <v>0</v>
      </c>
      <c r="F173" s="75"/>
      <c r="G173" s="79"/>
      <c r="J173" s="179"/>
    </row>
    <row r="174" spans="1:10" s="78" customFormat="1" ht="30" customHeight="1" x14ac:dyDescent="0.45">
      <c r="A174" s="363" t="s">
        <v>221</v>
      </c>
      <c r="B174" s="363"/>
      <c r="C174" s="363"/>
      <c r="D174" s="363"/>
      <c r="E174" s="371">
        <f>tuesday!S136/15</f>
        <v>0</v>
      </c>
      <c r="F174" s="75"/>
      <c r="G174" s="79"/>
      <c r="J174" s="179"/>
    </row>
    <row r="175" spans="1:10" s="78" customFormat="1" ht="30" customHeight="1" x14ac:dyDescent="0.45">
      <c r="A175" s="363" t="s">
        <v>277</v>
      </c>
      <c r="B175" s="363"/>
      <c r="C175" s="363"/>
      <c r="D175" s="363"/>
      <c r="E175" s="371">
        <f>tuesday!S137/15</f>
        <v>0</v>
      </c>
      <c r="F175" s="75"/>
      <c r="G175" s="79"/>
      <c r="J175" s="179"/>
    </row>
    <row r="176" spans="1:10" s="78" customFormat="1" ht="34.5" x14ac:dyDescent="0.45">
      <c r="A176" s="364" t="s">
        <v>278</v>
      </c>
      <c r="B176" s="364"/>
      <c r="C176" s="364"/>
      <c r="D176" s="364"/>
      <c r="E176" s="371">
        <f>tuesday!S138/15</f>
        <v>0</v>
      </c>
      <c r="F176" s="75"/>
      <c r="G176" s="79"/>
      <c r="J176" s="179"/>
    </row>
    <row r="182" spans="2:2" x14ac:dyDescent="0.2">
      <c r="B182" s="97" t="s">
        <v>102</v>
      </c>
    </row>
  </sheetData>
  <sheetProtection password="C71F" sheet="1" objects="1" scenarios="1"/>
  <mergeCells count="38">
    <mergeCell ref="A165:D165"/>
    <mergeCell ref="A166:D166"/>
    <mergeCell ref="A167:D167"/>
    <mergeCell ref="A168:D168"/>
    <mergeCell ref="B150:C150"/>
    <mergeCell ref="F150:G150"/>
    <mergeCell ref="A159:A160"/>
    <mergeCell ref="A162:D162"/>
    <mergeCell ref="A163:D163"/>
    <mergeCell ref="A164:D164"/>
    <mergeCell ref="B142:C142"/>
    <mergeCell ref="F142:G142"/>
    <mergeCell ref="B60:C60"/>
    <mergeCell ref="F60:G60"/>
    <mergeCell ref="B71:C71"/>
    <mergeCell ref="F71:G71"/>
    <mergeCell ref="B100:C100"/>
    <mergeCell ref="F100:G100"/>
    <mergeCell ref="B110:C110"/>
    <mergeCell ref="F110:G110"/>
    <mergeCell ref="B122:C122"/>
    <mergeCell ref="F122:G122"/>
    <mergeCell ref="F134:G134"/>
    <mergeCell ref="B26:C26"/>
    <mergeCell ref="F26:G26"/>
    <mergeCell ref="B134:C134"/>
    <mergeCell ref="A4:E4"/>
    <mergeCell ref="B7:C7"/>
    <mergeCell ref="F7:G7"/>
    <mergeCell ref="B16:C16"/>
    <mergeCell ref="F16:G16"/>
    <mergeCell ref="B39:C39"/>
    <mergeCell ref="F39:G39"/>
    <mergeCell ref="B47:C47"/>
    <mergeCell ref="F47:G47"/>
    <mergeCell ref="B53:C53"/>
    <mergeCell ref="F53:G53"/>
    <mergeCell ref="F79:G79"/>
  </mergeCells>
  <printOptions horizontalCentered="1"/>
  <pageMargins left="0.196850393700787" right="0.196850393700787" top="0.39370078740157499" bottom="0.196850393700787" header="0.31496062992126" footer="0.31496062992126"/>
  <pageSetup paperSize="9" scale="78" orientation="portrait" r:id="rId1"/>
  <headerFooter alignWithMargins="0">
    <oddFooter>&amp;Lécole boulangerie&amp;CPage &amp;P</oddFooter>
  </headerFooter>
  <rowBreaks count="1" manualBreakCount="1">
    <brk id="15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 tint="0.39997558519241921"/>
  </sheetPr>
  <dimension ref="A1:U164"/>
  <sheetViews>
    <sheetView showGridLines="0" view="pageBreakPreview" zoomScale="80" zoomScaleNormal="70" zoomScaleSheetLayoutView="80" workbookViewId="0">
      <pane xSplit="3" ySplit="3" topLeftCell="F4" activePane="bottomRight" state="frozen"/>
      <selection activeCell="A4" sqref="A4:E4"/>
      <selection pane="topRight" activeCell="A4" sqref="A4:E4"/>
      <selection pane="bottomLeft" activeCell="A4" sqref="A4:E4"/>
      <selection pane="bottomRight" activeCell="A4" sqref="A4:E4"/>
    </sheetView>
  </sheetViews>
  <sheetFormatPr defaultColWidth="11.42578125" defaultRowHeight="15" customHeight="1" x14ac:dyDescent="0.2"/>
  <cols>
    <col min="1" max="1" width="9.140625" style="374" bestFit="1" customWidth="1"/>
    <col min="2" max="2" width="52.85546875" style="340" bestFit="1" customWidth="1"/>
    <col min="3" max="3" width="6.5703125" style="19" hidden="1" customWidth="1"/>
    <col min="4" max="4" width="5.7109375" style="19" hidden="1" customWidth="1"/>
    <col min="5" max="5" width="6.140625" style="19" hidden="1" customWidth="1"/>
    <col min="6" max="6" width="11" style="290" customWidth="1"/>
    <col min="7" max="7" width="13.42578125" style="290" customWidth="1"/>
    <col min="8" max="8" width="0" style="290" hidden="1" customWidth="1"/>
    <col min="9" max="10" width="13.42578125" style="290" hidden="1" customWidth="1"/>
    <col min="11" max="11" width="12.7109375" style="293" customWidth="1"/>
    <col min="12" max="12" width="9.28515625" style="299" bestFit="1" customWidth="1"/>
    <col min="13" max="13" width="7.5703125" style="300" customWidth="1"/>
    <col min="14" max="15" width="7.7109375" style="300" customWidth="1"/>
    <col min="16" max="16" width="7.7109375" style="300" hidden="1" customWidth="1"/>
    <col min="17" max="17" width="8" style="21" hidden="1" customWidth="1"/>
    <col min="18" max="18" width="9.7109375" style="21" hidden="1" customWidth="1"/>
    <col min="19" max="19" width="11.42578125" style="21" hidden="1" customWidth="1"/>
    <col min="20" max="20" width="25.140625" style="21" hidden="1" customWidth="1"/>
    <col min="21" max="21" width="11.42578125" style="21" hidden="1" customWidth="1"/>
    <col min="22" max="23" width="0" style="21" hidden="1" customWidth="1"/>
    <col min="24" max="16384" width="11.42578125" style="21"/>
  </cols>
  <sheetData>
    <row r="1" spans="1:21" ht="21" customHeight="1" x14ac:dyDescent="0.2">
      <c r="B1" s="340" t="s">
        <v>76</v>
      </c>
      <c r="F1" s="40">
        <v>50</v>
      </c>
      <c r="G1" s="295" t="s">
        <v>239</v>
      </c>
      <c r="H1" s="295"/>
      <c r="I1" s="295"/>
      <c r="J1" s="295"/>
      <c r="K1" s="296">
        <f>tuesday!K1+1</f>
        <v>42459</v>
      </c>
      <c r="L1" s="401" t="s">
        <v>274</v>
      </c>
      <c r="M1" s="402"/>
      <c r="N1" s="402"/>
      <c r="O1" s="402"/>
      <c r="P1" s="402"/>
      <c r="Q1" s="41"/>
    </row>
    <row r="2" spans="1:21" ht="13.15" customHeight="1" x14ac:dyDescent="0.2">
      <c r="B2" s="403" t="s">
        <v>23</v>
      </c>
      <c r="C2" s="404" t="s">
        <v>78</v>
      </c>
      <c r="D2" s="404" t="s">
        <v>79</v>
      </c>
      <c r="E2" s="405" t="s">
        <v>80</v>
      </c>
      <c r="F2" s="407" t="s">
        <v>183</v>
      </c>
      <c r="G2" s="408" t="s">
        <v>81</v>
      </c>
      <c r="H2" s="319"/>
      <c r="I2" s="319"/>
      <c r="J2" s="319"/>
      <c r="K2" s="410" t="s">
        <v>82</v>
      </c>
      <c r="L2" s="411" t="s">
        <v>243</v>
      </c>
      <c r="M2" s="411" t="s">
        <v>275</v>
      </c>
      <c r="N2" s="411" t="s">
        <v>306</v>
      </c>
      <c r="O2" s="411" t="s">
        <v>307</v>
      </c>
      <c r="P2" s="411" t="s">
        <v>276</v>
      </c>
      <c r="Q2" s="413" t="s">
        <v>83</v>
      </c>
      <c r="R2" s="415" t="s">
        <v>84</v>
      </c>
    </row>
    <row r="3" spans="1:21" s="28" customFormat="1" ht="17.45" customHeight="1" thickBot="1" x14ac:dyDescent="0.25">
      <c r="A3" s="375"/>
      <c r="B3" s="403"/>
      <c r="C3" s="404"/>
      <c r="D3" s="404"/>
      <c r="E3" s="406"/>
      <c r="F3" s="407"/>
      <c r="G3" s="409"/>
      <c r="H3" s="320"/>
      <c r="I3" s="320"/>
      <c r="J3" s="320"/>
      <c r="K3" s="410"/>
      <c r="L3" s="412"/>
      <c r="M3" s="412"/>
      <c r="N3" s="412"/>
      <c r="O3" s="412"/>
      <c r="P3" s="412"/>
      <c r="Q3" s="414"/>
      <c r="R3" s="415"/>
    </row>
    <row r="4" spans="1:21" s="25" customFormat="1" ht="20.100000000000001" customHeight="1" x14ac:dyDescent="0.15">
      <c r="A4" s="376">
        <v>755730</v>
      </c>
      <c r="B4" s="341" t="s">
        <v>103</v>
      </c>
      <c r="C4" s="85">
        <f>PV!C4</f>
        <v>0.17499999999999999</v>
      </c>
      <c r="D4" s="42" t="s">
        <v>85</v>
      </c>
      <c r="E4" s="43">
        <f>IF(D4="h",PV!E4,IF(D4="M",PV!G4,PV!I4))</f>
        <v>1.1000000000000001</v>
      </c>
      <c r="F4" s="291">
        <v>16</v>
      </c>
      <c r="G4" s="291">
        <v>2</v>
      </c>
      <c r="H4" s="291"/>
      <c r="I4" s="291"/>
      <c r="J4" s="291"/>
      <c r="K4" s="373"/>
      <c r="L4" s="327"/>
      <c r="M4" s="328"/>
      <c r="N4" s="329"/>
      <c r="O4" s="329"/>
      <c r="P4" s="330"/>
      <c r="Q4" s="275">
        <f t="shared" ref="Q4:Q23" si="0">(K4*E4)</f>
        <v>0</v>
      </c>
      <c r="R4" s="280">
        <f t="shared" ref="R4:R23" si="1">K4*C4</f>
        <v>0</v>
      </c>
      <c r="U4" s="294">
        <f>K4-L4</f>
        <v>0</v>
      </c>
    </row>
    <row r="5" spans="1:21" s="25" customFormat="1" ht="20.100000000000001" customHeight="1" x14ac:dyDescent="0.15">
      <c r="A5" s="376">
        <v>65846</v>
      </c>
      <c r="B5" s="341" t="s">
        <v>104</v>
      </c>
      <c r="C5" s="85">
        <f>PV!C5</f>
        <v>0.35</v>
      </c>
      <c r="D5" s="44" t="str">
        <f t="shared" ref="D5:D68" si="2">D4</f>
        <v>h</v>
      </c>
      <c r="E5" s="43">
        <f>IF(D5="h",PV!E5,IF(D5="M",PV!G5,PV!I5))</f>
        <v>1.8</v>
      </c>
      <c r="F5" s="291">
        <v>16</v>
      </c>
      <c r="G5" s="291">
        <v>2</v>
      </c>
      <c r="H5" s="291"/>
      <c r="I5" s="291"/>
      <c r="J5" s="291"/>
      <c r="K5" s="373"/>
      <c r="L5" s="331"/>
      <c r="M5" s="332"/>
      <c r="N5" s="333"/>
      <c r="O5" s="333"/>
      <c r="P5" s="334"/>
      <c r="Q5" s="275">
        <f t="shared" si="0"/>
        <v>0</v>
      </c>
      <c r="R5" s="280">
        <f t="shared" si="1"/>
        <v>0</v>
      </c>
      <c r="U5" s="294"/>
    </row>
    <row r="6" spans="1:21" s="25" customFormat="1" ht="20.100000000000001" customHeight="1" x14ac:dyDescent="0.15">
      <c r="A6" s="377">
        <v>358700</v>
      </c>
      <c r="B6" s="341" t="s">
        <v>35</v>
      </c>
      <c r="C6" s="85">
        <f>PV!C6</f>
        <v>0.35</v>
      </c>
      <c r="D6" s="44" t="str">
        <f t="shared" si="2"/>
        <v>h</v>
      </c>
      <c r="E6" s="43">
        <f>IF(D6="h",PV!E6,IF(D6="M",PV!G6,PV!I6))</f>
        <v>3.45</v>
      </c>
      <c r="F6" s="291">
        <v>0</v>
      </c>
      <c r="G6" s="291">
        <v>0</v>
      </c>
      <c r="H6" s="291"/>
      <c r="I6" s="291"/>
      <c r="J6" s="291"/>
      <c r="K6" s="373"/>
      <c r="L6" s="331"/>
      <c r="M6" s="332"/>
      <c r="N6" s="333"/>
      <c r="O6" s="333"/>
      <c r="P6" s="334"/>
      <c r="Q6" s="275">
        <f t="shared" si="0"/>
        <v>0</v>
      </c>
      <c r="R6" s="280">
        <f t="shared" si="1"/>
        <v>0</v>
      </c>
      <c r="U6" s="294">
        <f t="shared" ref="U6:U37" si="3">K6-L6</f>
        <v>0</v>
      </c>
    </row>
    <row r="7" spans="1:21" s="25" customFormat="1" ht="20.100000000000001" customHeight="1" x14ac:dyDescent="0.15">
      <c r="A7" s="377">
        <v>348164</v>
      </c>
      <c r="B7" s="341" t="s">
        <v>105</v>
      </c>
      <c r="C7" s="85">
        <f>PV!C7</f>
        <v>0.35</v>
      </c>
      <c r="D7" s="44" t="str">
        <f t="shared" si="2"/>
        <v>h</v>
      </c>
      <c r="E7" s="43">
        <f>IF(D7="h",PV!E7,IF(D7="M",PV!G7,PV!I7))</f>
        <v>5.95</v>
      </c>
      <c r="F7" s="291">
        <v>0</v>
      </c>
      <c r="G7" s="291">
        <v>20</v>
      </c>
      <c r="H7" s="291"/>
      <c r="I7" s="291"/>
      <c r="J7" s="291"/>
      <c r="K7" s="373"/>
      <c r="L7" s="331"/>
      <c r="M7" s="332"/>
      <c r="N7" s="333"/>
      <c r="O7" s="333"/>
      <c r="P7" s="334"/>
      <c r="Q7" s="275">
        <f t="shared" si="0"/>
        <v>0</v>
      </c>
      <c r="R7" s="280">
        <f t="shared" si="1"/>
        <v>0</v>
      </c>
      <c r="U7" s="294">
        <f t="shared" si="3"/>
        <v>0</v>
      </c>
    </row>
    <row r="8" spans="1:21" s="25" customFormat="1" ht="20.100000000000001" customHeight="1" x14ac:dyDescent="0.15">
      <c r="A8" s="377">
        <v>358194</v>
      </c>
      <c r="B8" s="341" t="s">
        <v>106</v>
      </c>
      <c r="C8" s="85">
        <f>PV!C8</f>
        <v>0.35</v>
      </c>
      <c r="D8" s="44" t="str">
        <f t="shared" si="2"/>
        <v>h</v>
      </c>
      <c r="E8" s="43">
        <f>IF(D8="h",PV!E8,IF(D8="M",PV!G8,PV!I8))</f>
        <v>5.5</v>
      </c>
      <c r="F8" s="291">
        <v>5</v>
      </c>
      <c r="G8" s="291">
        <v>0</v>
      </c>
      <c r="H8" s="291"/>
      <c r="I8" s="291"/>
      <c r="J8" s="291"/>
      <c r="K8" s="373"/>
      <c r="L8" s="331"/>
      <c r="M8" s="332"/>
      <c r="N8" s="333"/>
      <c r="O8" s="333"/>
      <c r="P8" s="334"/>
      <c r="Q8" s="275">
        <f t="shared" si="0"/>
        <v>0</v>
      </c>
      <c r="R8" s="280">
        <f t="shared" si="1"/>
        <v>0</v>
      </c>
      <c r="U8" s="294">
        <f t="shared" si="3"/>
        <v>0</v>
      </c>
    </row>
    <row r="9" spans="1:21" s="25" customFormat="1" ht="20.100000000000001" customHeight="1" x14ac:dyDescent="0.15">
      <c r="A9" s="377">
        <v>65888</v>
      </c>
      <c r="B9" s="336" t="s">
        <v>305</v>
      </c>
      <c r="C9" s="85">
        <f>PV!C9</f>
        <v>0.35</v>
      </c>
      <c r="D9" s="44" t="str">
        <f t="shared" si="2"/>
        <v>h</v>
      </c>
      <c r="E9" s="43">
        <f>IF(D9="h",PV!E9,IF(D9="M",PV!G9,PV!I9))</f>
        <v>5.5</v>
      </c>
      <c r="F9" s="291">
        <v>2</v>
      </c>
      <c r="G9" s="291">
        <v>0</v>
      </c>
      <c r="H9" s="291"/>
      <c r="I9" s="291"/>
      <c r="J9" s="291"/>
      <c r="K9" s="373"/>
      <c r="L9" s="331"/>
      <c r="M9" s="332"/>
      <c r="N9" s="333"/>
      <c r="O9" s="333"/>
      <c r="P9" s="334"/>
      <c r="Q9" s="275">
        <f t="shared" si="0"/>
        <v>0</v>
      </c>
      <c r="R9" s="280">
        <f t="shared" si="1"/>
        <v>0</v>
      </c>
      <c r="U9" s="294">
        <f t="shared" si="3"/>
        <v>0</v>
      </c>
    </row>
    <row r="10" spans="1:21" s="25" customFormat="1" ht="20.100000000000001" customHeight="1" x14ac:dyDescent="0.15">
      <c r="A10" s="377">
        <v>65850</v>
      </c>
      <c r="B10" s="341" t="s">
        <v>108</v>
      </c>
      <c r="C10" s="85">
        <f>PV!C10</f>
        <v>0.35</v>
      </c>
      <c r="D10" s="44" t="str">
        <f t="shared" si="2"/>
        <v>h</v>
      </c>
      <c r="E10" s="43">
        <f>IF(D10="h",PV!E10,IF(D10="M",PV!G10,PV!I10))</f>
        <v>3.45</v>
      </c>
      <c r="F10" s="291">
        <v>3</v>
      </c>
      <c r="G10" s="291">
        <v>0</v>
      </c>
      <c r="H10" s="291"/>
      <c r="I10" s="291"/>
      <c r="J10" s="291"/>
      <c r="K10" s="373"/>
      <c r="L10" s="331"/>
      <c r="M10" s="332"/>
      <c r="N10" s="333"/>
      <c r="O10" s="333"/>
      <c r="P10" s="334"/>
      <c r="Q10" s="275">
        <f t="shared" si="0"/>
        <v>0</v>
      </c>
      <c r="R10" s="280">
        <f t="shared" si="1"/>
        <v>0</v>
      </c>
      <c r="U10" s="294">
        <f t="shared" si="3"/>
        <v>0</v>
      </c>
    </row>
    <row r="11" spans="1:21" s="25" customFormat="1" ht="20.100000000000001" customHeight="1" x14ac:dyDescent="0.15">
      <c r="A11" s="377">
        <v>65852</v>
      </c>
      <c r="B11" s="341" t="s">
        <v>109</v>
      </c>
      <c r="C11" s="85">
        <f>PV!C11</f>
        <v>0.35</v>
      </c>
      <c r="D11" s="44" t="str">
        <f t="shared" si="2"/>
        <v>h</v>
      </c>
      <c r="E11" s="43">
        <f>IF(D11="h",PV!E11,IF(D11="M",PV!G11,PV!I11))</f>
        <v>1.95</v>
      </c>
      <c r="F11" s="291">
        <v>266</v>
      </c>
      <c r="G11" s="291">
        <v>200</v>
      </c>
      <c r="H11" s="291"/>
      <c r="I11" s="291"/>
      <c r="J11" s="291"/>
      <c r="K11" s="373"/>
      <c r="L11" s="331"/>
      <c r="M11" s="332"/>
      <c r="N11" s="333"/>
      <c r="O11" s="333"/>
      <c r="P11" s="334"/>
      <c r="Q11" s="275">
        <f t="shared" si="0"/>
        <v>0</v>
      </c>
      <c r="R11" s="280">
        <f t="shared" si="1"/>
        <v>0</v>
      </c>
      <c r="U11" s="294">
        <f t="shared" si="3"/>
        <v>0</v>
      </c>
    </row>
    <row r="12" spans="1:21" s="25" customFormat="1" ht="20.100000000000001" customHeight="1" x14ac:dyDescent="0.15">
      <c r="A12" s="377">
        <v>303831</v>
      </c>
      <c r="B12" s="336" t="s">
        <v>110</v>
      </c>
      <c r="C12" s="85">
        <f>PV!C12</f>
        <v>0.35</v>
      </c>
      <c r="D12" s="44" t="str">
        <f t="shared" si="2"/>
        <v>h</v>
      </c>
      <c r="E12" s="43">
        <f>IF(D12="h",PV!E12,IF(D12="M",PV!G12,PV!I12))</f>
        <v>2.5</v>
      </c>
      <c r="F12" s="291">
        <v>7</v>
      </c>
      <c r="G12" s="291">
        <v>0</v>
      </c>
      <c r="H12" s="291"/>
      <c r="I12" s="291"/>
      <c r="J12" s="291"/>
      <c r="K12" s="373"/>
      <c r="L12" s="331"/>
      <c r="M12" s="332"/>
      <c r="N12" s="333"/>
      <c r="O12" s="333"/>
      <c r="P12" s="334"/>
      <c r="Q12" s="275">
        <f t="shared" si="0"/>
        <v>0</v>
      </c>
      <c r="R12" s="280">
        <f t="shared" si="1"/>
        <v>0</v>
      </c>
      <c r="U12" s="294">
        <f t="shared" si="3"/>
        <v>0</v>
      </c>
    </row>
    <row r="13" spans="1:21" s="25" customFormat="1" ht="20.100000000000001" customHeight="1" x14ac:dyDescent="0.15">
      <c r="A13" s="377">
        <v>292745</v>
      </c>
      <c r="B13" s="341" t="s">
        <v>111</v>
      </c>
      <c r="C13" s="85">
        <f>PV!C13</f>
        <v>0.48</v>
      </c>
      <c r="D13" s="44" t="str">
        <f t="shared" si="2"/>
        <v>h</v>
      </c>
      <c r="E13" s="43">
        <f>IF(D13="h",PV!E13,IF(D13="M",PV!G13,PV!I13))</f>
        <v>2.95</v>
      </c>
      <c r="F13" s="291">
        <v>72</v>
      </c>
      <c r="G13" s="291">
        <v>89</v>
      </c>
      <c r="H13" s="291"/>
      <c r="I13" s="291"/>
      <c r="J13" s="291"/>
      <c r="K13" s="373"/>
      <c r="L13" s="331"/>
      <c r="M13" s="332"/>
      <c r="N13" s="333"/>
      <c r="O13" s="333"/>
      <c r="P13" s="334"/>
      <c r="Q13" s="275">
        <f t="shared" si="0"/>
        <v>0</v>
      </c>
      <c r="R13" s="280">
        <f t="shared" si="1"/>
        <v>0</v>
      </c>
      <c r="U13" s="294">
        <f t="shared" si="3"/>
        <v>0</v>
      </c>
    </row>
    <row r="14" spans="1:21" s="25" customFormat="1" ht="20.100000000000001" customHeight="1" x14ac:dyDescent="0.15">
      <c r="A14" s="377">
        <v>65890</v>
      </c>
      <c r="B14" s="341" t="s">
        <v>30</v>
      </c>
      <c r="C14" s="85">
        <f>PV!C14</f>
        <v>1.165</v>
      </c>
      <c r="D14" s="44" t="str">
        <f t="shared" si="2"/>
        <v>h</v>
      </c>
      <c r="E14" s="43">
        <f>IF(D14="h",PV!E14,IF(D14="M",PV!G14,PV!I14))</f>
        <v>8.4499999999999993</v>
      </c>
      <c r="F14" s="291">
        <v>33</v>
      </c>
      <c r="G14" s="291">
        <v>51</v>
      </c>
      <c r="H14" s="291"/>
      <c r="I14" s="291"/>
      <c r="J14" s="291"/>
      <c r="K14" s="373"/>
      <c r="L14" s="331"/>
      <c r="M14" s="332"/>
      <c r="N14" s="333"/>
      <c r="O14" s="333"/>
      <c r="P14" s="334"/>
      <c r="Q14" s="275">
        <f t="shared" si="0"/>
        <v>0</v>
      </c>
      <c r="R14" s="280">
        <f t="shared" si="1"/>
        <v>0</v>
      </c>
      <c r="U14" s="294">
        <f t="shared" si="3"/>
        <v>0</v>
      </c>
    </row>
    <row r="15" spans="1:21" s="25" customFormat="1" ht="20.100000000000001" customHeight="1" x14ac:dyDescent="0.15">
      <c r="A15" s="377">
        <v>65892</v>
      </c>
      <c r="B15" s="341" t="s">
        <v>29</v>
      </c>
      <c r="C15" s="85">
        <f>PV!C15</f>
        <v>0.58499999999999996</v>
      </c>
      <c r="D15" s="44" t="str">
        <f t="shared" si="2"/>
        <v>h</v>
      </c>
      <c r="E15" s="43">
        <f>IF(D15="h",PV!E15,IF(D15="M",PV!G15,PV!I15))</f>
        <v>5.5</v>
      </c>
      <c r="F15" s="291">
        <v>8</v>
      </c>
      <c r="G15" s="291">
        <v>11</v>
      </c>
      <c r="H15" s="291"/>
      <c r="I15" s="291"/>
      <c r="J15" s="291"/>
      <c r="K15" s="373"/>
      <c r="L15" s="331"/>
      <c r="M15" s="332"/>
      <c r="N15" s="333"/>
      <c r="O15" s="333"/>
      <c r="P15" s="334"/>
      <c r="Q15" s="275">
        <f t="shared" si="0"/>
        <v>0</v>
      </c>
      <c r="R15" s="280">
        <f t="shared" si="1"/>
        <v>0</v>
      </c>
      <c r="U15" s="294">
        <f t="shared" si="3"/>
        <v>0</v>
      </c>
    </row>
    <row r="16" spans="1:21" s="25" customFormat="1" ht="20.100000000000001" customHeight="1" x14ac:dyDescent="0.15">
      <c r="A16" s="377">
        <v>886852</v>
      </c>
      <c r="B16" s="336" t="s">
        <v>303</v>
      </c>
      <c r="C16" s="85">
        <f>PV!C16</f>
        <v>1.165</v>
      </c>
      <c r="D16" s="44" t="str">
        <f t="shared" si="2"/>
        <v>h</v>
      </c>
      <c r="E16" s="43">
        <f>IF(D16="h",PV!E16,IF(D16="M",PV!G16,PV!I16))</f>
        <v>8.4499999999999993</v>
      </c>
      <c r="F16" s="291">
        <v>1</v>
      </c>
      <c r="G16" s="291">
        <v>15</v>
      </c>
      <c r="H16" s="291"/>
      <c r="I16" s="291"/>
      <c r="J16" s="291"/>
      <c r="K16" s="373"/>
      <c r="L16" s="331"/>
      <c r="M16" s="332"/>
      <c r="N16" s="333"/>
      <c r="O16" s="333"/>
      <c r="P16" s="334"/>
      <c r="Q16" s="275">
        <f t="shared" si="0"/>
        <v>0</v>
      </c>
      <c r="R16" s="280">
        <f t="shared" si="1"/>
        <v>0</v>
      </c>
      <c r="U16" s="294">
        <f t="shared" si="3"/>
        <v>0</v>
      </c>
    </row>
    <row r="17" spans="1:21" s="25" customFormat="1" ht="20.100000000000001" customHeight="1" x14ac:dyDescent="0.15">
      <c r="A17" s="377">
        <v>886849</v>
      </c>
      <c r="B17" s="341" t="s">
        <v>304</v>
      </c>
      <c r="C17" s="85">
        <f>PV!C17</f>
        <v>0.58499999999999996</v>
      </c>
      <c r="D17" s="44" t="str">
        <f t="shared" si="2"/>
        <v>h</v>
      </c>
      <c r="E17" s="43">
        <f>IF(D17="h",PV!E17,IF(D17="M",PV!G17,PV!I17))</f>
        <v>5.5</v>
      </c>
      <c r="F17" s="291">
        <v>2</v>
      </c>
      <c r="G17" s="291">
        <v>1</v>
      </c>
      <c r="H17" s="291"/>
      <c r="I17" s="291"/>
      <c r="J17" s="291"/>
      <c r="K17" s="373"/>
      <c r="L17" s="331"/>
      <c r="M17" s="332"/>
      <c r="N17" s="333"/>
      <c r="O17" s="333"/>
      <c r="P17" s="334"/>
      <c r="Q17" s="275">
        <f t="shared" si="0"/>
        <v>0</v>
      </c>
      <c r="R17" s="280">
        <f t="shared" si="1"/>
        <v>0</v>
      </c>
      <c r="U17" s="294">
        <f t="shared" si="3"/>
        <v>0</v>
      </c>
    </row>
    <row r="18" spans="1:21" s="25" customFormat="1" ht="20.100000000000001" customHeight="1" x14ac:dyDescent="0.15">
      <c r="A18" s="377">
        <v>65897</v>
      </c>
      <c r="B18" s="341" t="s">
        <v>36</v>
      </c>
      <c r="C18" s="85">
        <f>PV!C18</f>
        <v>0.24</v>
      </c>
      <c r="D18" s="44" t="str">
        <f t="shared" si="2"/>
        <v>h</v>
      </c>
      <c r="E18" s="43">
        <f>IF(D18="h",PV!E18,IF(D18="M",PV!G18,PV!I18))</f>
        <v>3</v>
      </c>
      <c r="F18" s="291">
        <v>27</v>
      </c>
      <c r="G18" s="291">
        <v>0</v>
      </c>
      <c r="H18" s="291"/>
      <c r="I18" s="291"/>
      <c r="J18" s="291"/>
      <c r="K18" s="373"/>
      <c r="L18" s="331"/>
      <c r="M18" s="332"/>
      <c r="N18" s="333"/>
      <c r="O18" s="333"/>
      <c r="P18" s="334"/>
      <c r="Q18" s="275">
        <f t="shared" si="0"/>
        <v>0</v>
      </c>
      <c r="R18" s="280">
        <f t="shared" si="1"/>
        <v>0</v>
      </c>
      <c r="U18" s="294">
        <f t="shared" si="3"/>
        <v>0</v>
      </c>
    </row>
    <row r="19" spans="1:21" s="25" customFormat="1" ht="20.100000000000001" customHeight="1" x14ac:dyDescent="0.15">
      <c r="A19" s="377">
        <v>403773</v>
      </c>
      <c r="B19" s="341" t="s">
        <v>112</v>
      </c>
      <c r="C19" s="85">
        <f>PV!C19</f>
        <v>0.24</v>
      </c>
      <c r="D19" s="44" t="str">
        <f t="shared" si="2"/>
        <v>h</v>
      </c>
      <c r="E19" s="43">
        <f>IF(D19="h",PV!E19,IF(D19="M",PV!G19,PV!I19))</f>
        <v>3.75</v>
      </c>
      <c r="F19" s="291">
        <v>0</v>
      </c>
      <c r="G19" s="291">
        <v>0</v>
      </c>
      <c r="H19" s="291"/>
      <c r="I19" s="291"/>
      <c r="J19" s="291"/>
      <c r="K19" s="373"/>
      <c r="L19" s="331"/>
      <c r="M19" s="332"/>
      <c r="N19" s="333"/>
      <c r="O19" s="333"/>
      <c r="P19" s="334"/>
      <c r="Q19" s="275">
        <f t="shared" si="0"/>
        <v>0</v>
      </c>
      <c r="R19" s="280">
        <f t="shared" si="1"/>
        <v>0</v>
      </c>
      <c r="U19" s="294">
        <f t="shared" si="3"/>
        <v>0</v>
      </c>
    </row>
    <row r="20" spans="1:21" s="25" customFormat="1" ht="20.100000000000001" customHeight="1" x14ac:dyDescent="0.15">
      <c r="A20" s="377">
        <v>886858</v>
      </c>
      <c r="B20" s="336" t="s">
        <v>113</v>
      </c>
      <c r="C20" s="85">
        <f>PV!C20</f>
        <v>0.7</v>
      </c>
      <c r="D20" s="44" t="str">
        <f t="shared" si="2"/>
        <v>h</v>
      </c>
      <c r="E20" s="43">
        <f>IF(D20="h",PV!E20,IF(D20="M",PV!G20,PV!I20))</f>
        <v>6.45</v>
      </c>
      <c r="F20" s="291">
        <v>3</v>
      </c>
      <c r="G20" s="291">
        <v>0</v>
      </c>
      <c r="H20" s="291"/>
      <c r="I20" s="291"/>
      <c r="J20" s="291"/>
      <c r="K20" s="373"/>
      <c r="L20" s="331"/>
      <c r="M20" s="332"/>
      <c r="N20" s="333"/>
      <c r="O20" s="333"/>
      <c r="P20" s="334"/>
      <c r="Q20" s="275">
        <f t="shared" si="0"/>
        <v>0</v>
      </c>
      <c r="R20" s="280">
        <f t="shared" si="1"/>
        <v>0</v>
      </c>
      <c r="U20" s="294">
        <f t="shared" si="3"/>
        <v>0</v>
      </c>
    </row>
    <row r="21" spans="1:21" s="25" customFormat="1" ht="20.100000000000001" customHeight="1" x14ac:dyDescent="0.15">
      <c r="A21" s="377">
        <v>886854</v>
      </c>
      <c r="B21" s="341" t="s">
        <v>114</v>
      </c>
      <c r="C21" s="85">
        <f>PV!C21</f>
        <v>0.35</v>
      </c>
      <c r="D21" s="44" t="str">
        <f t="shared" si="2"/>
        <v>h</v>
      </c>
      <c r="E21" s="43">
        <f>IF(D21="h",PV!E21,IF(D21="M",PV!G21,PV!I21))</f>
        <v>3.75</v>
      </c>
      <c r="F21" s="291">
        <v>1</v>
      </c>
      <c r="G21" s="291">
        <v>0</v>
      </c>
      <c r="H21" s="291"/>
      <c r="I21" s="291"/>
      <c r="J21" s="291"/>
      <c r="K21" s="373"/>
      <c r="L21" s="331"/>
      <c r="M21" s="332"/>
      <c r="N21" s="333"/>
      <c r="O21" s="333"/>
      <c r="P21" s="334"/>
      <c r="Q21" s="275">
        <f t="shared" si="0"/>
        <v>0</v>
      </c>
      <c r="R21" s="280">
        <f t="shared" si="1"/>
        <v>0</v>
      </c>
      <c r="U21" s="294">
        <f t="shared" si="3"/>
        <v>0</v>
      </c>
    </row>
    <row r="22" spans="1:21" s="25" customFormat="1" ht="20.100000000000001" customHeight="1" x14ac:dyDescent="0.15">
      <c r="A22" s="377">
        <v>65929</v>
      </c>
      <c r="B22" s="341" t="s">
        <v>32</v>
      </c>
      <c r="C22" s="85">
        <f>PV!C22</f>
        <v>0.7</v>
      </c>
      <c r="D22" s="44" t="str">
        <f t="shared" si="2"/>
        <v>h</v>
      </c>
      <c r="E22" s="43">
        <f>IF(D22="h",PV!E22,IF(D22="M",PV!G22,PV!I22))</f>
        <v>6.45</v>
      </c>
      <c r="F22" s="291">
        <v>27</v>
      </c>
      <c r="G22" s="291">
        <v>35</v>
      </c>
      <c r="H22" s="291"/>
      <c r="I22" s="291"/>
      <c r="J22" s="291"/>
      <c r="K22" s="373"/>
      <c r="L22" s="331"/>
      <c r="M22" s="332"/>
      <c r="N22" s="333"/>
      <c r="O22" s="333"/>
      <c r="P22" s="334"/>
      <c r="Q22" s="275">
        <f t="shared" si="0"/>
        <v>0</v>
      </c>
      <c r="R22" s="280">
        <f t="shared" si="1"/>
        <v>0</v>
      </c>
      <c r="U22" s="294">
        <f t="shared" si="3"/>
        <v>0</v>
      </c>
    </row>
    <row r="23" spans="1:21" s="25" customFormat="1" ht="18.75" customHeight="1" x14ac:dyDescent="0.15">
      <c r="A23" s="335">
        <v>65926</v>
      </c>
      <c r="B23" s="341" t="s">
        <v>31</v>
      </c>
      <c r="C23" s="85">
        <f>PV!C23</f>
        <v>0.35</v>
      </c>
      <c r="D23" s="44" t="str">
        <f t="shared" si="2"/>
        <v>h</v>
      </c>
      <c r="E23" s="43">
        <f>IF(D23="h",PV!E23,IF(D23="M",PV!G23,PV!I23))</f>
        <v>3.75</v>
      </c>
      <c r="F23" s="291">
        <v>5</v>
      </c>
      <c r="G23" s="291">
        <v>5</v>
      </c>
      <c r="H23" s="291"/>
      <c r="I23" s="291"/>
      <c r="J23" s="291"/>
      <c r="K23" s="373"/>
      <c r="L23" s="331"/>
      <c r="M23" s="332"/>
      <c r="N23" s="333"/>
      <c r="O23" s="333"/>
      <c r="P23" s="334"/>
      <c r="Q23" s="275">
        <f t="shared" si="0"/>
        <v>0</v>
      </c>
      <c r="R23" s="280">
        <f t="shared" si="1"/>
        <v>0</v>
      </c>
      <c r="U23" s="294">
        <f t="shared" si="3"/>
        <v>0</v>
      </c>
    </row>
    <row r="24" spans="1:21" s="25" customFormat="1" ht="9.75" customHeight="1" x14ac:dyDescent="0.2">
      <c r="A24" s="378"/>
      <c r="B24" s="342"/>
      <c r="C24" s="85">
        <f>PV!C24</f>
        <v>0</v>
      </c>
      <c r="D24" s="44" t="str">
        <f t="shared" si="2"/>
        <v>h</v>
      </c>
      <c r="E24" s="43">
        <f>IF(D24="h",PV!E24,IF(D24="M",PV!G24,PV!I24))</f>
        <v>0</v>
      </c>
      <c r="F24" s="291">
        <v>0</v>
      </c>
      <c r="G24" s="291">
        <v>0</v>
      </c>
      <c r="H24" s="291"/>
      <c r="I24" s="291"/>
      <c r="J24" s="291"/>
      <c r="K24" s="373"/>
      <c r="L24" s="331"/>
      <c r="M24" s="332"/>
      <c r="N24" s="333"/>
      <c r="O24" s="333"/>
      <c r="P24" s="334"/>
      <c r="Q24" s="276"/>
      <c r="R24" s="281">
        <f>SUM(R4:R23)</f>
        <v>0</v>
      </c>
      <c r="U24" s="294">
        <f t="shared" si="3"/>
        <v>0</v>
      </c>
    </row>
    <row r="25" spans="1:21" s="25" customFormat="1" ht="16.149999999999999" customHeight="1" x14ac:dyDescent="0.2">
      <c r="A25" s="379">
        <v>206112</v>
      </c>
      <c r="B25" s="343" t="s">
        <v>301</v>
      </c>
      <c r="C25" s="85">
        <f>PV!C25</f>
        <v>0.72</v>
      </c>
      <c r="D25" s="44" t="str">
        <f t="shared" si="2"/>
        <v>h</v>
      </c>
      <c r="E25" s="43">
        <f>IF(D25="h",PV!E25,IF(D25="M",PV!G25,PV!I25))</f>
        <v>7.95</v>
      </c>
      <c r="F25" s="291">
        <v>0</v>
      </c>
      <c r="G25" s="291">
        <v>5</v>
      </c>
      <c r="H25" s="291"/>
      <c r="I25" s="291"/>
      <c r="J25" s="291"/>
      <c r="K25" s="373"/>
      <c r="L25" s="331"/>
      <c r="M25" s="332"/>
      <c r="N25" s="333"/>
      <c r="O25" s="333"/>
      <c r="P25" s="334"/>
      <c r="Q25" s="275">
        <f>(K25*E25)</f>
        <v>0</v>
      </c>
      <c r="R25" s="280">
        <f>K25*C25</f>
        <v>0</v>
      </c>
      <c r="U25" s="294">
        <f t="shared" si="3"/>
        <v>0</v>
      </c>
    </row>
    <row r="26" spans="1:21" s="25" customFormat="1" ht="18.75" customHeight="1" x14ac:dyDescent="0.2">
      <c r="A26" s="379">
        <v>206120</v>
      </c>
      <c r="B26" s="343" t="s">
        <v>302</v>
      </c>
      <c r="C26" s="85">
        <f>PV!C26</f>
        <v>0.36</v>
      </c>
      <c r="D26" s="44" t="str">
        <f t="shared" si="2"/>
        <v>h</v>
      </c>
      <c r="E26" s="43">
        <f>IF(D26="h",PV!E26,IF(D26="M",PV!G26,PV!I26))</f>
        <v>4.95</v>
      </c>
      <c r="F26" s="291">
        <v>0</v>
      </c>
      <c r="G26" s="291">
        <v>0</v>
      </c>
      <c r="H26" s="291"/>
      <c r="I26" s="291"/>
      <c r="J26" s="291"/>
      <c r="K26" s="373"/>
      <c r="L26" s="331"/>
      <c r="M26" s="332"/>
      <c r="N26" s="333"/>
      <c r="O26" s="333"/>
      <c r="P26" s="334"/>
      <c r="Q26" s="275">
        <f>(K26*E26)</f>
        <v>0</v>
      </c>
      <c r="R26" s="280">
        <f>K26*C26</f>
        <v>0</v>
      </c>
      <c r="U26" s="294">
        <f t="shared" si="3"/>
        <v>0</v>
      </c>
    </row>
    <row r="27" spans="1:21" s="25" customFormat="1" ht="18.75" customHeight="1" x14ac:dyDescent="0.2">
      <c r="A27" s="379">
        <v>65864</v>
      </c>
      <c r="B27" s="343" t="s">
        <v>136</v>
      </c>
      <c r="C27" s="85">
        <f>PV!C27</f>
        <v>0.48</v>
      </c>
      <c r="D27" s="44" t="str">
        <f t="shared" si="2"/>
        <v>h</v>
      </c>
      <c r="E27" s="43">
        <f>IF(D27="h",PV!E27,IF(D27="M",PV!G27,PV!I27))</f>
        <v>5.5</v>
      </c>
      <c r="F27" s="291">
        <v>7</v>
      </c>
      <c r="G27" s="291">
        <v>10</v>
      </c>
      <c r="H27" s="291"/>
      <c r="I27" s="291"/>
      <c r="J27" s="291"/>
      <c r="K27" s="373"/>
      <c r="L27" s="331"/>
      <c r="M27" s="332"/>
      <c r="N27" s="333"/>
      <c r="O27" s="333"/>
      <c r="P27" s="334"/>
      <c r="Q27" s="275">
        <f>(K27*E27)</f>
        <v>0</v>
      </c>
      <c r="R27" s="280">
        <f>K27*C27</f>
        <v>0</v>
      </c>
      <c r="U27" s="294">
        <f t="shared" si="3"/>
        <v>0</v>
      </c>
    </row>
    <row r="28" spans="1:21" s="25" customFormat="1" ht="18.75" customHeight="1" x14ac:dyDescent="0.2">
      <c r="A28" s="379">
        <v>1263736</v>
      </c>
      <c r="B28" s="343" t="s">
        <v>273</v>
      </c>
      <c r="C28" s="85">
        <f>PV!C28</f>
        <v>0.47499999999999998</v>
      </c>
      <c r="D28" s="44" t="str">
        <f t="shared" si="2"/>
        <v>h</v>
      </c>
      <c r="E28" s="43">
        <f>IF(D28="h",PV!E28,IF(D28="M",PV!G28,PV!I28))</f>
        <v>5.5</v>
      </c>
      <c r="F28" s="291">
        <v>1</v>
      </c>
      <c r="G28" s="291">
        <v>8</v>
      </c>
      <c r="H28" s="291"/>
      <c r="I28" s="291"/>
      <c r="J28" s="291"/>
      <c r="K28" s="373"/>
      <c r="L28" s="331"/>
      <c r="M28" s="332"/>
      <c r="N28" s="333"/>
      <c r="O28" s="333"/>
      <c r="P28" s="334"/>
      <c r="Q28" s="275">
        <f>(K28*E28)</f>
        <v>0</v>
      </c>
      <c r="R28" s="280">
        <f>K28*C28</f>
        <v>0</v>
      </c>
      <c r="U28" s="294">
        <f t="shared" si="3"/>
        <v>0</v>
      </c>
    </row>
    <row r="29" spans="1:21" s="36" customFormat="1" ht="18.600000000000001" customHeight="1" x14ac:dyDescent="0.2">
      <c r="A29" s="380">
        <v>68789</v>
      </c>
      <c r="B29" s="344" t="s">
        <v>137</v>
      </c>
      <c r="C29" s="85">
        <f>PV!C29</f>
        <v>0.35</v>
      </c>
      <c r="D29" s="44" t="str">
        <f t="shared" si="2"/>
        <v>h</v>
      </c>
      <c r="E29" s="43">
        <f>IF(D29="h",PV!E29,IF(D29="M",PV!G29,PV!I29))</f>
        <v>3.5</v>
      </c>
      <c r="F29" s="291">
        <v>8</v>
      </c>
      <c r="G29" s="291">
        <v>12</v>
      </c>
      <c r="H29" s="291"/>
      <c r="I29" s="291"/>
      <c r="J29" s="291"/>
      <c r="K29" s="373"/>
      <c r="L29" s="331"/>
      <c r="M29" s="332"/>
      <c r="N29" s="333"/>
      <c r="O29" s="333"/>
      <c r="P29" s="334"/>
      <c r="Q29" s="275">
        <f>(K29*E29)</f>
        <v>0</v>
      </c>
      <c r="R29" s="280">
        <f>K29*C29</f>
        <v>0</v>
      </c>
      <c r="U29" s="294">
        <f t="shared" si="3"/>
        <v>0</v>
      </c>
    </row>
    <row r="30" spans="1:21" s="25" customFormat="1" ht="0.6" customHeight="1" x14ac:dyDescent="0.15">
      <c r="A30" s="376"/>
      <c r="B30" s="345"/>
      <c r="C30" s="85">
        <f>PV!C30</f>
        <v>0</v>
      </c>
      <c r="D30" s="44" t="str">
        <f t="shared" si="2"/>
        <v>h</v>
      </c>
      <c r="E30" s="43">
        <f>IF(D30="h",PV!E30,IF(D30="M",PV!G30,PV!I30))</f>
        <v>0</v>
      </c>
      <c r="F30" s="291">
        <v>0</v>
      </c>
      <c r="G30" s="291">
        <v>0</v>
      </c>
      <c r="H30" s="291"/>
      <c r="I30" s="291"/>
      <c r="J30" s="291"/>
      <c r="K30" s="373"/>
      <c r="L30" s="331"/>
      <c r="M30" s="332"/>
      <c r="N30" s="333"/>
      <c r="O30" s="333"/>
      <c r="P30" s="334"/>
      <c r="Q30" s="277"/>
      <c r="R30" s="281">
        <f>SUM(R25:R29)</f>
        <v>0</v>
      </c>
      <c r="U30" s="294">
        <f t="shared" si="3"/>
        <v>0</v>
      </c>
    </row>
    <row r="31" spans="1:21" s="25" customFormat="1" ht="20.100000000000001" customHeight="1" x14ac:dyDescent="0.15">
      <c r="A31" s="377">
        <v>445146</v>
      </c>
      <c r="B31" s="341" t="s">
        <v>132</v>
      </c>
      <c r="C31" s="85">
        <f>PV!C31</f>
        <v>0.48</v>
      </c>
      <c r="D31" s="44" t="str">
        <f t="shared" si="2"/>
        <v>h</v>
      </c>
      <c r="E31" s="43">
        <f>IF(D31="h",PV!E31,IF(D31="M",PV!G31,PV!I31))</f>
        <v>5.95</v>
      </c>
      <c r="F31" s="291">
        <v>2</v>
      </c>
      <c r="G31" s="291">
        <v>7</v>
      </c>
      <c r="H31" s="291"/>
      <c r="I31" s="291"/>
      <c r="J31" s="291"/>
      <c r="K31" s="373"/>
      <c r="L31" s="331"/>
      <c r="M31" s="332"/>
      <c r="N31" s="333"/>
      <c r="O31" s="333"/>
      <c r="P31" s="334"/>
      <c r="Q31" s="275">
        <f>(K31*E31)</f>
        <v>0</v>
      </c>
      <c r="R31" s="280">
        <f>K31*C31</f>
        <v>0</v>
      </c>
      <c r="U31" s="294">
        <f t="shared" si="3"/>
        <v>0</v>
      </c>
    </row>
    <row r="32" spans="1:21" s="25" customFormat="1" ht="0.6" customHeight="1" x14ac:dyDescent="0.15">
      <c r="A32" s="377"/>
      <c r="B32" s="341"/>
      <c r="C32" s="85">
        <f>PV!C32</f>
        <v>0</v>
      </c>
      <c r="D32" s="44" t="str">
        <f t="shared" si="2"/>
        <v>h</v>
      </c>
      <c r="E32" s="43">
        <f>IF(D32="h",PV!E32,IF(D32="M",PV!G32,PV!I32))</f>
        <v>0</v>
      </c>
      <c r="F32" s="291">
        <v>0</v>
      </c>
      <c r="G32" s="291">
        <v>0</v>
      </c>
      <c r="H32" s="291"/>
      <c r="I32" s="291"/>
      <c r="J32" s="291"/>
      <c r="K32" s="373"/>
      <c r="L32" s="331"/>
      <c r="M32" s="332"/>
      <c r="N32" s="333"/>
      <c r="O32" s="333"/>
      <c r="P32" s="334"/>
      <c r="Q32" s="275"/>
      <c r="R32" s="281">
        <f>SUM(R31)</f>
        <v>0</v>
      </c>
      <c r="U32" s="294">
        <f t="shared" si="3"/>
        <v>0</v>
      </c>
    </row>
    <row r="33" spans="1:21" s="25" customFormat="1" ht="22.5" x14ac:dyDescent="0.25">
      <c r="A33" s="381">
        <v>951452</v>
      </c>
      <c r="B33" s="346" t="s">
        <v>163</v>
      </c>
      <c r="C33" s="85">
        <f>PV!C33</f>
        <v>0.45</v>
      </c>
      <c r="D33" s="44" t="str">
        <f t="shared" si="2"/>
        <v>h</v>
      </c>
      <c r="E33" s="43">
        <f>IF(D33="h",PV!E33,IF(D33="M",PV!G33,PV!I33))</f>
        <v>4.95</v>
      </c>
      <c r="F33" s="291">
        <v>0</v>
      </c>
      <c r="G33" s="291">
        <v>0</v>
      </c>
      <c r="H33" s="291"/>
      <c r="I33" s="291"/>
      <c r="J33" s="291"/>
      <c r="K33" s="373"/>
      <c r="L33" s="331"/>
      <c r="M33" s="332"/>
      <c r="N33" s="333"/>
      <c r="O33" s="333"/>
      <c r="P33" s="334"/>
      <c r="Q33" s="275">
        <f>(K33*E33)</f>
        <v>0</v>
      </c>
      <c r="R33" s="280">
        <f>K33*C33</f>
        <v>0</v>
      </c>
      <c r="U33" s="294">
        <f t="shared" si="3"/>
        <v>0</v>
      </c>
    </row>
    <row r="34" spans="1:21" s="25" customFormat="1" ht="0.6" customHeight="1" x14ac:dyDescent="0.2">
      <c r="A34" s="382"/>
      <c r="B34" s="343"/>
      <c r="C34" s="85">
        <f>PV!C34</f>
        <v>0</v>
      </c>
      <c r="D34" s="44" t="str">
        <f t="shared" si="2"/>
        <v>h</v>
      </c>
      <c r="E34" s="43">
        <f>IF(D34="h",PV!E34,IF(D34="M",PV!G34,PV!I34))</f>
        <v>0</v>
      </c>
      <c r="F34" s="291">
        <v>0</v>
      </c>
      <c r="G34" s="291">
        <v>0</v>
      </c>
      <c r="H34" s="291"/>
      <c r="I34" s="291"/>
      <c r="J34" s="291"/>
      <c r="K34" s="373"/>
      <c r="L34" s="331"/>
      <c r="M34" s="332"/>
      <c r="N34" s="333"/>
      <c r="O34" s="333"/>
      <c r="P34" s="334"/>
      <c r="Q34" s="278"/>
      <c r="R34" s="281">
        <f>SUM(R33)</f>
        <v>0</v>
      </c>
      <c r="U34" s="294">
        <f t="shared" si="3"/>
        <v>0</v>
      </c>
    </row>
    <row r="35" spans="1:21" s="25" customFormat="1" ht="20.100000000000001" customHeight="1" x14ac:dyDescent="0.2">
      <c r="A35" s="379">
        <v>1263737</v>
      </c>
      <c r="B35" s="343" t="s">
        <v>271</v>
      </c>
      <c r="C35" s="85">
        <f>PV!C35</f>
        <v>0.5</v>
      </c>
      <c r="D35" s="44" t="str">
        <f t="shared" si="2"/>
        <v>h</v>
      </c>
      <c r="E35" s="43">
        <f>IF(D35="h",PV!E35,IF(D35="M",PV!G35,PV!I35))</f>
        <v>6.5</v>
      </c>
      <c r="F35" s="291">
        <v>4</v>
      </c>
      <c r="G35" s="291">
        <v>10</v>
      </c>
      <c r="H35" s="291"/>
      <c r="I35" s="291"/>
      <c r="J35" s="291"/>
      <c r="K35" s="373"/>
      <c r="L35" s="331"/>
      <c r="M35" s="332"/>
      <c r="N35" s="333"/>
      <c r="O35" s="333"/>
      <c r="P35" s="334"/>
      <c r="Q35" s="275">
        <f>(K35*E35)</f>
        <v>0</v>
      </c>
      <c r="R35" s="280">
        <f>K35*C35</f>
        <v>0</v>
      </c>
      <c r="U35" s="294">
        <f t="shared" si="3"/>
        <v>0</v>
      </c>
    </row>
    <row r="36" spans="1:21" s="25" customFormat="1" ht="20.100000000000001" customHeight="1" x14ac:dyDescent="0.2">
      <c r="A36" s="379">
        <v>1098038</v>
      </c>
      <c r="B36" s="343" t="s">
        <v>150</v>
      </c>
      <c r="C36" s="85">
        <f>PV!C36</f>
        <v>0.7</v>
      </c>
      <c r="D36" s="44" t="str">
        <f t="shared" si="2"/>
        <v>h</v>
      </c>
      <c r="E36" s="43">
        <f>IF(D36="h",PV!E36,IF(D36="M",PV!G36,PV!I36))</f>
        <v>8.9499999999999993</v>
      </c>
      <c r="F36" s="291">
        <v>0</v>
      </c>
      <c r="G36" s="291">
        <v>0</v>
      </c>
      <c r="H36" s="291"/>
      <c r="I36" s="291"/>
      <c r="J36" s="291"/>
      <c r="K36" s="373"/>
      <c r="L36" s="331"/>
      <c r="M36" s="332"/>
      <c r="N36" s="333"/>
      <c r="O36" s="333"/>
      <c r="P36" s="334"/>
      <c r="Q36" s="275">
        <f>(K36*E36)</f>
        <v>0</v>
      </c>
      <c r="R36" s="280">
        <f>K36*C36</f>
        <v>0</v>
      </c>
      <c r="U36" s="294">
        <f t="shared" si="3"/>
        <v>0</v>
      </c>
    </row>
    <row r="37" spans="1:21" ht="0.6" customHeight="1" x14ac:dyDescent="0.2">
      <c r="A37" s="382"/>
      <c r="B37" s="347"/>
      <c r="C37" s="85">
        <f>PV!C37</f>
        <v>0</v>
      </c>
      <c r="D37" s="44" t="str">
        <f t="shared" si="2"/>
        <v>h</v>
      </c>
      <c r="E37" s="43">
        <f>IF(D37="h",PV!E37,IF(D37="M",PV!G37,PV!I37))</f>
        <v>0</v>
      </c>
      <c r="F37" s="291">
        <v>0</v>
      </c>
      <c r="G37" s="291">
        <v>0</v>
      </c>
      <c r="H37" s="291"/>
      <c r="I37" s="291"/>
      <c r="J37" s="291"/>
      <c r="K37" s="373"/>
      <c r="L37" s="331"/>
      <c r="M37" s="332"/>
      <c r="N37" s="333"/>
      <c r="O37" s="333"/>
      <c r="P37" s="334"/>
      <c r="Q37" s="275"/>
      <c r="R37" s="281">
        <f>SUM(R35:R36)</f>
        <v>0</v>
      </c>
      <c r="U37" s="294">
        <f t="shared" si="3"/>
        <v>0</v>
      </c>
    </row>
    <row r="38" spans="1:21" s="25" customFormat="1" ht="20.100000000000001" customHeight="1" x14ac:dyDescent="0.15">
      <c r="A38" s="335">
        <v>1079156</v>
      </c>
      <c r="B38" s="343" t="s">
        <v>121</v>
      </c>
      <c r="C38" s="85">
        <f>PV!C38</f>
        <v>0.45</v>
      </c>
      <c r="D38" s="44" t="str">
        <f t="shared" si="2"/>
        <v>h</v>
      </c>
      <c r="E38" s="43">
        <f>IF(D38="h",PV!E38,IF(D38="M",PV!G38,PV!I38))</f>
        <v>6.5</v>
      </c>
      <c r="F38" s="291">
        <v>0</v>
      </c>
      <c r="G38" s="291">
        <v>0</v>
      </c>
      <c r="H38" s="291"/>
      <c r="I38" s="291"/>
      <c r="J38" s="291"/>
      <c r="K38" s="373"/>
      <c r="L38" s="331"/>
      <c r="M38" s="332"/>
      <c r="N38" s="333"/>
      <c r="O38" s="333"/>
      <c r="P38" s="334"/>
      <c r="Q38" s="275">
        <f>(K38*E38)</f>
        <v>0</v>
      </c>
      <c r="R38" s="280">
        <f>K38*C38</f>
        <v>0</v>
      </c>
      <c r="U38" s="294">
        <f t="shared" ref="U38:U69" si="4">K38-L38</f>
        <v>0</v>
      </c>
    </row>
    <row r="39" spans="1:21" s="25" customFormat="1" ht="20.100000000000001" customHeight="1" x14ac:dyDescent="0.15">
      <c r="A39" s="383">
        <v>65857</v>
      </c>
      <c r="B39" s="348" t="s">
        <v>122</v>
      </c>
      <c r="C39" s="85">
        <f>PV!C39</f>
        <v>0.5</v>
      </c>
      <c r="D39" s="44" t="str">
        <f t="shared" si="2"/>
        <v>h</v>
      </c>
      <c r="E39" s="43">
        <f>IF(D39="h",PV!E39,IF(D39="M",PV!G39,PV!I39))</f>
        <v>3.15</v>
      </c>
      <c r="F39" s="291">
        <v>66</v>
      </c>
      <c r="G39" s="291">
        <v>46</v>
      </c>
      <c r="H39" s="291"/>
      <c r="I39" s="291"/>
      <c r="J39" s="291"/>
      <c r="K39" s="373"/>
      <c r="L39" s="331"/>
      <c r="M39" s="332"/>
      <c r="N39" s="333"/>
      <c r="O39" s="333"/>
      <c r="P39" s="334"/>
      <c r="Q39" s="275">
        <f>(K39*E39)</f>
        <v>0</v>
      </c>
      <c r="R39" s="280">
        <f>K39*C39</f>
        <v>0</v>
      </c>
      <c r="U39" s="294">
        <f t="shared" si="4"/>
        <v>0</v>
      </c>
    </row>
    <row r="40" spans="1:21" s="25" customFormat="1" ht="20.100000000000001" customHeight="1" x14ac:dyDescent="0.2">
      <c r="A40" s="379">
        <v>645788</v>
      </c>
      <c r="B40" s="343" t="s">
        <v>123</v>
      </c>
      <c r="C40" s="85">
        <f>PV!C40</f>
        <v>0.5</v>
      </c>
      <c r="D40" s="44" t="str">
        <f t="shared" si="2"/>
        <v>h</v>
      </c>
      <c r="E40" s="43">
        <f>IF(D40="h",PV!E40,IF(D40="M",PV!G40,PV!I40))</f>
        <v>5.95</v>
      </c>
      <c r="F40" s="291">
        <v>12</v>
      </c>
      <c r="G40" s="291">
        <v>6</v>
      </c>
      <c r="H40" s="291"/>
      <c r="I40" s="291"/>
      <c r="J40" s="291"/>
      <c r="K40" s="373"/>
      <c r="L40" s="331"/>
      <c r="M40" s="332"/>
      <c r="N40" s="333"/>
      <c r="O40" s="333"/>
      <c r="P40" s="334"/>
      <c r="Q40" s="275">
        <f>(K40*E40)</f>
        <v>0</v>
      </c>
      <c r="R40" s="280">
        <f>K40*C40</f>
        <v>0</v>
      </c>
      <c r="U40" s="294">
        <f t="shared" si="4"/>
        <v>0</v>
      </c>
    </row>
    <row r="41" spans="1:21" s="25" customFormat="1" ht="20.100000000000001" customHeight="1" x14ac:dyDescent="0.2">
      <c r="A41" s="379">
        <v>95901</v>
      </c>
      <c r="B41" s="337" t="s">
        <v>300</v>
      </c>
      <c r="C41" s="85">
        <f>PV!C41</f>
        <v>0.11</v>
      </c>
      <c r="D41" s="44" t="str">
        <f t="shared" si="2"/>
        <v>h</v>
      </c>
      <c r="E41" s="43">
        <f>IF(D41="h",PV!E41,IF(D41="M",PV!G41,PV!I41))</f>
        <v>1.5</v>
      </c>
      <c r="F41" s="291">
        <v>119</v>
      </c>
      <c r="G41" s="291">
        <v>215</v>
      </c>
      <c r="H41" s="291"/>
      <c r="I41" s="291"/>
      <c r="J41" s="291"/>
      <c r="K41" s="373"/>
      <c r="L41" s="331"/>
      <c r="M41" s="332"/>
      <c r="N41" s="333"/>
      <c r="O41" s="333"/>
      <c r="P41" s="334"/>
      <c r="Q41" s="275">
        <f>(K41*E41)</f>
        <v>0</v>
      </c>
      <c r="R41" s="280">
        <f>K41*C41</f>
        <v>0</v>
      </c>
      <c r="U41" s="294">
        <f t="shared" si="4"/>
        <v>0</v>
      </c>
    </row>
    <row r="42" spans="1:21" ht="0.6" customHeight="1" x14ac:dyDescent="0.2">
      <c r="A42" s="384"/>
      <c r="B42" s="349"/>
      <c r="C42" s="85">
        <f>PV!C42</f>
        <v>0</v>
      </c>
      <c r="D42" s="44" t="str">
        <f t="shared" si="2"/>
        <v>h</v>
      </c>
      <c r="E42" s="43">
        <f>IF(D42="h",PV!E42,IF(D42="M",PV!G42,PV!I42))</f>
        <v>0</v>
      </c>
      <c r="F42" s="291">
        <v>0</v>
      </c>
      <c r="G42" s="291">
        <v>0</v>
      </c>
      <c r="H42" s="291"/>
      <c r="I42" s="291"/>
      <c r="J42" s="291"/>
      <c r="K42" s="373"/>
      <c r="L42" s="331"/>
      <c r="M42" s="332"/>
      <c r="N42" s="333"/>
      <c r="O42" s="333"/>
      <c r="P42" s="334"/>
      <c r="Q42" s="271"/>
      <c r="R42" s="281">
        <f>SUM(R38:R41)</f>
        <v>0</v>
      </c>
      <c r="U42" s="294">
        <f t="shared" si="4"/>
        <v>0</v>
      </c>
    </row>
    <row r="43" spans="1:21" s="25" customFormat="1" ht="20.100000000000001" customHeight="1" x14ac:dyDescent="0.25">
      <c r="A43" s="381">
        <v>65882</v>
      </c>
      <c r="B43" s="346" t="s">
        <v>157</v>
      </c>
      <c r="C43" s="85">
        <f>PV!C43</f>
        <v>0.72</v>
      </c>
      <c r="D43" s="44" t="str">
        <f t="shared" si="2"/>
        <v>h</v>
      </c>
      <c r="E43" s="43">
        <f>IF(D43="h",PV!E43,IF(D43="M",PV!G43,PV!I43))</f>
        <v>6.5</v>
      </c>
      <c r="F43" s="291">
        <v>21</v>
      </c>
      <c r="G43" s="291">
        <v>12</v>
      </c>
      <c r="H43" s="291"/>
      <c r="I43" s="291"/>
      <c r="J43" s="291"/>
      <c r="K43" s="373"/>
      <c r="L43" s="331"/>
      <c r="M43" s="332"/>
      <c r="N43" s="333"/>
      <c r="O43" s="333"/>
      <c r="P43" s="334"/>
      <c r="Q43" s="275">
        <f>(K43*E43)</f>
        <v>0</v>
      </c>
      <c r="R43" s="280">
        <f>K43*C43</f>
        <v>0</v>
      </c>
      <c r="U43" s="294">
        <f t="shared" si="4"/>
        <v>0</v>
      </c>
    </row>
    <row r="44" spans="1:21" ht="0.6" customHeight="1" x14ac:dyDescent="0.2">
      <c r="A44" s="380"/>
      <c r="B44" s="347"/>
      <c r="C44" s="85">
        <f>PV!C44</f>
        <v>0</v>
      </c>
      <c r="D44" s="44" t="str">
        <f t="shared" si="2"/>
        <v>h</v>
      </c>
      <c r="E44" s="43">
        <f>IF(D44="h",PV!E44,IF(D44="M",PV!G44,PV!I44))</f>
        <v>0</v>
      </c>
      <c r="F44" s="291">
        <v>0</v>
      </c>
      <c r="G44" s="291">
        <v>0</v>
      </c>
      <c r="H44" s="291"/>
      <c r="I44" s="291"/>
      <c r="J44" s="291"/>
      <c r="K44" s="373"/>
      <c r="L44" s="331"/>
      <c r="M44" s="332"/>
      <c r="N44" s="333"/>
      <c r="O44" s="333"/>
      <c r="P44" s="334"/>
      <c r="Q44" s="271"/>
      <c r="R44" s="281">
        <f>SUM(R43:R43)</f>
        <v>0</v>
      </c>
      <c r="U44" s="294">
        <f t="shared" si="4"/>
        <v>0</v>
      </c>
    </row>
    <row r="45" spans="1:21" ht="22.5" x14ac:dyDescent="0.2">
      <c r="A45" s="380">
        <v>951448</v>
      </c>
      <c r="B45" s="347" t="s">
        <v>153</v>
      </c>
      <c r="C45" s="85">
        <f>PV!C45</f>
        <v>0.06</v>
      </c>
      <c r="D45" s="44" t="str">
        <f t="shared" si="2"/>
        <v>h</v>
      </c>
      <c r="E45" s="43">
        <f>IF(D45="h",PV!E45,IF(D45="M",PV!G45,PV!I45))</f>
        <v>0.5</v>
      </c>
      <c r="F45" s="291">
        <v>0</v>
      </c>
      <c r="G45" s="291">
        <v>0</v>
      </c>
      <c r="H45" s="291"/>
      <c r="I45" s="291"/>
      <c r="J45" s="291"/>
      <c r="K45" s="373"/>
      <c r="L45" s="331"/>
      <c r="M45" s="332"/>
      <c r="N45" s="333"/>
      <c r="O45" s="333"/>
      <c r="P45" s="334"/>
      <c r="Q45" s="275">
        <f>(K45*E45)</f>
        <v>0</v>
      </c>
      <c r="R45" s="280">
        <f>K45*C45</f>
        <v>0</v>
      </c>
      <c r="U45" s="294">
        <f t="shared" si="4"/>
        <v>0</v>
      </c>
    </row>
    <row r="46" spans="1:21" s="25" customFormat="1" ht="20.100000000000001" customHeight="1" x14ac:dyDescent="0.15">
      <c r="A46" s="335">
        <v>1037864</v>
      </c>
      <c r="B46" s="343" t="s">
        <v>154</v>
      </c>
      <c r="C46" s="85">
        <f>PV!C46</f>
        <v>0.36</v>
      </c>
      <c r="D46" s="44" t="str">
        <f t="shared" si="2"/>
        <v>h</v>
      </c>
      <c r="E46" s="43">
        <f>IF(D46="h",PV!E46,IF(D46="M",PV!G46,PV!I46))</f>
        <v>3</v>
      </c>
      <c r="F46" s="291">
        <v>0</v>
      </c>
      <c r="G46" s="291">
        <v>0</v>
      </c>
      <c r="H46" s="291"/>
      <c r="I46" s="291"/>
      <c r="J46" s="291"/>
      <c r="K46" s="373"/>
      <c r="L46" s="331"/>
      <c r="M46" s="332"/>
      <c r="N46" s="333"/>
      <c r="O46" s="333"/>
      <c r="P46" s="334"/>
      <c r="Q46" s="275">
        <f>(K46*E46)</f>
        <v>0</v>
      </c>
      <c r="R46" s="280">
        <f>K46*C46</f>
        <v>0</v>
      </c>
      <c r="U46" s="294">
        <f t="shared" si="4"/>
        <v>0</v>
      </c>
    </row>
    <row r="47" spans="1:21" s="25" customFormat="1" ht="20.100000000000001" customHeight="1" x14ac:dyDescent="0.2">
      <c r="A47" s="379">
        <v>1022414</v>
      </c>
      <c r="B47" s="343" t="s">
        <v>155</v>
      </c>
      <c r="C47" s="85">
        <f>PV!C47</f>
        <v>0.6</v>
      </c>
      <c r="D47" s="44" t="str">
        <f t="shared" si="2"/>
        <v>h</v>
      </c>
      <c r="E47" s="43">
        <f>IF(D47="h",PV!E47,IF(D47="M",PV!G47,PV!I47))</f>
        <v>5</v>
      </c>
      <c r="F47" s="291">
        <v>0</v>
      </c>
      <c r="G47" s="291">
        <v>0</v>
      </c>
      <c r="H47" s="291"/>
      <c r="I47" s="291"/>
      <c r="J47" s="291"/>
      <c r="K47" s="373"/>
      <c r="L47" s="331"/>
      <c r="M47" s="332"/>
      <c r="N47" s="333"/>
      <c r="O47" s="333"/>
      <c r="P47" s="334"/>
      <c r="Q47" s="275">
        <f>(K47*E47)</f>
        <v>0</v>
      </c>
      <c r="R47" s="280">
        <f>K47*C47</f>
        <v>0</v>
      </c>
      <c r="U47" s="294">
        <f t="shared" si="4"/>
        <v>0</v>
      </c>
    </row>
    <row r="48" spans="1:21" s="25" customFormat="1" ht="0.6" customHeight="1" x14ac:dyDescent="0.2">
      <c r="A48" s="382"/>
      <c r="B48" s="343"/>
      <c r="C48" s="85">
        <f>PV!C48</f>
        <v>0</v>
      </c>
      <c r="D48" s="44" t="str">
        <f t="shared" si="2"/>
        <v>h</v>
      </c>
      <c r="E48" s="43">
        <f>IF(D48="h",PV!E48,IF(D48="M",PV!G48,PV!I48))</f>
        <v>0</v>
      </c>
      <c r="F48" s="291">
        <v>0</v>
      </c>
      <c r="G48" s="291">
        <v>0</v>
      </c>
      <c r="H48" s="291"/>
      <c r="I48" s="291"/>
      <c r="J48" s="291"/>
      <c r="K48" s="373"/>
      <c r="L48" s="331"/>
      <c r="M48" s="332"/>
      <c r="N48" s="333"/>
      <c r="O48" s="333"/>
      <c r="P48" s="334"/>
      <c r="Q48" s="271"/>
      <c r="R48" s="281">
        <f>SUM(R45:R47)</f>
        <v>0</v>
      </c>
      <c r="U48" s="294">
        <f t="shared" si="4"/>
        <v>0</v>
      </c>
    </row>
    <row r="49" spans="1:21" s="25" customFormat="1" ht="20.100000000000001" customHeight="1" x14ac:dyDescent="0.15">
      <c r="A49" s="377">
        <v>65860</v>
      </c>
      <c r="B49" s="350" t="s">
        <v>286</v>
      </c>
      <c r="C49" s="85">
        <f>PV!C49</f>
        <v>0.48</v>
      </c>
      <c r="D49" s="44" t="str">
        <f t="shared" si="2"/>
        <v>h</v>
      </c>
      <c r="E49" s="43">
        <f>IF(D49="h",PV!E49,IF(D49="M",PV!G49,PV!I49))</f>
        <v>6.45</v>
      </c>
      <c r="F49" s="291">
        <v>7</v>
      </c>
      <c r="G49" s="291">
        <v>7</v>
      </c>
      <c r="H49" s="291"/>
      <c r="I49" s="291"/>
      <c r="J49" s="291"/>
      <c r="K49" s="373"/>
      <c r="L49" s="331"/>
      <c r="M49" s="332"/>
      <c r="N49" s="333"/>
      <c r="O49" s="333"/>
      <c r="P49" s="334"/>
      <c r="Q49" s="275">
        <f t="shared" ref="Q49:Q57" si="5">(K49*E49)</f>
        <v>0</v>
      </c>
      <c r="R49" s="280">
        <f t="shared" ref="R49:R57" si="6">K49*C49</f>
        <v>0</v>
      </c>
      <c r="U49" s="294">
        <f t="shared" si="4"/>
        <v>0</v>
      </c>
    </row>
    <row r="50" spans="1:21" s="25" customFormat="1" ht="20.100000000000001" customHeight="1" x14ac:dyDescent="0.15">
      <c r="A50" s="377">
        <v>65859</v>
      </c>
      <c r="B50" s="350" t="s">
        <v>287</v>
      </c>
      <c r="C50" s="85">
        <f>PV!C50</f>
        <v>0.96</v>
      </c>
      <c r="D50" s="44" t="str">
        <f t="shared" si="2"/>
        <v>h</v>
      </c>
      <c r="E50" s="43">
        <f>IF(D50="h",PV!E50,IF(D50="M",PV!G50,PV!I50))</f>
        <v>10.75</v>
      </c>
      <c r="F50" s="291">
        <v>0</v>
      </c>
      <c r="G50" s="291">
        <v>1</v>
      </c>
      <c r="H50" s="291"/>
      <c r="I50" s="291"/>
      <c r="J50" s="291"/>
      <c r="K50" s="373"/>
      <c r="L50" s="331"/>
      <c r="M50" s="332"/>
      <c r="N50" s="333"/>
      <c r="O50" s="333"/>
      <c r="P50" s="334"/>
      <c r="Q50" s="275">
        <f t="shared" si="5"/>
        <v>0</v>
      </c>
      <c r="R50" s="280">
        <f t="shared" si="6"/>
        <v>0</v>
      </c>
      <c r="U50" s="294">
        <f t="shared" si="4"/>
        <v>0</v>
      </c>
    </row>
    <row r="51" spans="1:21" s="25" customFormat="1" ht="20.100000000000001" customHeight="1" x14ac:dyDescent="0.15">
      <c r="A51" s="377">
        <v>270450</v>
      </c>
      <c r="B51" s="350" t="s">
        <v>125</v>
      </c>
      <c r="C51" s="85">
        <f>PV!C51</f>
        <v>0.35</v>
      </c>
      <c r="D51" s="44" t="str">
        <f t="shared" si="2"/>
        <v>h</v>
      </c>
      <c r="E51" s="43">
        <f>IF(D51="h",PV!E51,IF(D51="M",PV!G51,PV!I51))</f>
        <v>3.95</v>
      </c>
      <c r="F51" s="291">
        <v>0</v>
      </c>
      <c r="G51" s="291">
        <v>0</v>
      </c>
      <c r="H51" s="291"/>
      <c r="I51" s="291"/>
      <c r="J51" s="291"/>
      <c r="K51" s="373"/>
      <c r="L51" s="331"/>
      <c r="M51" s="332"/>
      <c r="N51" s="333"/>
      <c r="O51" s="333"/>
      <c r="P51" s="334"/>
      <c r="Q51" s="275">
        <f t="shared" si="5"/>
        <v>0</v>
      </c>
      <c r="R51" s="280">
        <f t="shared" si="6"/>
        <v>0</v>
      </c>
      <c r="U51" s="294">
        <f t="shared" si="4"/>
        <v>0</v>
      </c>
    </row>
    <row r="52" spans="1:21" s="25" customFormat="1" ht="20.100000000000001" customHeight="1" x14ac:dyDescent="0.15">
      <c r="A52" s="377">
        <v>270462</v>
      </c>
      <c r="B52" s="339" t="s">
        <v>288</v>
      </c>
      <c r="C52" s="85">
        <f>PV!C52</f>
        <v>0.43636364</v>
      </c>
      <c r="D52" s="44" t="str">
        <f t="shared" si="2"/>
        <v>h</v>
      </c>
      <c r="E52" s="43">
        <f>IF(D52="h",PV!E52,IF(D52="M",PV!G52,PV!I52))</f>
        <v>7.5</v>
      </c>
      <c r="F52" s="291">
        <v>2</v>
      </c>
      <c r="G52" s="291">
        <v>0</v>
      </c>
      <c r="H52" s="291"/>
      <c r="I52" s="291"/>
      <c r="J52" s="291"/>
      <c r="K52" s="373"/>
      <c r="L52" s="331"/>
      <c r="M52" s="332"/>
      <c r="N52" s="333"/>
      <c r="O52" s="333"/>
      <c r="P52" s="334"/>
      <c r="Q52" s="275">
        <f t="shared" si="5"/>
        <v>0</v>
      </c>
      <c r="R52" s="280">
        <f t="shared" si="6"/>
        <v>0</v>
      </c>
      <c r="U52" s="294">
        <f t="shared" si="4"/>
        <v>0</v>
      </c>
    </row>
    <row r="53" spans="1:21" s="25" customFormat="1" ht="20.100000000000001" customHeight="1" x14ac:dyDescent="0.15">
      <c r="A53" s="377">
        <v>305568</v>
      </c>
      <c r="B53" s="350" t="s">
        <v>127</v>
      </c>
      <c r="C53" s="85">
        <f>PV!C53</f>
        <v>1</v>
      </c>
      <c r="D53" s="44" t="str">
        <f t="shared" si="2"/>
        <v>h</v>
      </c>
      <c r="E53" s="43">
        <f>IF(D53="h",PV!E53,IF(D53="M",PV!G53,PV!I53))</f>
        <v>13.5</v>
      </c>
      <c r="F53" s="291">
        <v>3.0369999999999999</v>
      </c>
      <c r="G53" s="291">
        <v>6.2060000000000004</v>
      </c>
      <c r="H53" s="291"/>
      <c r="I53" s="291"/>
      <c r="J53" s="291"/>
      <c r="K53" s="373"/>
      <c r="L53" s="331"/>
      <c r="M53" s="332"/>
      <c r="N53" s="333"/>
      <c r="O53" s="333"/>
      <c r="P53" s="334"/>
      <c r="Q53" s="275">
        <f t="shared" si="5"/>
        <v>0</v>
      </c>
      <c r="R53" s="280">
        <f t="shared" si="6"/>
        <v>0</v>
      </c>
      <c r="U53" s="294">
        <f t="shared" si="4"/>
        <v>0</v>
      </c>
    </row>
    <row r="54" spans="1:21" s="25" customFormat="1" ht="20.100000000000001" customHeight="1" x14ac:dyDescent="0.15">
      <c r="A54" s="377">
        <v>65865</v>
      </c>
      <c r="B54" s="339" t="s">
        <v>128</v>
      </c>
      <c r="C54" s="85">
        <f>PV!C54</f>
        <v>0.43636364</v>
      </c>
      <c r="D54" s="44" t="str">
        <f t="shared" si="2"/>
        <v>h</v>
      </c>
      <c r="E54" s="43">
        <f>IF(D54="h",PV!E54,IF(D54="M",PV!G54,PV!I54))</f>
        <v>7.95</v>
      </c>
      <c r="F54" s="291">
        <v>5</v>
      </c>
      <c r="G54" s="291">
        <v>3</v>
      </c>
      <c r="H54" s="291"/>
      <c r="I54" s="291"/>
      <c r="J54" s="291"/>
      <c r="K54" s="373"/>
      <c r="L54" s="331"/>
      <c r="M54" s="332"/>
      <c r="N54" s="333"/>
      <c r="O54" s="333"/>
      <c r="P54" s="334"/>
      <c r="Q54" s="275">
        <f t="shared" si="5"/>
        <v>0</v>
      </c>
      <c r="R54" s="280">
        <f t="shared" si="6"/>
        <v>0</v>
      </c>
      <c r="U54" s="294">
        <f t="shared" si="4"/>
        <v>0</v>
      </c>
    </row>
    <row r="55" spans="1:21" s="25" customFormat="1" ht="20.100000000000001" customHeight="1" x14ac:dyDescent="0.15">
      <c r="A55" s="377">
        <v>308648</v>
      </c>
      <c r="B55" s="350" t="s">
        <v>129</v>
      </c>
      <c r="C55" s="85">
        <f>PV!C55</f>
        <v>0.58499999999999996</v>
      </c>
      <c r="D55" s="44" t="str">
        <f t="shared" si="2"/>
        <v>h</v>
      </c>
      <c r="E55" s="43">
        <f>IF(D55="h",PV!E55,IF(D55="M",PV!G55,PV!I55))</f>
        <v>5.75</v>
      </c>
      <c r="F55" s="291">
        <v>3</v>
      </c>
      <c r="G55" s="291">
        <v>0</v>
      </c>
      <c r="H55" s="291"/>
      <c r="I55" s="291"/>
      <c r="J55" s="291"/>
      <c r="K55" s="373"/>
      <c r="L55" s="331"/>
      <c r="M55" s="332"/>
      <c r="N55" s="333"/>
      <c r="O55" s="333"/>
      <c r="P55" s="334"/>
      <c r="Q55" s="275">
        <f t="shared" si="5"/>
        <v>0</v>
      </c>
      <c r="R55" s="280">
        <f t="shared" si="6"/>
        <v>0</v>
      </c>
      <c r="U55" s="294">
        <f t="shared" si="4"/>
        <v>0</v>
      </c>
    </row>
    <row r="56" spans="1:21" s="25" customFormat="1" ht="20.100000000000001" customHeight="1" x14ac:dyDescent="0.15">
      <c r="A56" s="377">
        <v>270459</v>
      </c>
      <c r="B56" s="341" t="s">
        <v>130</v>
      </c>
      <c r="C56" s="85">
        <f>PV!C56</f>
        <v>0.43636364</v>
      </c>
      <c r="D56" s="44" t="str">
        <f t="shared" si="2"/>
        <v>h</v>
      </c>
      <c r="E56" s="43">
        <f>IF(D56="h",PV!E56,IF(D56="M",PV!G56,PV!I56))</f>
        <v>7.95</v>
      </c>
      <c r="F56" s="291">
        <v>2</v>
      </c>
      <c r="G56" s="291">
        <v>5</v>
      </c>
      <c r="H56" s="291"/>
      <c r="I56" s="291"/>
      <c r="J56" s="291"/>
      <c r="K56" s="373"/>
      <c r="L56" s="331"/>
      <c r="M56" s="332"/>
      <c r="N56" s="333"/>
      <c r="O56" s="333"/>
      <c r="P56" s="334"/>
      <c r="Q56" s="275">
        <f t="shared" si="5"/>
        <v>0</v>
      </c>
      <c r="R56" s="280">
        <f t="shared" si="6"/>
        <v>0</v>
      </c>
      <c r="U56" s="294">
        <f t="shared" si="4"/>
        <v>0</v>
      </c>
    </row>
    <row r="57" spans="1:21" s="25" customFormat="1" ht="20.100000000000001" customHeight="1" x14ac:dyDescent="0.15">
      <c r="A57" s="377">
        <v>65855</v>
      </c>
      <c r="B57" s="341" t="s">
        <v>289</v>
      </c>
      <c r="C57" s="85">
        <f>PV!C57</f>
        <v>0.63600000000000001</v>
      </c>
      <c r="D57" s="44" t="str">
        <f t="shared" si="2"/>
        <v>h</v>
      </c>
      <c r="E57" s="43">
        <f>IF(D57="h",PV!E57,IF(D57="M",PV!G57,PV!I57))</f>
        <v>6.75</v>
      </c>
      <c r="F57" s="291">
        <v>0</v>
      </c>
      <c r="G57" s="291">
        <v>0</v>
      </c>
      <c r="H57" s="291"/>
      <c r="I57" s="291"/>
      <c r="J57" s="291"/>
      <c r="K57" s="373"/>
      <c r="L57" s="331"/>
      <c r="M57" s="332"/>
      <c r="N57" s="333"/>
      <c r="O57" s="333"/>
      <c r="P57" s="334"/>
      <c r="Q57" s="275">
        <f t="shared" si="5"/>
        <v>0</v>
      </c>
      <c r="R57" s="280">
        <f t="shared" si="6"/>
        <v>0</v>
      </c>
      <c r="U57" s="294">
        <f t="shared" si="4"/>
        <v>0</v>
      </c>
    </row>
    <row r="58" spans="1:21" ht="0.6" customHeight="1" x14ac:dyDescent="0.2">
      <c r="A58" s="384"/>
      <c r="B58" s="347"/>
      <c r="C58" s="85">
        <f>PV!C58</f>
        <v>0</v>
      </c>
      <c r="D58" s="44" t="str">
        <f t="shared" si="2"/>
        <v>h</v>
      </c>
      <c r="E58" s="43">
        <f>IF(D58="h",PV!E58,IF(D58="M",PV!G58,PV!I58))</f>
        <v>0</v>
      </c>
      <c r="F58" s="291">
        <v>0</v>
      </c>
      <c r="G58" s="291">
        <v>0</v>
      </c>
      <c r="H58" s="291"/>
      <c r="I58" s="291"/>
      <c r="J58" s="291"/>
      <c r="K58" s="373"/>
      <c r="L58" s="331"/>
      <c r="M58" s="332"/>
      <c r="N58" s="333"/>
      <c r="O58" s="333"/>
      <c r="P58" s="334"/>
      <c r="Q58" s="271"/>
      <c r="R58" s="281">
        <f>SUM(R49:R57)</f>
        <v>0</v>
      </c>
      <c r="U58" s="294">
        <f t="shared" si="4"/>
        <v>0</v>
      </c>
    </row>
    <row r="59" spans="1:21" s="25" customFormat="1" ht="20.100000000000001" customHeight="1" x14ac:dyDescent="0.25">
      <c r="A59" s="377">
        <v>65928</v>
      </c>
      <c r="B59" s="351" t="s">
        <v>43</v>
      </c>
      <c r="C59" s="85">
        <f>PV!C59</f>
        <v>0.36</v>
      </c>
      <c r="D59" s="44" t="str">
        <f t="shared" si="2"/>
        <v>h</v>
      </c>
      <c r="E59" s="43">
        <f>IF(D59="h",PV!E59,IF(D59="M",PV!G59,PV!I59))</f>
        <v>3.5</v>
      </c>
      <c r="F59" s="291">
        <v>5</v>
      </c>
      <c r="G59" s="291">
        <v>9</v>
      </c>
      <c r="H59" s="291"/>
      <c r="I59" s="291"/>
      <c r="J59" s="291"/>
      <c r="K59" s="373"/>
      <c r="L59" s="331"/>
      <c r="M59" s="332"/>
      <c r="N59" s="333"/>
      <c r="O59" s="333"/>
      <c r="P59" s="334"/>
      <c r="Q59" s="275">
        <f t="shared" ref="Q59:Q73" si="7">(K59*E59)</f>
        <v>0</v>
      </c>
      <c r="R59" s="280">
        <f t="shared" ref="R59:R73" si="8">K59*C59</f>
        <v>0</v>
      </c>
      <c r="U59" s="294">
        <f t="shared" si="4"/>
        <v>0</v>
      </c>
    </row>
    <row r="60" spans="1:21" s="25" customFormat="1" ht="20.100000000000001" customHeight="1" x14ac:dyDescent="0.25">
      <c r="A60" s="377">
        <v>65894</v>
      </c>
      <c r="B60" s="351" t="s">
        <v>45</v>
      </c>
      <c r="C60" s="85">
        <f>PV!C60</f>
        <v>0.36</v>
      </c>
      <c r="D60" s="44" t="str">
        <f t="shared" si="2"/>
        <v>h</v>
      </c>
      <c r="E60" s="43">
        <f>IF(D60="h",PV!E60,IF(D60="M",PV!G60,PV!I60))</f>
        <v>2.25</v>
      </c>
      <c r="F60" s="291">
        <v>30</v>
      </c>
      <c r="G60" s="291">
        <v>26</v>
      </c>
      <c r="H60" s="291"/>
      <c r="I60" s="291"/>
      <c r="J60" s="291"/>
      <c r="K60" s="373"/>
      <c r="L60" s="331"/>
      <c r="M60" s="332"/>
      <c r="N60" s="333"/>
      <c r="O60" s="333"/>
      <c r="P60" s="334"/>
      <c r="Q60" s="275">
        <f t="shared" si="7"/>
        <v>0</v>
      </c>
      <c r="R60" s="280">
        <f t="shared" si="8"/>
        <v>0</v>
      </c>
      <c r="U60" s="294">
        <f t="shared" si="4"/>
        <v>0</v>
      </c>
    </row>
    <row r="61" spans="1:21" s="25" customFormat="1" ht="20.100000000000001" customHeight="1" x14ac:dyDescent="0.25">
      <c r="A61" s="377">
        <v>65927</v>
      </c>
      <c r="B61" s="351" t="s">
        <v>46</v>
      </c>
      <c r="C61" s="85">
        <f>PV!C61</f>
        <v>0.36</v>
      </c>
      <c r="D61" s="44" t="str">
        <f t="shared" si="2"/>
        <v>h</v>
      </c>
      <c r="E61" s="43">
        <f>IF(D61="h",PV!E61,IF(D61="M",PV!G61,PV!I61))</f>
        <v>2.95</v>
      </c>
      <c r="F61" s="291">
        <v>28</v>
      </c>
      <c r="G61" s="291">
        <v>41</v>
      </c>
      <c r="H61" s="291"/>
      <c r="I61" s="291"/>
      <c r="J61" s="291"/>
      <c r="K61" s="373"/>
      <c r="L61" s="331"/>
      <c r="M61" s="332"/>
      <c r="N61" s="333"/>
      <c r="O61" s="333"/>
      <c r="P61" s="334"/>
      <c r="Q61" s="275">
        <f t="shared" si="7"/>
        <v>0</v>
      </c>
      <c r="R61" s="280">
        <f t="shared" si="8"/>
        <v>0</v>
      </c>
      <c r="U61" s="294">
        <f t="shared" si="4"/>
        <v>0</v>
      </c>
    </row>
    <row r="62" spans="1:21" s="25" customFormat="1" ht="20.100000000000001" customHeight="1" x14ac:dyDescent="0.25">
      <c r="A62" s="377">
        <v>425032</v>
      </c>
      <c r="B62" s="351" t="s">
        <v>115</v>
      </c>
      <c r="C62" s="85">
        <f>PV!C62</f>
        <v>0.36</v>
      </c>
      <c r="D62" s="44" t="str">
        <f t="shared" si="2"/>
        <v>h</v>
      </c>
      <c r="E62" s="43">
        <f>IF(D62="h",PV!E62,IF(D62="M",PV!G62,PV!I62))</f>
        <v>2.75</v>
      </c>
      <c r="F62" s="291">
        <v>7</v>
      </c>
      <c r="G62" s="291">
        <v>3</v>
      </c>
      <c r="H62" s="291"/>
      <c r="I62" s="291"/>
      <c r="J62" s="291"/>
      <c r="K62" s="373"/>
      <c r="L62" s="331"/>
      <c r="M62" s="332"/>
      <c r="N62" s="333"/>
      <c r="O62" s="333"/>
      <c r="P62" s="334"/>
      <c r="Q62" s="275">
        <f t="shared" si="7"/>
        <v>0</v>
      </c>
      <c r="R62" s="280">
        <f t="shared" si="8"/>
        <v>0</v>
      </c>
      <c r="U62" s="294">
        <f t="shared" si="4"/>
        <v>0</v>
      </c>
    </row>
    <row r="63" spans="1:21" s="25" customFormat="1" ht="20.100000000000001" customHeight="1" x14ac:dyDescent="0.25">
      <c r="A63" s="377">
        <v>270448</v>
      </c>
      <c r="B63" s="351" t="s">
        <v>116</v>
      </c>
      <c r="C63" s="85">
        <f>PV!C63</f>
        <v>0.35</v>
      </c>
      <c r="D63" s="44" t="str">
        <f t="shared" si="2"/>
        <v>h</v>
      </c>
      <c r="E63" s="43">
        <f>IF(D63="h",PV!E63,IF(D63="M",PV!G63,PV!I63))</f>
        <v>2.95</v>
      </c>
      <c r="F63" s="291">
        <v>0</v>
      </c>
      <c r="G63" s="291">
        <v>4</v>
      </c>
      <c r="H63" s="291"/>
      <c r="I63" s="291"/>
      <c r="J63" s="291"/>
      <c r="K63" s="373"/>
      <c r="L63" s="331"/>
      <c r="M63" s="332"/>
      <c r="N63" s="333"/>
      <c r="O63" s="333"/>
      <c r="P63" s="334"/>
      <c r="Q63" s="275">
        <f t="shared" si="7"/>
        <v>0</v>
      </c>
      <c r="R63" s="280">
        <f t="shared" si="8"/>
        <v>0</v>
      </c>
      <c r="U63" s="294">
        <f t="shared" si="4"/>
        <v>0</v>
      </c>
    </row>
    <row r="64" spans="1:21" s="25" customFormat="1" ht="20.100000000000001" customHeight="1" x14ac:dyDescent="0.25">
      <c r="A64" s="377">
        <v>65871</v>
      </c>
      <c r="B64" s="351" t="s">
        <v>290</v>
      </c>
      <c r="C64" s="85">
        <f>PV!C64</f>
        <v>0.58499999999999996</v>
      </c>
      <c r="D64" s="44" t="str">
        <f t="shared" si="2"/>
        <v>h</v>
      </c>
      <c r="E64" s="43">
        <f>IF(D64="h",PV!E64,IF(D64="M",PV!G64,PV!I64))</f>
        <v>6.45</v>
      </c>
      <c r="F64" s="291">
        <v>80</v>
      </c>
      <c r="G64" s="291">
        <v>39</v>
      </c>
      <c r="H64" s="291"/>
      <c r="I64" s="291"/>
      <c r="J64" s="291"/>
      <c r="K64" s="373"/>
      <c r="L64" s="331"/>
      <c r="M64" s="332"/>
      <c r="N64" s="333"/>
      <c r="O64" s="333"/>
      <c r="P64" s="334"/>
      <c r="Q64" s="275">
        <f t="shared" si="7"/>
        <v>0</v>
      </c>
      <c r="R64" s="280">
        <f t="shared" si="8"/>
        <v>0</v>
      </c>
      <c r="U64" s="294">
        <f t="shared" si="4"/>
        <v>0</v>
      </c>
    </row>
    <row r="65" spans="1:21" s="25" customFormat="1" ht="20.100000000000001" customHeight="1" x14ac:dyDescent="0.25">
      <c r="A65" s="377">
        <v>286631</v>
      </c>
      <c r="B65" s="351" t="s">
        <v>118</v>
      </c>
      <c r="C65" s="85">
        <f>PV!C65</f>
        <v>0.4</v>
      </c>
      <c r="D65" s="44" t="str">
        <f t="shared" si="2"/>
        <v>h</v>
      </c>
      <c r="E65" s="43">
        <f>IF(D65="h",PV!E65,IF(D65="M",PV!G65,PV!I65))</f>
        <v>4.75</v>
      </c>
      <c r="F65" s="291">
        <v>9</v>
      </c>
      <c r="G65" s="291">
        <v>11</v>
      </c>
      <c r="H65" s="291"/>
      <c r="I65" s="291"/>
      <c r="J65" s="291"/>
      <c r="K65" s="373"/>
      <c r="L65" s="331"/>
      <c r="M65" s="332"/>
      <c r="N65" s="333"/>
      <c r="O65" s="333"/>
      <c r="P65" s="334"/>
      <c r="Q65" s="275">
        <f t="shared" si="7"/>
        <v>0</v>
      </c>
      <c r="R65" s="280">
        <f t="shared" si="8"/>
        <v>0</v>
      </c>
      <c r="U65" s="294">
        <f t="shared" si="4"/>
        <v>0</v>
      </c>
    </row>
    <row r="66" spans="1:21" s="25" customFormat="1" ht="20.100000000000001" customHeight="1" x14ac:dyDescent="0.25">
      <c r="A66" s="377">
        <v>306903</v>
      </c>
      <c r="B66" s="351" t="s">
        <v>52</v>
      </c>
      <c r="C66" s="85">
        <f>PV!C66</f>
        <v>0.6</v>
      </c>
      <c r="D66" s="44" t="str">
        <f t="shared" si="2"/>
        <v>h</v>
      </c>
      <c r="E66" s="43">
        <f>IF(D66="h",PV!E66,IF(D66="M",PV!G66,PV!I66))</f>
        <v>6.95</v>
      </c>
      <c r="F66" s="291">
        <v>0</v>
      </c>
      <c r="G66" s="291">
        <v>0</v>
      </c>
      <c r="H66" s="291"/>
      <c r="I66" s="291"/>
      <c r="J66" s="291"/>
      <c r="K66" s="373"/>
      <c r="L66" s="331"/>
      <c r="M66" s="332"/>
      <c r="N66" s="333"/>
      <c r="O66" s="333"/>
      <c r="P66" s="334"/>
      <c r="Q66" s="275">
        <f t="shared" si="7"/>
        <v>0</v>
      </c>
      <c r="R66" s="280">
        <f t="shared" si="8"/>
        <v>0</v>
      </c>
      <c r="U66" s="294">
        <f t="shared" si="4"/>
        <v>0</v>
      </c>
    </row>
    <row r="67" spans="1:21" s="25" customFormat="1" ht="20.100000000000001" customHeight="1" x14ac:dyDescent="0.25">
      <c r="A67" s="377">
        <v>330142</v>
      </c>
      <c r="B67" s="351" t="s">
        <v>51</v>
      </c>
      <c r="C67" s="85">
        <f>PV!C67</f>
        <v>0.3</v>
      </c>
      <c r="D67" s="44" t="str">
        <f t="shared" si="2"/>
        <v>h</v>
      </c>
      <c r="E67" s="43">
        <f>IF(D67="h",PV!E67,IF(D67="M",PV!G67,PV!I67))</f>
        <v>4.5</v>
      </c>
      <c r="F67" s="291">
        <v>0</v>
      </c>
      <c r="G67" s="291">
        <v>0</v>
      </c>
      <c r="H67" s="291"/>
      <c r="I67" s="291"/>
      <c r="J67" s="291"/>
      <c r="K67" s="373"/>
      <c r="L67" s="331"/>
      <c r="M67" s="332"/>
      <c r="N67" s="333"/>
      <c r="O67" s="333"/>
      <c r="P67" s="334"/>
      <c r="Q67" s="275">
        <f t="shared" si="7"/>
        <v>0</v>
      </c>
      <c r="R67" s="280">
        <f t="shared" si="8"/>
        <v>0</v>
      </c>
      <c r="U67" s="294">
        <f t="shared" si="4"/>
        <v>0</v>
      </c>
    </row>
    <row r="68" spans="1:21" s="25" customFormat="1" ht="20.100000000000001" customHeight="1" x14ac:dyDescent="0.25">
      <c r="A68" s="377">
        <v>65877</v>
      </c>
      <c r="B68" s="351" t="s">
        <v>48</v>
      </c>
      <c r="C68" s="85">
        <f>PV!C68</f>
        <v>0.7</v>
      </c>
      <c r="D68" s="44" t="str">
        <f t="shared" si="2"/>
        <v>h</v>
      </c>
      <c r="E68" s="43">
        <f>IF(D68="h",PV!E68,IF(D68="M",PV!G68,PV!I68))</f>
        <v>7.95</v>
      </c>
      <c r="F68" s="291">
        <v>11</v>
      </c>
      <c r="G68" s="291">
        <v>14</v>
      </c>
      <c r="H68" s="291"/>
      <c r="I68" s="291"/>
      <c r="J68" s="291"/>
      <c r="K68" s="373"/>
      <c r="L68" s="331"/>
      <c r="M68" s="332"/>
      <c r="N68" s="333"/>
      <c r="O68" s="333"/>
      <c r="P68" s="334"/>
      <c r="Q68" s="275">
        <f t="shared" si="7"/>
        <v>0</v>
      </c>
      <c r="R68" s="280">
        <f t="shared" si="8"/>
        <v>0</v>
      </c>
      <c r="U68" s="294">
        <f t="shared" si="4"/>
        <v>0</v>
      </c>
    </row>
    <row r="69" spans="1:21" s="25" customFormat="1" ht="20.100000000000001" customHeight="1" x14ac:dyDescent="0.25">
      <c r="A69" s="377">
        <v>206123</v>
      </c>
      <c r="B69" s="351" t="s">
        <v>47</v>
      </c>
      <c r="C69" s="85">
        <f>PV!C69</f>
        <v>0.35</v>
      </c>
      <c r="D69" s="44" t="str">
        <f t="shared" ref="D69:D134" si="9">D68</f>
        <v>h</v>
      </c>
      <c r="E69" s="43">
        <f>IF(D69="h",PV!E69,IF(D69="M",PV!G69,PV!I69))</f>
        <v>4.95</v>
      </c>
      <c r="F69" s="291">
        <v>7</v>
      </c>
      <c r="G69" s="291">
        <v>3</v>
      </c>
      <c r="H69" s="291"/>
      <c r="I69" s="291"/>
      <c r="J69" s="291"/>
      <c r="K69" s="373"/>
      <c r="L69" s="331"/>
      <c r="M69" s="332"/>
      <c r="N69" s="333"/>
      <c r="O69" s="333"/>
      <c r="P69" s="334"/>
      <c r="Q69" s="275">
        <f t="shared" si="7"/>
        <v>0</v>
      </c>
      <c r="R69" s="280">
        <f t="shared" si="8"/>
        <v>0</v>
      </c>
      <c r="U69" s="294">
        <f t="shared" si="4"/>
        <v>0</v>
      </c>
    </row>
    <row r="70" spans="1:21" s="25" customFormat="1" ht="20.100000000000001" customHeight="1" x14ac:dyDescent="0.25">
      <c r="A70" s="377">
        <v>830252</v>
      </c>
      <c r="B70" s="351" t="s">
        <v>119</v>
      </c>
      <c r="C70" s="85">
        <f>PV!C70</f>
        <v>0.36</v>
      </c>
      <c r="D70" s="44" t="str">
        <f t="shared" si="9"/>
        <v>h</v>
      </c>
      <c r="E70" s="43">
        <f>IF(D70="h",PV!E70,IF(D70="M",PV!G70,PV!I70))</f>
        <v>2.75</v>
      </c>
      <c r="F70" s="291">
        <v>18</v>
      </c>
      <c r="G70" s="291">
        <v>21</v>
      </c>
      <c r="H70" s="291"/>
      <c r="I70" s="291"/>
      <c r="J70" s="291"/>
      <c r="K70" s="373"/>
      <c r="L70" s="331"/>
      <c r="M70" s="332"/>
      <c r="N70" s="333"/>
      <c r="O70" s="333"/>
      <c r="P70" s="334"/>
      <c r="Q70" s="275">
        <f t="shared" si="7"/>
        <v>0</v>
      </c>
      <c r="R70" s="280">
        <f t="shared" si="8"/>
        <v>0</v>
      </c>
      <c r="U70" s="294">
        <f t="shared" ref="U70:U75" si="10">K70-L70</f>
        <v>0</v>
      </c>
    </row>
    <row r="71" spans="1:21" s="25" customFormat="1" ht="20.100000000000001" customHeight="1" x14ac:dyDescent="0.25">
      <c r="A71" s="377">
        <v>425026</v>
      </c>
      <c r="B71" s="351" t="s">
        <v>50</v>
      </c>
      <c r="C71" s="85">
        <f>PV!C71</f>
        <v>0.72</v>
      </c>
      <c r="D71" s="44" t="str">
        <f t="shared" si="9"/>
        <v>h</v>
      </c>
      <c r="E71" s="43">
        <f>IF(D71="h",PV!E71,IF(D71="M",PV!G71,PV!I71))</f>
        <v>3.95</v>
      </c>
      <c r="F71" s="291">
        <v>2</v>
      </c>
      <c r="G71" s="291">
        <v>0</v>
      </c>
      <c r="H71" s="291"/>
      <c r="I71" s="291"/>
      <c r="J71" s="291"/>
      <c r="K71" s="373"/>
      <c r="L71" s="331"/>
      <c r="M71" s="332"/>
      <c r="N71" s="333"/>
      <c r="O71" s="333"/>
      <c r="P71" s="334"/>
      <c r="Q71" s="275">
        <f t="shared" si="7"/>
        <v>0</v>
      </c>
      <c r="R71" s="280">
        <f t="shared" si="8"/>
        <v>0</v>
      </c>
      <c r="U71" s="294">
        <f t="shared" si="10"/>
        <v>0</v>
      </c>
    </row>
    <row r="72" spans="1:21" s="25" customFormat="1" ht="20.100000000000001" customHeight="1" x14ac:dyDescent="0.25">
      <c r="A72" s="377">
        <v>286632</v>
      </c>
      <c r="B72" s="351" t="s">
        <v>49</v>
      </c>
      <c r="C72" s="85">
        <f>PV!C72</f>
        <v>0.36</v>
      </c>
      <c r="D72" s="44" t="str">
        <f t="shared" si="9"/>
        <v>h</v>
      </c>
      <c r="E72" s="43">
        <f>IF(D72="h",PV!E72,IF(D72="M",PV!G72,PV!I72))</f>
        <v>1</v>
      </c>
      <c r="F72" s="291">
        <v>15</v>
      </c>
      <c r="G72" s="291">
        <v>22</v>
      </c>
      <c r="H72" s="291"/>
      <c r="I72" s="291"/>
      <c r="J72" s="291"/>
      <c r="K72" s="373"/>
      <c r="L72" s="331"/>
      <c r="M72" s="332"/>
      <c r="N72" s="333"/>
      <c r="O72" s="333"/>
      <c r="P72" s="334"/>
      <c r="Q72" s="275">
        <f t="shared" si="7"/>
        <v>0</v>
      </c>
      <c r="R72" s="280">
        <f t="shared" si="8"/>
        <v>0</v>
      </c>
      <c r="U72" s="294">
        <f t="shared" si="10"/>
        <v>0</v>
      </c>
    </row>
    <row r="73" spans="1:21" s="25" customFormat="1" ht="20.100000000000001" customHeight="1" x14ac:dyDescent="0.25">
      <c r="A73" s="379">
        <v>1008121</v>
      </c>
      <c r="B73" s="351" t="s">
        <v>120</v>
      </c>
      <c r="C73" s="85">
        <f>PV!C73</f>
        <v>0.5</v>
      </c>
      <c r="D73" s="44" t="str">
        <f t="shared" si="9"/>
        <v>h</v>
      </c>
      <c r="E73" s="43">
        <f>IF(D73="h",PV!E73,IF(D73="M",PV!G73,PV!I73))</f>
        <v>3.95</v>
      </c>
      <c r="F73" s="291">
        <v>0</v>
      </c>
      <c r="G73" s="291">
        <v>0</v>
      </c>
      <c r="H73" s="291"/>
      <c r="I73" s="291"/>
      <c r="J73" s="291"/>
      <c r="K73" s="373"/>
      <c r="L73" s="331"/>
      <c r="M73" s="332"/>
      <c r="N73" s="333"/>
      <c r="O73" s="333"/>
      <c r="P73" s="334"/>
      <c r="Q73" s="275">
        <f t="shared" si="7"/>
        <v>0</v>
      </c>
      <c r="R73" s="280">
        <f t="shared" si="8"/>
        <v>0</v>
      </c>
      <c r="U73" s="294">
        <f t="shared" si="10"/>
        <v>0</v>
      </c>
    </row>
    <row r="74" spans="1:21" ht="0.6" customHeight="1" x14ac:dyDescent="0.2">
      <c r="A74" s="382"/>
      <c r="B74" s="347"/>
      <c r="C74" s="85">
        <f>PV!C74</f>
        <v>0</v>
      </c>
      <c r="D74" s="44" t="str">
        <f t="shared" si="9"/>
        <v>h</v>
      </c>
      <c r="E74" s="43">
        <f>IF(D74="h",PV!E74,IF(D74="M",PV!G74,PV!I74))</f>
        <v>0</v>
      </c>
      <c r="F74" s="291">
        <v>0</v>
      </c>
      <c r="G74" s="291">
        <v>0</v>
      </c>
      <c r="H74" s="291"/>
      <c r="I74" s="291"/>
      <c r="J74" s="291"/>
      <c r="K74" s="373"/>
      <c r="L74" s="331"/>
      <c r="M74" s="332"/>
      <c r="N74" s="333"/>
      <c r="O74" s="333"/>
      <c r="P74" s="334"/>
      <c r="Q74" s="271"/>
      <c r="R74" s="281">
        <f>SUM(R59:R73)</f>
        <v>0</v>
      </c>
      <c r="U74" s="294">
        <f t="shared" si="10"/>
        <v>0</v>
      </c>
    </row>
    <row r="75" spans="1:21" s="25" customFormat="1" ht="20.100000000000001" customHeight="1" x14ac:dyDescent="0.25">
      <c r="A75" s="377">
        <v>1263740</v>
      </c>
      <c r="B75" s="351" t="s">
        <v>267</v>
      </c>
      <c r="C75" s="85">
        <f>PV!C75</f>
        <v>0.8</v>
      </c>
      <c r="D75" s="44" t="str">
        <f t="shared" si="9"/>
        <v>h</v>
      </c>
      <c r="E75" s="43">
        <f>IF(D75="h",PV!E75,IF(D75="M",PV!G75,PV!I75))</f>
        <v>4.75</v>
      </c>
      <c r="F75" s="291">
        <v>12</v>
      </c>
      <c r="G75" s="291">
        <v>15</v>
      </c>
      <c r="H75" s="291"/>
      <c r="I75" s="291"/>
      <c r="J75" s="291"/>
      <c r="K75" s="373"/>
      <c r="L75" s="331"/>
      <c r="M75" s="332"/>
      <c r="N75" s="333"/>
      <c r="O75" s="333"/>
      <c r="P75" s="334"/>
      <c r="Q75" s="275">
        <f>(K75*E75)</f>
        <v>0</v>
      </c>
      <c r="R75" s="280">
        <f>K75*C75</f>
        <v>0</v>
      </c>
      <c r="U75" s="294">
        <f t="shared" si="10"/>
        <v>0</v>
      </c>
    </row>
    <row r="76" spans="1:21" s="25" customFormat="1" ht="0.6" customHeight="1" x14ac:dyDescent="0.25">
      <c r="A76" s="376"/>
      <c r="B76" s="351"/>
      <c r="C76" s="85">
        <f>PV!C76</f>
        <v>0</v>
      </c>
      <c r="D76" s="44" t="str">
        <f t="shared" si="9"/>
        <v>h</v>
      </c>
      <c r="E76" s="43">
        <f>IF(D76="h",PV!E76,IF(D76="M",PV!G76,PV!I76))</f>
        <v>0</v>
      </c>
      <c r="F76" s="291">
        <v>0</v>
      </c>
      <c r="G76" s="291">
        <v>0</v>
      </c>
      <c r="H76" s="291"/>
      <c r="I76" s="291"/>
      <c r="J76" s="291"/>
      <c r="K76" s="373"/>
      <c r="L76" s="331"/>
      <c r="M76" s="332"/>
      <c r="N76" s="333"/>
      <c r="O76" s="333"/>
      <c r="P76" s="334"/>
      <c r="Q76" s="279"/>
      <c r="R76" s="281">
        <f>SUM(R75:R75)</f>
        <v>0</v>
      </c>
      <c r="U76" s="294"/>
    </row>
    <row r="77" spans="1:21" s="25" customFormat="1" ht="20.100000000000001" customHeight="1" x14ac:dyDescent="0.25">
      <c r="A77" s="376">
        <v>364629</v>
      </c>
      <c r="B77" s="352" t="s">
        <v>134</v>
      </c>
      <c r="C77" s="85">
        <f>PV!C77</f>
        <v>0.36</v>
      </c>
      <c r="D77" s="44" t="str">
        <f t="shared" si="9"/>
        <v>h</v>
      </c>
      <c r="E77" s="43">
        <f>IF(D77="h",PV!E77,IF(D77="M",PV!G77,PV!I77))</f>
        <v>2.5</v>
      </c>
      <c r="F77" s="291">
        <v>8</v>
      </c>
      <c r="G77" s="291">
        <v>11</v>
      </c>
      <c r="H77" s="291"/>
      <c r="I77" s="291"/>
      <c r="J77" s="291"/>
      <c r="K77" s="373"/>
      <c r="L77" s="331"/>
      <c r="M77" s="332"/>
      <c r="N77" s="333"/>
      <c r="O77" s="333"/>
      <c r="P77" s="334"/>
      <c r="Q77" s="279">
        <f>(K77*E77)</f>
        <v>0</v>
      </c>
      <c r="R77" s="280">
        <f>K77*C77</f>
        <v>0</v>
      </c>
      <c r="U77" s="294">
        <f>K77-L77</f>
        <v>0</v>
      </c>
    </row>
    <row r="78" spans="1:21" s="25" customFormat="1" ht="20.100000000000001" customHeight="1" x14ac:dyDescent="0.25">
      <c r="A78" s="377">
        <v>370600</v>
      </c>
      <c r="B78" s="352" t="s">
        <v>135</v>
      </c>
      <c r="C78" s="85">
        <f>PV!C78</f>
        <v>0.36</v>
      </c>
      <c r="D78" s="44" t="str">
        <f t="shared" si="9"/>
        <v>h</v>
      </c>
      <c r="E78" s="43">
        <f>IF(D78="h",PV!E78,IF(D78="M",PV!G78,PV!I78))</f>
        <v>2.5</v>
      </c>
      <c r="F78" s="291">
        <v>20</v>
      </c>
      <c r="G78" s="291">
        <v>22</v>
      </c>
      <c r="H78" s="291"/>
      <c r="I78" s="291"/>
      <c r="J78" s="291"/>
      <c r="K78" s="373"/>
      <c r="L78" s="331"/>
      <c r="M78" s="332"/>
      <c r="N78" s="333"/>
      <c r="O78" s="333"/>
      <c r="P78" s="334"/>
      <c r="Q78" s="275">
        <f>(K78*E78)</f>
        <v>0</v>
      </c>
      <c r="R78" s="280">
        <f>K78*C78</f>
        <v>0</v>
      </c>
      <c r="U78" s="294">
        <f>K78-L78</f>
        <v>0</v>
      </c>
    </row>
    <row r="79" spans="1:21" s="25" customFormat="1" ht="0.6" customHeight="1" x14ac:dyDescent="0.25">
      <c r="A79" s="377"/>
      <c r="B79" s="352"/>
      <c r="C79" s="85"/>
      <c r="D79" s="44"/>
      <c r="E79" s="43"/>
      <c r="F79" s="291">
        <v>0</v>
      </c>
      <c r="G79" s="291">
        <v>0</v>
      </c>
      <c r="H79" s="291"/>
      <c r="I79" s="291"/>
      <c r="J79" s="291"/>
      <c r="K79" s="373"/>
      <c r="L79" s="331"/>
      <c r="M79" s="332"/>
      <c r="N79" s="333"/>
      <c r="O79" s="333"/>
      <c r="P79" s="334"/>
      <c r="Q79" s="275"/>
      <c r="R79" s="281">
        <f>SUM(R77:R78)</f>
        <v>0</v>
      </c>
      <c r="U79" s="294"/>
    </row>
    <row r="80" spans="1:21" s="25" customFormat="1" ht="20.100000000000001" customHeight="1" x14ac:dyDescent="0.25">
      <c r="A80" s="377">
        <v>1263741</v>
      </c>
      <c r="B80" s="352" t="s">
        <v>268</v>
      </c>
      <c r="C80" s="85">
        <f>PV!C80</f>
        <v>0.8</v>
      </c>
      <c r="D80" s="44" t="str">
        <f>D78</f>
        <v>h</v>
      </c>
      <c r="E80" s="43">
        <f>IF(D80="h",PV!E80,IF(D80="M",PV!G80,PV!I80))</f>
        <v>5.75</v>
      </c>
      <c r="F80" s="291">
        <v>25</v>
      </c>
      <c r="G80" s="291">
        <v>28</v>
      </c>
      <c r="H80" s="291"/>
      <c r="I80" s="291"/>
      <c r="J80" s="291"/>
      <c r="K80" s="373"/>
      <c r="L80" s="331"/>
      <c r="M80" s="332"/>
      <c r="N80" s="333"/>
      <c r="O80" s="333"/>
      <c r="P80" s="334"/>
      <c r="Q80" s="275">
        <f t="shared" ref="Q80:Q86" si="11">(K80*E80)</f>
        <v>0</v>
      </c>
      <c r="R80" s="280">
        <f>K80*C80</f>
        <v>0</v>
      </c>
      <c r="U80" s="294">
        <f t="shared" ref="U80:U97" si="12">K80-L80</f>
        <v>0</v>
      </c>
    </row>
    <row r="81" spans="1:21" s="25" customFormat="1" ht="20.100000000000001" customHeight="1" x14ac:dyDescent="0.25">
      <c r="A81" s="377">
        <v>1263742</v>
      </c>
      <c r="B81" s="352" t="s">
        <v>291</v>
      </c>
      <c r="C81" s="85">
        <f>PV!C81</f>
        <v>0.47</v>
      </c>
      <c r="D81" s="44" t="str">
        <f t="shared" si="9"/>
        <v>h</v>
      </c>
      <c r="E81" s="43">
        <f>IF(D81="h",PV!E81,IF(D81="M",PV!G81,PV!I81))</f>
        <v>3.6</v>
      </c>
      <c r="F81" s="291">
        <v>13</v>
      </c>
      <c r="G81" s="291">
        <v>15</v>
      </c>
      <c r="H81" s="291"/>
      <c r="I81" s="291"/>
      <c r="J81" s="291"/>
      <c r="K81" s="373"/>
      <c r="L81" s="331"/>
      <c r="M81" s="332"/>
      <c r="N81" s="333"/>
      <c r="O81" s="333"/>
      <c r="P81" s="334"/>
      <c r="Q81" s="275">
        <f t="shared" si="11"/>
        <v>0</v>
      </c>
      <c r="R81" s="280">
        <f>K81*C81</f>
        <v>0</v>
      </c>
      <c r="U81" s="294">
        <f t="shared" si="12"/>
        <v>0</v>
      </c>
    </row>
    <row r="82" spans="1:21" s="25" customFormat="1" ht="20.100000000000001" customHeight="1" x14ac:dyDescent="0.25">
      <c r="A82" s="377">
        <v>1263743</v>
      </c>
      <c r="B82" s="352" t="s">
        <v>292</v>
      </c>
      <c r="C82" s="85">
        <f>PV!C82</f>
        <v>0.8</v>
      </c>
      <c r="D82" s="44" t="str">
        <f t="shared" si="9"/>
        <v>h</v>
      </c>
      <c r="E82" s="43">
        <f>IF(D82="h",PV!E82,IF(D82="M",PV!G82,PV!I82))</f>
        <v>5.75</v>
      </c>
      <c r="F82" s="291">
        <v>12</v>
      </c>
      <c r="G82" s="291">
        <v>10</v>
      </c>
      <c r="H82" s="291"/>
      <c r="I82" s="291"/>
      <c r="J82" s="291"/>
      <c r="K82" s="373"/>
      <c r="L82" s="331"/>
      <c r="M82" s="332"/>
      <c r="N82" s="333"/>
      <c r="O82" s="333"/>
      <c r="P82" s="334"/>
      <c r="Q82" s="275">
        <f t="shared" si="11"/>
        <v>0</v>
      </c>
      <c r="R82" s="280">
        <f>K82*C82</f>
        <v>0</v>
      </c>
      <c r="U82" s="294">
        <f t="shared" si="12"/>
        <v>0</v>
      </c>
    </row>
    <row r="83" spans="1:21" s="25" customFormat="1" ht="22.5" x14ac:dyDescent="0.25">
      <c r="A83" s="381">
        <v>65862</v>
      </c>
      <c r="B83" s="346" t="s">
        <v>178</v>
      </c>
      <c r="C83" s="85">
        <f>PV!C83</f>
        <v>0.48</v>
      </c>
      <c r="D83" s="44" t="str">
        <f t="shared" si="9"/>
        <v>h</v>
      </c>
      <c r="E83" s="43">
        <f>IF(D83="h",PV!E83,IF(D83="M",PV!G83,PV!I83))</f>
        <v>3.95</v>
      </c>
      <c r="F83" s="291">
        <v>6</v>
      </c>
      <c r="G83" s="291">
        <v>11</v>
      </c>
      <c r="H83" s="291"/>
      <c r="I83" s="291"/>
      <c r="J83" s="291"/>
      <c r="K83" s="373"/>
      <c r="L83" s="331"/>
      <c r="M83" s="332"/>
      <c r="N83" s="333"/>
      <c r="O83" s="333"/>
      <c r="P83" s="334"/>
      <c r="Q83" s="275">
        <f t="shared" si="11"/>
        <v>0</v>
      </c>
      <c r="R83" s="280">
        <f>K83*C83</f>
        <v>0</v>
      </c>
      <c r="U83" s="294">
        <f t="shared" si="12"/>
        <v>0</v>
      </c>
    </row>
    <row r="84" spans="1:21" s="25" customFormat="1" ht="0.6" customHeight="1" x14ac:dyDescent="0.25">
      <c r="A84" s="335"/>
      <c r="B84" s="353"/>
      <c r="C84" s="85">
        <f>PV!C84</f>
        <v>0</v>
      </c>
      <c r="D84" s="44" t="str">
        <f t="shared" si="9"/>
        <v>h</v>
      </c>
      <c r="E84" s="43">
        <f>IF(D84="h",PV!E84,IF(D84="M",PV!G84,PV!I84))</f>
        <v>0</v>
      </c>
      <c r="F84" s="291">
        <v>0</v>
      </c>
      <c r="G84" s="291">
        <v>0</v>
      </c>
      <c r="H84" s="291"/>
      <c r="I84" s="291"/>
      <c r="J84" s="291"/>
      <c r="K84" s="373"/>
      <c r="L84" s="331"/>
      <c r="M84" s="332"/>
      <c r="N84" s="333"/>
      <c r="O84" s="333"/>
      <c r="P84" s="334"/>
      <c r="Q84" s="275">
        <f t="shared" si="11"/>
        <v>0</v>
      </c>
      <c r="R84" s="281">
        <f>SUM(R80:R83)</f>
        <v>0</v>
      </c>
      <c r="U84" s="294">
        <f t="shared" si="12"/>
        <v>0</v>
      </c>
    </row>
    <row r="85" spans="1:21" s="25" customFormat="1" ht="22.5" x14ac:dyDescent="0.25">
      <c r="A85" s="381">
        <v>1263732</v>
      </c>
      <c r="B85" s="346" t="s">
        <v>263</v>
      </c>
      <c r="C85" s="85">
        <f>PV!C85</f>
        <v>0.47</v>
      </c>
      <c r="D85" s="44" t="str">
        <f t="shared" si="9"/>
        <v>h</v>
      </c>
      <c r="E85" s="43">
        <f>IF(D85="h",PV!E85,IF(D85="M",PV!G85,PV!I85))</f>
        <v>2.75</v>
      </c>
      <c r="F85" s="291">
        <v>9</v>
      </c>
      <c r="G85" s="291">
        <v>7</v>
      </c>
      <c r="H85" s="291"/>
      <c r="I85" s="291"/>
      <c r="J85" s="291"/>
      <c r="K85" s="373"/>
      <c r="L85" s="331"/>
      <c r="M85" s="332"/>
      <c r="N85" s="333"/>
      <c r="O85" s="333"/>
      <c r="P85" s="334"/>
      <c r="Q85" s="275">
        <f t="shared" si="11"/>
        <v>0</v>
      </c>
      <c r="R85" s="280">
        <f>K85*C85</f>
        <v>0</v>
      </c>
      <c r="U85" s="294">
        <f t="shared" si="12"/>
        <v>0</v>
      </c>
    </row>
    <row r="86" spans="1:21" s="25" customFormat="1" ht="22.5" x14ac:dyDescent="0.25">
      <c r="A86" s="381">
        <v>1263733</v>
      </c>
      <c r="B86" s="346" t="s">
        <v>264</v>
      </c>
      <c r="C86" s="85">
        <f>PV!C86</f>
        <v>0.8</v>
      </c>
      <c r="D86" s="44" t="str">
        <f t="shared" si="9"/>
        <v>h</v>
      </c>
      <c r="E86" s="43">
        <f>IF(D86="h",PV!E86,IF(D86="M",PV!G86,PV!I86))</f>
        <v>5.5</v>
      </c>
      <c r="F86" s="291">
        <v>6</v>
      </c>
      <c r="G86" s="291">
        <v>5</v>
      </c>
      <c r="H86" s="291"/>
      <c r="I86" s="291"/>
      <c r="J86" s="291"/>
      <c r="K86" s="373"/>
      <c r="L86" s="331"/>
      <c r="M86" s="332"/>
      <c r="N86" s="333"/>
      <c r="O86" s="333"/>
      <c r="P86" s="334"/>
      <c r="Q86" s="275">
        <f t="shared" si="11"/>
        <v>0</v>
      </c>
      <c r="R86" s="280">
        <f>K86*C86</f>
        <v>0</v>
      </c>
      <c r="U86" s="294">
        <f t="shared" si="12"/>
        <v>0</v>
      </c>
    </row>
    <row r="87" spans="1:21" s="25" customFormat="1" ht="0.6" customHeight="1" x14ac:dyDescent="0.2">
      <c r="A87" s="382"/>
      <c r="B87" s="343"/>
      <c r="C87" s="85">
        <f>PV!C87</f>
        <v>0</v>
      </c>
      <c r="D87" s="44" t="str">
        <f t="shared" si="9"/>
        <v>h</v>
      </c>
      <c r="E87" s="43">
        <f>IF(D87="h",PV!E87,IF(D87="M",PV!G87,PV!I87))</f>
        <v>0</v>
      </c>
      <c r="F87" s="291">
        <v>0</v>
      </c>
      <c r="G87" s="291">
        <v>0</v>
      </c>
      <c r="H87" s="291"/>
      <c r="I87" s="291"/>
      <c r="J87" s="291"/>
      <c r="K87" s="373"/>
      <c r="L87" s="331"/>
      <c r="M87" s="332"/>
      <c r="N87" s="333"/>
      <c r="O87" s="333"/>
      <c r="P87" s="334"/>
      <c r="Q87" s="275"/>
      <c r="R87" s="281">
        <f>SUM(R85:R86)</f>
        <v>0</v>
      </c>
      <c r="U87" s="294">
        <f t="shared" si="12"/>
        <v>0</v>
      </c>
    </row>
    <row r="88" spans="1:21" ht="22.5" x14ac:dyDescent="0.2">
      <c r="A88" s="379">
        <v>1095099</v>
      </c>
      <c r="B88" s="354" t="s">
        <v>161</v>
      </c>
      <c r="C88" s="85">
        <f>PV!C88</f>
        <v>0.15</v>
      </c>
      <c r="D88" s="44" t="str">
        <f t="shared" si="9"/>
        <v>h</v>
      </c>
      <c r="E88" s="43">
        <f>IF(D88="h",PV!E88,IF(D88="M",PV!G88,PV!I88))</f>
        <v>2.5</v>
      </c>
      <c r="F88" s="291">
        <v>0</v>
      </c>
      <c r="G88" s="291">
        <v>0</v>
      </c>
      <c r="H88" s="291"/>
      <c r="I88" s="291"/>
      <c r="J88" s="291"/>
      <c r="K88" s="373"/>
      <c r="L88" s="331"/>
      <c r="M88" s="332"/>
      <c r="N88" s="333"/>
      <c r="O88" s="333"/>
      <c r="P88" s="334"/>
      <c r="Q88" s="275">
        <f>(K88*E88)</f>
        <v>0</v>
      </c>
      <c r="R88" s="280">
        <f>K88*C88</f>
        <v>0</v>
      </c>
      <c r="U88" s="294">
        <f t="shared" si="12"/>
        <v>0</v>
      </c>
    </row>
    <row r="89" spans="1:21" s="28" customFormat="1" ht="22.5" x14ac:dyDescent="0.2">
      <c r="A89" s="380">
        <v>1008120</v>
      </c>
      <c r="B89" s="355" t="s">
        <v>162</v>
      </c>
      <c r="C89" s="85">
        <f>PV!C89</f>
        <v>0.12</v>
      </c>
      <c r="D89" s="44" t="str">
        <f t="shared" si="9"/>
        <v>h</v>
      </c>
      <c r="E89" s="43">
        <f>IF(D89="h",PV!E89,IF(D89="M",PV!G89,PV!I89))</f>
        <v>2.5</v>
      </c>
      <c r="F89" s="291">
        <v>0</v>
      </c>
      <c r="G89" s="291">
        <v>0</v>
      </c>
      <c r="H89" s="291"/>
      <c r="I89" s="291"/>
      <c r="J89" s="291"/>
      <c r="K89" s="373"/>
      <c r="L89" s="331"/>
      <c r="M89" s="332"/>
      <c r="N89" s="333"/>
      <c r="O89" s="333"/>
      <c r="P89" s="334"/>
      <c r="Q89" s="275">
        <f>(K89*E89)</f>
        <v>0</v>
      </c>
      <c r="R89" s="280">
        <f>K89*C89</f>
        <v>0</v>
      </c>
      <c r="U89" s="294">
        <f t="shared" si="12"/>
        <v>0</v>
      </c>
    </row>
    <row r="90" spans="1:21" s="25" customFormat="1" ht="22.5" x14ac:dyDescent="0.2">
      <c r="A90" s="379">
        <v>1263735</v>
      </c>
      <c r="B90" s="343" t="s">
        <v>272</v>
      </c>
      <c r="C90" s="85">
        <f>PV!C90</f>
        <v>0.7</v>
      </c>
      <c r="D90" s="44" t="str">
        <f t="shared" si="9"/>
        <v>h</v>
      </c>
      <c r="E90" s="43">
        <f>IF(D90="h",PV!E90,IF(D90="M",PV!G90,PV!I90))</f>
        <v>6.2</v>
      </c>
      <c r="F90" s="291">
        <v>13</v>
      </c>
      <c r="G90" s="291">
        <v>27.888000000000002</v>
      </c>
      <c r="H90" s="291"/>
      <c r="I90" s="291"/>
      <c r="J90" s="291"/>
      <c r="K90" s="373"/>
      <c r="L90" s="331"/>
      <c r="M90" s="332"/>
      <c r="N90" s="333"/>
      <c r="O90" s="333"/>
      <c r="P90" s="334"/>
      <c r="Q90" s="275">
        <f>(K90*E90)</f>
        <v>0</v>
      </c>
      <c r="R90" s="280">
        <f>K90*C90</f>
        <v>0</v>
      </c>
      <c r="U90" s="294">
        <f t="shared" si="12"/>
        <v>0</v>
      </c>
    </row>
    <row r="91" spans="1:21" ht="22.5" x14ac:dyDescent="0.2">
      <c r="A91" s="379">
        <v>1008119</v>
      </c>
      <c r="B91" s="354" t="s">
        <v>158</v>
      </c>
      <c r="C91" s="85">
        <f>PV!C91</f>
        <v>0.3</v>
      </c>
      <c r="D91" s="44" t="str">
        <f t="shared" si="9"/>
        <v>h</v>
      </c>
      <c r="E91" s="43">
        <f>IF(D91="h",PV!E91,IF(D91="M",PV!G91,PV!I91))</f>
        <v>2.7</v>
      </c>
      <c r="F91" s="291">
        <v>0</v>
      </c>
      <c r="G91" s="291">
        <v>0</v>
      </c>
      <c r="H91" s="291"/>
      <c r="I91" s="291"/>
      <c r="J91" s="291"/>
      <c r="K91" s="373"/>
      <c r="L91" s="331"/>
      <c r="M91" s="332"/>
      <c r="N91" s="333"/>
      <c r="O91" s="333"/>
      <c r="P91" s="334"/>
      <c r="Q91" s="275">
        <f>(K91*E91)</f>
        <v>0</v>
      </c>
      <c r="R91" s="280">
        <f>K91*C91</f>
        <v>0</v>
      </c>
      <c r="U91" s="294">
        <f t="shared" si="12"/>
        <v>0</v>
      </c>
    </row>
    <row r="92" spans="1:21" s="28" customFormat="1" ht="0.6" customHeight="1" x14ac:dyDescent="0.2">
      <c r="A92" s="380"/>
      <c r="B92" s="356"/>
      <c r="C92" s="85">
        <f>PV!C92</f>
        <v>0</v>
      </c>
      <c r="D92" s="44" t="str">
        <f t="shared" si="9"/>
        <v>h</v>
      </c>
      <c r="E92" s="43">
        <f>IF(D92="h",PV!E92,IF(D92="M",PV!G92,PV!I92))</f>
        <v>0</v>
      </c>
      <c r="F92" s="291">
        <v>0</v>
      </c>
      <c r="G92" s="291">
        <v>0</v>
      </c>
      <c r="H92" s="291"/>
      <c r="I92" s="291"/>
      <c r="J92" s="291"/>
      <c r="K92" s="373"/>
      <c r="L92" s="331"/>
      <c r="M92" s="332"/>
      <c r="N92" s="333"/>
      <c r="O92" s="333"/>
      <c r="P92" s="334"/>
      <c r="Q92" s="271"/>
      <c r="R92" s="281">
        <f>SUM(R88:R91)</f>
        <v>0</v>
      </c>
      <c r="U92" s="294">
        <f t="shared" si="12"/>
        <v>0</v>
      </c>
    </row>
    <row r="93" spans="1:21" s="25" customFormat="1" ht="22.5" x14ac:dyDescent="0.25">
      <c r="A93" s="335">
        <v>401788</v>
      </c>
      <c r="B93" s="352" t="s">
        <v>138</v>
      </c>
      <c r="C93" s="85">
        <f>PV!C93</f>
        <v>0.2</v>
      </c>
      <c r="D93" s="44" t="str">
        <f t="shared" si="9"/>
        <v>h</v>
      </c>
      <c r="E93" s="43">
        <f>IF(D93="h",PV!E93,IF(D93="M",PV!G93,PV!I93))</f>
        <v>0.5</v>
      </c>
      <c r="F93" s="291">
        <v>217</v>
      </c>
      <c r="G93" s="291">
        <v>133</v>
      </c>
      <c r="H93" s="291"/>
      <c r="I93" s="291"/>
      <c r="J93" s="291"/>
      <c r="K93" s="373"/>
      <c r="L93" s="331"/>
      <c r="M93" s="332"/>
      <c r="N93" s="333"/>
      <c r="O93" s="333"/>
      <c r="P93" s="334"/>
      <c r="Q93" s="279">
        <f>(K93*E93)</f>
        <v>0</v>
      </c>
      <c r="R93" s="280">
        <f>K93*C93</f>
        <v>0</v>
      </c>
      <c r="U93" s="294">
        <f t="shared" si="12"/>
        <v>0</v>
      </c>
    </row>
    <row r="94" spans="1:21" s="25" customFormat="1" ht="22.5" x14ac:dyDescent="0.25">
      <c r="A94" s="335">
        <v>391720</v>
      </c>
      <c r="B94" s="352" t="s">
        <v>139</v>
      </c>
      <c r="C94" s="85">
        <f>PV!C94</f>
        <v>0.84</v>
      </c>
      <c r="D94" s="44" t="str">
        <f t="shared" si="9"/>
        <v>h</v>
      </c>
      <c r="E94" s="43">
        <f>IF(D94="h",PV!E94,IF(D94="M",PV!G94,PV!I94))</f>
        <v>3.5</v>
      </c>
      <c r="F94" s="291">
        <v>0</v>
      </c>
      <c r="G94" s="291">
        <v>0</v>
      </c>
      <c r="H94" s="291"/>
      <c r="I94" s="291"/>
      <c r="J94" s="291"/>
      <c r="K94" s="373"/>
      <c r="L94" s="331"/>
      <c r="M94" s="332"/>
      <c r="N94" s="333"/>
      <c r="O94" s="333"/>
      <c r="P94" s="334"/>
      <c r="Q94" s="275">
        <f>(K94*E94)</f>
        <v>0</v>
      </c>
      <c r="R94" s="280">
        <f>K94*C94</f>
        <v>0</v>
      </c>
      <c r="U94" s="294">
        <f t="shared" si="12"/>
        <v>0</v>
      </c>
    </row>
    <row r="95" spans="1:21" s="25" customFormat="1" ht="22.5" x14ac:dyDescent="0.25">
      <c r="A95" s="335">
        <v>438079</v>
      </c>
      <c r="B95" s="352" t="s">
        <v>293</v>
      </c>
      <c r="C95" s="85">
        <f>PV!C95</f>
        <v>0.3</v>
      </c>
      <c r="D95" s="44" t="str">
        <f t="shared" si="9"/>
        <v>h</v>
      </c>
      <c r="E95" s="43">
        <f>IF(D95="h",PV!E95,IF(D95="M",PV!G95,PV!I95))</f>
        <v>2.65</v>
      </c>
      <c r="F95" s="291">
        <v>0</v>
      </c>
      <c r="G95" s="291">
        <v>0</v>
      </c>
      <c r="H95" s="291"/>
      <c r="I95" s="291"/>
      <c r="J95" s="291"/>
      <c r="K95" s="373"/>
      <c r="L95" s="331"/>
      <c r="M95" s="332"/>
      <c r="N95" s="333"/>
      <c r="O95" s="333"/>
      <c r="P95" s="334"/>
      <c r="Q95" s="275">
        <f>(K95*E95)</f>
        <v>0</v>
      </c>
      <c r="R95" s="280">
        <f>K95*C95</f>
        <v>0</v>
      </c>
      <c r="U95" s="294">
        <f t="shared" si="12"/>
        <v>0</v>
      </c>
    </row>
    <row r="96" spans="1:21" s="25" customFormat="1" ht="22.5" x14ac:dyDescent="0.25">
      <c r="A96" s="335">
        <v>391741</v>
      </c>
      <c r="B96" s="352" t="s">
        <v>41</v>
      </c>
      <c r="C96" s="85">
        <f>PV!C96</f>
        <v>1.2</v>
      </c>
      <c r="D96" s="44" t="str">
        <f t="shared" si="9"/>
        <v>h</v>
      </c>
      <c r="E96" s="43">
        <f>IF(D96="h",PV!E96,IF(D96="M",PV!G96,PV!I96))</f>
        <v>2.5</v>
      </c>
      <c r="F96" s="291">
        <v>51</v>
      </c>
      <c r="G96" s="291">
        <v>70</v>
      </c>
      <c r="H96" s="291"/>
      <c r="I96" s="291"/>
      <c r="J96" s="291"/>
      <c r="K96" s="373"/>
      <c r="L96" s="331"/>
      <c r="M96" s="332"/>
      <c r="N96" s="333"/>
      <c r="O96" s="333"/>
      <c r="P96" s="334"/>
      <c r="Q96" s="275">
        <f>(K96*E96)</f>
        <v>0</v>
      </c>
      <c r="R96" s="280">
        <f>K96*C96</f>
        <v>0</v>
      </c>
      <c r="U96" s="294">
        <f t="shared" si="12"/>
        <v>0</v>
      </c>
    </row>
    <row r="97" spans="1:21" s="25" customFormat="1" ht="22.5" x14ac:dyDescent="0.25">
      <c r="A97" s="335">
        <v>391742</v>
      </c>
      <c r="B97" s="352" t="s">
        <v>141</v>
      </c>
      <c r="C97" s="85">
        <f>PV!C97</f>
        <v>0.6</v>
      </c>
      <c r="D97" s="44" t="str">
        <f t="shared" si="9"/>
        <v>h</v>
      </c>
      <c r="E97" s="43">
        <f>IF(D97="h",PV!E97,IF(D97="M",PV!G97,PV!I97))</f>
        <v>1.25</v>
      </c>
      <c r="F97" s="291">
        <v>2</v>
      </c>
      <c r="G97" s="291">
        <v>0</v>
      </c>
      <c r="H97" s="291"/>
      <c r="I97" s="291"/>
      <c r="J97" s="291"/>
      <c r="K97" s="373"/>
      <c r="L97" s="331"/>
      <c r="M97" s="332"/>
      <c r="N97" s="333"/>
      <c r="O97" s="333"/>
      <c r="P97" s="334"/>
      <c r="Q97" s="275">
        <f>(K97*E97)</f>
        <v>0</v>
      </c>
      <c r="R97" s="280">
        <f>K97*C97</f>
        <v>0</v>
      </c>
      <c r="U97" s="294">
        <f t="shared" si="12"/>
        <v>0</v>
      </c>
    </row>
    <row r="98" spans="1:21" s="25" customFormat="1" ht="0.6" customHeight="1" x14ac:dyDescent="0.25">
      <c r="A98" s="335"/>
      <c r="B98" s="352"/>
      <c r="C98" s="85"/>
      <c r="D98" s="44"/>
      <c r="E98" s="43"/>
      <c r="F98" s="291">
        <v>0</v>
      </c>
      <c r="G98" s="291">
        <v>0</v>
      </c>
      <c r="H98" s="291"/>
      <c r="I98" s="291"/>
      <c r="J98" s="291"/>
      <c r="K98" s="373"/>
      <c r="L98" s="331"/>
      <c r="M98" s="332"/>
      <c r="N98" s="333"/>
      <c r="O98" s="333"/>
      <c r="P98" s="334"/>
      <c r="Q98" s="275"/>
      <c r="R98" s="282">
        <f>SUM(R93:R97)</f>
        <v>0</v>
      </c>
      <c r="U98" s="294"/>
    </row>
    <row r="99" spans="1:21" s="25" customFormat="1" ht="22.5" x14ac:dyDescent="0.25">
      <c r="A99" s="335">
        <v>875635</v>
      </c>
      <c r="B99" s="352" t="s">
        <v>142</v>
      </c>
      <c r="C99" s="85">
        <f>PV!C99</f>
        <v>0.05</v>
      </c>
      <c r="D99" s="44" t="str">
        <f>D97</f>
        <v>h</v>
      </c>
      <c r="E99" s="43">
        <f>IF(D99="h",PV!E99,IF(D99="M",PV!G99,PV!I99))</f>
        <v>1.5</v>
      </c>
      <c r="F99" s="291">
        <v>0</v>
      </c>
      <c r="G99" s="291">
        <v>15</v>
      </c>
      <c r="H99" s="291"/>
      <c r="I99" s="291"/>
      <c r="J99" s="291"/>
      <c r="K99" s="373"/>
      <c r="L99" s="331"/>
      <c r="M99" s="332"/>
      <c r="N99" s="333"/>
      <c r="O99" s="333"/>
      <c r="P99" s="334"/>
      <c r="Q99" s="275">
        <f t="shared" ref="Q99:Q107" si="13">(K99*E99)</f>
        <v>0</v>
      </c>
      <c r="R99" s="280">
        <f t="shared" ref="R99:R104" si="14">K99*C99</f>
        <v>0</v>
      </c>
      <c r="U99" s="294">
        <f t="shared" ref="U99:U130" si="15">K99-L99</f>
        <v>0</v>
      </c>
    </row>
    <row r="100" spans="1:21" s="48" customFormat="1" ht="22.5" x14ac:dyDescent="0.25">
      <c r="A100" s="335">
        <v>391727</v>
      </c>
      <c r="B100" s="352" t="s">
        <v>143</v>
      </c>
      <c r="C100" s="85">
        <f>PV!C100</f>
        <v>0.1</v>
      </c>
      <c r="D100" s="44" t="str">
        <f t="shared" si="9"/>
        <v>h</v>
      </c>
      <c r="E100" s="43">
        <f>IF(D100="h",PV!E100,IF(D100="M",PV!G100,PV!I100))</f>
        <v>5.75</v>
      </c>
      <c r="F100" s="291">
        <v>30</v>
      </c>
      <c r="G100" s="291">
        <v>134</v>
      </c>
      <c r="H100" s="291"/>
      <c r="I100" s="291"/>
      <c r="J100" s="291"/>
      <c r="K100" s="373"/>
      <c r="L100" s="331"/>
      <c r="M100" s="332"/>
      <c r="N100" s="333"/>
      <c r="O100" s="333"/>
      <c r="P100" s="334"/>
      <c r="Q100" s="275">
        <f t="shared" si="13"/>
        <v>0</v>
      </c>
      <c r="R100" s="280">
        <f t="shared" si="14"/>
        <v>0</v>
      </c>
      <c r="U100" s="294">
        <f t="shared" si="15"/>
        <v>0</v>
      </c>
    </row>
    <row r="101" spans="1:21" s="48" customFormat="1" ht="22.5" x14ac:dyDescent="0.25">
      <c r="A101" s="379">
        <v>401769</v>
      </c>
      <c r="B101" s="352" t="s">
        <v>299</v>
      </c>
      <c r="C101" s="85">
        <f>PV!C101</f>
        <v>0.1</v>
      </c>
      <c r="D101" s="44" t="str">
        <f t="shared" si="9"/>
        <v>h</v>
      </c>
      <c r="E101" s="43">
        <f>IF(D101="h",PV!E101,IF(D101="M",PV!G101,PV!I101))</f>
        <v>4.75</v>
      </c>
      <c r="F101" s="291">
        <v>29</v>
      </c>
      <c r="G101" s="291">
        <v>42.284999999999997</v>
      </c>
      <c r="H101" s="291"/>
      <c r="I101" s="291"/>
      <c r="J101" s="291"/>
      <c r="K101" s="373"/>
      <c r="L101" s="331"/>
      <c r="M101" s="332"/>
      <c r="N101" s="333"/>
      <c r="O101" s="333"/>
      <c r="P101" s="334"/>
      <c r="Q101" s="275">
        <f t="shared" si="13"/>
        <v>0</v>
      </c>
      <c r="R101" s="280">
        <f t="shared" si="14"/>
        <v>0</v>
      </c>
      <c r="U101" s="294">
        <f t="shared" si="15"/>
        <v>0</v>
      </c>
    </row>
    <row r="102" spans="1:21" s="25" customFormat="1" ht="22.5" x14ac:dyDescent="0.25">
      <c r="A102" s="379">
        <v>915518</v>
      </c>
      <c r="B102" s="352" t="s">
        <v>145</v>
      </c>
      <c r="C102" s="85">
        <f>PV!C102</f>
        <v>0.1</v>
      </c>
      <c r="D102" s="44" t="str">
        <f t="shared" si="9"/>
        <v>h</v>
      </c>
      <c r="E102" s="43">
        <f>IF(D102="h",PV!E102,IF(D102="M",PV!G102,PV!I102))</f>
        <v>5.75</v>
      </c>
      <c r="F102" s="291">
        <v>5</v>
      </c>
      <c r="G102" s="291">
        <v>0</v>
      </c>
      <c r="H102" s="291"/>
      <c r="I102" s="291"/>
      <c r="J102" s="291"/>
      <c r="K102" s="373"/>
      <c r="L102" s="331"/>
      <c r="M102" s="332"/>
      <c r="N102" s="333"/>
      <c r="O102" s="333"/>
      <c r="P102" s="334"/>
      <c r="Q102" s="275">
        <f t="shared" si="13"/>
        <v>0</v>
      </c>
      <c r="R102" s="280">
        <f t="shared" si="14"/>
        <v>0</v>
      </c>
      <c r="U102" s="294">
        <f t="shared" si="15"/>
        <v>0</v>
      </c>
    </row>
    <row r="103" spans="1:21" ht="22.5" x14ac:dyDescent="0.2">
      <c r="A103" s="380">
        <v>915523</v>
      </c>
      <c r="B103" s="354" t="s">
        <v>146</v>
      </c>
      <c r="C103" s="85">
        <f>PV!C103</f>
        <v>0.1</v>
      </c>
      <c r="D103" s="44" t="str">
        <f t="shared" si="9"/>
        <v>h</v>
      </c>
      <c r="E103" s="43">
        <f>IF(D103="h",PV!E103,IF(D103="M",PV!G103,PV!I103))</f>
        <v>5.25</v>
      </c>
      <c r="F103" s="291">
        <v>19</v>
      </c>
      <c r="G103" s="291">
        <v>0</v>
      </c>
      <c r="H103" s="291"/>
      <c r="I103" s="291"/>
      <c r="J103" s="291"/>
      <c r="K103" s="373"/>
      <c r="L103" s="331"/>
      <c r="M103" s="332"/>
      <c r="N103" s="333"/>
      <c r="O103" s="333"/>
      <c r="P103" s="334"/>
      <c r="Q103" s="275">
        <f t="shared" si="13"/>
        <v>0</v>
      </c>
      <c r="R103" s="280">
        <f t="shared" si="14"/>
        <v>0</v>
      </c>
      <c r="U103" s="294">
        <f t="shared" si="15"/>
        <v>0</v>
      </c>
    </row>
    <row r="104" spans="1:21" s="25" customFormat="1" ht="22.5" x14ac:dyDescent="0.25">
      <c r="A104" s="385">
        <v>391721</v>
      </c>
      <c r="B104" s="357" t="s">
        <v>147</v>
      </c>
      <c r="C104" s="85">
        <f>PV!C104</f>
        <v>0.1</v>
      </c>
      <c r="D104" s="44" t="str">
        <f t="shared" si="9"/>
        <v>h</v>
      </c>
      <c r="E104" s="43">
        <f>IF(D104="h",PV!E104,IF(D104="M",PV!G104,PV!I104))</f>
        <v>3.75</v>
      </c>
      <c r="F104" s="291">
        <v>49</v>
      </c>
      <c r="G104" s="291">
        <v>64</v>
      </c>
      <c r="H104" s="291"/>
      <c r="I104" s="291"/>
      <c r="J104" s="291"/>
      <c r="K104" s="373"/>
      <c r="L104" s="331"/>
      <c r="M104" s="332"/>
      <c r="N104" s="333"/>
      <c r="O104" s="333"/>
      <c r="P104" s="334"/>
      <c r="Q104" s="275">
        <f t="shared" si="13"/>
        <v>0</v>
      </c>
      <c r="R104" s="280">
        <f t="shared" si="14"/>
        <v>0</v>
      </c>
      <c r="U104" s="294">
        <f t="shared" si="15"/>
        <v>0</v>
      </c>
    </row>
    <row r="105" spans="1:21" s="25" customFormat="1" ht="0.6" customHeight="1" x14ac:dyDescent="0.25">
      <c r="A105" s="382"/>
      <c r="B105" s="353"/>
      <c r="C105" s="85">
        <f>PV!C105</f>
        <v>0</v>
      </c>
      <c r="D105" s="44" t="str">
        <f t="shared" si="9"/>
        <v>h</v>
      </c>
      <c r="E105" s="43">
        <f>IF(D105="h",PV!E105,IF(D105="M",PV!G105,PV!I105))</f>
        <v>0</v>
      </c>
      <c r="F105" s="291">
        <v>0</v>
      </c>
      <c r="G105" s="291">
        <v>0</v>
      </c>
      <c r="H105" s="291"/>
      <c r="I105" s="291"/>
      <c r="J105" s="291"/>
      <c r="K105" s="373"/>
      <c r="L105" s="331"/>
      <c r="M105" s="332"/>
      <c r="N105" s="333"/>
      <c r="O105" s="333"/>
      <c r="P105" s="334"/>
      <c r="Q105" s="275">
        <f t="shared" si="13"/>
        <v>0</v>
      </c>
      <c r="R105" s="318">
        <f>SUM(R99:R104)</f>
        <v>0</v>
      </c>
      <c r="U105" s="294">
        <f t="shared" si="15"/>
        <v>0</v>
      </c>
    </row>
    <row r="106" spans="1:21" ht="18.75" customHeight="1" x14ac:dyDescent="0.2">
      <c r="A106" s="381">
        <v>391717</v>
      </c>
      <c r="B106" s="338" t="s">
        <v>294</v>
      </c>
      <c r="C106" s="85">
        <f>PV!C106</f>
        <v>1.2</v>
      </c>
      <c r="D106" s="44" t="str">
        <f t="shared" si="9"/>
        <v>h</v>
      </c>
      <c r="E106" s="43">
        <f>IF(D106="h",PV!E106,IF(D106="M",PV!G106,PV!I106))</f>
        <v>4.25</v>
      </c>
      <c r="F106" s="291">
        <v>32</v>
      </c>
      <c r="G106" s="291">
        <v>27</v>
      </c>
      <c r="H106" s="291"/>
      <c r="I106" s="291"/>
      <c r="J106" s="291"/>
      <c r="K106" s="373"/>
      <c r="L106" s="331"/>
      <c r="M106" s="332"/>
      <c r="N106" s="333"/>
      <c r="O106" s="333"/>
      <c r="P106" s="334"/>
      <c r="Q106" s="275">
        <f t="shared" si="13"/>
        <v>0</v>
      </c>
      <c r="R106" s="280">
        <f>K106*C106</f>
        <v>0</v>
      </c>
      <c r="U106" s="294">
        <f t="shared" si="15"/>
        <v>0</v>
      </c>
    </row>
    <row r="107" spans="1:21" ht="22.5" x14ac:dyDescent="0.2">
      <c r="A107" s="381">
        <v>438604</v>
      </c>
      <c r="B107" s="338" t="s">
        <v>295</v>
      </c>
      <c r="C107" s="85">
        <f>PV!C107</f>
        <v>0.6</v>
      </c>
      <c r="D107" s="44" t="str">
        <f t="shared" si="9"/>
        <v>h</v>
      </c>
      <c r="E107" s="43">
        <f>IF(D107="h",PV!E107,IF(D107="M",PV!G107,PV!I107))</f>
        <v>3.25</v>
      </c>
      <c r="F107" s="291">
        <v>0</v>
      </c>
      <c r="G107" s="291">
        <v>12</v>
      </c>
      <c r="H107" s="291"/>
      <c r="I107" s="291"/>
      <c r="J107" s="291"/>
      <c r="K107" s="373"/>
      <c r="L107" s="331"/>
      <c r="M107" s="332"/>
      <c r="N107" s="333"/>
      <c r="O107" s="333"/>
      <c r="P107" s="334"/>
      <c r="Q107" s="275">
        <f t="shared" si="13"/>
        <v>0</v>
      </c>
      <c r="R107" s="280">
        <f>K107*C107</f>
        <v>0</v>
      </c>
      <c r="U107" s="294">
        <f t="shared" si="15"/>
        <v>0</v>
      </c>
    </row>
    <row r="108" spans="1:21" s="25" customFormat="1" ht="0.6" customHeight="1" x14ac:dyDescent="0.15">
      <c r="A108" s="335"/>
      <c r="B108" s="343"/>
      <c r="C108" s="85">
        <f>PV!C108</f>
        <v>0</v>
      </c>
      <c r="D108" s="44" t="str">
        <f t="shared" si="9"/>
        <v>h</v>
      </c>
      <c r="E108" s="43">
        <f>IF(D108="h",PV!E108,IF(D108="M",PV!G108,PV!I108))</f>
        <v>0</v>
      </c>
      <c r="F108" s="291">
        <v>0</v>
      </c>
      <c r="G108" s="291">
        <v>0</v>
      </c>
      <c r="H108" s="291"/>
      <c r="I108" s="291"/>
      <c r="J108" s="291"/>
      <c r="K108" s="373"/>
      <c r="L108" s="331"/>
      <c r="M108" s="332"/>
      <c r="N108" s="333"/>
      <c r="O108" s="333"/>
      <c r="P108" s="334"/>
      <c r="Q108" s="275"/>
      <c r="R108" s="281">
        <f>SUM(R106:R107)</f>
        <v>0</v>
      </c>
      <c r="U108" s="294">
        <f t="shared" si="15"/>
        <v>0</v>
      </c>
    </row>
    <row r="109" spans="1:21" s="25" customFormat="1" ht="22.5" x14ac:dyDescent="0.25">
      <c r="A109" s="381">
        <v>1008122</v>
      </c>
      <c r="B109" s="346" t="s">
        <v>165</v>
      </c>
      <c r="C109" s="85">
        <f>PV!C109</f>
        <v>0.3</v>
      </c>
      <c r="D109" s="44" t="str">
        <f t="shared" si="9"/>
        <v>h</v>
      </c>
      <c r="E109" s="43">
        <f>IF(D109="h",PV!E109,IF(D109="M",PV!G109,PV!I109))</f>
        <v>4</v>
      </c>
      <c r="F109" s="291">
        <v>19</v>
      </c>
      <c r="G109" s="291">
        <v>0</v>
      </c>
      <c r="H109" s="291"/>
      <c r="I109" s="291"/>
      <c r="J109" s="291"/>
      <c r="K109" s="373"/>
      <c r="L109" s="331"/>
      <c r="M109" s="332"/>
      <c r="N109" s="333"/>
      <c r="O109" s="333"/>
      <c r="P109" s="334"/>
      <c r="Q109" s="275">
        <f>(K109*E109)</f>
        <v>0</v>
      </c>
      <c r="R109" s="280">
        <f>K109*C109</f>
        <v>0</v>
      </c>
      <c r="U109" s="294">
        <f t="shared" si="15"/>
        <v>0</v>
      </c>
    </row>
    <row r="110" spans="1:21" s="25" customFormat="1" ht="22.5" x14ac:dyDescent="0.25">
      <c r="A110" s="381">
        <v>1008124</v>
      </c>
      <c r="B110" s="346" t="s">
        <v>166</v>
      </c>
      <c r="C110" s="85">
        <f>PV!C110</f>
        <v>0.3</v>
      </c>
      <c r="D110" s="44" t="str">
        <f t="shared" si="9"/>
        <v>h</v>
      </c>
      <c r="E110" s="43">
        <f>IF(D110="h",PV!E110,IF(D110="M",PV!G110,PV!I110))</f>
        <v>5</v>
      </c>
      <c r="F110" s="291">
        <v>16</v>
      </c>
      <c r="G110" s="291">
        <v>19</v>
      </c>
      <c r="H110" s="291"/>
      <c r="I110" s="291"/>
      <c r="J110" s="291"/>
      <c r="K110" s="373"/>
      <c r="L110" s="331"/>
      <c r="M110" s="332"/>
      <c r="N110" s="333"/>
      <c r="O110" s="333"/>
      <c r="P110" s="334"/>
      <c r="Q110" s="275">
        <f>(K110*E110)</f>
        <v>0</v>
      </c>
      <c r="R110" s="280">
        <f>K110*C110</f>
        <v>0</v>
      </c>
      <c r="U110" s="294">
        <f t="shared" si="15"/>
        <v>0</v>
      </c>
    </row>
    <row r="111" spans="1:21" s="25" customFormat="1" ht="22.5" x14ac:dyDescent="0.25">
      <c r="A111" s="381">
        <v>1007683</v>
      </c>
      <c r="B111" s="346" t="s">
        <v>167</v>
      </c>
      <c r="C111" s="85">
        <f>PV!C111</f>
        <v>0.3</v>
      </c>
      <c r="D111" s="44" t="str">
        <f t="shared" si="9"/>
        <v>h</v>
      </c>
      <c r="E111" s="43">
        <f>IF(D111="h",PV!E111,IF(D111="M",PV!G111,PV!I111))</f>
        <v>1.5</v>
      </c>
      <c r="F111" s="291">
        <v>123</v>
      </c>
      <c r="G111" s="291">
        <v>277</v>
      </c>
      <c r="H111" s="291"/>
      <c r="I111" s="291"/>
      <c r="J111" s="291"/>
      <c r="K111" s="373"/>
      <c r="L111" s="331"/>
      <c r="M111" s="332"/>
      <c r="N111" s="333"/>
      <c r="O111" s="333"/>
      <c r="P111" s="334"/>
      <c r="Q111" s="275">
        <f>(K111*E111)</f>
        <v>0</v>
      </c>
      <c r="R111" s="280">
        <f>K111*C111</f>
        <v>0</v>
      </c>
      <c r="U111" s="294">
        <f t="shared" si="15"/>
        <v>0</v>
      </c>
    </row>
    <row r="112" spans="1:21" s="25" customFormat="1" ht="22.5" x14ac:dyDescent="0.25">
      <c r="A112" s="381">
        <v>1008123</v>
      </c>
      <c r="B112" s="346" t="s">
        <v>168</v>
      </c>
      <c r="C112" s="85">
        <f>PV!C112</f>
        <v>0.3</v>
      </c>
      <c r="D112" s="44" t="str">
        <f t="shared" si="9"/>
        <v>h</v>
      </c>
      <c r="E112" s="43">
        <f>IF(D112="h",PV!E112,IF(D112="M",PV!G112,PV!I112))</f>
        <v>3</v>
      </c>
      <c r="F112" s="291">
        <v>24</v>
      </c>
      <c r="G112" s="291">
        <v>14</v>
      </c>
      <c r="H112" s="291"/>
      <c r="I112" s="291"/>
      <c r="J112" s="291"/>
      <c r="K112" s="373"/>
      <c r="L112" s="331"/>
      <c r="M112" s="332"/>
      <c r="N112" s="333"/>
      <c r="O112" s="333"/>
      <c r="P112" s="334"/>
      <c r="Q112" s="275">
        <f>(K112*E112)</f>
        <v>0</v>
      </c>
      <c r="R112" s="280">
        <f>K112*C112</f>
        <v>0</v>
      </c>
      <c r="U112" s="294">
        <f t="shared" si="15"/>
        <v>0</v>
      </c>
    </row>
    <row r="113" spans="1:21" s="25" customFormat="1" ht="22.5" x14ac:dyDescent="0.2">
      <c r="A113" s="382"/>
      <c r="B113" s="343"/>
      <c r="C113" s="85">
        <f>PV!C113</f>
        <v>0</v>
      </c>
      <c r="D113" s="44" t="str">
        <f t="shared" si="9"/>
        <v>h</v>
      </c>
      <c r="E113" s="43">
        <f>IF(D113="h",PV!E113,IF(D113="M",PV!G113,PV!I113))</f>
        <v>0</v>
      </c>
      <c r="F113" s="291">
        <v>0</v>
      </c>
      <c r="G113" s="291">
        <v>0</v>
      </c>
      <c r="H113" s="291"/>
      <c r="I113" s="291"/>
      <c r="J113" s="291"/>
      <c r="K113" s="373"/>
      <c r="L113" s="331"/>
      <c r="M113" s="332"/>
      <c r="N113" s="333"/>
      <c r="O113" s="333"/>
      <c r="P113" s="334"/>
      <c r="Q113" s="275"/>
      <c r="R113" s="281">
        <f>SUM(R109:R112)</f>
        <v>0</v>
      </c>
      <c r="U113" s="294">
        <f t="shared" si="15"/>
        <v>0</v>
      </c>
    </row>
    <row r="114" spans="1:21" ht="22.5" x14ac:dyDescent="0.25">
      <c r="A114" s="381">
        <v>949835</v>
      </c>
      <c r="B114" s="346" t="s">
        <v>179</v>
      </c>
      <c r="C114" s="85">
        <f>PV!C114</f>
        <v>0.24</v>
      </c>
      <c r="D114" s="44" t="str">
        <f t="shared" si="9"/>
        <v>h</v>
      </c>
      <c r="E114" s="43">
        <f>IF(D114="h",PV!E114,IF(D114="M",PV!G114,PV!I114))</f>
        <v>5.95</v>
      </c>
      <c r="F114" s="291">
        <v>0</v>
      </c>
      <c r="G114" s="291">
        <v>0</v>
      </c>
      <c r="H114" s="291"/>
      <c r="I114" s="291"/>
      <c r="J114" s="291"/>
      <c r="K114" s="373"/>
      <c r="L114" s="331"/>
      <c r="M114" s="332"/>
      <c r="N114" s="333"/>
      <c r="O114" s="333"/>
      <c r="P114" s="334"/>
      <c r="Q114" s="275">
        <f>(K114*E114)</f>
        <v>0</v>
      </c>
      <c r="R114" s="280">
        <f>K114*C114</f>
        <v>0</v>
      </c>
      <c r="U114" s="294">
        <f t="shared" si="15"/>
        <v>0</v>
      </c>
    </row>
    <row r="115" spans="1:21" ht="22.5" x14ac:dyDescent="0.2">
      <c r="A115" s="380"/>
      <c r="B115" s="358"/>
      <c r="C115" s="85">
        <f>PV!C115</f>
        <v>0</v>
      </c>
      <c r="D115" s="44" t="str">
        <f t="shared" si="9"/>
        <v>h</v>
      </c>
      <c r="E115" s="43">
        <f>IF(D115="h",PV!E115,IF(D115="M",PV!G115,PV!I115))</f>
        <v>0</v>
      </c>
      <c r="F115" s="291">
        <v>0</v>
      </c>
      <c r="G115" s="291">
        <v>0</v>
      </c>
      <c r="H115" s="291"/>
      <c r="I115" s="291"/>
      <c r="J115" s="291"/>
      <c r="K115" s="373"/>
      <c r="L115" s="331"/>
      <c r="M115" s="332"/>
      <c r="N115" s="333"/>
      <c r="O115" s="333"/>
      <c r="P115" s="334"/>
      <c r="Q115" s="278"/>
      <c r="R115" s="281">
        <f>SUM(R114:R114)</f>
        <v>0</v>
      </c>
      <c r="U115" s="294">
        <f t="shared" si="15"/>
        <v>0</v>
      </c>
    </row>
    <row r="116" spans="1:21" ht="22.5" x14ac:dyDescent="0.25">
      <c r="A116" s="381">
        <v>65916</v>
      </c>
      <c r="B116" s="359" t="s">
        <v>171</v>
      </c>
      <c r="C116" s="85">
        <f>PV!C116</f>
        <v>0.42</v>
      </c>
      <c r="D116" s="44" t="str">
        <f t="shared" si="9"/>
        <v>h</v>
      </c>
      <c r="E116" s="43">
        <f>IF(D116="h",PV!E116,IF(D116="M",PV!G116,PV!I116))</f>
        <v>11.95</v>
      </c>
      <c r="F116" s="291">
        <v>1</v>
      </c>
      <c r="G116" s="291">
        <v>2</v>
      </c>
      <c r="H116" s="291"/>
      <c r="I116" s="291"/>
      <c r="J116" s="291"/>
      <c r="K116" s="373"/>
      <c r="L116" s="331"/>
      <c r="M116" s="332"/>
      <c r="N116" s="333"/>
      <c r="O116" s="333"/>
      <c r="P116" s="334"/>
      <c r="Q116" s="275">
        <f>(K116*E116)</f>
        <v>0</v>
      </c>
      <c r="R116" s="280">
        <f>K116*C116</f>
        <v>0</v>
      </c>
      <c r="U116" s="294">
        <f t="shared" si="15"/>
        <v>0</v>
      </c>
    </row>
    <row r="117" spans="1:21" s="25" customFormat="1" ht="22.5" x14ac:dyDescent="0.25">
      <c r="A117" s="381">
        <v>65898</v>
      </c>
      <c r="B117" s="359" t="s">
        <v>172</v>
      </c>
      <c r="C117" s="85">
        <f>PV!C117</f>
        <v>0.42</v>
      </c>
      <c r="D117" s="44" t="str">
        <f t="shared" si="9"/>
        <v>h</v>
      </c>
      <c r="E117" s="43">
        <f>IF(D117="h",PV!E117,IF(D117="M",PV!G117,PV!I117))</f>
        <v>12.95</v>
      </c>
      <c r="F117" s="291">
        <v>1</v>
      </c>
      <c r="G117" s="291">
        <v>1</v>
      </c>
      <c r="H117" s="291"/>
      <c r="I117" s="291"/>
      <c r="J117" s="291"/>
      <c r="K117" s="373"/>
      <c r="L117" s="331"/>
      <c r="M117" s="332"/>
      <c r="N117" s="333"/>
      <c r="O117" s="333"/>
      <c r="P117" s="334"/>
      <c r="Q117" s="275">
        <f>(K117*E117)</f>
        <v>0</v>
      </c>
      <c r="R117" s="280">
        <f>K117*C117</f>
        <v>0</v>
      </c>
      <c r="U117" s="294">
        <f t="shared" si="15"/>
        <v>0</v>
      </c>
    </row>
    <row r="118" spans="1:21" s="25" customFormat="1" ht="22.5" x14ac:dyDescent="0.25">
      <c r="A118" s="381">
        <v>811956</v>
      </c>
      <c r="B118" s="359" t="s">
        <v>173</v>
      </c>
      <c r="C118" s="85">
        <f>PV!C118</f>
        <v>1.2</v>
      </c>
      <c r="D118" s="44" t="str">
        <f t="shared" si="9"/>
        <v>h</v>
      </c>
      <c r="E118" s="43">
        <f>IF(D118="h",PV!E118,IF(D118="M",PV!G118,PV!I118))</f>
        <v>29.75</v>
      </c>
      <c r="F118" s="291">
        <v>0</v>
      </c>
      <c r="G118" s="291">
        <v>0</v>
      </c>
      <c r="H118" s="291"/>
      <c r="I118" s="291"/>
      <c r="J118" s="291"/>
      <c r="K118" s="373"/>
      <c r="L118" s="331"/>
      <c r="M118" s="332"/>
      <c r="N118" s="333"/>
      <c r="O118" s="333"/>
      <c r="P118" s="334"/>
      <c r="Q118" s="275">
        <f>(K118*E118)</f>
        <v>0</v>
      </c>
      <c r="R118" s="280">
        <f>K118*C118</f>
        <v>0</v>
      </c>
      <c r="U118" s="294">
        <f t="shared" si="15"/>
        <v>0</v>
      </c>
    </row>
    <row r="119" spans="1:21" s="25" customFormat="1" ht="22.5" x14ac:dyDescent="0.25">
      <c r="A119" s="381">
        <v>445249</v>
      </c>
      <c r="B119" s="359" t="s">
        <v>174</v>
      </c>
      <c r="C119" s="85">
        <f>PV!C119</f>
        <v>0.35</v>
      </c>
      <c r="D119" s="44" t="str">
        <f t="shared" si="9"/>
        <v>h</v>
      </c>
      <c r="E119" s="43">
        <f>IF(D119="h",PV!E119,IF(D119="M",PV!G119,PV!I119))</f>
        <v>8.9</v>
      </c>
      <c r="F119" s="291">
        <v>2</v>
      </c>
      <c r="G119" s="291">
        <v>0</v>
      </c>
      <c r="H119" s="291"/>
      <c r="I119" s="291"/>
      <c r="J119" s="291"/>
      <c r="K119" s="373"/>
      <c r="L119" s="331"/>
      <c r="M119" s="332"/>
      <c r="N119" s="333"/>
      <c r="O119" s="333"/>
      <c r="P119" s="334"/>
      <c r="Q119" s="275">
        <f>(K119*E119)</f>
        <v>0</v>
      </c>
      <c r="R119" s="280">
        <f>K119*C119</f>
        <v>0</v>
      </c>
      <c r="U119" s="294">
        <f t="shared" si="15"/>
        <v>0</v>
      </c>
    </row>
    <row r="120" spans="1:21" ht="22.5" x14ac:dyDescent="0.25">
      <c r="A120" s="381">
        <v>65922</v>
      </c>
      <c r="B120" s="359" t="s">
        <v>74</v>
      </c>
      <c r="C120" s="85">
        <f>PV!C120</f>
        <v>0.35</v>
      </c>
      <c r="D120" s="44" t="str">
        <f t="shared" si="9"/>
        <v>h</v>
      </c>
      <c r="E120" s="43">
        <f>IF(D120="h",PV!E120,IF(D120="M",PV!G120,PV!I120))</f>
        <v>8.6999999999999993</v>
      </c>
      <c r="F120" s="291">
        <v>3</v>
      </c>
      <c r="G120" s="291">
        <v>0</v>
      </c>
      <c r="H120" s="291"/>
      <c r="I120" s="291"/>
      <c r="J120" s="291"/>
      <c r="K120" s="373"/>
      <c r="L120" s="331"/>
      <c r="M120" s="332"/>
      <c r="N120" s="333"/>
      <c r="O120" s="333"/>
      <c r="P120" s="334"/>
      <c r="Q120" s="275">
        <f>(K120*E120)</f>
        <v>0</v>
      </c>
      <c r="R120" s="280">
        <f>K120*C120</f>
        <v>0</v>
      </c>
      <c r="U120" s="294">
        <f t="shared" si="15"/>
        <v>0</v>
      </c>
    </row>
    <row r="121" spans="1:21" ht="22.5" x14ac:dyDescent="0.2">
      <c r="A121" s="380"/>
      <c r="B121" s="358"/>
      <c r="C121" s="85">
        <f>PV!C121</f>
        <v>0</v>
      </c>
      <c r="D121" s="44" t="str">
        <f t="shared" si="9"/>
        <v>h</v>
      </c>
      <c r="E121" s="43">
        <f>IF(D121="h",PV!E121,IF(D121="M",PV!G121,PV!I121))</f>
        <v>0</v>
      </c>
      <c r="F121" s="291">
        <v>0</v>
      </c>
      <c r="G121" s="291">
        <v>0</v>
      </c>
      <c r="H121" s="291"/>
      <c r="I121" s="291"/>
      <c r="J121" s="291"/>
      <c r="K121" s="373"/>
      <c r="L121" s="331"/>
      <c r="M121" s="332"/>
      <c r="N121" s="333"/>
      <c r="O121" s="333"/>
      <c r="P121" s="334"/>
      <c r="Q121" s="278"/>
      <c r="R121" s="281">
        <f>SUM(R116:R120)</f>
        <v>0</v>
      </c>
      <c r="S121" s="21">
        <f>K122*10</f>
        <v>0</v>
      </c>
      <c r="T121" s="21" t="s">
        <v>189</v>
      </c>
      <c r="U121" s="294">
        <f t="shared" si="15"/>
        <v>0</v>
      </c>
    </row>
    <row r="122" spans="1:21" ht="22.5" x14ac:dyDescent="0.2">
      <c r="A122" s="380">
        <v>1126414</v>
      </c>
      <c r="B122" s="358" t="s">
        <v>189</v>
      </c>
      <c r="C122" s="85">
        <f>PV!C122</f>
        <v>0.45</v>
      </c>
      <c r="D122" s="44" t="str">
        <f t="shared" si="9"/>
        <v>h</v>
      </c>
      <c r="E122" s="43">
        <f>IF(D122="h",PV!E122,IF(D122="M",PV!G122,PV!I122))</f>
        <v>11.25</v>
      </c>
      <c r="F122" s="291">
        <v>34</v>
      </c>
      <c r="G122" s="291">
        <v>0</v>
      </c>
      <c r="H122" s="291"/>
      <c r="I122" s="291"/>
      <c r="J122" s="291"/>
      <c r="K122" s="373"/>
      <c r="L122" s="331"/>
      <c r="M122" s="332"/>
      <c r="N122" s="333"/>
      <c r="O122" s="333"/>
      <c r="P122" s="334"/>
      <c r="Q122" s="275">
        <f t="shared" ref="Q122:Q152" si="16">(K122*E122)</f>
        <v>0</v>
      </c>
      <c r="R122" s="286">
        <f t="shared" ref="R122:R152" si="17">K122*C122</f>
        <v>0</v>
      </c>
      <c r="S122" s="21">
        <f>(K123*2)+(K124*5)+(K125*8)+(K138*4)+K137</f>
        <v>0</v>
      </c>
      <c r="T122" s="21" t="s">
        <v>99</v>
      </c>
      <c r="U122" s="294">
        <f t="shared" si="15"/>
        <v>0</v>
      </c>
    </row>
    <row r="123" spans="1:21" s="25" customFormat="1" ht="20.100000000000001" customHeight="1" x14ac:dyDescent="0.25">
      <c r="A123" s="335">
        <v>65842</v>
      </c>
      <c r="B123" s="360" t="s">
        <v>55</v>
      </c>
      <c r="C123" s="85">
        <f>PV!C123</f>
        <v>0.16</v>
      </c>
      <c r="D123" s="44" t="str">
        <f t="shared" si="9"/>
        <v>h</v>
      </c>
      <c r="E123" s="43">
        <f>IF(D123="h",PV!E123,IF(D123="M",PV!G123,PV!I123))</f>
        <v>5.5</v>
      </c>
      <c r="F123" s="291">
        <v>16</v>
      </c>
      <c r="G123" s="291">
        <v>18</v>
      </c>
      <c r="H123" s="291"/>
      <c r="I123" s="291"/>
      <c r="J123" s="291"/>
      <c r="K123" s="373"/>
      <c r="L123" s="331"/>
      <c r="M123" s="332"/>
      <c r="N123" s="333"/>
      <c r="O123" s="333"/>
      <c r="P123" s="334"/>
      <c r="Q123" s="275">
        <f t="shared" si="16"/>
        <v>0</v>
      </c>
      <c r="R123" s="286">
        <f t="shared" si="17"/>
        <v>0</v>
      </c>
      <c r="S123" s="25">
        <f>(K127*2)+(K128*5)+(K129*8)+(K138*4)+K137</f>
        <v>0</v>
      </c>
      <c r="T123" s="25" t="s">
        <v>100</v>
      </c>
      <c r="U123" s="294">
        <f t="shared" si="15"/>
        <v>0</v>
      </c>
    </row>
    <row r="124" spans="1:21" s="25" customFormat="1" ht="20.100000000000001" customHeight="1" x14ac:dyDescent="0.25">
      <c r="A124" s="335">
        <v>65902</v>
      </c>
      <c r="B124" s="360" t="s">
        <v>57</v>
      </c>
      <c r="C124" s="85">
        <f>PV!C124</f>
        <v>0.4</v>
      </c>
      <c r="D124" s="44" t="str">
        <f t="shared" si="9"/>
        <v>h</v>
      </c>
      <c r="E124" s="43">
        <f>IF(D124="h",PV!E124,IF(D124="M",PV!G124,PV!I124))</f>
        <v>10.5</v>
      </c>
      <c r="F124" s="291">
        <v>8</v>
      </c>
      <c r="G124" s="291">
        <v>0</v>
      </c>
      <c r="H124" s="291"/>
      <c r="I124" s="291"/>
      <c r="J124" s="291"/>
      <c r="K124" s="373"/>
      <c r="L124" s="331"/>
      <c r="M124" s="332"/>
      <c r="N124" s="333"/>
      <c r="O124" s="333"/>
      <c r="P124" s="334"/>
      <c r="Q124" s="275">
        <f t="shared" si="16"/>
        <v>0</v>
      </c>
      <c r="R124" s="286">
        <f t="shared" si="17"/>
        <v>0</v>
      </c>
      <c r="S124" s="25">
        <f>(K131*2)+(K132*5)+(K133*8)</f>
        <v>0</v>
      </c>
      <c r="T124" s="25" t="s">
        <v>101</v>
      </c>
      <c r="U124" s="294">
        <f t="shared" si="15"/>
        <v>0</v>
      </c>
    </row>
    <row r="125" spans="1:21" s="25" customFormat="1" ht="20.100000000000001" customHeight="1" x14ac:dyDescent="0.25">
      <c r="A125" s="335">
        <v>905815</v>
      </c>
      <c r="B125" s="360" t="s">
        <v>182</v>
      </c>
      <c r="C125" s="85">
        <f>PV!C125</f>
        <v>0.64</v>
      </c>
      <c r="D125" s="44" t="str">
        <f t="shared" si="9"/>
        <v>h</v>
      </c>
      <c r="E125" s="43">
        <f>IF(D125="h",PV!E125,IF(D125="M",PV!G125,PV!I125))</f>
        <v>15.55</v>
      </c>
      <c r="F125" s="291">
        <v>120</v>
      </c>
      <c r="G125" s="291">
        <v>98.771000000000001</v>
      </c>
      <c r="H125" s="291"/>
      <c r="I125" s="291"/>
      <c r="J125" s="291"/>
      <c r="K125" s="373"/>
      <c r="L125" s="331"/>
      <c r="M125" s="332"/>
      <c r="N125" s="333"/>
      <c r="O125" s="333"/>
      <c r="P125" s="334"/>
      <c r="Q125" s="275">
        <f t="shared" si="16"/>
        <v>0</v>
      </c>
      <c r="R125" s="286">
        <f t="shared" si="17"/>
        <v>0</v>
      </c>
      <c r="S125" s="25">
        <f>(K134*2)+(K135*5)+(K136*8)</f>
        <v>0</v>
      </c>
      <c r="T125" s="25" t="s">
        <v>209</v>
      </c>
      <c r="U125" s="294">
        <f t="shared" si="15"/>
        <v>0</v>
      </c>
    </row>
    <row r="126" spans="1:21" s="25" customFormat="1" ht="20.100000000000001" customHeight="1" x14ac:dyDescent="0.25">
      <c r="A126" s="335">
        <v>1126415</v>
      </c>
      <c r="B126" s="360" t="s">
        <v>296</v>
      </c>
      <c r="C126" s="85">
        <f>PV!C126</f>
        <v>0.45</v>
      </c>
      <c r="D126" s="44" t="str">
        <f t="shared" si="9"/>
        <v>h</v>
      </c>
      <c r="E126" s="43">
        <f>IF(D126="h",PV!E126,IF(D126="M",PV!G126,PV!I126))</f>
        <v>12.5</v>
      </c>
      <c r="F126" s="291">
        <v>0</v>
      </c>
      <c r="G126" s="291">
        <v>0</v>
      </c>
      <c r="H126" s="291"/>
      <c r="I126" s="291"/>
      <c r="J126" s="291"/>
      <c r="K126" s="373"/>
      <c r="L126" s="331"/>
      <c r="M126" s="332"/>
      <c r="N126" s="333"/>
      <c r="O126" s="333"/>
      <c r="P126" s="334"/>
      <c r="Q126" s="275">
        <f t="shared" si="16"/>
        <v>0</v>
      </c>
      <c r="R126" s="286">
        <f t="shared" si="17"/>
        <v>0</v>
      </c>
      <c r="S126" s="25">
        <f>(K126*10)</f>
        <v>0</v>
      </c>
      <c r="T126" s="25" t="s">
        <v>212</v>
      </c>
      <c r="U126" s="294">
        <f t="shared" si="15"/>
        <v>0</v>
      </c>
    </row>
    <row r="127" spans="1:21" s="25" customFormat="1" ht="20.100000000000001" customHeight="1" x14ac:dyDescent="0.25">
      <c r="A127" s="335">
        <v>65907</v>
      </c>
      <c r="B127" s="360" t="s">
        <v>261</v>
      </c>
      <c r="C127" s="85">
        <f>PV!C127</f>
        <v>0.16</v>
      </c>
      <c r="D127" s="44" t="str">
        <f t="shared" si="9"/>
        <v>h</v>
      </c>
      <c r="E127" s="43">
        <f>IF(D127="h",PV!E127,IF(D127="M",PV!G127,PV!I127))</f>
        <v>6.25</v>
      </c>
      <c r="F127" s="291">
        <v>10</v>
      </c>
      <c r="G127" s="291">
        <v>20</v>
      </c>
      <c r="H127" s="291"/>
      <c r="I127" s="291"/>
      <c r="J127" s="291"/>
      <c r="K127" s="373"/>
      <c r="L127" s="331"/>
      <c r="M127" s="332"/>
      <c r="N127" s="333"/>
      <c r="O127" s="333"/>
      <c r="P127" s="334"/>
      <c r="Q127" s="275">
        <f t="shared" si="16"/>
        <v>0</v>
      </c>
      <c r="R127" s="286">
        <f t="shared" si="17"/>
        <v>0</v>
      </c>
      <c r="S127" s="25">
        <f>(K130*10)</f>
        <v>0</v>
      </c>
      <c r="T127" s="25" t="s">
        <v>213</v>
      </c>
      <c r="U127" s="294">
        <f t="shared" si="15"/>
        <v>0</v>
      </c>
    </row>
    <row r="128" spans="1:21" s="25" customFormat="1" ht="20.100000000000001" customHeight="1" x14ac:dyDescent="0.25">
      <c r="A128" s="335">
        <v>65909</v>
      </c>
      <c r="B128" s="360" t="s">
        <v>262</v>
      </c>
      <c r="C128" s="85">
        <f>PV!C128</f>
        <v>0.4</v>
      </c>
      <c r="D128" s="44" t="str">
        <f t="shared" si="9"/>
        <v>h</v>
      </c>
      <c r="E128" s="43">
        <f>IF(D128="h",PV!E128,IF(D128="M",PV!G128,PV!I128))</f>
        <v>11.75</v>
      </c>
      <c r="F128" s="291">
        <v>20</v>
      </c>
      <c r="G128" s="291">
        <v>0</v>
      </c>
      <c r="H128" s="291"/>
      <c r="I128" s="291"/>
      <c r="J128" s="291"/>
      <c r="K128" s="373"/>
      <c r="L128" s="331"/>
      <c r="M128" s="332"/>
      <c r="N128" s="333"/>
      <c r="O128" s="333"/>
      <c r="P128" s="334"/>
      <c r="Q128" s="275">
        <f t="shared" si="16"/>
        <v>0</v>
      </c>
      <c r="R128" s="286">
        <f t="shared" si="17"/>
        <v>0</v>
      </c>
      <c r="S128" s="25">
        <f>K139*10</f>
        <v>0</v>
      </c>
      <c r="T128" s="25" t="s">
        <v>214</v>
      </c>
      <c r="U128" s="294">
        <f t="shared" si="15"/>
        <v>0</v>
      </c>
    </row>
    <row r="129" spans="1:21" s="25" customFormat="1" ht="20.100000000000001" customHeight="1" x14ac:dyDescent="0.25">
      <c r="A129" s="335">
        <v>905816</v>
      </c>
      <c r="B129" s="360" t="s">
        <v>184</v>
      </c>
      <c r="C129" s="85">
        <f>PV!C129</f>
        <v>0.64</v>
      </c>
      <c r="D129" s="44" t="str">
        <f t="shared" si="9"/>
        <v>h</v>
      </c>
      <c r="E129" s="43">
        <f>IF(D129="h",PV!E129,IF(D129="M",PV!G129,PV!I129))</f>
        <v>15.85</v>
      </c>
      <c r="F129" s="291">
        <v>10</v>
      </c>
      <c r="G129" s="291">
        <v>15</v>
      </c>
      <c r="H129" s="291"/>
      <c r="I129" s="291"/>
      <c r="J129" s="291"/>
      <c r="K129" s="373"/>
      <c r="L129" s="331"/>
      <c r="M129" s="332"/>
      <c r="N129" s="333"/>
      <c r="O129" s="333"/>
      <c r="P129" s="334"/>
      <c r="Q129" s="275">
        <f t="shared" si="16"/>
        <v>0</v>
      </c>
      <c r="R129" s="286">
        <f t="shared" si="17"/>
        <v>0</v>
      </c>
      <c r="S129" s="25">
        <f>(K148*2)+(K149*4)</f>
        <v>0</v>
      </c>
      <c r="T129" s="25" t="s">
        <v>219</v>
      </c>
      <c r="U129" s="294">
        <f t="shared" si="15"/>
        <v>0</v>
      </c>
    </row>
    <row r="130" spans="1:21" s="25" customFormat="1" ht="20.100000000000001" customHeight="1" x14ac:dyDescent="0.25">
      <c r="A130" s="335">
        <v>1126416</v>
      </c>
      <c r="B130" s="360" t="s">
        <v>188</v>
      </c>
      <c r="C130" s="85">
        <f>PV!C130</f>
        <v>0.45</v>
      </c>
      <c r="D130" s="44" t="str">
        <f t="shared" si="9"/>
        <v>h</v>
      </c>
      <c r="E130" s="43">
        <f>IF(D130="h",PV!E130,IF(D130="M",PV!G130,PV!I130))</f>
        <v>12.5</v>
      </c>
      <c r="F130" s="291">
        <v>0</v>
      </c>
      <c r="G130" s="291">
        <v>0</v>
      </c>
      <c r="H130" s="291"/>
      <c r="I130" s="291"/>
      <c r="J130" s="291"/>
      <c r="K130" s="373"/>
      <c r="L130" s="331"/>
      <c r="M130" s="332"/>
      <c r="N130" s="333"/>
      <c r="O130" s="333"/>
      <c r="P130" s="334"/>
      <c r="Q130" s="275">
        <f t="shared" si="16"/>
        <v>0</v>
      </c>
      <c r="R130" s="286">
        <f t="shared" si="17"/>
        <v>0</v>
      </c>
      <c r="T130" s="25" t="s">
        <v>215</v>
      </c>
      <c r="U130" s="294">
        <f t="shared" si="15"/>
        <v>0</v>
      </c>
    </row>
    <row r="131" spans="1:21" s="25" customFormat="1" ht="20.100000000000001" customHeight="1" x14ac:dyDescent="0.25">
      <c r="A131" s="335">
        <v>65920</v>
      </c>
      <c r="B131" s="360" t="s">
        <v>60</v>
      </c>
      <c r="C131" s="85">
        <f>PV!C131</f>
        <v>0.16</v>
      </c>
      <c r="D131" s="44" t="str">
        <f t="shared" si="9"/>
        <v>h</v>
      </c>
      <c r="E131" s="43">
        <f>IF(D131="h",PV!E131,IF(D131="M",PV!G131,PV!I131))</f>
        <v>6.75</v>
      </c>
      <c r="F131" s="291">
        <v>15</v>
      </c>
      <c r="G131" s="291">
        <v>11</v>
      </c>
      <c r="H131" s="291"/>
      <c r="I131" s="291"/>
      <c r="J131" s="291"/>
      <c r="K131" s="373"/>
      <c r="L131" s="331"/>
      <c r="M131" s="332"/>
      <c r="N131" s="333"/>
      <c r="O131" s="333"/>
      <c r="P131" s="334"/>
      <c r="Q131" s="275">
        <f t="shared" si="16"/>
        <v>0</v>
      </c>
      <c r="R131" s="286">
        <f t="shared" si="17"/>
        <v>0</v>
      </c>
      <c r="S131" s="25">
        <f>K152</f>
        <v>0</v>
      </c>
      <c r="T131" s="25" t="s">
        <v>216</v>
      </c>
      <c r="U131" s="294">
        <f t="shared" ref="U131:U153" si="18">K131-L131</f>
        <v>0</v>
      </c>
    </row>
    <row r="132" spans="1:21" s="25" customFormat="1" ht="19.5" customHeight="1" x14ac:dyDescent="0.25">
      <c r="A132" s="335">
        <v>65921</v>
      </c>
      <c r="B132" s="360" t="s">
        <v>61</v>
      </c>
      <c r="C132" s="85">
        <f>PV!C132</f>
        <v>0.4</v>
      </c>
      <c r="D132" s="44" t="str">
        <f t="shared" si="9"/>
        <v>h</v>
      </c>
      <c r="E132" s="43">
        <f>IF(D132="h",PV!E132,IF(D132="M",PV!G132,PV!I132))</f>
        <v>12.75</v>
      </c>
      <c r="F132" s="291">
        <v>23</v>
      </c>
      <c r="G132" s="291">
        <v>0</v>
      </c>
      <c r="H132" s="291"/>
      <c r="I132" s="291"/>
      <c r="J132" s="291"/>
      <c r="K132" s="373"/>
      <c r="L132" s="331"/>
      <c r="M132" s="332"/>
      <c r="N132" s="333"/>
      <c r="O132" s="333"/>
      <c r="P132" s="334"/>
      <c r="Q132" s="275">
        <f t="shared" si="16"/>
        <v>0</v>
      </c>
      <c r="R132" s="286">
        <f t="shared" si="17"/>
        <v>0</v>
      </c>
      <c r="S132" s="25" t="e">
        <f>#REF!</f>
        <v>#REF!</v>
      </c>
      <c r="T132" s="25" t="s">
        <v>217</v>
      </c>
      <c r="U132" s="294">
        <f t="shared" si="18"/>
        <v>0</v>
      </c>
    </row>
    <row r="133" spans="1:21" s="25" customFormat="1" ht="19.5" customHeight="1" x14ac:dyDescent="0.25">
      <c r="A133" s="335">
        <v>905817</v>
      </c>
      <c r="B133" s="360" t="s">
        <v>185</v>
      </c>
      <c r="C133" s="85">
        <f>PV!C133</f>
        <v>0.64</v>
      </c>
      <c r="D133" s="44" t="str">
        <f t="shared" si="9"/>
        <v>h</v>
      </c>
      <c r="E133" s="43">
        <f>IF(D133="h",PV!E133,IF(D133="M",PV!G133,PV!I133))</f>
        <v>17.95</v>
      </c>
      <c r="F133" s="291">
        <v>8</v>
      </c>
      <c r="G133" s="291">
        <v>11</v>
      </c>
      <c r="H133" s="291"/>
      <c r="I133" s="291"/>
      <c r="J133" s="291"/>
      <c r="K133" s="373"/>
      <c r="L133" s="331"/>
      <c r="M133" s="332"/>
      <c r="N133" s="333"/>
      <c r="O133" s="333"/>
      <c r="P133" s="334"/>
      <c r="Q133" s="275">
        <f t="shared" si="16"/>
        <v>0</v>
      </c>
      <c r="R133" s="286">
        <f t="shared" si="17"/>
        <v>0</v>
      </c>
      <c r="S133" s="25" t="e">
        <f>#REF!</f>
        <v>#REF!</v>
      </c>
      <c r="T133" s="25" t="s">
        <v>218</v>
      </c>
      <c r="U133" s="294">
        <f t="shared" si="18"/>
        <v>0</v>
      </c>
    </row>
    <row r="134" spans="1:21" s="25" customFormat="1" ht="20.100000000000001" customHeight="1" x14ac:dyDescent="0.25">
      <c r="A134" s="335">
        <v>65918</v>
      </c>
      <c r="B134" s="360" t="s">
        <v>62</v>
      </c>
      <c r="C134" s="85">
        <f>PV!C134</f>
        <v>0.16</v>
      </c>
      <c r="D134" s="44" t="str">
        <f t="shared" si="9"/>
        <v>h</v>
      </c>
      <c r="E134" s="43">
        <f>IF(D134="h",PV!E134,IF(D134="M",PV!G134,PV!I134))</f>
        <v>5.95</v>
      </c>
      <c r="F134" s="291">
        <v>3</v>
      </c>
      <c r="G134" s="291">
        <v>5</v>
      </c>
      <c r="H134" s="291"/>
      <c r="I134" s="291"/>
      <c r="J134" s="291"/>
      <c r="K134" s="373"/>
      <c r="L134" s="331"/>
      <c r="M134" s="332"/>
      <c r="N134" s="333"/>
      <c r="O134" s="333"/>
      <c r="P134" s="334"/>
      <c r="Q134" s="275">
        <f t="shared" si="16"/>
        <v>0</v>
      </c>
      <c r="R134" s="286">
        <f t="shared" si="17"/>
        <v>0</v>
      </c>
      <c r="S134" s="25">
        <f>(K144*2)+(K145*5)</f>
        <v>0</v>
      </c>
      <c r="T134" s="25" t="s">
        <v>220</v>
      </c>
      <c r="U134" s="294">
        <f t="shared" si="18"/>
        <v>0</v>
      </c>
    </row>
    <row r="135" spans="1:21" s="25" customFormat="1" ht="20.100000000000001" customHeight="1" x14ac:dyDescent="0.25">
      <c r="A135" s="335">
        <v>65919</v>
      </c>
      <c r="B135" s="360" t="s">
        <v>63</v>
      </c>
      <c r="C135" s="85">
        <f>PV!C135</f>
        <v>0.64</v>
      </c>
      <c r="D135" s="44" t="str">
        <f t="shared" ref="D135:D152" si="19">D134</f>
        <v>h</v>
      </c>
      <c r="E135" s="43">
        <f>IF(D135="h",PV!E135,IF(D135="M",PV!G135,PV!I135))</f>
        <v>10.65</v>
      </c>
      <c r="F135" s="291">
        <v>8</v>
      </c>
      <c r="G135" s="291">
        <v>0</v>
      </c>
      <c r="H135" s="291"/>
      <c r="I135" s="291"/>
      <c r="J135" s="291"/>
      <c r="K135" s="373"/>
      <c r="L135" s="331"/>
      <c r="M135" s="332"/>
      <c r="N135" s="333"/>
      <c r="O135" s="333"/>
      <c r="P135" s="334"/>
      <c r="Q135" s="275">
        <f t="shared" si="16"/>
        <v>0</v>
      </c>
      <c r="R135" s="286">
        <f t="shared" si="17"/>
        <v>0</v>
      </c>
      <c r="S135" s="25">
        <f>(K146*2)+(K147*5)</f>
        <v>0</v>
      </c>
      <c r="T135" s="25" t="s">
        <v>222</v>
      </c>
      <c r="U135" s="294">
        <f t="shared" si="18"/>
        <v>0</v>
      </c>
    </row>
    <row r="136" spans="1:21" s="25" customFormat="1" ht="20.100000000000001" customHeight="1" x14ac:dyDescent="0.25">
      <c r="A136" s="335">
        <v>905818</v>
      </c>
      <c r="B136" s="360" t="s">
        <v>186</v>
      </c>
      <c r="C136" s="85">
        <f>PV!C136</f>
        <v>0.64</v>
      </c>
      <c r="D136" s="44" t="str">
        <f t="shared" si="19"/>
        <v>h</v>
      </c>
      <c r="E136" s="43">
        <f>IF(D136="h",PV!E136,IF(D136="M",PV!G136,PV!I136))</f>
        <v>15.9</v>
      </c>
      <c r="F136" s="291">
        <v>3</v>
      </c>
      <c r="G136" s="291">
        <v>3</v>
      </c>
      <c r="H136" s="291"/>
      <c r="I136" s="291"/>
      <c r="J136" s="291"/>
      <c r="K136" s="373"/>
      <c r="L136" s="331"/>
      <c r="M136" s="332"/>
      <c r="N136" s="333"/>
      <c r="O136" s="333"/>
      <c r="P136" s="334"/>
      <c r="Q136" s="275">
        <f t="shared" si="16"/>
        <v>0</v>
      </c>
      <c r="R136" s="286">
        <f t="shared" si="17"/>
        <v>0</v>
      </c>
      <c r="S136" s="25">
        <f>(K140*2)+(K141*4)</f>
        <v>0</v>
      </c>
      <c r="T136" s="25" t="s">
        <v>221</v>
      </c>
      <c r="U136" s="294">
        <f t="shared" si="18"/>
        <v>0</v>
      </c>
    </row>
    <row r="137" spans="1:21" s="25" customFormat="1" ht="20.100000000000001" customHeight="1" x14ac:dyDescent="0.25">
      <c r="A137" s="335">
        <v>970195</v>
      </c>
      <c r="B137" s="360" t="s">
        <v>298</v>
      </c>
      <c r="C137" s="85">
        <f>PV!C137</f>
        <v>0.16</v>
      </c>
      <c r="D137" s="44" t="str">
        <f t="shared" si="19"/>
        <v>h</v>
      </c>
      <c r="E137" s="43">
        <f>IF(D137="h",PV!E137,IF(D137="M",PV!G137,PV!I137))</f>
        <v>5.75</v>
      </c>
      <c r="F137" s="291">
        <v>0</v>
      </c>
      <c r="G137" s="291">
        <v>0</v>
      </c>
      <c r="H137" s="291"/>
      <c r="I137" s="291"/>
      <c r="J137" s="291"/>
      <c r="K137" s="373"/>
      <c r="L137" s="331"/>
      <c r="M137" s="332"/>
      <c r="N137" s="333"/>
      <c r="O137" s="333"/>
      <c r="P137" s="334"/>
      <c r="Q137" s="275">
        <f t="shared" si="16"/>
        <v>0</v>
      </c>
      <c r="R137" s="286">
        <f t="shared" si="17"/>
        <v>0</v>
      </c>
      <c r="S137" s="25">
        <f>K119*5</f>
        <v>0</v>
      </c>
      <c r="T137" s="25" t="s">
        <v>174</v>
      </c>
      <c r="U137" s="294">
        <f t="shared" si="18"/>
        <v>0</v>
      </c>
    </row>
    <row r="138" spans="1:21" s="25" customFormat="1" ht="20.100000000000001" customHeight="1" x14ac:dyDescent="0.25">
      <c r="A138" s="335">
        <v>905820</v>
      </c>
      <c r="B138" s="360" t="s">
        <v>297</v>
      </c>
      <c r="C138" s="85">
        <f>PV!C138</f>
        <v>0.64</v>
      </c>
      <c r="D138" s="44" t="str">
        <f t="shared" si="19"/>
        <v>h</v>
      </c>
      <c r="E138" s="43">
        <f>IF(D138="h",PV!E138,IF(D138="M",PV!G138,PV!I138))</f>
        <v>15.55</v>
      </c>
      <c r="F138" s="291">
        <v>4</v>
      </c>
      <c r="G138" s="291">
        <v>9</v>
      </c>
      <c r="H138" s="291"/>
      <c r="I138" s="291"/>
      <c r="J138" s="291"/>
      <c r="K138" s="373"/>
      <c r="L138" s="331"/>
      <c r="M138" s="332"/>
      <c r="N138" s="333"/>
      <c r="O138" s="333"/>
      <c r="P138" s="334"/>
      <c r="Q138" s="275">
        <f t="shared" si="16"/>
        <v>0</v>
      </c>
      <c r="R138" s="286">
        <f t="shared" si="17"/>
        <v>0</v>
      </c>
      <c r="S138" s="25">
        <f>K120*5</f>
        <v>0</v>
      </c>
      <c r="T138" s="25" t="s">
        <v>74</v>
      </c>
      <c r="U138" s="294">
        <f t="shared" si="18"/>
        <v>0</v>
      </c>
    </row>
    <row r="139" spans="1:21" s="25" customFormat="1" ht="19.5" customHeight="1" x14ac:dyDescent="0.25">
      <c r="A139" s="335">
        <v>1126417</v>
      </c>
      <c r="B139" s="360" t="s">
        <v>187</v>
      </c>
      <c r="C139" s="85">
        <f>PV!C139</f>
        <v>0.45</v>
      </c>
      <c r="D139" s="44" t="str">
        <f t="shared" si="19"/>
        <v>h</v>
      </c>
      <c r="E139" s="43">
        <f>IF(D139="h",PV!E139,IF(D139="M",PV!G139,PV!I139))</f>
        <v>9.9499999999999993</v>
      </c>
      <c r="F139" s="291">
        <v>0</v>
      </c>
      <c r="G139" s="291">
        <v>0</v>
      </c>
      <c r="H139" s="291"/>
      <c r="I139" s="291"/>
      <c r="J139" s="291"/>
      <c r="K139" s="373"/>
      <c r="L139" s="331"/>
      <c r="M139" s="332"/>
      <c r="N139" s="333"/>
      <c r="O139" s="333"/>
      <c r="P139" s="334"/>
      <c r="Q139" s="275">
        <f t="shared" si="16"/>
        <v>0</v>
      </c>
      <c r="R139" s="286">
        <f t="shared" si="17"/>
        <v>0</v>
      </c>
      <c r="U139" s="294">
        <f t="shared" si="18"/>
        <v>0</v>
      </c>
    </row>
    <row r="140" spans="1:21" s="25" customFormat="1" ht="20.100000000000001" customHeight="1" x14ac:dyDescent="0.25">
      <c r="A140" s="335">
        <v>67493</v>
      </c>
      <c r="B140" s="360" t="s">
        <v>64</v>
      </c>
      <c r="C140" s="85">
        <f>PV!C140</f>
        <v>0.16</v>
      </c>
      <c r="D140" s="44" t="str">
        <f t="shared" si="19"/>
        <v>h</v>
      </c>
      <c r="E140" s="43">
        <f>IF(D140="h",PV!E140,IF(D140="M",PV!G140,PV!I140))</f>
        <v>6.75</v>
      </c>
      <c r="F140" s="291">
        <v>10</v>
      </c>
      <c r="G140" s="291">
        <v>9</v>
      </c>
      <c r="H140" s="291"/>
      <c r="I140" s="291"/>
      <c r="J140" s="291"/>
      <c r="K140" s="373"/>
      <c r="L140" s="331"/>
      <c r="M140" s="332"/>
      <c r="N140" s="333"/>
      <c r="O140" s="333"/>
      <c r="P140" s="334"/>
      <c r="Q140" s="275">
        <f t="shared" si="16"/>
        <v>0</v>
      </c>
      <c r="R140" s="286">
        <f t="shared" si="17"/>
        <v>0</v>
      </c>
      <c r="U140" s="294">
        <f t="shared" si="18"/>
        <v>0</v>
      </c>
    </row>
    <row r="141" spans="1:21" s="25" customFormat="1" ht="18.75" customHeight="1" x14ac:dyDescent="0.25">
      <c r="A141" s="335">
        <v>65906</v>
      </c>
      <c r="B141" s="360" t="s">
        <v>65</v>
      </c>
      <c r="C141" s="85">
        <f>PV!C141</f>
        <v>0.24</v>
      </c>
      <c r="D141" s="44" t="str">
        <f t="shared" si="19"/>
        <v>h</v>
      </c>
      <c r="E141" s="43">
        <f>IF(D141="h",PV!E141,IF(D141="M",PV!G141,PV!I141))</f>
        <v>12.5</v>
      </c>
      <c r="F141" s="291">
        <v>9</v>
      </c>
      <c r="G141" s="291">
        <v>9</v>
      </c>
      <c r="H141" s="291"/>
      <c r="I141" s="291"/>
      <c r="J141" s="291"/>
      <c r="K141" s="373"/>
      <c r="L141" s="331"/>
      <c r="M141" s="332"/>
      <c r="N141" s="333"/>
      <c r="O141" s="333"/>
      <c r="P141" s="334"/>
      <c r="Q141" s="275">
        <f t="shared" si="16"/>
        <v>0</v>
      </c>
      <c r="R141" s="286">
        <f t="shared" si="17"/>
        <v>0</v>
      </c>
      <c r="U141" s="294">
        <f t="shared" si="18"/>
        <v>0</v>
      </c>
    </row>
    <row r="142" spans="1:21" s="25" customFormat="1" ht="19.5" customHeight="1" x14ac:dyDescent="0.25">
      <c r="A142" s="335">
        <v>270422</v>
      </c>
      <c r="B142" s="360" t="s">
        <v>66</v>
      </c>
      <c r="C142" s="85">
        <f>PV!C142</f>
        <v>0.24</v>
      </c>
      <c r="D142" s="44" t="str">
        <f t="shared" si="19"/>
        <v>h</v>
      </c>
      <c r="E142" s="43">
        <f>IF(D142="h",PV!E142,IF(D142="M",PV!G142,PV!I142))</f>
        <v>5.95</v>
      </c>
      <c r="F142" s="291">
        <v>6</v>
      </c>
      <c r="G142" s="291">
        <v>9</v>
      </c>
      <c r="H142" s="291"/>
      <c r="I142" s="291"/>
      <c r="J142" s="291"/>
      <c r="K142" s="373"/>
      <c r="L142" s="331"/>
      <c r="M142" s="332"/>
      <c r="N142" s="333"/>
      <c r="O142" s="333"/>
      <c r="P142" s="334"/>
      <c r="Q142" s="275">
        <f t="shared" si="16"/>
        <v>0</v>
      </c>
      <c r="R142" s="286">
        <f t="shared" si="17"/>
        <v>0</v>
      </c>
      <c r="U142" s="294">
        <f t="shared" si="18"/>
        <v>0</v>
      </c>
    </row>
    <row r="143" spans="1:21" s="25" customFormat="1" ht="20.100000000000001" customHeight="1" x14ac:dyDescent="0.25">
      <c r="A143" s="335">
        <v>67778</v>
      </c>
      <c r="B143" s="360" t="s">
        <v>67</v>
      </c>
      <c r="C143" s="85">
        <f>PV!C143</f>
        <v>0.6</v>
      </c>
      <c r="D143" s="44" t="str">
        <f t="shared" si="19"/>
        <v>h</v>
      </c>
      <c r="E143" s="43">
        <f>IF(D143="h",PV!E143,IF(D143="M",PV!G143,PV!I143))</f>
        <v>10.95</v>
      </c>
      <c r="F143" s="291">
        <v>10</v>
      </c>
      <c r="G143" s="291">
        <v>0</v>
      </c>
      <c r="H143" s="291"/>
      <c r="I143" s="291"/>
      <c r="J143" s="291"/>
      <c r="K143" s="373"/>
      <c r="L143" s="331"/>
      <c r="M143" s="332"/>
      <c r="N143" s="333"/>
      <c r="O143" s="333"/>
      <c r="P143" s="334"/>
      <c r="Q143" s="275">
        <f t="shared" si="16"/>
        <v>0</v>
      </c>
      <c r="R143" s="286">
        <f t="shared" si="17"/>
        <v>0</v>
      </c>
      <c r="U143" s="294">
        <f t="shared" si="18"/>
        <v>0</v>
      </c>
    </row>
    <row r="144" spans="1:21" s="25" customFormat="1" ht="20.100000000000001" customHeight="1" x14ac:dyDescent="0.25">
      <c r="A144" s="335">
        <v>1039726</v>
      </c>
      <c r="B144" s="360" t="s">
        <v>193</v>
      </c>
      <c r="C144" s="85">
        <f>PV!C144</f>
        <v>0.24</v>
      </c>
      <c r="D144" s="44" t="str">
        <f t="shared" si="19"/>
        <v>h</v>
      </c>
      <c r="E144" s="43">
        <f>IF(D144="h",PV!E144,IF(D144="M",PV!G144,PV!I144))</f>
        <v>5.95</v>
      </c>
      <c r="F144" s="291">
        <v>2</v>
      </c>
      <c r="G144" s="291">
        <v>0</v>
      </c>
      <c r="H144" s="291"/>
      <c r="I144" s="291"/>
      <c r="J144" s="291"/>
      <c r="K144" s="373"/>
      <c r="L144" s="331"/>
      <c r="M144" s="332"/>
      <c r="N144" s="333"/>
      <c r="O144" s="333"/>
      <c r="P144" s="334"/>
      <c r="Q144" s="275">
        <f t="shared" si="16"/>
        <v>0</v>
      </c>
      <c r="R144" s="286">
        <f t="shared" si="17"/>
        <v>0</v>
      </c>
      <c r="U144" s="294">
        <f t="shared" si="18"/>
        <v>0</v>
      </c>
    </row>
    <row r="145" spans="1:21" s="25" customFormat="1" ht="20.100000000000001" customHeight="1" x14ac:dyDescent="0.25">
      <c r="A145" s="335">
        <v>1039725</v>
      </c>
      <c r="B145" s="360" t="s">
        <v>194</v>
      </c>
      <c r="C145" s="85">
        <f>PV!C145</f>
        <v>0.6</v>
      </c>
      <c r="D145" s="44" t="str">
        <f t="shared" si="19"/>
        <v>h</v>
      </c>
      <c r="E145" s="43">
        <f>IF(D145="h",PV!E145,IF(D145="M",PV!G145,PV!I145))</f>
        <v>10.95</v>
      </c>
      <c r="F145" s="291">
        <v>3</v>
      </c>
      <c r="G145" s="291">
        <v>0</v>
      </c>
      <c r="H145" s="291"/>
      <c r="I145" s="291"/>
      <c r="J145" s="291"/>
      <c r="K145" s="373"/>
      <c r="L145" s="331"/>
      <c r="M145" s="332"/>
      <c r="N145" s="333"/>
      <c r="O145" s="333"/>
      <c r="P145" s="334"/>
      <c r="Q145" s="275">
        <f t="shared" si="16"/>
        <v>0</v>
      </c>
      <c r="R145" s="286">
        <f t="shared" si="17"/>
        <v>0</v>
      </c>
      <c r="U145" s="294">
        <f t="shared" si="18"/>
        <v>0</v>
      </c>
    </row>
    <row r="146" spans="1:21" s="25" customFormat="1" ht="20.100000000000001" customHeight="1" x14ac:dyDescent="0.25">
      <c r="A146" s="335">
        <v>270418</v>
      </c>
      <c r="B146" s="360" t="s">
        <v>68</v>
      </c>
      <c r="C146" s="85">
        <f>PV!C146</f>
        <v>0.24</v>
      </c>
      <c r="D146" s="44" t="str">
        <f t="shared" si="19"/>
        <v>h</v>
      </c>
      <c r="E146" s="43">
        <f>IF(D146="h",PV!E146,IF(D146="M",PV!G146,PV!I146))</f>
        <v>6.25</v>
      </c>
      <c r="F146" s="291">
        <v>9</v>
      </c>
      <c r="G146" s="291">
        <v>12</v>
      </c>
      <c r="H146" s="291"/>
      <c r="I146" s="291"/>
      <c r="J146" s="291"/>
      <c r="K146" s="373"/>
      <c r="L146" s="331"/>
      <c r="M146" s="332"/>
      <c r="N146" s="333"/>
      <c r="O146" s="333"/>
      <c r="P146" s="334"/>
      <c r="Q146" s="275">
        <f t="shared" si="16"/>
        <v>0</v>
      </c>
      <c r="R146" s="286">
        <f t="shared" si="17"/>
        <v>0</v>
      </c>
      <c r="U146" s="294">
        <f t="shared" si="18"/>
        <v>0</v>
      </c>
    </row>
    <row r="147" spans="1:21" s="25" customFormat="1" ht="20.100000000000001" customHeight="1" x14ac:dyDescent="0.25">
      <c r="A147" s="335">
        <v>65912</v>
      </c>
      <c r="B147" s="360" t="s">
        <v>69</v>
      </c>
      <c r="C147" s="85">
        <f>PV!C147</f>
        <v>0.6</v>
      </c>
      <c r="D147" s="44" t="str">
        <f t="shared" si="19"/>
        <v>h</v>
      </c>
      <c r="E147" s="43">
        <f>IF(D147="h",PV!E147,IF(D147="M",PV!G147,PV!I147))</f>
        <v>11.45</v>
      </c>
      <c r="F147" s="291">
        <v>12</v>
      </c>
      <c r="G147" s="291">
        <v>0</v>
      </c>
      <c r="H147" s="291"/>
      <c r="I147" s="291"/>
      <c r="J147" s="291"/>
      <c r="K147" s="373"/>
      <c r="L147" s="331"/>
      <c r="M147" s="332"/>
      <c r="N147" s="333"/>
      <c r="O147" s="333"/>
      <c r="P147" s="334"/>
      <c r="Q147" s="275">
        <f t="shared" si="16"/>
        <v>0</v>
      </c>
      <c r="R147" s="286">
        <f t="shared" si="17"/>
        <v>0</v>
      </c>
      <c r="U147" s="294">
        <f t="shared" si="18"/>
        <v>0</v>
      </c>
    </row>
    <row r="148" spans="1:21" s="25" customFormat="1" ht="20.100000000000001" customHeight="1" x14ac:dyDescent="0.25">
      <c r="A148" s="335">
        <v>425024</v>
      </c>
      <c r="B148" s="360" t="s">
        <v>70</v>
      </c>
      <c r="C148" s="85">
        <f>PV!C148</f>
        <v>0.24</v>
      </c>
      <c r="D148" s="44" t="str">
        <f t="shared" si="19"/>
        <v>h</v>
      </c>
      <c r="E148" s="43">
        <f>IF(D148="h",PV!E148,IF(D148="M",PV!G148,PV!I148))</f>
        <v>9.4499999999999993</v>
      </c>
      <c r="F148" s="291">
        <v>2</v>
      </c>
      <c r="G148" s="291">
        <v>6</v>
      </c>
      <c r="H148" s="291"/>
      <c r="I148" s="291"/>
      <c r="J148" s="291"/>
      <c r="K148" s="373"/>
      <c r="L148" s="331"/>
      <c r="M148" s="332"/>
      <c r="N148" s="333"/>
      <c r="O148" s="333"/>
      <c r="P148" s="334"/>
      <c r="Q148" s="275">
        <f t="shared" si="16"/>
        <v>0</v>
      </c>
      <c r="R148" s="286">
        <f t="shared" si="17"/>
        <v>0</v>
      </c>
      <c r="U148" s="294">
        <f t="shared" si="18"/>
        <v>0</v>
      </c>
    </row>
    <row r="149" spans="1:21" s="25" customFormat="1" ht="20.100000000000001" customHeight="1" x14ac:dyDescent="0.25">
      <c r="A149" s="335">
        <v>294817</v>
      </c>
      <c r="B149" s="360" t="s">
        <v>71</v>
      </c>
      <c r="C149" s="85">
        <f>PV!C149</f>
        <v>0.6</v>
      </c>
      <c r="D149" s="44" t="str">
        <f t="shared" si="19"/>
        <v>h</v>
      </c>
      <c r="E149" s="43">
        <f>IF(D149="h",PV!E149,IF(D149="M",PV!G149,PV!I149))</f>
        <v>14.95</v>
      </c>
      <c r="F149" s="291">
        <v>0</v>
      </c>
      <c r="G149" s="291">
        <v>7</v>
      </c>
      <c r="H149" s="291"/>
      <c r="I149" s="291"/>
      <c r="J149" s="291"/>
      <c r="K149" s="373"/>
      <c r="L149" s="331"/>
      <c r="M149" s="332"/>
      <c r="N149" s="333"/>
      <c r="O149" s="333"/>
      <c r="P149" s="334"/>
      <c r="Q149" s="275">
        <f t="shared" si="16"/>
        <v>0</v>
      </c>
      <c r="R149" s="286">
        <f t="shared" si="17"/>
        <v>0</v>
      </c>
      <c r="U149" s="294">
        <f t="shared" si="18"/>
        <v>0</v>
      </c>
    </row>
    <row r="150" spans="1:21" s="25" customFormat="1" ht="20.100000000000001" customHeight="1" x14ac:dyDescent="0.25">
      <c r="A150" s="335">
        <v>441991</v>
      </c>
      <c r="B150" s="360" t="s">
        <v>72</v>
      </c>
      <c r="C150" s="85">
        <f>PV!C150</f>
        <v>0.16</v>
      </c>
      <c r="D150" s="44" t="str">
        <f t="shared" si="19"/>
        <v>h</v>
      </c>
      <c r="E150" s="43">
        <f>IF(D150="h",PV!E150,IF(D150="M",PV!G150,PV!I150))</f>
        <v>4.75</v>
      </c>
      <c r="F150" s="291">
        <v>8</v>
      </c>
      <c r="G150" s="291">
        <v>11</v>
      </c>
      <c r="H150" s="291"/>
      <c r="I150" s="291"/>
      <c r="J150" s="291"/>
      <c r="K150" s="373"/>
      <c r="L150" s="331"/>
      <c r="M150" s="332"/>
      <c r="N150" s="333"/>
      <c r="O150" s="333"/>
      <c r="P150" s="334"/>
      <c r="Q150" s="275">
        <f t="shared" si="16"/>
        <v>0</v>
      </c>
      <c r="R150" s="286">
        <f t="shared" si="17"/>
        <v>0</v>
      </c>
      <c r="U150" s="294">
        <f t="shared" si="18"/>
        <v>0</v>
      </c>
    </row>
    <row r="151" spans="1:21" s="25" customFormat="1" ht="20.100000000000001" customHeight="1" x14ac:dyDescent="0.25">
      <c r="A151" s="335">
        <v>65899</v>
      </c>
      <c r="B151" s="360" t="s">
        <v>73</v>
      </c>
      <c r="C151" s="85">
        <f>PV!C151</f>
        <v>0.32</v>
      </c>
      <c r="D151" s="44" t="str">
        <f t="shared" si="19"/>
        <v>h</v>
      </c>
      <c r="E151" s="43">
        <f>IF(D151="h",PV!E151,IF(D151="M",PV!G151,PV!I151))</f>
        <v>9.75</v>
      </c>
      <c r="F151" s="291">
        <v>14</v>
      </c>
      <c r="G151" s="291">
        <v>8</v>
      </c>
      <c r="H151" s="291"/>
      <c r="I151" s="291"/>
      <c r="J151" s="291"/>
      <c r="K151" s="373"/>
      <c r="L151" s="331"/>
      <c r="M151" s="332"/>
      <c r="N151" s="333"/>
      <c r="O151" s="333"/>
      <c r="P151" s="334"/>
      <c r="Q151" s="275">
        <f t="shared" si="16"/>
        <v>0</v>
      </c>
      <c r="R151" s="286">
        <f t="shared" si="17"/>
        <v>0</v>
      </c>
      <c r="U151" s="294">
        <f t="shared" si="18"/>
        <v>0</v>
      </c>
    </row>
    <row r="152" spans="1:21" s="25" customFormat="1" ht="20.100000000000001" customHeight="1" x14ac:dyDescent="0.25">
      <c r="A152" s="335">
        <v>65925</v>
      </c>
      <c r="B152" s="360" t="s">
        <v>75</v>
      </c>
      <c r="C152" s="85">
        <f>PV!C152</f>
        <v>0.72</v>
      </c>
      <c r="D152" s="44" t="str">
        <f t="shared" si="19"/>
        <v>h</v>
      </c>
      <c r="E152" s="43">
        <f>IF(D152="h",PV!E152,IF(D152="M",PV!G152,PV!I152))</f>
        <v>14.95</v>
      </c>
      <c r="F152" s="291">
        <v>1</v>
      </c>
      <c r="G152" s="291">
        <v>1</v>
      </c>
      <c r="H152" s="291"/>
      <c r="I152" s="291"/>
      <c r="J152" s="291"/>
      <c r="K152" s="373"/>
      <c r="L152" s="331"/>
      <c r="M152" s="332"/>
      <c r="N152" s="333"/>
      <c r="O152" s="333"/>
      <c r="P152" s="334"/>
      <c r="Q152" s="275">
        <f t="shared" si="16"/>
        <v>0</v>
      </c>
      <c r="R152" s="286">
        <f t="shared" si="17"/>
        <v>0</v>
      </c>
      <c r="U152" s="294">
        <f t="shared" si="18"/>
        <v>0</v>
      </c>
    </row>
    <row r="153" spans="1:21" s="25" customFormat="1" ht="20.100000000000001" customHeight="1" x14ac:dyDescent="0.25">
      <c r="A153" s="335"/>
      <c r="B153" s="360"/>
      <c r="C153" s="85"/>
      <c r="D153" s="44"/>
      <c r="E153" s="43"/>
      <c r="F153" s="291"/>
      <c r="G153" s="291"/>
      <c r="H153" s="291"/>
      <c r="I153" s="291"/>
      <c r="J153" s="291"/>
      <c r="K153" s="45"/>
      <c r="L153" s="331"/>
      <c r="M153" s="332"/>
      <c r="N153" s="333"/>
      <c r="O153" s="333"/>
      <c r="P153" s="334"/>
      <c r="Q153" s="278"/>
      <c r="R153" s="287">
        <f>SUM(R122:R152)</f>
        <v>0</v>
      </c>
      <c r="U153" s="294">
        <f t="shared" si="18"/>
        <v>0</v>
      </c>
    </row>
    <row r="154" spans="1:21" ht="11.25" customHeight="1" x14ac:dyDescent="0.2">
      <c r="A154" s="416"/>
      <c r="B154" s="416"/>
      <c r="C154" s="33"/>
      <c r="D154" s="47"/>
      <c r="E154" s="46"/>
      <c r="F154" s="292"/>
    </row>
    <row r="155" spans="1:21" ht="15" customHeight="1" x14ac:dyDescent="0.2">
      <c r="A155" s="416"/>
      <c r="B155" s="416"/>
      <c r="C155" s="33"/>
      <c r="D155" s="47"/>
      <c r="E155" s="46"/>
      <c r="F155" s="292"/>
    </row>
    <row r="156" spans="1:21" ht="15.75" customHeight="1" x14ac:dyDescent="0.2">
      <c r="A156" s="416"/>
      <c r="B156" s="416"/>
      <c r="C156" s="33"/>
      <c r="D156" s="47"/>
      <c r="E156" s="46"/>
      <c r="F156" s="292"/>
    </row>
    <row r="157" spans="1:21" ht="13.5" customHeight="1" x14ac:dyDescent="0.2">
      <c r="A157" s="416"/>
      <c r="B157" s="416"/>
      <c r="C157" s="33"/>
      <c r="D157" s="47"/>
      <c r="E157" s="46"/>
      <c r="F157" s="292"/>
    </row>
    <row r="158" spans="1:21" ht="15" customHeight="1" x14ac:dyDescent="0.2">
      <c r="A158" s="416"/>
      <c r="B158" s="416"/>
      <c r="C158" s="33"/>
      <c r="D158" s="47"/>
      <c r="E158" s="46"/>
      <c r="F158" s="292"/>
    </row>
    <row r="159" spans="1:21" ht="19.5" customHeight="1" x14ac:dyDescent="0.2">
      <c r="A159" s="375"/>
      <c r="B159" s="361"/>
      <c r="C159" s="33"/>
      <c r="D159" s="47"/>
      <c r="E159" s="46"/>
      <c r="F159" s="292"/>
    </row>
    <row r="160" spans="1:21" ht="21.75" customHeight="1" x14ac:dyDescent="0.2">
      <c r="A160" s="375"/>
      <c r="B160" s="361"/>
      <c r="C160" s="33"/>
      <c r="D160" s="47"/>
      <c r="E160" s="46"/>
      <c r="F160" s="292"/>
    </row>
    <row r="161" spans="1:18" ht="19.5" customHeight="1" x14ac:dyDescent="0.2">
      <c r="A161" s="375"/>
      <c r="B161" s="361"/>
      <c r="C161" s="33"/>
      <c r="D161" s="47"/>
      <c r="E161" s="46"/>
      <c r="F161" s="292"/>
    </row>
    <row r="162" spans="1:18" ht="19.5" x14ac:dyDescent="0.2">
      <c r="A162" s="375"/>
      <c r="B162" s="361"/>
      <c r="C162" s="33"/>
      <c r="D162" s="47"/>
      <c r="E162" s="46"/>
      <c r="F162" s="292"/>
    </row>
    <row r="163" spans="1:18" ht="11.25" customHeight="1" x14ac:dyDescent="0.2">
      <c r="A163" s="375"/>
      <c r="B163" s="362"/>
      <c r="C163" s="33"/>
      <c r="D163" s="33"/>
      <c r="E163" s="33"/>
      <c r="F163" s="292"/>
      <c r="Q163" s="49"/>
      <c r="R163" s="50"/>
    </row>
    <row r="164" spans="1:18" ht="15.75" customHeight="1" x14ac:dyDescent="0.2">
      <c r="A164" s="375"/>
      <c r="B164" s="362"/>
      <c r="C164" s="33"/>
      <c r="D164" s="33"/>
      <c r="E164" s="33"/>
      <c r="F164" s="292"/>
    </row>
  </sheetData>
  <sheetProtection password="C71F" sheet="1" objects="1" scenarios="1" formatCells="0"/>
  <mergeCells count="20">
    <mergeCell ref="A154:B154"/>
    <mergeCell ref="A155:B155"/>
    <mergeCell ref="A156:B156"/>
    <mergeCell ref="A157:B157"/>
    <mergeCell ref="A158:B158"/>
    <mergeCell ref="L1:P1"/>
    <mergeCell ref="B2:B3"/>
    <mergeCell ref="C2:C3"/>
    <mergeCell ref="D2:D3"/>
    <mergeCell ref="E2:E3"/>
    <mergeCell ref="F2:F3"/>
    <mergeCell ref="G2:G3"/>
    <mergeCell ref="K2:K3"/>
    <mergeCell ref="L2:L3"/>
    <mergeCell ref="Q2:Q3"/>
    <mergeCell ref="R2:R3"/>
    <mergeCell ref="M2:M3"/>
    <mergeCell ref="N2:N3"/>
    <mergeCell ref="O2:O3"/>
    <mergeCell ref="P2:P3"/>
  </mergeCells>
  <conditionalFormatting sqref="L4:P153">
    <cfRule type="cellIs" dxfId="4" priority="1" operator="lessThan">
      <formula>1</formula>
    </cfRule>
  </conditionalFormatting>
  <printOptions horizontalCentered="1"/>
  <pageMargins left="0" right="0" top="0.39370078740157499" bottom="0.59055118110236204" header="0.15748031496063" footer="0.15748031496063"/>
  <pageSetup paperSize="9" scale="70" fitToHeight="5" orientation="portrait" r:id="rId1"/>
  <headerFooter alignWithMargins="0">
    <oddFooter>&amp;Lécole boulangerie&amp;CPage &amp;P</oddFooter>
  </headerFooter>
  <rowBreaks count="2" manualBreakCount="2">
    <brk id="57" max="15" man="1"/>
    <brk id="112" max="15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 tint="0.39997558519241921"/>
  </sheetPr>
  <dimension ref="A1:J182"/>
  <sheetViews>
    <sheetView showGridLines="0" zoomScaleNormal="100" workbookViewId="0">
      <selection activeCell="A4" sqref="A4:E4"/>
    </sheetView>
  </sheetViews>
  <sheetFormatPr defaultColWidth="11.42578125" defaultRowHeight="12.75" x14ac:dyDescent="0.2"/>
  <cols>
    <col min="1" max="1" width="22.28515625" style="97" customWidth="1"/>
    <col min="2" max="2" width="12" style="97" bestFit="1" customWidth="1"/>
    <col min="3" max="3" width="4" style="97" bestFit="1" customWidth="1"/>
    <col min="4" max="4" width="3.85546875" style="97" customWidth="1"/>
    <col min="5" max="5" width="26.5703125" style="97" bestFit="1" customWidth="1"/>
    <col min="6" max="6" width="8.28515625" style="134" customWidth="1"/>
    <col min="7" max="7" width="10.42578125" style="135" customWidth="1"/>
    <col min="8" max="8" width="7" style="97" customWidth="1"/>
    <col min="9" max="9" width="4.28515625" style="97" customWidth="1"/>
    <col min="10" max="10" width="11.42578125" style="179"/>
    <col min="11" max="16384" width="11.42578125" style="97"/>
  </cols>
  <sheetData>
    <row r="1" spans="1:7" ht="15.75" x14ac:dyDescent="0.25">
      <c r="A1" s="51" t="str">
        <f>wednesday!G1</f>
        <v>Wednesday</v>
      </c>
      <c r="B1" s="52">
        <f>wednesday!K1</f>
        <v>42459</v>
      </c>
    </row>
    <row r="2" spans="1:7" ht="18" x14ac:dyDescent="0.25">
      <c r="A2" s="177" t="s">
        <v>86</v>
      </c>
    </row>
    <row r="3" spans="1:7" ht="6" customHeight="1" x14ac:dyDescent="0.25">
      <c r="A3" s="136"/>
    </row>
    <row r="4" spans="1:7" ht="15.75" x14ac:dyDescent="0.25">
      <c r="A4" s="418" t="s">
        <v>0</v>
      </c>
      <c r="B4" s="418"/>
      <c r="C4" s="418"/>
      <c r="D4" s="418"/>
      <c r="E4" s="418"/>
      <c r="F4" s="53">
        <f>wednesday!R24</f>
        <v>0</v>
      </c>
      <c r="G4" s="54" t="s">
        <v>87</v>
      </c>
    </row>
    <row r="5" spans="1:7" ht="13.5" customHeight="1" x14ac:dyDescent="0.25">
      <c r="A5" s="55" t="s">
        <v>88</v>
      </c>
      <c r="B5" s="137">
        <f>wednesday!F1</f>
        <v>50</v>
      </c>
      <c r="C5" s="56"/>
      <c r="D5" s="57"/>
    </row>
    <row r="6" spans="1:7" ht="15.75" x14ac:dyDescent="0.25">
      <c r="A6" s="138" t="s">
        <v>89</v>
      </c>
      <c r="B6" s="139">
        <f>ROUNDDOWN(A7/B5,0)</f>
        <v>0</v>
      </c>
      <c r="C6" s="56"/>
      <c r="D6" s="57"/>
      <c r="E6" s="58" t="s">
        <v>90</v>
      </c>
    </row>
    <row r="7" spans="1:7" x14ac:dyDescent="0.2">
      <c r="A7" s="289">
        <f>B13*farine</f>
        <v>0</v>
      </c>
      <c r="B7" s="417" t="s">
        <v>91</v>
      </c>
      <c r="C7" s="417"/>
      <c r="D7" s="298"/>
      <c r="F7" s="417" t="s">
        <v>91</v>
      </c>
      <c r="G7" s="417"/>
    </row>
    <row r="8" spans="1:7" x14ac:dyDescent="0.2">
      <c r="A8" s="2" t="s">
        <v>2</v>
      </c>
      <c r="B8" s="140">
        <f>B5</f>
        <v>50</v>
      </c>
      <c r="C8" s="141" t="s">
        <v>87</v>
      </c>
      <c r="D8" s="96"/>
      <c r="E8" s="2" t="s">
        <v>2</v>
      </c>
      <c r="F8" s="72">
        <f>ROUNDUP(A7-(B6*B5),0)</f>
        <v>0</v>
      </c>
      <c r="G8" s="141" t="s">
        <v>87</v>
      </c>
    </row>
    <row r="9" spans="1:7" x14ac:dyDescent="0.2">
      <c r="A9" s="5" t="s">
        <v>3</v>
      </c>
      <c r="B9" s="142">
        <f>recipe!C5*P.wednesday!B8</f>
        <v>30.5</v>
      </c>
      <c r="C9" s="143" t="s">
        <v>92</v>
      </c>
      <c r="D9" s="131"/>
      <c r="E9" s="5" t="s">
        <v>3</v>
      </c>
      <c r="F9" s="144">
        <f>recipe!C5*P.wednesday!F8</f>
        <v>0</v>
      </c>
      <c r="G9" s="143" t="s">
        <v>92</v>
      </c>
    </row>
    <row r="10" spans="1:7" x14ac:dyDescent="0.2">
      <c r="A10" s="5" t="s">
        <v>4</v>
      </c>
      <c r="B10" s="145">
        <f>recipe!C6*P.wednesday!B8</f>
        <v>1</v>
      </c>
      <c r="C10" s="146" t="s">
        <v>87</v>
      </c>
      <c r="D10" s="131"/>
      <c r="E10" s="5" t="s">
        <v>4</v>
      </c>
      <c r="F10" s="142">
        <f>ROUND(recipe!C6*P.wednesday!F9,2)*1000</f>
        <v>0</v>
      </c>
      <c r="G10" s="146" t="s">
        <v>93</v>
      </c>
    </row>
    <row r="11" spans="1:7" x14ac:dyDescent="0.2">
      <c r="A11" s="5" t="s">
        <v>5</v>
      </c>
      <c r="B11" s="145">
        <f>recipe!C7*P.wednesday!B8</f>
        <v>0.5</v>
      </c>
      <c r="C11" s="146" t="s">
        <v>87</v>
      </c>
      <c r="D11" s="131"/>
      <c r="E11" s="5" t="s">
        <v>5</v>
      </c>
      <c r="F11" s="142">
        <f>ROUND(recipe!C7*P.wednesday!F8,2)*1000</f>
        <v>0</v>
      </c>
      <c r="G11" s="146" t="s">
        <v>93</v>
      </c>
    </row>
    <row r="12" spans="1:7" x14ac:dyDescent="0.2">
      <c r="A12" s="5" t="s">
        <v>6</v>
      </c>
      <c r="B12" s="142">
        <f>(recipe!C8*P.wednesday!B8)*1000</f>
        <v>500</v>
      </c>
      <c r="C12" s="146" t="s">
        <v>94</v>
      </c>
      <c r="D12" s="131"/>
      <c r="E12" s="5" t="s">
        <v>6</v>
      </c>
      <c r="F12" s="142">
        <f>ROUND(recipe!C8*P.wednesday!F8,2)*1000</f>
        <v>0</v>
      </c>
      <c r="G12" s="146" t="s">
        <v>94</v>
      </c>
    </row>
    <row r="13" spans="1:7" hidden="1" x14ac:dyDescent="0.2">
      <c r="A13" s="147"/>
      <c r="B13" s="134">
        <f>F4/recipe!B9</f>
        <v>0</v>
      </c>
      <c r="C13" s="135"/>
      <c r="D13" s="96"/>
    </row>
    <row r="14" spans="1:7" x14ac:dyDescent="0.2">
      <c r="A14" s="59"/>
      <c r="B14" s="60"/>
      <c r="C14" s="61"/>
      <c r="D14" s="96"/>
    </row>
    <row r="15" spans="1:7" ht="15.75" x14ac:dyDescent="0.25">
      <c r="A15" s="240" t="s">
        <v>1</v>
      </c>
      <c r="B15" s="53">
        <f>wednesday!R42</f>
        <v>0</v>
      </c>
      <c r="C15" s="54" t="s">
        <v>87</v>
      </c>
      <c r="D15" s="96"/>
      <c r="E15" s="176" t="s">
        <v>232</v>
      </c>
      <c r="F15" s="67">
        <f>wednesday!K38</f>
        <v>0</v>
      </c>
      <c r="G15" s="54" t="s">
        <v>233</v>
      </c>
    </row>
    <row r="16" spans="1:7" x14ac:dyDescent="0.2">
      <c r="B16" s="417" t="s">
        <v>91</v>
      </c>
      <c r="C16" s="417"/>
      <c r="D16" s="96"/>
      <c r="F16" s="417" t="s">
        <v>91</v>
      </c>
      <c r="G16" s="417"/>
    </row>
    <row r="17" spans="1:7" x14ac:dyDescent="0.2">
      <c r="A17" s="2" t="s">
        <v>2</v>
      </c>
      <c r="B17" s="149">
        <f>ROUND(ftf*P.wednesday!B23,0)</f>
        <v>0</v>
      </c>
      <c r="C17" s="141" t="s">
        <v>87</v>
      </c>
      <c r="D17" s="96"/>
      <c r="E17" s="8" t="s">
        <v>234</v>
      </c>
      <c r="F17" s="250">
        <f>ROUND(F15*recipe!B136,1)</f>
        <v>0</v>
      </c>
      <c r="G17" s="70" t="s">
        <v>87</v>
      </c>
    </row>
    <row r="18" spans="1:7" x14ac:dyDescent="0.2">
      <c r="A18" s="5" t="s">
        <v>3</v>
      </c>
      <c r="B18" s="145">
        <f>ROUND(recipe!G5*P.wednesday!B17,1)</f>
        <v>0</v>
      </c>
      <c r="C18" s="143" t="s">
        <v>92</v>
      </c>
      <c r="D18" s="96"/>
      <c r="E18" s="62" t="s">
        <v>200</v>
      </c>
      <c r="F18" s="251">
        <f>ROUND(F15*recipe!B137,1)*1000</f>
        <v>0</v>
      </c>
      <c r="G18" s="163" t="s">
        <v>94</v>
      </c>
    </row>
    <row r="19" spans="1:7" x14ac:dyDescent="0.2">
      <c r="A19" s="5" t="s">
        <v>4</v>
      </c>
      <c r="B19" s="142">
        <f>ROUND(recipe!G6*P.wednesday!B17,2)*1000</f>
        <v>0</v>
      </c>
      <c r="C19" s="146" t="s">
        <v>94</v>
      </c>
      <c r="D19" s="96"/>
      <c r="F19" s="172"/>
      <c r="G19" s="148"/>
    </row>
    <row r="20" spans="1:7" x14ac:dyDescent="0.2">
      <c r="A20" s="5" t="s">
        <v>5</v>
      </c>
      <c r="B20" s="142">
        <f>ROUND(recipe!G7*P.wednesday!B17,2)*1000</f>
        <v>0</v>
      </c>
      <c r="C20" s="146" t="s">
        <v>94</v>
      </c>
      <c r="D20" s="96"/>
    </row>
    <row r="21" spans="1:7" x14ac:dyDescent="0.2">
      <c r="A21" s="5" t="s">
        <v>195</v>
      </c>
      <c r="B21" s="95">
        <f>ROUND(recipe!G8*P.wednesday!B17,1)</f>
        <v>0</v>
      </c>
      <c r="C21" s="150" t="s">
        <v>87</v>
      </c>
      <c r="D21" s="96"/>
    </row>
    <row r="22" spans="1:7" x14ac:dyDescent="0.2">
      <c r="A22" s="5"/>
      <c r="B22" s="151"/>
      <c r="C22" s="150"/>
      <c r="D22" s="96"/>
    </row>
    <row r="23" spans="1:7" hidden="1" x14ac:dyDescent="0.2">
      <c r="B23" s="134">
        <f>B15/recipe!F9</f>
        <v>0</v>
      </c>
      <c r="C23" s="148"/>
      <c r="D23" s="96"/>
    </row>
    <row r="24" spans="1:7" x14ac:dyDescent="0.2">
      <c r="A24" s="147"/>
      <c r="B24" s="134"/>
      <c r="C24" s="135"/>
      <c r="D24" s="96"/>
    </row>
    <row r="25" spans="1:7" ht="15.75" x14ac:dyDescent="0.25">
      <c r="A25" s="240" t="s">
        <v>159</v>
      </c>
      <c r="B25" s="53">
        <f>wednesday!R121</f>
        <v>0</v>
      </c>
      <c r="C25" s="54" t="s">
        <v>87</v>
      </c>
      <c r="E25" s="176" t="s">
        <v>96</v>
      </c>
      <c r="F25" s="66">
        <f>wednesday!R117+wednesday!R119</f>
        <v>0</v>
      </c>
      <c r="G25" s="54" t="s">
        <v>87</v>
      </c>
    </row>
    <row r="26" spans="1:7" x14ac:dyDescent="0.2">
      <c r="B26" s="417" t="s">
        <v>91</v>
      </c>
      <c r="C26" s="417"/>
      <c r="F26" s="417" t="s">
        <v>91</v>
      </c>
      <c r="G26" s="417"/>
    </row>
    <row r="27" spans="1:7" x14ac:dyDescent="0.2">
      <c r="A27" s="2" t="s">
        <v>10</v>
      </c>
      <c r="B27" s="149">
        <f>ROUND(flr*P.wednesday!B36,1)</f>
        <v>0</v>
      </c>
      <c r="C27" s="141" t="s">
        <v>87</v>
      </c>
      <c r="E27" s="8" t="s">
        <v>224</v>
      </c>
      <c r="F27" s="252">
        <f>F25*recipe!F145/recipe!F147</f>
        <v>0</v>
      </c>
      <c r="G27" s="154" t="s">
        <v>87</v>
      </c>
    </row>
    <row r="28" spans="1:7" x14ac:dyDescent="0.2">
      <c r="A28" s="5" t="s">
        <v>3</v>
      </c>
      <c r="B28" s="145">
        <f>ROUND(recipe!G17*P.wednesday!B27,1)</f>
        <v>0</v>
      </c>
      <c r="C28" s="143" t="s">
        <v>87</v>
      </c>
      <c r="E28" s="62" t="s">
        <v>225</v>
      </c>
      <c r="F28" s="252">
        <f>F25*recipe!F146/recipe!F147</f>
        <v>0</v>
      </c>
      <c r="G28" s="100" t="s">
        <v>87</v>
      </c>
    </row>
    <row r="29" spans="1:7" x14ac:dyDescent="0.2">
      <c r="A29" s="5" t="s">
        <v>176</v>
      </c>
      <c r="B29" s="145">
        <f>ROUND(recipe!G18*P.wednesday!B27,1)</f>
        <v>0</v>
      </c>
      <c r="C29" s="143" t="s">
        <v>92</v>
      </c>
      <c r="E29" s="63"/>
      <c r="F29" s="97"/>
      <c r="G29" s="148"/>
    </row>
    <row r="30" spans="1:7" x14ac:dyDescent="0.2">
      <c r="A30" s="5" t="s">
        <v>12</v>
      </c>
      <c r="B30" s="145">
        <f>ROUND(recipe!G19*P.wednesday!B27,1)</f>
        <v>0</v>
      </c>
      <c r="C30" s="146" t="s">
        <v>94</v>
      </c>
    </row>
    <row r="31" spans="1:7" x14ac:dyDescent="0.2">
      <c r="A31" s="5" t="s">
        <v>4</v>
      </c>
      <c r="B31" s="142">
        <f>ROUND(recipe!G20*P.wednesday!B27,1)*1000</f>
        <v>0</v>
      </c>
      <c r="C31" s="146" t="s">
        <v>94</v>
      </c>
    </row>
    <row r="32" spans="1:7" x14ac:dyDescent="0.2">
      <c r="A32" s="5" t="s">
        <v>6</v>
      </c>
      <c r="B32" s="142">
        <f>ROUND(recipe!G21*P.wednesday!B27,2)*1000</f>
        <v>0</v>
      </c>
      <c r="C32" s="146" t="s">
        <v>94</v>
      </c>
    </row>
    <row r="33" spans="1:7" x14ac:dyDescent="0.2">
      <c r="A33" s="5" t="s">
        <v>5</v>
      </c>
      <c r="B33" s="142">
        <f>ROUND(recipe!G22*P.wednesday!B27,1)*1000</f>
        <v>0</v>
      </c>
      <c r="C33" s="146" t="s">
        <v>94</v>
      </c>
    </row>
    <row r="34" spans="1:7" x14ac:dyDescent="0.2">
      <c r="A34" s="5" t="s">
        <v>177</v>
      </c>
      <c r="B34" s="142">
        <f>ROUND(recipe!G23*P.wednesday!B27,2)*1000</f>
        <v>0</v>
      </c>
      <c r="C34" s="146" t="s">
        <v>94</v>
      </c>
      <c r="F34" s="97"/>
      <c r="G34" s="97"/>
    </row>
    <row r="35" spans="1:7" x14ac:dyDescent="0.2">
      <c r="A35" s="3" t="s">
        <v>16</v>
      </c>
      <c r="B35" s="153">
        <f>ROUND(recipe!G24*P.wednesday!B27,2)</f>
        <v>0</v>
      </c>
      <c r="C35" s="150" t="s">
        <v>87</v>
      </c>
      <c r="F35" s="97"/>
      <c r="G35" s="97"/>
    </row>
    <row r="36" spans="1:7" hidden="1" x14ac:dyDescent="0.2">
      <c r="B36" s="134">
        <f>B25/recipe!F25</f>
        <v>0</v>
      </c>
      <c r="C36" s="148"/>
      <c r="F36" s="166">
        <f>F25/recipe!F147</f>
        <v>0</v>
      </c>
      <c r="G36" s="97"/>
    </row>
    <row r="37" spans="1:7" x14ac:dyDescent="0.2">
      <c r="B37" s="134"/>
      <c r="C37" s="135"/>
      <c r="D37" s="101"/>
      <c r="F37" s="97"/>
      <c r="G37" s="97"/>
    </row>
    <row r="38" spans="1:7" ht="15.75" x14ac:dyDescent="0.25">
      <c r="A38" s="240" t="s">
        <v>7</v>
      </c>
      <c r="B38" s="53">
        <f>wednesday!R58</f>
        <v>0</v>
      </c>
      <c r="C38" s="54" t="s">
        <v>87</v>
      </c>
      <c r="D38" s="57"/>
      <c r="E38" s="176" t="s">
        <v>229</v>
      </c>
      <c r="F38" s="67">
        <f>wednesday!K57</f>
        <v>0</v>
      </c>
      <c r="G38" s="54" t="s">
        <v>235</v>
      </c>
    </row>
    <row r="39" spans="1:7" x14ac:dyDescent="0.2">
      <c r="B39" s="417" t="s">
        <v>91</v>
      </c>
      <c r="C39" s="417"/>
      <c r="D39" s="80"/>
      <c r="F39" s="417" t="s">
        <v>91</v>
      </c>
      <c r="G39" s="417"/>
    </row>
    <row r="40" spans="1:7" x14ac:dyDescent="0.2">
      <c r="A40" s="8" t="s">
        <v>9</v>
      </c>
      <c r="B40" s="267">
        <f>ROUNDUP(fcr*P.wednesday!B44,0)</f>
        <v>0</v>
      </c>
      <c r="C40" s="141" t="s">
        <v>87</v>
      </c>
      <c r="D40" s="101"/>
      <c r="E40" s="8" t="s">
        <v>199</v>
      </c>
      <c r="F40" s="266">
        <f>ROUND(F38*recipe!B128,1)</f>
        <v>0</v>
      </c>
      <c r="G40" s="70" t="s">
        <v>87</v>
      </c>
    </row>
    <row r="41" spans="1:7" x14ac:dyDescent="0.2">
      <c r="A41" s="9" t="s">
        <v>197</v>
      </c>
      <c r="B41" s="268">
        <f>ROUND(recipe!C17*P.wednesday!B40,1)</f>
        <v>0</v>
      </c>
      <c r="C41" s="143" t="s">
        <v>87</v>
      </c>
      <c r="D41" s="101"/>
      <c r="E41" s="62" t="s">
        <v>230</v>
      </c>
      <c r="F41" s="251">
        <f>ROUND(F38*recipe!B129,1)*1000</f>
        <v>0</v>
      </c>
      <c r="G41" s="163" t="s">
        <v>94</v>
      </c>
    </row>
    <row r="42" spans="1:7" x14ac:dyDescent="0.2">
      <c r="A42" s="9" t="s">
        <v>11</v>
      </c>
      <c r="B42" s="269">
        <f>ROUND(recipe!C18*P.wednesday!B40,1)</f>
        <v>0</v>
      </c>
      <c r="C42" s="143" t="s">
        <v>92</v>
      </c>
      <c r="D42" s="101"/>
      <c r="E42" s="62" t="s">
        <v>236</v>
      </c>
      <c r="F42" s="251">
        <f>ROUND(F38*recipe!B130,1)*1000</f>
        <v>0</v>
      </c>
      <c r="G42" s="163" t="s">
        <v>94</v>
      </c>
    </row>
    <row r="43" spans="1:7" x14ac:dyDescent="0.2">
      <c r="A43" s="9" t="s">
        <v>5</v>
      </c>
      <c r="B43" s="270">
        <f>ROUND(recipe!C19*P.wednesday!B40,2)*1000</f>
        <v>0</v>
      </c>
      <c r="C43" s="146" t="s">
        <v>94</v>
      </c>
      <c r="D43" s="101"/>
      <c r="F43" s="97"/>
      <c r="G43" s="97"/>
    </row>
    <row r="44" spans="1:7" hidden="1" x14ac:dyDescent="0.2">
      <c r="B44" s="134">
        <f>B38/recipe!B25</f>
        <v>0</v>
      </c>
      <c r="C44" s="135"/>
      <c r="D44" s="101"/>
      <c r="G44" s="148"/>
    </row>
    <row r="45" spans="1:7" x14ac:dyDescent="0.2">
      <c r="B45" s="134"/>
      <c r="C45" s="135"/>
      <c r="D45" s="101"/>
      <c r="G45" s="148"/>
    </row>
    <row r="46" spans="1:7" ht="15.75" x14ac:dyDescent="0.25">
      <c r="A46" s="176" t="s">
        <v>226</v>
      </c>
      <c r="B46" s="67">
        <f>wednesday!K54</f>
        <v>0</v>
      </c>
      <c r="C46" s="54" t="s">
        <v>235</v>
      </c>
      <c r="D46" s="132"/>
      <c r="E46" s="227"/>
      <c r="F46" s="228"/>
      <c r="G46" s="229"/>
    </row>
    <row r="47" spans="1:7" x14ac:dyDescent="0.2">
      <c r="B47" s="417" t="s">
        <v>91</v>
      </c>
      <c r="C47" s="417"/>
      <c r="D47" s="80"/>
      <c r="E47" s="230"/>
      <c r="F47" s="419"/>
      <c r="G47" s="419"/>
    </row>
    <row r="48" spans="1:7" x14ac:dyDescent="0.2">
      <c r="A48" s="8" t="s">
        <v>199</v>
      </c>
      <c r="B48" s="250">
        <f>ROUND(B46*recipe!F119,1)</f>
        <v>0</v>
      </c>
      <c r="C48" s="70" t="s">
        <v>87</v>
      </c>
      <c r="D48" s="101"/>
      <c r="E48" s="231"/>
      <c r="F48" s="232"/>
      <c r="G48" s="239"/>
    </row>
    <row r="49" spans="1:8" x14ac:dyDescent="0.2">
      <c r="A49" s="62" t="s">
        <v>231</v>
      </c>
      <c r="B49" s="261">
        <f>ROUND(B46*recipe!F120,2)*1000</f>
        <v>0</v>
      </c>
      <c r="C49" s="163" t="s">
        <v>94</v>
      </c>
      <c r="D49" s="101"/>
      <c r="E49" s="231"/>
      <c r="F49" s="232"/>
      <c r="G49" s="239"/>
    </row>
    <row r="50" spans="1:8" hidden="1" x14ac:dyDescent="0.2">
      <c r="B50" s="134">
        <f>B46/recipe!F121</f>
        <v>0</v>
      </c>
      <c r="C50" s="135"/>
      <c r="D50" s="101"/>
      <c r="E50" s="230"/>
      <c r="F50" s="237"/>
      <c r="G50" s="234"/>
    </row>
    <row r="51" spans="1:8" ht="4.5" customHeight="1" x14ac:dyDescent="0.2">
      <c r="B51" s="134"/>
      <c r="C51" s="135"/>
      <c r="G51" s="160"/>
    </row>
    <row r="52" spans="1:8" ht="15.75" x14ac:dyDescent="0.25">
      <c r="A52" s="176" t="s">
        <v>227</v>
      </c>
      <c r="B52" s="67">
        <f>wednesday!K56</f>
        <v>0</v>
      </c>
      <c r="C52" s="54" t="s">
        <v>235</v>
      </c>
      <c r="D52" s="132"/>
      <c r="E52" s="176" t="s">
        <v>228</v>
      </c>
      <c r="F52" s="67">
        <f>wednesday!K52</f>
        <v>0</v>
      </c>
      <c r="G52" s="54" t="s">
        <v>235</v>
      </c>
    </row>
    <row r="53" spans="1:8" x14ac:dyDescent="0.2">
      <c r="B53" s="417" t="s">
        <v>91</v>
      </c>
      <c r="C53" s="417"/>
      <c r="D53" s="80"/>
      <c r="F53" s="417" t="s">
        <v>91</v>
      </c>
      <c r="G53" s="417"/>
    </row>
    <row r="54" spans="1:8" x14ac:dyDescent="0.2">
      <c r="A54" s="8" t="s">
        <v>199</v>
      </c>
      <c r="B54" s="250">
        <f>ROUND(B52*recipe!B119,1)</f>
        <v>0</v>
      </c>
      <c r="C54" s="70" t="s">
        <v>87</v>
      </c>
      <c r="D54" s="101"/>
      <c r="E54" s="8" t="s">
        <v>199</v>
      </c>
      <c r="F54" s="266">
        <f>ROUND(F52*recipe!F128,1)</f>
        <v>0</v>
      </c>
      <c r="G54" s="70" t="s">
        <v>87</v>
      </c>
    </row>
    <row r="55" spans="1:8" x14ac:dyDescent="0.2">
      <c r="A55" s="62" t="s">
        <v>230</v>
      </c>
      <c r="B55" s="265">
        <f>ROUND(B52*recipe!B120,2)*1000</f>
        <v>0</v>
      </c>
      <c r="C55" s="163" t="s">
        <v>94</v>
      </c>
      <c r="D55" s="101"/>
      <c r="E55" s="62" t="s">
        <v>22</v>
      </c>
      <c r="F55" s="261">
        <f>ROUND(F52*recipe!F129,2)*1000</f>
        <v>0</v>
      </c>
      <c r="G55" s="163" t="s">
        <v>94</v>
      </c>
    </row>
    <row r="56" spans="1:8" hidden="1" x14ac:dyDescent="0.2">
      <c r="B56" s="134">
        <f>B52/recipe!B121</f>
        <v>0</v>
      </c>
      <c r="C56" s="135"/>
      <c r="D56" s="101"/>
      <c r="F56" s="134">
        <f>F52/recipe!F130</f>
        <v>0</v>
      </c>
      <c r="G56" s="148"/>
    </row>
    <row r="57" spans="1:8" ht="4.5" customHeight="1" x14ac:dyDescent="0.2">
      <c r="B57" s="134"/>
      <c r="C57" s="135"/>
      <c r="G57" s="160"/>
    </row>
    <row r="58" spans="1:8" ht="15.75" x14ac:dyDescent="0.25">
      <c r="D58" s="132"/>
      <c r="F58" s="97"/>
      <c r="G58" s="97"/>
    </row>
    <row r="59" spans="1:8" ht="15.75" x14ac:dyDescent="0.25">
      <c r="A59" s="176" t="s">
        <v>21</v>
      </c>
      <c r="B59" s="53">
        <f>wednesday!R74</f>
        <v>0</v>
      </c>
      <c r="C59" s="54" t="s">
        <v>87</v>
      </c>
      <c r="D59" s="101"/>
      <c r="E59" s="176" t="s">
        <v>17</v>
      </c>
      <c r="F59" s="53">
        <f>wednesday!R44</f>
        <v>0</v>
      </c>
      <c r="G59" s="54" t="s">
        <v>87</v>
      </c>
    </row>
    <row r="60" spans="1:8" x14ac:dyDescent="0.2">
      <c r="B60" s="417" t="s">
        <v>91</v>
      </c>
      <c r="C60" s="417"/>
      <c r="D60" s="101"/>
      <c r="F60" s="417" t="s">
        <v>91</v>
      </c>
      <c r="G60" s="417"/>
    </row>
    <row r="61" spans="1:8" x14ac:dyDescent="0.2">
      <c r="A61" s="2" t="s">
        <v>10</v>
      </c>
      <c r="B61" s="69">
        <f>ROUND(B68*fvr,1)</f>
        <v>0</v>
      </c>
      <c r="C61" s="70" t="s">
        <v>87</v>
      </c>
      <c r="E61" s="2" t="s">
        <v>10</v>
      </c>
      <c r="F61" s="149">
        <f>ROUND(fbr*P.wednesday!F68,1)</f>
        <v>0</v>
      </c>
      <c r="G61" s="70" t="s">
        <v>87</v>
      </c>
    </row>
    <row r="62" spans="1:8" x14ac:dyDescent="0.2">
      <c r="A62" s="5" t="s">
        <v>3</v>
      </c>
      <c r="B62" s="69">
        <f>ROUND(B68*recipe!B80,1)</f>
        <v>0</v>
      </c>
      <c r="C62" s="146" t="s">
        <v>92</v>
      </c>
      <c r="E62" s="5" t="s">
        <v>3</v>
      </c>
      <c r="F62" s="145">
        <f>ROUND(recipe!C56*P.wednesday!F61,1)</f>
        <v>0</v>
      </c>
      <c r="G62" s="146" t="s">
        <v>92</v>
      </c>
      <c r="H62" s="115"/>
    </row>
    <row r="63" spans="1:8" x14ac:dyDescent="0.2">
      <c r="A63" s="5" t="s">
        <v>4</v>
      </c>
      <c r="B63" s="72">
        <f>ROUND(B68*recipe!B81,2)*1000</f>
        <v>0</v>
      </c>
      <c r="C63" s="146" t="s">
        <v>94</v>
      </c>
      <c r="E63" s="5" t="s">
        <v>5</v>
      </c>
      <c r="F63" s="142">
        <f>ROUND(recipe!C57*P.wednesday!F61,2)*1000</f>
        <v>0</v>
      </c>
      <c r="G63" s="146" t="s">
        <v>94</v>
      </c>
      <c r="H63" s="115"/>
    </row>
    <row r="64" spans="1:8" x14ac:dyDescent="0.2">
      <c r="A64" s="5" t="s">
        <v>5</v>
      </c>
      <c r="B64" s="72">
        <f>ROUND(B68*recipe!B82,2)*1000</f>
        <v>0</v>
      </c>
      <c r="C64" s="146" t="s">
        <v>94</v>
      </c>
      <c r="D64" s="115"/>
      <c r="E64" s="5" t="s">
        <v>196</v>
      </c>
      <c r="F64" s="142">
        <f>ROUND(recipe!C58*P.wednesday!F61,2)*1000</f>
        <v>0</v>
      </c>
      <c r="G64" s="146" t="s">
        <v>94</v>
      </c>
    </row>
    <row r="65" spans="1:7" x14ac:dyDescent="0.2">
      <c r="A65" s="5" t="s">
        <v>6</v>
      </c>
      <c r="B65" s="72">
        <f>ROUND(B68*recipe!B83,2)*1000</f>
        <v>0</v>
      </c>
      <c r="C65" s="146" t="s">
        <v>94</v>
      </c>
      <c r="E65" s="5" t="s">
        <v>133</v>
      </c>
      <c r="F65" s="142">
        <f>ROUND(recipe!C58*P.wednesday!F62,1)*1000</f>
        <v>0</v>
      </c>
      <c r="G65" s="146" t="s">
        <v>87</v>
      </c>
    </row>
    <row r="66" spans="1:7" x14ac:dyDescent="0.2">
      <c r="A66" s="5" t="s">
        <v>12</v>
      </c>
      <c r="B66" s="69">
        <f>ROUND(B68*recipe!B84,1)</f>
        <v>0</v>
      </c>
      <c r="C66" s="146" t="s">
        <v>87</v>
      </c>
      <c r="E66" s="3" t="s">
        <v>4</v>
      </c>
      <c r="F66" s="142">
        <f>ROUND(recipe!C60*P.wednesday!F61,2)*1000</f>
        <v>0</v>
      </c>
      <c r="G66" s="100" t="s">
        <v>94</v>
      </c>
    </row>
    <row r="67" spans="1:7" x14ac:dyDescent="0.2">
      <c r="A67" s="5" t="s">
        <v>205</v>
      </c>
      <c r="B67" s="69">
        <f>ROUND(B68*recipe!B85,1)</f>
        <v>0</v>
      </c>
      <c r="C67" s="146" t="s">
        <v>87</v>
      </c>
      <c r="F67" s="97"/>
    </row>
    <row r="68" spans="1:7" hidden="1" x14ac:dyDescent="0.2">
      <c r="A68" s="59"/>
      <c r="B68" s="60">
        <f>B59/recipe!B86</f>
        <v>0</v>
      </c>
      <c r="C68" s="135"/>
      <c r="D68" s="101"/>
      <c r="E68" s="231"/>
      <c r="F68" s="134">
        <f>F59/recipe!B61</f>
        <v>0</v>
      </c>
      <c r="G68" s="238"/>
    </row>
    <row r="69" spans="1:7" x14ac:dyDescent="0.2">
      <c r="A69" s="230"/>
      <c r="B69" s="237"/>
      <c r="C69" s="233"/>
      <c r="D69" s="101"/>
      <c r="E69" s="231"/>
      <c r="F69" s="235"/>
      <c r="G69" s="238"/>
    </row>
    <row r="70" spans="1:7" ht="15.75" x14ac:dyDescent="0.25">
      <c r="A70" s="176" t="s">
        <v>169</v>
      </c>
      <c r="B70" s="67">
        <f>wednesday!R113</f>
        <v>0</v>
      </c>
      <c r="C70" s="54" t="s">
        <v>87</v>
      </c>
      <c r="E70" s="176" t="s">
        <v>211</v>
      </c>
      <c r="F70" s="64">
        <f>wednesday!R84</f>
        <v>0</v>
      </c>
      <c r="G70" s="54" t="s">
        <v>87</v>
      </c>
    </row>
    <row r="71" spans="1:7" x14ac:dyDescent="0.2">
      <c r="B71" s="417" t="s">
        <v>91</v>
      </c>
      <c r="C71" s="417"/>
      <c r="F71" s="417" t="s">
        <v>91</v>
      </c>
      <c r="G71" s="417"/>
    </row>
    <row r="72" spans="1:7" x14ac:dyDescent="0.2">
      <c r="A72" s="8" t="s">
        <v>10</v>
      </c>
      <c r="B72" s="250">
        <f>ROUND(prnr*P.wednesday!B76,1)</f>
        <v>0</v>
      </c>
      <c r="C72" s="154" t="s">
        <v>87</v>
      </c>
      <c r="E72" s="2" t="s">
        <v>284</v>
      </c>
      <c r="F72" s="164">
        <f>ROUND(fpbr*P.wednesday!F76,1)</f>
        <v>0</v>
      </c>
      <c r="G72" s="154" t="s">
        <v>87</v>
      </c>
    </row>
    <row r="73" spans="1:7" x14ac:dyDescent="0.2">
      <c r="A73" s="9" t="s">
        <v>3</v>
      </c>
      <c r="B73" s="250">
        <f>ROUND(B72*recipe!G137,1)</f>
        <v>0</v>
      </c>
      <c r="C73" s="155" t="s">
        <v>87</v>
      </c>
      <c r="E73" s="5" t="s">
        <v>246</v>
      </c>
      <c r="F73" s="158">
        <f>ROUND(recipe!G33*P.wednesday!F72,1)</f>
        <v>0</v>
      </c>
      <c r="G73" s="155" t="s">
        <v>87</v>
      </c>
    </row>
    <row r="74" spans="1:7" x14ac:dyDescent="0.2">
      <c r="A74" s="62" t="s">
        <v>4</v>
      </c>
      <c r="B74" s="251">
        <f>ROUND(B72*recipe!G138,2)*1000</f>
        <v>0</v>
      </c>
      <c r="C74" s="100" t="s">
        <v>94</v>
      </c>
      <c r="E74" s="5" t="s">
        <v>3</v>
      </c>
      <c r="F74" s="158">
        <f>ROUND(recipe!G34*P.wednesday!F72,1)</f>
        <v>0</v>
      </c>
      <c r="G74" s="155" t="s">
        <v>92</v>
      </c>
    </row>
    <row r="75" spans="1:7" x14ac:dyDescent="0.2">
      <c r="A75" s="249" t="s">
        <v>5</v>
      </c>
      <c r="B75" s="251">
        <f>ROUND(B72*recipe!G139,2)*1000</f>
        <v>0</v>
      </c>
      <c r="C75" s="100" t="s">
        <v>94</v>
      </c>
      <c r="E75" s="5" t="s">
        <v>5</v>
      </c>
      <c r="F75" s="157">
        <f>ROUND(recipe!G35*P.wednesday!F72,2)*1000</f>
        <v>0</v>
      </c>
      <c r="G75" s="155" t="s">
        <v>94</v>
      </c>
    </row>
    <row r="76" spans="1:7" hidden="1" x14ac:dyDescent="0.2">
      <c r="B76" s="97">
        <f>B70/recipe!F140</f>
        <v>0</v>
      </c>
      <c r="C76" s="135"/>
      <c r="D76" s="101"/>
      <c r="F76" s="134">
        <f>F70/recipe!F39</f>
        <v>0</v>
      </c>
      <c r="G76" s="148"/>
    </row>
    <row r="77" spans="1:7" x14ac:dyDescent="0.2">
      <c r="C77" s="135"/>
      <c r="D77" s="101"/>
      <c r="G77" s="148"/>
    </row>
    <row r="78" spans="1:7" ht="15.75" x14ac:dyDescent="0.25">
      <c r="A78" s="227"/>
      <c r="B78" s="236"/>
      <c r="C78" s="324"/>
      <c r="E78" s="176" t="s">
        <v>285</v>
      </c>
      <c r="F78" s="64">
        <f>wednesday!R79</f>
        <v>0</v>
      </c>
      <c r="G78" s="54" t="s">
        <v>87</v>
      </c>
    </row>
    <row r="79" spans="1:7" ht="15.75" x14ac:dyDescent="0.25">
      <c r="A79" s="227"/>
      <c r="B79" s="236"/>
      <c r="C79" s="324"/>
      <c r="F79" s="417" t="s">
        <v>91</v>
      </c>
      <c r="G79" s="417"/>
    </row>
    <row r="80" spans="1:7" ht="15.75" x14ac:dyDescent="0.25">
      <c r="A80" s="227"/>
      <c r="B80" s="236"/>
      <c r="C80" s="324"/>
      <c r="E80" s="2" t="s">
        <v>10</v>
      </c>
      <c r="F80" s="164">
        <f>ROUND(fpbr*P.wednesday!F87,1)</f>
        <v>0</v>
      </c>
      <c r="G80" s="154" t="s">
        <v>87</v>
      </c>
    </row>
    <row r="81" spans="1:7" ht="15.75" x14ac:dyDescent="0.25">
      <c r="A81" s="227"/>
      <c r="B81" s="236"/>
      <c r="C81" s="324"/>
      <c r="E81" s="5" t="s">
        <v>282</v>
      </c>
      <c r="F81" s="158">
        <f>ROUND(recipe!G168*P.wednesday!F80,1)</f>
        <v>0</v>
      </c>
      <c r="G81" s="155" t="s">
        <v>87</v>
      </c>
    </row>
    <row r="82" spans="1:7" ht="15.75" x14ac:dyDescent="0.25">
      <c r="A82" s="227"/>
      <c r="B82" s="236"/>
      <c r="C82" s="324"/>
      <c r="E82" s="3" t="s">
        <v>3</v>
      </c>
      <c r="F82" s="158">
        <f>ROUND(recipe!G169*P.wednesday!F80,1)</f>
        <v>0</v>
      </c>
      <c r="G82" s="155" t="s">
        <v>92</v>
      </c>
    </row>
    <row r="83" spans="1:7" ht="15.75" x14ac:dyDescent="0.25">
      <c r="A83" s="227"/>
      <c r="B83" s="236"/>
      <c r="C83" s="324"/>
      <c r="E83" s="5" t="s">
        <v>4</v>
      </c>
      <c r="F83" s="157">
        <f>ROUND(recipe!G170*P.wednesday!F80,2)*1000</f>
        <v>0</v>
      </c>
      <c r="G83" s="155" t="s">
        <v>94</v>
      </c>
    </row>
    <row r="84" spans="1:7" ht="15.75" x14ac:dyDescent="0.25">
      <c r="A84" s="227"/>
      <c r="B84" s="236"/>
      <c r="C84" s="324"/>
      <c r="E84" s="5" t="s">
        <v>6</v>
      </c>
      <c r="F84" s="157">
        <f>ROUND(recipe!G171*P.wednesday!F80,2)*1000</f>
        <v>0</v>
      </c>
      <c r="G84" s="155" t="s">
        <v>94</v>
      </c>
    </row>
    <row r="85" spans="1:7" ht="15.75" x14ac:dyDescent="0.25">
      <c r="A85" s="227"/>
      <c r="B85" s="236"/>
      <c r="C85" s="324"/>
      <c r="D85" s="101"/>
      <c r="E85" s="14" t="s">
        <v>205</v>
      </c>
      <c r="F85" s="157">
        <f>ROUND(recipe!G172*P.wednesday!F80,2)*1000</f>
        <v>0</v>
      </c>
      <c r="G85" s="155" t="s">
        <v>94</v>
      </c>
    </row>
    <row r="86" spans="1:7" x14ac:dyDescent="0.2">
      <c r="A86" s="231"/>
      <c r="B86" s="236"/>
      <c r="C86" s="324"/>
      <c r="D86" s="101"/>
      <c r="E86" s="5" t="s">
        <v>283</v>
      </c>
      <c r="F86" s="157">
        <f>ROUND(recipe!G173*P.wednesday!F80,2)*1000</f>
        <v>0</v>
      </c>
      <c r="G86" s="155" t="s">
        <v>94</v>
      </c>
    </row>
    <row r="87" spans="1:7" hidden="1" x14ac:dyDescent="0.2">
      <c r="A87" s="323"/>
      <c r="B87" s="323"/>
      <c r="C87" s="325"/>
      <c r="D87" s="101"/>
      <c r="F87" s="134">
        <f>F78/recipe!F174</f>
        <v>0</v>
      </c>
      <c r="G87" s="148"/>
    </row>
    <row r="88" spans="1:7" x14ac:dyDescent="0.2">
      <c r="A88" s="323"/>
      <c r="B88" s="323"/>
      <c r="C88" s="325"/>
      <c r="D88" s="101"/>
      <c r="G88" s="148"/>
    </row>
    <row r="89" spans="1:7" ht="14.25" customHeight="1" x14ac:dyDescent="0.25">
      <c r="A89" s="176" t="s">
        <v>95</v>
      </c>
      <c r="B89" s="53">
        <f>wednesday!R30</f>
        <v>0</v>
      </c>
      <c r="C89" s="54" t="s">
        <v>87</v>
      </c>
      <c r="D89" s="179" t="s">
        <v>198</v>
      </c>
      <c r="E89" s="176" t="s">
        <v>95</v>
      </c>
      <c r="F89" s="53">
        <f>wednesday!R30</f>
        <v>0</v>
      </c>
      <c r="G89" s="54" t="s">
        <v>87</v>
      </c>
    </row>
    <row r="90" spans="1:7" ht="14.25" customHeight="1" x14ac:dyDescent="0.2">
      <c r="B90" s="297" t="s">
        <v>91</v>
      </c>
      <c r="C90" s="297"/>
      <c r="F90" s="297" t="s">
        <v>91</v>
      </c>
      <c r="G90" s="297"/>
    </row>
    <row r="91" spans="1:7" ht="14.25" customHeight="1" x14ac:dyDescent="0.2">
      <c r="A91" s="8" t="s">
        <v>9</v>
      </c>
      <c r="B91" s="252">
        <f>ROUND(fpcr*P.wednesday!B97,0)</f>
        <v>0</v>
      </c>
      <c r="C91" s="154" t="s">
        <v>87</v>
      </c>
      <c r="E91" s="8" t="s">
        <v>199</v>
      </c>
      <c r="F91" s="255">
        <f>ROUND(F97*recipe!F44,1)</f>
        <v>0</v>
      </c>
      <c r="G91" s="154" t="s">
        <v>87</v>
      </c>
    </row>
    <row r="92" spans="1:7" ht="14.25" customHeight="1" x14ac:dyDescent="0.2">
      <c r="A92" s="9" t="s">
        <v>197</v>
      </c>
      <c r="B92" s="253">
        <f>ROUND(recipe!C45*P.wednesday!B97,1)</f>
        <v>0</v>
      </c>
      <c r="C92" s="155" t="s">
        <v>92</v>
      </c>
      <c r="E92" s="9" t="s">
        <v>200</v>
      </c>
      <c r="F92" s="252">
        <f>ROUND(F97*recipe!F45,1)</f>
        <v>0</v>
      </c>
      <c r="G92" s="155" t="s">
        <v>87</v>
      </c>
    </row>
    <row r="93" spans="1:7" ht="14.25" customHeight="1" x14ac:dyDescent="0.2">
      <c r="A93" s="9" t="s">
        <v>11</v>
      </c>
      <c r="B93" s="253">
        <f>ROUND(recipe!C46*P.wednesday!B91,1)</f>
        <v>0</v>
      </c>
      <c r="C93" s="155" t="s">
        <v>94</v>
      </c>
      <c r="E93" s="9" t="s">
        <v>201</v>
      </c>
      <c r="F93" s="256">
        <f>ROUND(F97*recipe!F46,1)*1000</f>
        <v>0</v>
      </c>
      <c r="G93" s="155" t="s">
        <v>94</v>
      </c>
    </row>
    <row r="94" spans="1:7" ht="14.25" customHeight="1" x14ac:dyDescent="0.2">
      <c r="A94" s="9" t="s">
        <v>5</v>
      </c>
      <c r="B94" s="254">
        <f>ROUND(recipe!C47*P.wednesday!B91,1)*1000</f>
        <v>0</v>
      </c>
      <c r="C94" s="155" t="s">
        <v>94</v>
      </c>
      <c r="E94" s="84"/>
      <c r="F94" s="159"/>
      <c r="G94" s="257"/>
    </row>
    <row r="95" spans="1:7" ht="14.25" customHeight="1" x14ac:dyDescent="0.2">
      <c r="A95" s="65" t="s">
        <v>200</v>
      </c>
      <c r="B95" s="253">
        <f>ROUND(recipe!C48*P.wednesday!B91,1)</f>
        <v>0</v>
      </c>
      <c r="C95" s="155" t="s">
        <v>87</v>
      </c>
      <c r="E95" s="231"/>
      <c r="F95" s="184"/>
      <c r="G95" s="148"/>
    </row>
    <row r="96" spans="1:7" ht="14.25" customHeight="1" x14ac:dyDescent="0.2">
      <c r="A96" s="9" t="s">
        <v>201</v>
      </c>
      <c r="B96" s="254">
        <f>ROUND(recipe!C49*P.wednesday!B91,1)*1000</f>
        <v>0</v>
      </c>
      <c r="C96" s="163" t="s">
        <v>94</v>
      </c>
      <c r="E96" s="63"/>
      <c r="F96" s="181"/>
      <c r="G96" s="165"/>
    </row>
    <row r="97" spans="1:7" ht="14.25" hidden="1" customHeight="1" x14ac:dyDescent="0.2">
      <c r="B97" s="180">
        <f>B89/recipe!B50</f>
        <v>0</v>
      </c>
      <c r="C97" s="148"/>
      <c r="F97" s="134">
        <f>F89/recipe!F50</f>
        <v>0</v>
      </c>
      <c r="G97" s="148"/>
    </row>
    <row r="98" spans="1:7" x14ac:dyDescent="0.2">
      <c r="B98" s="134"/>
      <c r="C98" s="160"/>
    </row>
    <row r="99" spans="1:7" ht="15.75" x14ac:dyDescent="0.25">
      <c r="A99" s="176" t="s">
        <v>18</v>
      </c>
      <c r="B99" s="64">
        <f>wednesday!R31</f>
        <v>0</v>
      </c>
      <c r="C99" s="54" t="s">
        <v>87</v>
      </c>
      <c r="D99" s="57"/>
      <c r="E99" s="176" t="s">
        <v>151</v>
      </c>
      <c r="F99" s="64">
        <f>wednesday!R37</f>
        <v>0</v>
      </c>
      <c r="G99" s="54" t="s">
        <v>87</v>
      </c>
    </row>
    <row r="100" spans="1:7" x14ac:dyDescent="0.2">
      <c r="B100" s="417" t="s">
        <v>91</v>
      </c>
      <c r="C100" s="417"/>
      <c r="D100" s="80"/>
      <c r="F100" s="417" t="s">
        <v>91</v>
      </c>
      <c r="G100" s="417"/>
    </row>
    <row r="101" spans="1:7" x14ac:dyDescent="0.2">
      <c r="A101" s="2" t="s">
        <v>204</v>
      </c>
      <c r="B101" s="69">
        <f>ROUND(psr*P.wednesday!B106,1)</f>
        <v>0</v>
      </c>
      <c r="C101" s="70" t="s">
        <v>87</v>
      </c>
      <c r="D101" s="101"/>
      <c r="E101" s="8" t="s">
        <v>152</v>
      </c>
      <c r="F101" s="263">
        <f>ROUND(fcre*P.wednesday!F106,1)</f>
        <v>0</v>
      </c>
      <c r="G101" s="70" t="s">
        <v>87</v>
      </c>
    </row>
    <row r="102" spans="1:7" x14ac:dyDescent="0.2">
      <c r="A102" s="5" t="s">
        <v>19</v>
      </c>
      <c r="B102" s="69">
        <f>ROUND(recipe!C69*P.wednesday!B101,1)</f>
        <v>0</v>
      </c>
      <c r="C102" s="146" t="s">
        <v>87</v>
      </c>
      <c r="D102" s="101"/>
      <c r="E102" s="9" t="s">
        <v>10</v>
      </c>
      <c r="F102" s="263">
        <f>ROUND(recipe!G69*P.wednesday!F101,1)</f>
        <v>0</v>
      </c>
      <c r="G102" s="146" t="s">
        <v>87</v>
      </c>
    </row>
    <row r="103" spans="1:7" x14ac:dyDescent="0.2">
      <c r="A103" s="5" t="s">
        <v>252</v>
      </c>
      <c r="B103" s="69">
        <f>ROUND(recipe!C70*P.wednesday!B101,1)</f>
        <v>0</v>
      </c>
      <c r="C103" s="146" t="s">
        <v>87</v>
      </c>
      <c r="D103" s="101"/>
      <c r="E103" s="84" t="s">
        <v>5</v>
      </c>
      <c r="F103" s="263">
        <f>ROUND(recipe!G70*P.wednesday!F101,1)</f>
        <v>0</v>
      </c>
      <c r="G103" s="167" t="s">
        <v>94</v>
      </c>
    </row>
    <row r="104" spans="1:7" x14ac:dyDescent="0.2">
      <c r="A104" s="5" t="s">
        <v>3</v>
      </c>
      <c r="B104" s="97">
        <f>ROUND(recipe!C71*P.wednesday!B101,1)</f>
        <v>0</v>
      </c>
      <c r="C104" s="163" t="s">
        <v>87</v>
      </c>
      <c r="D104" s="101"/>
      <c r="E104" s="62" t="s">
        <v>3</v>
      </c>
      <c r="F104" s="264">
        <f>ROUND(recipe!G71*P.wednesday!F101,1)</f>
        <v>0</v>
      </c>
      <c r="G104" s="163" t="s">
        <v>92</v>
      </c>
    </row>
    <row r="105" spans="1:7" x14ac:dyDescent="0.2">
      <c r="A105" s="5" t="s">
        <v>5</v>
      </c>
      <c r="B105" s="168">
        <f>ROUND(recipe!C72*P.wednesday!B101,2)*1000</f>
        <v>0</v>
      </c>
      <c r="C105" s="163" t="s">
        <v>94</v>
      </c>
      <c r="D105" s="101"/>
      <c r="E105" s="244" t="s">
        <v>4</v>
      </c>
      <c r="F105" s="256">
        <f>ROUND(recipe!G72*P.wednesday!F101,2)*1000</f>
        <v>0</v>
      </c>
      <c r="G105" s="246" t="s">
        <v>94</v>
      </c>
    </row>
    <row r="106" spans="1:7" hidden="1" x14ac:dyDescent="0.2">
      <c r="B106" s="134">
        <f>B99/recipe!B73</f>
        <v>0</v>
      </c>
      <c r="C106" s="135"/>
      <c r="D106" s="101"/>
      <c r="F106" s="134">
        <f>F99/recipe!F73</f>
        <v>0</v>
      </c>
      <c r="G106" s="148"/>
    </row>
    <row r="107" spans="1:7" x14ac:dyDescent="0.2">
      <c r="B107" s="134"/>
      <c r="C107" s="135"/>
      <c r="G107" s="160"/>
    </row>
    <row r="108" spans="1:7" ht="4.5" customHeight="1" x14ac:dyDescent="0.2">
      <c r="B108" s="134"/>
      <c r="C108" s="135"/>
      <c r="G108" s="160"/>
    </row>
    <row r="109" spans="1:7" ht="15.75" x14ac:dyDescent="0.25">
      <c r="A109" s="176" t="s">
        <v>20</v>
      </c>
      <c r="B109" s="53">
        <f>wednesday!R108</f>
        <v>0</v>
      </c>
      <c r="C109" s="54" t="s">
        <v>87</v>
      </c>
      <c r="D109" s="132"/>
      <c r="E109" s="176" t="s">
        <v>8</v>
      </c>
      <c r="F109" s="53">
        <f>wednesday!R98</f>
        <v>0</v>
      </c>
      <c r="G109" s="54" t="s">
        <v>87</v>
      </c>
    </row>
    <row r="110" spans="1:7" x14ac:dyDescent="0.2">
      <c r="B110" s="417" t="s">
        <v>91</v>
      </c>
      <c r="C110" s="417"/>
      <c r="D110" s="80"/>
      <c r="F110" s="417" t="s">
        <v>91</v>
      </c>
      <c r="G110" s="417"/>
    </row>
    <row r="111" spans="1:7" x14ac:dyDescent="0.2">
      <c r="A111" s="2" t="s">
        <v>206</v>
      </c>
      <c r="B111" s="161">
        <f>ROUND(fasr*P.wednesday!B118,0)</f>
        <v>0</v>
      </c>
      <c r="C111" s="70" t="s">
        <v>87</v>
      </c>
      <c r="D111" s="101"/>
      <c r="E111" s="2" t="s">
        <v>10</v>
      </c>
      <c r="F111" s="161">
        <f>ROUND(fpsfgr*P.wednesday!F118,0)</f>
        <v>0</v>
      </c>
      <c r="G111" s="154" t="s">
        <v>87</v>
      </c>
    </row>
    <row r="112" spans="1:7" x14ac:dyDescent="0.2">
      <c r="A112" s="5" t="s">
        <v>207</v>
      </c>
      <c r="B112" s="169">
        <f>ROUND(recipe!G56*P.wednesday!B111,1)</f>
        <v>0</v>
      </c>
      <c r="C112" s="146" t="s">
        <v>87</v>
      </c>
      <c r="D112" s="101"/>
      <c r="E112" s="5" t="s">
        <v>3</v>
      </c>
      <c r="F112" s="169">
        <f>ROUND(recipe!G80*P.wednesday!F111,1)</f>
        <v>0</v>
      </c>
      <c r="G112" s="155" t="s">
        <v>92</v>
      </c>
    </row>
    <row r="113" spans="1:7" x14ac:dyDescent="0.2">
      <c r="A113" s="5" t="s">
        <v>3</v>
      </c>
      <c r="B113" s="169">
        <f>ROUND(recipe!G57*P.wednesday!B111,1)</f>
        <v>0</v>
      </c>
      <c r="C113" s="146" t="s">
        <v>92</v>
      </c>
      <c r="D113" s="101"/>
      <c r="E113" s="5" t="s">
        <v>205</v>
      </c>
      <c r="F113" s="169">
        <f>ROUND(recipe!G81*P.wednesday!F111,1)</f>
        <v>0</v>
      </c>
      <c r="G113" s="155" t="s">
        <v>87</v>
      </c>
    </row>
    <row r="114" spans="1:7" x14ac:dyDescent="0.2">
      <c r="A114" s="5" t="s">
        <v>4</v>
      </c>
      <c r="B114" s="157">
        <f>ROUND(recipe!G58*P.wednesday!B111,2)*1000</f>
        <v>0</v>
      </c>
      <c r="C114" s="146" t="s">
        <v>94</v>
      </c>
      <c r="D114" s="101"/>
      <c r="E114" s="5" t="s">
        <v>4</v>
      </c>
      <c r="F114" s="157">
        <f>ROUND(recipe!G82*P.wednesday!F111,2)*1000</f>
        <v>0</v>
      </c>
      <c r="G114" s="155" t="s">
        <v>94</v>
      </c>
    </row>
    <row r="115" spans="1:7" x14ac:dyDescent="0.2">
      <c r="A115" s="5" t="s">
        <v>5</v>
      </c>
      <c r="B115" s="157">
        <f>ROUND(recipe!G59*P.wednesday!B111,2)*1000</f>
        <v>0</v>
      </c>
      <c r="C115" s="146" t="s">
        <v>94</v>
      </c>
      <c r="D115" s="101"/>
      <c r="E115" s="5" t="s">
        <v>5</v>
      </c>
      <c r="F115" s="157">
        <f>ROUND(recipe!G83*P.wednesday!F111,2)*1000</f>
        <v>0</v>
      </c>
      <c r="G115" s="155" t="s">
        <v>94</v>
      </c>
    </row>
    <row r="116" spans="1:7" x14ac:dyDescent="0.2">
      <c r="A116" s="3" t="s">
        <v>208</v>
      </c>
      <c r="B116" s="171">
        <f>ROUND(recipe!G60*P.wednesday!B111,1)</f>
        <v>0</v>
      </c>
      <c r="C116" s="100" t="s">
        <v>87</v>
      </c>
      <c r="D116" s="101"/>
      <c r="E116" s="5" t="s">
        <v>6</v>
      </c>
      <c r="F116" s="157">
        <f>ROUND(recipe!G84*P.wednesday!F111,2)*1000</f>
        <v>0</v>
      </c>
      <c r="G116" s="155" t="s">
        <v>94</v>
      </c>
    </row>
    <row r="117" spans="1:7" x14ac:dyDescent="0.2">
      <c r="C117" s="148"/>
      <c r="D117" s="101"/>
      <c r="E117" s="3" t="s">
        <v>12</v>
      </c>
      <c r="F117" s="157">
        <f>ROUND(recipe!G85*P.wednesday!F111,1)*1000</f>
        <v>0</v>
      </c>
      <c r="G117" s="155" t="s">
        <v>94</v>
      </c>
    </row>
    <row r="118" spans="1:7" x14ac:dyDescent="0.2">
      <c r="B118" s="134">
        <f>B109/recipe!F61</f>
        <v>0</v>
      </c>
      <c r="D118" s="101"/>
      <c r="F118" s="134">
        <f>F109/recipe!F86</f>
        <v>0</v>
      </c>
      <c r="G118" s="148"/>
    </row>
    <row r="119" spans="1:7" x14ac:dyDescent="0.2">
      <c r="A119" s="59"/>
      <c r="B119" s="60"/>
      <c r="C119" s="135"/>
      <c r="D119" s="101"/>
      <c r="F119" s="97"/>
      <c r="G119" s="97"/>
    </row>
    <row r="120" spans="1:7" x14ac:dyDescent="0.2">
      <c r="B120" s="134"/>
      <c r="C120" s="135"/>
      <c r="G120" s="160"/>
    </row>
    <row r="121" spans="1:7" ht="15.75" x14ac:dyDescent="0.25">
      <c r="A121" s="176" t="s">
        <v>180</v>
      </c>
      <c r="B121" s="67">
        <f>wednesday!R115</f>
        <v>0</v>
      </c>
      <c r="C121" s="54" t="s">
        <v>87</v>
      </c>
      <c r="D121" s="132"/>
      <c r="E121" s="176" t="s">
        <v>160</v>
      </c>
      <c r="F121" s="67">
        <f>wednesday!R92</f>
        <v>0</v>
      </c>
      <c r="G121" s="54" t="s">
        <v>87</v>
      </c>
    </row>
    <row r="122" spans="1:7" x14ac:dyDescent="0.2">
      <c r="B122" s="420" t="s">
        <v>91</v>
      </c>
      <c r="C122" s="420"/>
      <c r="D122" s="80"/>
      <c r="F122" s="417" t="s">
        <v>91</v>
      </c>
      <c r="G122" s="417"/>
    </row>
    <row r="123" spans="1:7" x14ac:dyDescent="0.2">
      <c r="A123" s="244" t="s">
        <v>10</v>
      </c>
      <c r="B123" s="247">
        <f>ROUND(recipe!B93*P.wednesday!B131,1)</f>
        <v>0</v>
      </c>
      <c r="C123" s="245" t="s">
        <v>87</v>
      </c>
      <c r="D123" s="80"/>
      <c r="E123" s="8" t="s">
        <v>247</v>
      </c>
      <c r="F123" s="267">
        <f>ROUND(fmnp*P.wednesday!F131,1)</f>
        <v>0</v>
      </c>
      <c r="G123" s="70" t="s">
        <v>87</v>
      </c>
    </row>
    <row r="124" spans="1:7" x14ac:dyDescent="0.2">
      <c r="A124" s="244" t="s">
        <v>237</v>
      </c>
      <c r="B124" s="247">
        <f>ROUND(recipe!C94*P.wednesday!B123,2)</f>
        <v>0</v>
      </c>
      <c r="C124" s="245" t="s">
        <v>92</v>
      </c>
      <c r="D124" s="80"/>
      <c r="E124" s="9" t="s">
        <v>246</v>
      </c>
      <c r="F124" s="258">
        <f>ROUND(recipe!G94*P.wednesday!F123,2)</f>
        <v>0</v>
      </c>
      <c r="G124" s="146" t="s">
        <v>87</v>
      </c>
    </row>
    <row r="125" spans="1:7" x14ac:dyDescent="0.2">
      <c r="A125" s="244" t="s">
        <v>238</v>
      </c>
      <c r="B125" s="247">
        <f>ROUND(recipe!C95*P.wednesday!B123,2)</f>
        <v>0</v>
      </c>
      <c r="C125" s="245" t="s">
        <v>92</v>
      </c>
      <c r="D125" s="80"/>
      <c r="E125" s="9" t="s">
        <v>3</v>
      </c>
      <c r="F125" s="259">
        <f>ROUND(recipe!G95*P.wednesday!F123,2)</f>
        <v>0</v>
      </c>
      <c r="G125" s="146" t="s">
        <v>92</v>
      </c>
    </row>
    <row r="126" spans="1:7" x14ac:dyDescent="0.2">
      <c r="A126" s="244" t="s">
        <v>16</v>
      </c>
      <c r="B126" s="247">
        <f>ROUND(recipe!C96*P.wednesday!B123,2)</f>
        <v>0</v>
      </c>
      <c r="C126" s="245" t="s">
        <v>87</v>
      </c>
      <c r="D126" s="80"/>
      <c r="E126" s="9" t="s">
        <v>5</v>
      </c>
      <c r="F126" s="260">
        <f>ROUND(recipe!G96*P.wednesday!F123,2)*1000</f>
        <v>0</v>
      </c>
      <c r="G126" s="146" t="s">
        <v>94</v>
      </c>
    </row>
    <row r="127" spans="1:7" x14ac:dyDescent="0.2">
      <c r="A127" s="244" t="s">
        <v>12</v>
      </c>
      <c r="B127" s="248">
        <f>ROUND(recipe!C97*P.wednesday!B123,2)*1000</f>
        <v>0</v>
      </c>
      <c r="C127" s="245" t="s">
        <v>94</v>
      </c>
      <c r="D127" s="80"/>
      <c r="E127" s="9"/>
      <c r="F127" s="260">
        <f>ROUND(recipe!G97*P.wednesday!F123,2)*1000</f>
        <v>0</v>
      </c>
      <c r="G127" s="146" t="s">
        <v>94</v>
      </c>
    </row>
    <row r="128" spans="1:7" x14ac:dyDescent="0.2">
      <c r="A128" s="244" t="s">
        <v>5</v>
      </c>
      <c r="B128" s="248">
        <f>ROUND(recipe!C98*P.wednesday!B123,2)*1000</f>
        <v>0</v>
      </c>
      <c r="C128" s="245" t="s">
        <v>94</v>
      </c>
      <c r="D128" s="80"/>
      <c r="E128" s="9"/>
      <c r="F128" s="260">
        <f>ROUND(recipe!G98*P.wednesday!F123,2)*1000</f>
        <v>0</v>
      </c>
      <c r="G128" s="146" t="s">
        <v>94</v>
      </c>
    </row>
    <row r="129" spans="1:7" x14ac:dyDescent="0.2">
      <c r="A129" s="244" t="s">
        <v>4</v>
      </c>
      <c r="B129" s="248">
        <f>ROUND(recipe!C99*P.wednesday!B123,2)*1000</f>
        <v>0</v>
      </c>
      <c r="C129" s="246" t="s">
        <v>94</v>
      </c>
      <c r="D129" s="101"/>
      <c r="E129" s="9"/>
      <c r="F129" s="260">
        <f>ROUND(recipe!G99*P.wednesday!F123,2)*1000</f>
        <v>0</v>
      </c>
      <c r="G129" s="146" t="s">
        <v>94</v>
      </c>
    </row>
    <row r="130" spans="1:7" x14ac:dyDescent="0.2">
      <c r="A130" s="244" t="s">
        <v>6</v>
      </c>
      <c r="B130" s="248">
        <f>ROUND(recipe!C100*P.wednesday!B123,2)*1000</f>
        <v>0</v>
      </c>
      <c r="C130" s="246" t="s">
        <v>94</v>
      </c>
      <c r="D130" s="101"/>
      <c r="E130" s="9"/>
      <c r="F130" s="260">
        <f>ROUND(recipe!G100*P.wednesday!F123,2)*1000</f>
        <v>0</v>
      </c>
      <c r="G130" s="146" t="s">
        <v>94</v>
      </c>
    </row>
    <row r="131" spans="1:7" hidden="1" x14ac:dyDescent="0.2">
      <c r="B131" s="172">
        <f>B121/recipe!B101</f>
        <v>0</v>
      </c>
      <c r="C131" s="173"/>
      <c r="D131" s="101"/>
      <c r="E131" s="59"/>
      <c r="F131" s="60">
        <f>F121/recipe!F101</f>
        <v>0</v>
      </c>
      <c r="G131" s="148"/>
    </row>
    <row r="132" spans="1:7" x14ac:dyDescent="0.2">
      <c r="B132" s="134"/>
      <c r="C132" s="135"/>
      <c r="G132" s="160"/>
    </row>
    <row r="133" spans="1:7" ht="15.75" x14ac:dyDescent="0.25">
      <c r="A133" s="176" t="s">
        <v>250</v>
      </c>
      <c r="B133" s="67">
        <f>wednesday!R76</f>
        <v>0</v>
      </c>
      <c r="C133" s="54" t="s">
        <v>87</v>
      </c>
      <c r="D133" s="132"/>
      <c r="E133" s="176" t="s">
        <v>265</v>
      </c>
      <c r="F133" s="67"/>
      <c r="G133" s="54" t="s">
        <v>87</v>
      </c>
    </row>
    <row r="134" spans="1:7" x14ac:dyDescent="0.2">
      <c r="B134" s="417" t="s">
        <v>91</v>
      </c>
      <c r="C134" s="417"/>
      <c r="D134" s="80"/>
      <c r="F134" s="417" t="s">
        <v>91</v>
      </c>
      <c r="G134" s="417"/>
    </row>
    <row r="135" spans="1:7" x14ac:dyDescent="0.2">
      <c r="A135" s="2" t="s">
        <v>266</v>
      </c>
      <c r="B135" s="69">
        <f>ROUND(recipe!B155*P.wednesday!B139,1)</f>
        <v>0</v>
      </c>
      <c r="C135" s="70" t="s">
        <v>87</v>
      </c>
      <c r="D135" s="101"/>
      <c r="E135" s="2" t="s">
        <v>248</v>
      </c>
      <c r="F135" s="69">
        <f>ROUND(recipe!B145*P.wednesday!F139,1)</f>
        <v>0</v>
      </c>
      <c r="G135" s="70" t="s">
        <v>87</v>
      </c>
    </row>
    <row r="136" spans="1:7" x14ac:dyDescent="0.2">
      <c r="A136" s="5" t="s">
        <v>3</v>
      </c>
      <c r="B136" s="69">
        <f>ROUND(recipe!C156*P.wednesday!B135,1)</f>
        <v>0</v>
      </c>
      <c r="C136" s="71" t="s">
        <v>92</v>
      </c>
      <c r="D136" s="101"/>
      <c r="E136" s="5" t="s">
        <v>3</v>
      </c>
      <c r="F136" s="69">
        <f>ROUND(recipe!C146*P.wednesday!F135,1)</f>
        <v>0</v>
      </c>
      <c r="G136" s="71" t="s">
        <v>92</v>
      </c>
    </row>
    <row r="137" spans="1:7" x14ac:dyDescent="0.2">
      <c r="A137" s="5" t="s">
        <v>5</v>
      </c>
      <c r="B137" s="72">
        <f>ROUND(recipe!C157*P.wednesday!B135,2)*1000</f>
        <v>0</v>
      </c>
      <c r="C137" s="146" t="s">
        <v>94</v>
      </c>
      <c r="D137" s="101"/>
      <c r="E137" s="5" t="s">
        <v>5</v>
      </c>
      <c r="F137" s="72">
        <f>ROUND(recipe!C147*P.wednesday!F135,2)*1000</f>
        <v>0</v>
      </c>
      <c r="G137" s="146" t="s">
        <v>94</v>
      </c>
    </row>
    <row r="138" spans="1:7" x14ac:dyDescent="0.2">
      <c r="A138" s="63" t="s">
        <v>246</v>
      </c>
      <c r="B138" s="166">
        <f>ROUND(recipe!C158*P.wednesday!B135,1)</f>
        <v>0</v>
      </c>
      <c r="C138" s="165" t="s">
        <v>87</v>
      </c>
      <c r="D138" s="101"/>
      <c r="E138" s="63" t="s">
        <v>246</v>
      </c>
      <c r="F138" s="166">
        <f>ROUND(recipe!C148*P.wednesday!F135,2)</f>
        <v>0</v>
      </c>
      <c r="G138" s="165" t="s">
        <v>87</v>
      </c>
    </row>
    <row r="139" spans="1:7" hidden="1" x14ac:dyDescent="0.2">
      <c r="B139" s="166">
        <f>B133/recipe!B159</f>
        <v>0</v>
      </c>
      <c r="C139" s="148"/>
      <c r="D139" s="101"/>
      <c r="F139" s="166">
        <f>F133/recipe!B149</f>
        <v>0</v>
      </c>
      <c r="G139" s="148"/>
    </row>
    <row r="140" spans="1:7" x14ac:dyDescent="0.2">
      <c r="B140" s="134"/>
      <c r="C140" s="135"/>
      <c r="G140" s="160"/>
    </row>
    <row r="141" spans="1:7" ht="15.75" x14ac:dyDescent="0.25">
      <c r="A141" s="176" t="s">
        <v>156</v>
      </c>
      <c r="B141" s="68">
        <f>wednesday!R48</f>
        <v>0</v>
      </c>
      <c r="C141" s="54" t="s">
        <v>87</v>
      </c>
      <c r="D141" s="132"/>
      <c r="E141" s="176" t="s">
        <v>164</v>
      </c>
      <c r="F141" s="67">
        <f>wednesday!R33</f>
        <v>0</v>
      </c>
      <c r="G141" s="54" t="s">
        <v>87</v>
      </c>
    </row>
    <row r="142" spans="1:7" x14ac:dyDescent="0.2">
      <c r="B142" s="417" t="s">
        <v>91</v>
      </c>
      <c r="C142" s="417"/>
      <c r="D142" s="80"/>
      <c r="F142" s="417" t="s">
        <v>91</v>
      </c>
      <c r="G142" s="417"/>
    </row>
    <row r="143" spans="1:7" x14ac:dyDescent="0.2">
      <c r="A143" s="2" t="s">
        <v>251</v>
      </c>
      <c r="B143" s="69">
        <f>ROUND(fbpp*P.wednesday!B147,1)</f>
        <v>0</v>
      </c>
      <c r="C143" s="70" t="s">
        <v>87</v>
      </c>
      <c r="D143" s="101"/>
      <c r="E143" s="8" t="s">
        <v>10</v>
      </c>
      <c r="F143" s="250">
        <f>ROUND(pssp*P.wednesday!F147,1)</f>
        <v>0</v>
      </c>
      <c r="G143" s="154" t="s">
        <v>87</v>
      </c>
    </row>
    <row r="144" spans="1:7" x14ac:dyDescent="0.2">
      <c r="A144" s="5" t="s">
        <v>3</v>
      </c>
      <c r="B144" s="162">
        <f>ROUND(recipe!C109*P.wednesday!B143,1)</f>
        <v>0</v>
      </c>
      <c r="C144" s="146" t="s">
        <v>92</v>
      </c>
      <c r="D144" s="101"/>
      <c r="E144" s="8" t="s">
        <v>170</v>
      </c>
      <c r="F144" s="262">
        <f>ROUND(recipe!G109*P.wednesday!F143,1)</f>
        <v>0</v>
      </c>
      <c r="G144" s="100" t="s">
        <v>87</v>
      </c>
    </row>
    <row r="145" spans="1:8" x14ac:dyDescent="0.2">
      <c r="A145" s="5" t="s">
        <v>5</v>
      </c>
      <c r="B145" s="142">
        <f>ROUND(recipe!C110*P.wednesday!B143,2)*1000</f>
        <v>0</v>
      </c>
      <c r="C145" s="146" t="s">
        <v>94</v>
      </c>
      <c r="D145" s="101"/>
      <c r="E145" s="8" t="s">
        <v>3</v>
      </c>
      <c r="F145" s="250">
        <f>ROUND(recipe!G110*P.wednesday!F143,1)</f>
        <v>0</v>
      </c>
      <c r="G145" s="154" t="s">
        <v>87</v>
      </c>
    </row>
    <row r="146" spans="1:8" x14ac:dyDescent="0.2">
      <c r="A146" s="3" t="s">
        <v>246</v>
      </c>
      <c r="B146" s="151">
        <f>ROUND(recipe!C111*P.wednesday!B143,1)</f>
        <v>0</v>
      </c>
      <c r="C146" s="163" t="s">
        <v>87</v>
      </c>
      <c r="D146" s="101"/>
      <c r="E146" s="8" t="s">
        <v>5</v>
      </c>
      <c r="F146" s="261">
        <f>ROUND(recipe!G111*P.wednesday!F143,2)*1000</f>
        <v>0</v>
      </c>
      <c r="G146" s="100" t="s">
        <v>94</v>
      </c>
    </row>
    <row r="147" spans="1:8" hidden="1" x14ac:dyDescent="0.2">
      <c r="B147" s="134">
        <f>B141/recipe!B113</f>
        <v>0</v>
      </c>
      <c r="C147" s="135"/>
      <c r="F147" s="170">
        <f>F141/recipe!F114</f>
        <v>0</v>
      </c>
      <c r="G147" s="148"/>
    </row>
    <row r="148" spans="1:8" x14ac:dyDescent="0.2">
      <c r="B148" s="134"/>
      <c r="C148" s="135"/>
      <c r="F148" s="166"/>
      <c r="G148" s="148"/>
    </row>
    <row r="149" spans="1:8" ht="15.75" x14ac:dyDescent="0.25">
      <c r="A149" s="176" t="s">
        <v>281</v>
      </c>
      <c r="B149" s="53">
        <f>wednesday!R105</f>
        <v>0</v>
      </c>
      <c r="C149" s="54" t="s">
        <v>87</v>
      </c>
      <c r="D149" s="132"/>
      <c r="E149" s="176" t="s">
        <v>13</v>
      </c>
      <c r="F149" s="64">
        <f>wednesday!R153</f>
        <v>0</v>
      </c>
      <c r="G149" s="54" t="s">
        <v>87</v>
      </c>
      <c r="H149" s="57"/>
    </row>
    <row r="150" spans="1:8" x14ac:dyDescent="0.2">
      <c r="B150" s="417" t="s">
        <v>91</v>
      </c>
      <c r="C150" s="417"/>
      <c r="D150" s="80"/>
      <c r="F150" s="417" t="s">
        <v>91</v>
      </c>
      <c r="G150" s="417"/>
      <c r="H150" s="80"/>
    </row>
    <row r="151" spans="1:8" x14ac:dyDescent="0.2">
      <c r="A151" s="2" t="s">
        <v>10</v>
      </c>
      <c r="B151" s="161">
        <f>ROUND(fpsfgr*P.wednesday!B158,0)</f>
        <v>0</v>
      </c>
      <c r="C151" s="154" t="s">
        <v>87</v>
      </c>
      <c r="D151" s="101"/>
      <c r="E151" s="2" t="s">
        <v>15</v>
      </c>
      <c r="F151" s="152">
        <f>ROUND(frr*P.wednesday!F158,1)</f>
        <v>0</v>
      </c>
      <c r="G151" s="141" t="s">
        <v>87</v>
      </c>
      <c r="H151" s="101"/>
    </row>
    <row r="152" spans="1:8" x14ac:dyDescent="0.2">
      <c r="A152" s="5" t="s">
        <v>3</v>
      </c>
      <c r="B152" s="169">
        <f>ROUND(recipe!G156*P.wednesday!B151,1)</f>
        <v>0</v>
      </c>
      <c r="C152" s="155" t="s">
        <v>92</v>
      </c>
      <c r="D152" s="101"/>
      <c r="E152" s="5" t="s">
        <v>3</v>
      </c>
      <c r="F152" s="144">
        <f>ROUND(recipe!C33*P.wednesday!F151,1)</f>
        <v>0</v>
      </c>
      <c r="G152" s="143" t="s">
        <v>92</v>
      </c>
      <c r="H152" s="101"/>
    </row>
    <row r="153" spans="1:8" x14ac:dyDescent="0.2">
      <c r="A153" s="5" t="s">
        <v>205</v>
      </c>
      <c r="B153" s="169">
        <f>ROUND(recipe!G157*P.wednesday!B151,1)</f>
        <v>0</v>
      </c>
      <c r="C153" s="155" t="s">
        <v>87</v>
      </c>
      <c r="D153" s="101"/>
      <c r="E153" s="5" t="s">
        <v>5</v>
      </c>
      <c r="F153" s="145">
        <f>ROUND(recipe!C34*P.wednesday!F151,2)</f>
        <v>0</v>
      </c>
      <c r="G153" s="146" t="s">
        <v>87</v>
      </c>
      <c r="H153" s="101"/>
    </row>
    <row r="154" spans="1:8" x14ac:dyDescent="0.2">
      <c r="A154" s="5" t="s">
        <v>4</v>
      </c>
      <c r="B154" s="157">
        <f>ROUND(recipe!G158*P.wednesday!B151,2)*1000</f>
        <v>0</v>
      </c>
      <c r="C154" s="155" t="s">
        <v>94</v>
      </c>
      <c r="D154" s="101"/>
      <c r="E154" s="5" t="s">
        <v>16</v>
      </c>
      <c r="F154" s="145">
        <f>ROUND(recipe!C35*P.wednesday!F151,1)</f>
        <v>0</v>
      </c>
      <c r="G154" s="146" t="s">
        <v>87</v>
      </c>
      <c r="H154" s="101"/>
    </row>
    <row r="155" spans="1:8" ht="12.75" customHeight="1" x14ac:dyDescent="0.2">
      <c r="A155" s="5" t="s">
        <v>5</v>
      </c>
      <c r="B155" s="157">
        <f>ROUND(recipe!G159*P.wednesday!B151,2)*1000</f>
        <v>0</v>
      </c>
      <c r="C155" s="155" t="s">
        <v>94</v>
      </c>
      <c r="D155" s="101"/>
      <c r="E155" s="65"/>
      <c r="F155" s="97"/>
      <c r="G155" s="143"/>
      <c r="H155" s="101"/>
    </row>
    <row r="156" spans="1:8" x14ac:dyDescent="0.2">
      <c r="A156" s="5" t="s">
        <v>6</v>
      </c>
      <c r="B156" s="157">
        <f>ROUND(recipe!G160*P.wednesday!B151,2)*1000</f>
        <v>0</v>
      </c>
      <c r="C156" s="155" t="s">
        <v>94</v>
      </c>
      <c r="D156" s="101"/>
      <c r="E156" s="231"/>
      <c r="G156" s="156"/>
      <c r="H156" s="101"/>
    </row>
    <row r="157" spans="1:8" x14ac:dyDescent="0.2">
      <c r="A157" s="3" t="s">
        <v>12</v>
      </c>
      <c r="B157" s="157">
        <f>ROUND(recipe!G161*P.wednesday!B151,1)*1000</f>
        <v>0</v>
      </c>
      <c r="C157" s="155" t="s">
        <v>94</v>
      </c>
      <c r="D157" s="101"/>
      <c r="E157" s="231"/>
      <c r="G157" s="156"/>
      <c r="H157" s="101"/>
    </row>
    <row r="158" spans="1:8" ht="25.9" hidden="1" customHeight="1" x14ac:dyDescent="0.2">
      <c r="B158" s="134">
        <f>B149/recipe!F162</f>
        <v>0</v>
      </c>
      <c r="C158" s="148"/>
      <c r="F158" s="134">
        <f>F149/recipe!B39</f>
        <v>0</v>
      </c>
      <c r="G158" s="160"/>
    </row>
    <row r="159" spans="1:8" ht="18" x14ac:dyDescent="0.25">
      <c r="A159" s="422" t="s">
        <v>97</v>
      </c>
      <c r="B159" s="365"/>
      <c r="C159" s="365"/>
      <c r="D159" s="366"/>
      <c r="E159" s="367"/>
      <c r="G159" s="160"/>
      <c r="H159" s="108"/>
    </row>
    <row r="160" spans="1:8" ht="18" x14ac:dyDescent="0.25">
      <c r="A160" s="422"/>
      <c r="B160" s="368"/>
      <c r="C160" s="368"/>
      <c r="D160" s="369"/>
      <c r="E160" s="370" t="s">
        <v>98</v>
      </c>
      <c r="G160" s="174"/>
      <c r="H160" s="103"/>
    </row>
    <row r="161" spans="1:10" ht="15.75" x14ac:dyDescent="0.2">
      <c r="A161" s="73"/>
      <c r="B161" s="175"/>
      <c r="C161" s="175"/>
      <c r="D161" s="103"/>
      <c r="E161" s="74"/>
      <c r="G161" s="174"/>
      <c r="H161" s="103"/>
    </row>
    <row r="162" spans="1:10" s="78" customFormat="1" ht="30" customHeight="1" x14ac:dyDescent="0.45">
      <c r="A162" s="423" t="s">
        <v>99</v>
      </c>
      <c r="B162" s="423"/>
      <c r="C162" s="423"/>
      <c r="D162" s="423"/>
      <c r="E162" s="371">
        <f>wednesday!S122/15</f>
        <v>0</v>
      </c>
      <c r="F162" s="75"/>
      <c r="G162" s="76"/>
      <c r="H162" s="77"/>
      <c r="J162" s="179"/>
    </row>
    <row r="163" spans="1:10" s="78" customFormat="1" ht="30" customHeight="1" x14ac:dyDescent="0.45">
      <c r="A163" s="421" t="s">
        <v>100</v>
      </c>
      <c r="B163" s="421"/>
      <c r="C163" s="421"/>
      <c r="D163" s="421"/>
      <c r="E163" s="371">
        <f>wednesday!S123/15</f>
        <v>0</v>
      </c>
      <c r="F163" s="75"/>
      <c r="G163" s="76"/>
      <c r="H163" s="77"/>
      <c r="J163" s="179"/>
    </row>
    <row r="164" spans="1:10" s="78" customFormat="1" ht="30" customHeight="1" x14ac:dyDescent="0.45">
      <c r="A164" s="421" t="s">
        <v>101</v>
      </c>
      <c r="B164" s="421"/>
      <c r="C164" s="421"/>
      <c r="D164" s="421"/>
      <c r="E164" s="371">
        <f>wednesday!S124/15</f>
        <v>0</v>
      </c>
      <c r="F164" s="75"/>
      <c r="G164" s="76"/>
      <c r="H164" s="77"/>
      <c r="J164" s="179"/>
    </row>
    <row r="165" spans="1:10" s="78" customFormat="1" ht="30" customHeight="1" x14ac:dyDescent="0.45">
      <c r="A165" s="421" t="s">
        <v>209</v>
      </c>
      <c r="B165" s="421"/>
      <c r="C165" s="421"/>
      <c r="D165" s="421"/>
      <c r="E165" s="371">
        <f>wednesday!S125/15</f>
        <v>0</v>
      </c>
      <c r="F165" s="75"/>
      <c r="G165" s="76"/>
      <c r="H165" s="77"/>
      <c r="J165" s="179"/>
    </row>
    <row r="166" spans="1:10" s="78" customFormat="1" ht="30" customHeight="1" x14ac:dyDescent="0.45">
      <c r="A166" s="421" t="s">
        <v>210</v>
      </c>
      <c r="B166" s="421"/>
      <c r="C166" s="421"/>
      <c r="D166" s="421"/>
      <c r="E166" s="371">
        <f>wednesday!S121/30</f>
        <v>0</v>
      </c>
      <c r="F166" s="75"/>
      <c r="G166" s="79"/>
      <c r="J166" s="179"/>
    </row>
    <row r="167" spans="1:10" s="78" customFormat="1" ht="30" customHeight="1" x14ac:dyDescent="0.45">
      <c r="A167" s="421" t="s">
        <v>212</v>
      </c>
      <c r="B167" s="421"/>
      <c r="C167" s="421"/>
      <c r="D167" s="421"/>
      <c r="E167" s="371">
        <f>wednesday!S126/30</f>
        <v>0</v>
      </c>
      <c r="F167" s="75"/>
      <c r="G167" s="79"/>
      <c r="J167" s="179"/>
    </row>
    <row r="168" spans="1:10" s="78" customFormat="1" ht="30" customHeight="1" x14ac:dyDescent="0.45">
      <c r="A168" s="421" t="s">
        <v>213</v>
      </c>
      <c r="B168" s="421"/>
      <c r="C168" s="421"/>
      <c r="D168" s="421"/>
      <c r="E168" s="371">
        <f>wednesday!S127/30</f>
        <v>0</v>
      </c>
      <c r="F168" s="75"/>
      <c r="G168" s="79"/>
      <c r="J168" s="179"/>
    </row>
    <row r="169" spans="1:10" s="78" customFormat="1" ht="30" customHeight="1" x14ac:dyDescent="0.45">
      <c r="A169" s="363" t="s">
        <v>214</v>
      </c>
      <c r="B169" s="363"/>
      <c r="C169" s="363"/>
      <c r="D169" s="363"/>
      <c r="E169" s="371">
        <f>wednesday!S128/30</f>
        <v>0</v>
      </c>
      <c r="F169" s="75"/>
      <c r="G169" s="79"/>
      <c r="J169" s="179"/>
    </row>
    <row r="170" spans="1:10" s="78" customFormat="1" ht="30" customHeight="1" x14ac:dyDescent="0.45">
      <c r="A170" s="363" t="s">
        <v>219</v>
      </c>
      <c r="B170" s="363"/>
      <c r="C170" s="363"/>
      <c r="D170" s="363"/>
      <c r="E170" s="371">
        <f>wednesday!S129/12</f>
        <v>0</v>
      </c>
      <c r="F170" s="75"/>
      <c r="G170" s="79"/>
      <c r="J170" s="179"/>
    </row>
    <row r="171" spans="1:10" s="78" customFormat="1" ht="30" customHeight="1" x14ac:dyDescent="0.45">
      <c r="A171" s="363" t="s">
        <v>216</v>
      </c>
      <c r="B171" s="363"/>
      <c r="C171" s="363"/>
      <c r="D171" s="363"/>
      <c r="E171" s="372">
        <f>wednesday!S131</f>
        <v>0</v>
      </c>
      <c r="F171" s="75"/>
      <c r="G171" s="79"/>
      <c r="J171" s="179"/>
    </row>
    <row r="172" spans="1:10" s="78" customFormat="1" ht="30" customHeight="1" x14ac:dyDescent="0.45">
      <c r="A172" s="364" t="s">
        <v>220</v>
      </c>
      <c r="B172" s="364"/>
      <c r="C172" s="364"/>
      <c r="D172" s="364"/>
      <c r="E172" s="371">
        <f>wednesday!S134/15</f>
        <v>0</v>
      </c>
      <c r="F172" s="75"/>
      <c r="G172" s="79"/>
      <c r="J172" s="179"/>
    </row>
    <row r="173" spans="1:10" s="78" customFormat="1" ht="30" customHeight="1" x14ac:dyDescent="0.45">
      <c r="A173" s="364" t="s">
        <v>222</v>
      </c>
      <c r="B173" s="364"/>
      <c r="C173" s="364"/>
      <c r="D173" s="364"/>
      <c r="E173" s="371">
        <f>wednesday!S135/12</f>
        <v>0</v>
      </c>
      <c r="F173" s="75"/>
      <c r="G173" s="79"/>
      <c r="J173" s="179"/>
    </row>
    <row r="174" spans="1:10" s="78" customFormat="1" ht="30" customHeight="1" x14ac:dyDescent="0.45">
      <c r="A174" s="363" t="s">
        <v>221</v>
      </c>
      <c r="B174" s="363"/>
      <c r="C174" s="363"/>
      <c r="D174" s="363"/>
      <c r="E174" s="371">
        <f>wednesday!S136/15</f>
        <v>0</v>
      </c>
      <c r="F174" s="75"/>
      <c r="G174" s="79"/>
      <c r="J174" s="179"/>
    </row>
    <row r="175" spans="1:10" s="78" customFormat="1" ht="30" customHeight="1" x14ac:dyDescent="0.45">
      <c r="A175" s="363" t="s">
        <v>277</v>
      </c>
      <c r="B175" s="363"/>
      <c r="C175" s="363"/>
      <c r="D175" s="363"/>
      <c r="E175" s="371">
        <f>wednesday!S137/15</f>
        <v>0</v>
      </c>
      <c r="F175" s="75"/>
      <c r="G175" s="79"/>
      <c r="J175" s="179"/>
    </row>
    <row r="176" spans="1:10" s="78" customFormat="1" ht="34.5" x14ac:dyDescent="0.45">
      <c r="A176" s="364" t="s">
        <v>278</v>
      </c>
      <c r="B176" s="364"/>
      <c r="C176" s="364"/>
      <c r="D176" s="364"/>
      <c r="E176" s="371">
        <f>wednesday!S138/15</f>
        <v>0</v>
      </c>
      <c r="F176" s="75"/>
      <c r="G176" s="79"/>
      <c r="J176" s="179"/>
    </row>
    <row r="182" spans="2:2" x14ac:dyDescent="0.2">
      <c r="B182" s="97" t="s">
        <v>102</v>
      </c>
    </row>
  </sheetData>
  <sheetProtection password="C71F" sheet="1" objects="1" scenarios="1"/>
  <autoFilter ref="A139:J139"/>
  <mergeCells count="38">
    <mergeCell ref="A165:D165"/>
    <mergeCell ref="A166:D166"/>
    <mergeCell ref="A167:D167"/>
    <mergeCell ref="A168:D168"/>
    <mergeCell ref="B150:C150"/>
    <mergeCell ref="F150:G150"/>
    <mergeCell ref="A159:A160"/>
    <mergeCell ref="A162:D162"/>
    <mergeCell ref="A163:D163"/>
    <mergeCell ref="A164:D164"/>
    <mergeCell ref="B142:C142"/>
    <mergeCell ref="F142:G142"/>
    <mergeCell ref="B60:C60"/>
    <mergeCell ref="F60:G60"/>
    <mergeCell ref="B71:C71"/>
    <mergeCell ref="F71:G71"/>
    <mergeCell ref="B100:C100"/>
    <mergeCell ref="F100:G100"/>
    <mergeCell ref="B110:C110"/>
    <mergeCell ref="F110:G110"/>
    <mergeCell ref="B122:C122"/>
    <mergeCell ref="F122:G122"/>
    <mergeCell ref="F134:G134"/>
    <mergeCell ref="B26:C26"/>
    <mergeCell ref="F26:G26"/>
    <mergeCell ref="B134:C134"/>
    <mergeCell ref="A4:E4"/>
    <mergeCell ref="B7:C7"/>
    <mergeCell ref="F7:G7"/>
    <mergeCell ref="B16:C16"/>
    <mergeCell ref="F16:G16"/>
    <mergeCell ref="B39:C39"/>
    <mergeCell ref="F39:G39"/>
    <mergeCell ref="B47:C47"/>
    <mergeCell ref="F47:G47"/>
    <mergeCell ref="B53:C53"/>
    <mergeCell ref="F53:G53"/>
    <mergeCell ref="F79:G79"/>
  </mergeCells>
  <printOptions horizontalCentered="1"/>
  <pageMargins left="0.196850393700787" right="0.196850393700787" top="0.39370078740157499" bottom="0.196850393700787" header="0.31496062992126" footer="0.31496062992126"/>
  <pageSetup paperSize="9" scale="78" orientation="portrait" r:id="rId1"/>
  <headerFooter alignWithMargins="0">
    <oddFooter>&amp;Lécole boulangerie&amp;CPage &amp;P</oddFooter>
  </headerFooter>
  <rowBreaks count="1" manualBreakCount="1">
    <brk id="158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164"/>
  <sheetViews>
    <sheetView showGridLines="0" view="pageBreakPreview" zoomScale="80" zoomScaleNormal="70" zoomScaleSheetLayoutView="80" workbookViewId="0">
      <pane xSplit="3" ySplit="3" topLeftCell="D4" activePane="bottomRight" state="frozen"/>
      <selection activeCell="A4" sqref="A4:E4"/>
      <selection pane="topRight" activeCell="A4" sqref="A4:E4"/>
      <selection pane="bottomLeft" activeCell="A4" sqref="A4:E4"/>
      <selection pane="bottomRight" activeCell="A4" sqref="A4:E4"/>
    </sheetView>
  </sheetViews>
  <sheetFormatPr defaultColWidth="11.42578125" defaultRowHeight="15" customHeight="1" x14ac:dyDescent="0.2"/>
  <cols>
    <col min="1" max="1" width="9.140625" style="374" bestFit="1" customWidth="1"/>
    <col min="2" max="2" width="52.85546875" style="340" bestFit="1" customWidth="1"/>
    <col min="3" max="3" width="6.5703125" style="19" hidden="1" customWidth="1"/>
    <col min="4" max="4" width="5.7109375" style="19" hidden="1" customWidth="1"/>
    <col min="5" max="5" width="6.140625" style="19" hidden="1" customWidth="1"/>
    <col min="6" max="6" width="11" style="290" customWidth="1"/>
    <col min="7" max="7" width="13.42578125" style="290" customWidth="1"/>
    <col min="8" max="10" width="13.42578125" style="290" hidden="1" customWidth="1"/>
    <col min="11" max="11" width="12.7109375" style="293" customWidth="1"/>
    <col min="12" max="12" width="9.28515625" style="299" bestFit="1" customWidth="1"/>
    <col min="13" max="13" width="7.5703125" style="300" customWidth="1"/>
    <col min="14" max="15" width="7.7109375" style="300" customWidth="1"/>
    <col min="16" max="16" width="7.7109375" style="300" hidden="1" customWidth="1"/>
    <col min="17" max="17" width="8" style="21" hidden="1" customWidth="1"/>
    <col min="18" max="18" width="9.7109375" style="21" hidden="1" customWidth="1"/>
    <col min="19" max="19" width="11.42578125" style="21" hidden="1" customWidth="1"/>
    <col min="20" max="20" width="25.140625" style="21" hidden="1" customWidth="1"/>
    <col min="21" max="22" width="11.42578125" style="21" hidden="1" customWidth="1"/>
    <col min="23" max="16384" width="11.42578125" style="21"/>
  </cols>
  <sheetData>
    <row r="1" spans="1:21" ht="21" customHeight="1" x14ac:dyDescent="0.2">
      <c r="B1" s="340" t="s">
        <v>76</v>
      </c>
      <c r="F1" s="40">
        <v>50</v>
      </c>
      <c r="G1" s="295" t="s">
        <v>240</v>
      </c>
      <c r="H1" s="295"/>
      <c r="I1" s="295"/>
      <c r="J1" s="295"/>
      <c r="K1" s="296">
        <f>wednesday!K1+1</f>
        <v>42460</v>
      </c>
      <c r="L1" s="401" t="s">
        <v>274</v>
      </c>
      <c r="M1" s="402"/>
      <c r="N1" s="402"/>
      <c r="O1" s="402"/>
      <c r="P1" s="402"/>
      <c r="Q1" s="41"/>
    </row>
    <row r="2" spans="1:21" ht="13.15" customHeight="1" x14ac:dyDescent="0.2">
      <c r="B2" s="403" t="s">
        <v>23</v>
      </c>
      <c r="C2" s="404" t="s">
        <v>78</v>
      </c>
      <c r="D2" s="404" t="s">
        <v>79</v>
      </c>
      <c r="E2" s="405" t="s">
        <v>80</v>
      </c>
      <c r="F2" s="407" t="s">
        <v>183</v>
      </c>
      <c r="G2" s="408" t="s">
        <v>81</v>
      </c>
      <c r="H2" s="319"/>
      <c r="I2" s="319"/>
      <c r="J2" s="319"/>
      <c r="K2" s="410" t="s">
        <v>82</v>
      </c>
      <c r="L2" s="411" t="s">
        <v>243</v>
      </c>
      <c r="M2" s="411" t="s">
        <v>275</v>
      </c>
      <c r="N2" s="411" t="s">
        <v>306</v>
      </c>
      <c r="O2" s="411" t="s">
        <v>307</v>
      </c>
      <c r="P2" s="411" t="s">
        <v>276</v>
      </c>
      <c r="Q2" s="413" t="s">
        <v>83</v>
      </c>
      <c r="R2" s="415" t="s">
        <v>84</v>
      </c>
    </row>
    <row r="3" spans="1:21" s="28" customFormat="1" ht="17.45" customHeight="1" thickBot="1" x14ac:dyDescent="0.25">
      <c r="A3" s="375"/>
      <c r="B3" s="403"/>
      <c r="C3" s="404"/>
      <c r="D3" s="404"/>
      <c r="E3" s="406"/>
      <c r="F3" s="407"/>
      <c r="G3" s="409"/>
      <c r="H3" s="320"/>
      <c r="I3" s="320"/>
      <c r="J3" s="320"/>
      <c r="K3" s="410"/>
      <c r="L3" s="412"/>
      <c r="M3" s="412"/>
      <c r="N3" s="412"/>
      <c r="O3" s="412"/>
      <c r="P3" s="412"/>
      <c r="Q3" s="414"/>
      <c r="R3" s="415"/>
    </row>
    <row r="4" spans="1:21" s="25" customFormat="1" ht="20.100000000000001" customHeight="1" x14ac:dyDescent="0.15">
      <c r="A4" s="376">
        <v>755730</v>
      </c>
      <c r="B4" s="341" t="s">
        <v>103</v>
      </c>
      <c r="C4" s="85">
        <f>PV!C4</f>
        <v>0.17499999999999999</v>
      </c>
      <c r="D4" s="42" t="s">
        <v>85</v>
      </c>
      <c r="E4" s="43">
        <f>IF(D4="h",PV!E4,IF(D4="M",PV!G4,PV!I4))</f>
        <v>1.1000000000000001</v>
      </c>
      <c r="F4" s="291">
        <v>37</v>
      </c>
      <c r="G4" s="291">
        <v>16</v>
      </c>
      <c r="H4" s="291"/>
      <c r="I4" s="291"/>
      <c r="J4" s="291"/>
      <c r="K4" s="373"/>
      <c r="L4" s="327"/>
      <c r="M4" s="328"/>
      <c r="N4" s="329"/>
      <c r="O4" s="329"/>
      <c r="P4" s="330"/>
      <c r="Q4" s="275">
        <f t="shared" ref="Q4:Q23" si="0">(K4*E4)</f>
        <v>0</v>
      </c>
      <c r="R4" s="280">
        <f t="shared" ref="R4:R23" si="1">K4*C4</f>
        <v>0</v>
      </c>
      <c r="U4" s="294">
        <f>K4-L4</f>
        <v>0</v>
      </c>
    </row>
    <row r="5" spans="1:21" s="25" customFormat="1" ht="20.100000000000001" customHeight="1" x14ac:dyDescent="0.15">
      <c r="A5" s="376">
        <v>65846</v>
      </c>
      <c r="B5" s="341" t="s">
        <v>104</v>
      </c>
      <c r="C5" s="85">
        <f>PV!C5</f>
        <v>0.35</v>
      </c>
      <c r="D5" s="44" t="str">
        <f t="shared" ref="D5:D68" si="2">D4</f>
        <v>h</v>
      </c>
      <c r="E5" s="43">
        <f>IF(D5="h",PV!E5,IF(D5="M",PV!G5,PV!I5))</f>
        <v>1.8</v>
      </c>
      <c r="F5" s="291">
        <v>16</v>
      </c>
      <c r="G5" s="291">
        <v>15</v>
      </c>
      <c r="H5" s="291"/>
      <c r="I5" s="291"/>
      <c r="J5" s="291"/>
      <c r="K5" s="373"/>
      <c r="L5" s="331"/>
      <c r="M5" s="332"/>
      <c r="N5" s="333"/>
      <c r="O5" s="333"/>
      <c r="P5" s="334"/>
      <c r="Q5" s="275">
        <f t="shared" si="0"/>
        <v>0</v>
      </c>
      <c r="R5" s="280">
        <f t="shared" si="1"/>
        <v>0</v>
      </c>
      <c r="U5" s="294"/>
    </row>
    <row r="6" spans="1:21" s="25" customFormat="1" ht="20.100000000000001" customHeight="1" x14ac:dyDescent="0.15">
      <c r="A6" s="377">
        <v>358700</v>
      </c>
      <c r="B6" s="341" t="s">
        <v>35</v>
      </c>
      <c r="C6" s="85">
        <f>PV!C6</f>
        <v>0.35</v>
      </c>
      <c r="D6" s="44" t="str">
        <f t="shared" si="2"/>
        <v>h</v>
      </c>
      <c r="E6" s="43">
        <f>IF(D6="h",PV!E6,IF(D6="M",PV!G6,PV!I6))</f>
        <v>3.45</v>
      </c>
      <c r="F6" s="291">
        <v>0</v>
      </c>
      <c r="G6" s="291">
        <v>4</v>
      </c>
      <c r="H6" s="291"/>
      <c r="I6" s="291"/>
      <c r="J6" s="291"/>
      <c r="K6" s="373"/>
      <c r="L6" s="331"/>
      <c r="M6" s="332"/>
      <c r="N6" s="333"/>
      <c r="O6" s="333"/>
      <c r="P6" s="334"/>
      <c r="Q6" s="275">
        <f t="shared" si="0"/>
        <v>0</v>
      </c>
      <c r="R6" s="280">
        <f t="shared" si="1"/>
        <v>0</v>
      </c>
      <c r="U6" s="294">
        <f t="shared" ref="U6:U37" si="3">K6-L6</f>
        <v>0</v>
      </c>
    </row>
    <row r="7" spans="1:21" s="25" customFormat="1" ht="20.100000000000001" customHeight="1" x14ac:dyDescent="0.15">
      <c r="A7" s="377">
        <v>348164</v>
      </c>
      <c r="B7" s="341" t="s">
        <v>105</v>
      </c>
      <c r="C7" s="85">
        <f>PV!C7</f>
        <v>0.35</v>
      </c>
      <c r="D7" s="44" t="str">
        <f t="shared" si="2"/>
        <v>h</v>
      </c>
      <c r="E7" s="43">
        <f>IF(D7="h",PV!E7,IF(D7="M",PV!G7,PV!I7))</f>
        <v>5.95</v>
      </c>
      <c r="F7" s="291">
        <v>5</v>
      </c>
      <c r="G7" s="291">
        <v>4</v>
      </c>
      <c r="H7" s="291"/>
      <c r="I7" s="291"/>
      <c r="J7" s="291"/>
      <c r="K7" s="373"/>
      <c r="L7" s="331"/>
      <c r="M7" s="332"/>
      <c r="N7" s="333"/>
      <c r="O7" s="333"/>
      <c r="P7" s="334"/>
      <c r="Q7" s="275">
        <f t="shared" si="0"/>
        <v>0</v>
      </c>
      <c r="R7" s="280">
        <f t="shared" si="1"/>
        <v>0</v>
      </c>
      <c r="U7" s="294">
        <f t="shared" si="3"/>
        <v>0</v>
      </c>
    </row>
    <row r="8" spans="1:21" s="25" customFormat="1" ht="20.100000000000001" customHeight="1" x14ac:dyDescent="0.15">
      <c r="A8" s="377">
        <v>358194</v>
      </c>
      <c r="B8" s="341" t="s">
        <v>106</v>
      </c>
      <c r="C8" s="85">
        <f>PV!C8</f>
        <v>0.35</v>
      </c>
      <c r="D8" s="44" t="str">
        <f t="shared" si="2"/>
        <v>h</v>
      </c>
      <c r="E8" s="43">
        <f>IF(D8="h",PV!E8,IF(D8="M",PV!G8,PV!I8))</f>
        <v>5.5</v>
      </c>
      <c r="F8" s="291">
        <v>6</v>
      </c>
      <c r="G8" s="291">
        <v>5</v>
      </c>
      <c r="H8" s="291"/>
      <c r="I8" s="291"/>
      <c r="J8" s="291"/>
      <c r="K8" s="373"/>
      <c r="L8" s="331"/>
      <c r="M8" s="332"/>
      <c r="N8" s="333"/>
      <c r="O8" s="333"/>
      <c r="P8" s="334"/>
      <c r="Q8" s="275">
        <f t="shared" si="0"/>
        <v>0</v>
      </c>
      <c r="R8" s="280">
        <f t="shared" si="1"/>
        <v>0</v>
      </c>
      <c r="U8" s="294">
        <f t="shared" si="3"/>
        <v>0</v>
      </c>
    </row>
    <row r="9" spans="1:21" s="25" customFormat="1" ht="20.100000000000001" customHeight="1" x14ac:dyDescent="0.15">
      <c r="A9" s="377">
        <v>65888</v>
      </c>
      <c r="B9" s="336" t="s">
        <v>305</v>
      </c>
      <c r="C9" s="85">
        <f>PV!C9</f>
        <v>0.35</v>
      </c>
      <c r="D9" s="44" t="str">
        <f t="shared" si="2"/>
        <v>h</v>
      </c>
      <c r="E9" s="43">
        <f>IF(D9="h",PV!E9,IF(D9="M",PV!G9,PV!I9))</f>
        <v>5.5</v>
      </c>
      <c r="F9" s="291">
        <v>3</v>
      </c>
      <c r="G9" s="291">
        <v>4</v>
      </c>
      <c r="H9" s="291"/>
      <c r="I9" s="291"/>
      <c r="J9" s="291"/>
      <c r="K9" s="373"/>
      <c r="L9" s="331"/>
      <c r="M9" s="332"/>
      <c r="N9" s="333"/>
      <c r="O9" s="333"/>
      <c r="P9" s="334"/>
      <c r="Q9" s="275">
        <f t="shared" si="0"/>
        <v>0</v>
      </c>
      <c r="R9" s="280">
        <f t="shared" si="1"/>
        <v>0</v>
      </c>
      <c r="U9" s="294">
        <f t="shared" si="3"/>
        <v>0</v>
      </c>
    </row>
    <row r="10" spans="1:21" s="25" customFormat="1" ht="20.100000000000001" customHeight="1" x14ac:dyDescent="0.15">
      <c r="A10" s="377">
        <v>65850</v>
      </c>
      <c r="B10" s="341" t="s">
        <v>108</v>
      </c>
      <c r="C10" s="85">
        <f>PV!C10</f>
        <v>0.35</v>
      </c>
      <c r="D10" s="44" t="str">
        <f t="shared" si="2"/>
        <v>h</v>
      </c>
      <c r="E10" s="43">
        <f>IF(D10="h",PV!E10,IF(D10="M",PV!G10,PV!I10))</f>
        <v>3.45</v>
      </c>
      <c r="F10" s="291">
        <v>7</v>
      </c>
      <c r="G10" s="291">
        <v>4</v>
      </c>
      <c r="H10" s="291"/>
      <c r="I10" s="291"/>
      <c r="J10" s="291"/>
      <c r="K10" s="373"/>
      <c r="L10" s="331"/>
      <c r="M10" s="332"/>
      <c r="N10" s="333"/>
      <c r="O10" s="333"/>
      <c r="P10" s="334"/>
      <c r="Q10" s="275">
        <f t="shared" si="0"/>
        <v>0</v>
      </c>
      <c r="R10" s="280">
        <f t="shared" si="1"/>
        <v>0</v>
      </c>
      <c r="U10" s="294">
        <f t="shared" si="3"/>
        <v>0</v>
      </c>
    </row>
    <row r="11" spans="1:21" s="25" customFormat="1" ht="20.100000000000001" customHeight="1" x14ac:dyDescent="0.15">
      <c r="A11" s="377">
        <v>65852</v>
      </c>
      <c r="B11" s="341" t="s">
        <v>109</v>
      </c>
      <c r="C11" s="85">
        <f>PV!C11</f>
        <v>0.35</v>
      </c>
      <c r="D11" s="44" t="str">
        <f t="shared" si="2"/>
        <v>h</v>
      </c>
      <c r="E11" s="43">
        <f>IF(D11="h",PV!E11,IF(D11="M",PV!G11,PV!I11))</f>
        <v>1.95</v>
      </c>
      <c r="F11" s="291">
        <v>242</v>
      </c>
      <c r="G11" s="291">
        <v>261</v>
      </c>
      <c r="H11" s="291"/>
      <c r="I11" s="291"/>
      <c r="J11" s="291"/>
      <c r="K11" s="373"/>
      <c r="L11" s="331"/>
      <c r="M11" s="332"/>
      <c r="N11" s="333"/>
      <c r="O11" s="333"/>
      <c r="P11" s="334"/>
      <c r="Q11" s="275">
        <f t="shared" si="0"/>
        <v>0</v>
      </c>
      <c r="R11" s="280">
        <f t="shared" si="1"/>
        <v>0</v>
      </c>
      <c r="U11" s="294">
        <f t="shared" si="3"/>
        <v>0</v>
      </c>
    </row>
    <row r="12" spans="1:21" s="25" customFormat="1" ht="20.100000000000001" customHeight="1" x14ac:dyDescent="0.15">
      <c r="A12" s="377">
        <v>303831</v>
      </c>
      <c r="B12" s="336" t="s">
        <v>110</v>
      </c>
      <c r="C12" s="85">
        <f>PV!C12</f>
        <v>0.35</v>
      </c>
      <c r="D12" s="44" t="str">
        <f t="shared" si="2"/>
        <v>h</v>
      </c>
      <c r="E12" s="43">
        <f>IF(D12="h",PV!E12,IF(D12="M",PV!G12,PV!I12))</f>
        <v>2.5</v>
      </c>
      <c r="F12" s="291">
        <v>7</v>
      </c>
      <c r="G12" s="291">
        <v>7</v>
      </c>
      <c r="H12" s="291"/>
      <c r="I12" s="291"/>
      <c r="J12" s="291"/>
      <c r="K12" s="373"/>
      <c r="L12" s="331"/>
      <c r="M12" s="332"/>
      <c r="N12" s="333"/>
      <c r="O12" s="333"/>
      <c r="P12" s="334"/>
      <c r="Q12" s="275">
        <f t="shared" si="0"/>
        <v>0</v>
      </c>
      <c r="R12" s="280">
        <f t="shared" si="1"/>
        <v>0</v>
      </c>
      <c r="U12" s="294">
        <f t="shared" si="3"/>
        <v>0</v>
      </c>
    </row>
    <row r="13" spans="1:21" s="25" customFormat="1" ht="20.100000000000001" customHeight="1" x14ac:dyDescent="0.15">
      <c r="A13" s="377">
        <v>292745</v>
      </c>
      <c r="B13" s="341" t="s">
        <v>111</v>
      </c>
      <c r="C13" s="85">
        <f>PV!C13</f>
        <v>0.48</v>
      </c>
      <c r="D13" s="44" t="str">
        <f t="shared" si="2"/>
        <v>h</v>
      </c>
      <c r="E13" s="43">
        <f>IF(D13="h",PV!E13,IF(D13="M",PV!G13,PV!I13))</f>
        <v>2.95</v>
      </c>
      <c r="F13" s="291">
        <v>84</v>
      </c>
      <c r="G13" s="291">
        <v>63</v>
      </c>
      <c r="H13" s="291"/>
      <c r="I13" s="291"/>
      <c r="J13" s="291"/>
      <c r="K13" s="373"/>
      <c r="L13" s="331"/>
      <c r="M13" s="332"/>
      <c r="N13" s="333"/>
      <c r="O13" s="333"/>
      <c r="P13" s="334"/>
      <c r="Q13" s="275">
        <f t="shared" si="0"/>
        <v>0</v>
      </c>
      <c r="R13" s="280">
        <f t="shared" si="1"/>
        <v>0</v>
      </c>
      <c r="U13" s="294">
        <f t="shared" si="3"/>
        <v>0</v>
      </c>
    </row>
    <row r="14" spans="1:21" s="25" customFormat="1" ht="20.100000000000001" customHeight="1" x14ac:dyDescent="0.15">
      <c r="A14" s="377">
        <v>65890</v>
      </c>
      <c r="B14" s="341" t="s">
        <v>30</v>
      </c>
      <c r="C14" s="85">
        <f>PV!C14</f>
        <v>1.165</v>
      </c>
      <c r="D14" s="44" t="str">
        <f t="shared" si="2"/>
        <v>h</v>
      </c>
      <c r="E14" s="43">
        <f>IF(D14="h",PV!E14,IF(D14="M",PV!G14,PV!I14))</f>
        <v>8.4499999999999993</v>
      </c>
      <c r="F14" s="291">
        <v>29</v>
      </c>
      <c r="G14" s="291">
        <v>22</v>
      </c>
      <c r="H14" s="291"/>
      <c r="I14" s="291"/>
      <c r="J14" s="291"/>
      <c r="K14" s="373"/>
      <c r="L14" s="331"/>
      <c r="M14" s="332"/>
      <c r="N14" s="333"/>
      <c r="O14" s="333"/>
      <c r="P14" s="334"/>
      <c r="Q14" s="275">
        <f t="shared" si="0"/>
        <v>0</v>
      </c>
      <c r="R14" s="280">
        <f t="shared" si="1"/>
        <v>0</v>
      </c>
      <c r="U14" s="294">
        <f t="shared" si="3"/>
        <v>0</v>
      </c>
    </row>
    <row r="15" spans="1:21" s="25" customFormat="1" ht="20.100000000000001" customHeight="1" x14ac:dyDescent="0.15">
      <c r="A15" s="377">
        <v>65892</v>
      </c>
      <c r="B15" s="341" t="s">
        <v>29</v>
      </c>
      <c r="C15" s="85">
        <f>PV!C15</f>
        <v>0.58499999999999996</v>
      </c>
      <c r="D15" s="44" t="str">
        <f t="shared" si="2"/>
        <v>h</v>
      </c>
      <c r="E15" s="43">
        <f>IF(D15="h",PV!E15,IF(D15="M",PV!G15,PV!I15))</f>
        <v>5.5</v>
      </c>
      <c r="F15" s="291">
        <v>5</v>
      </c>
      <c r="G15" s="291">
        <v>12</v>
      </c>
      <c r="H15" s="291"/>
      <c r="I15" s="291"/>
      <c r="J15" s="291"/>
      <c r="K15" s="373"/>
      <c r="L15" s="331"/>
      <c r="M15" s="332"/>
      <c r="N15" s="333"/>
      <c r="O15" s="333"/>
      <c r="P15" s="334"/>
      <c r="Q15" s="275">
        <f t="shared" si="0"/>
        <v>0</v>
      </c>
      <c r="R15" s="280">
        <f t="shared" si="1"/>
        <v>0</v>
      </c>
      <c r="U15" s="294">
        <f t="shared" si="3"/>
        <v>0</v>
      </c>
    </row>
    <row r="16" spans="1:21" s="25" customFormat="1" ht="20.100000000000001" customHeight="1" x14ac:dyDescent="0.15">
      <c r="A16" s="377">
        <v>886852</v>
      </c>
      <c r="B16" s="336" t="s">
        <v>303</v>
      </c>
      <c r="C16" s="85">
        <f>PV!C16</f>
        <v>1.165</v>
      </c>
      <c r="D16" s="44" t="str">
        <f t="shared" si="2"/>
        <v>h</v>
      </c>
      <c r="E16" s="43">
        <f>IF(D16="h",PV!E16,IF(D16="M",PV!G16,PV!I16))</f>
        <v>8.4499999999999993</v>
      </c>
      <c r="F16" s="291">
        <v>1</v>
      </c>
      <c r="G16" s="291">
        <v>2</v>
      </c>
      <c r="H16" s="291"/>
      <c r="I16" s="291"/>
      <c r="J16" s="291"/>
      <c r="K16" s="373"/>
      <c r="L16" s="331"/>
      <c r="M16" s="332"/>
      <c r="N16" s="333"/>
      <c r="O16" s="333"/>
      <c r="P16" s="334"/>
      <c r="Q16" s="275">
        <f t="shared" si="0"/>
        <v>0</v>
      </c>
      <c r="R16" s="280">
        <f t="shared" si="1"/>
        <v>0</v>
      </c>
      <c r="U16" s="294">
        <f t="shared" si="3"/>
        <v>0</v>
      </c>
    </row>
    <row r="17" spans="1:21" s="25" customFormat="1" ht="20.100000000000001" customHeight="1" x14ac:dyDescent="0.15">
      <c r="A17" s="377">
        <v>886849</v>
      </c>
      <c r="B17" s="341" t="s">
        <v>304</v>
      </c>
      <c r="C17" s="85">
        <f>PV!C17</f>
        <v>0.58499999999999996</v>
      </c>
      <c r="D17" s="44" t="str">
        <f t="shared" si="2"/>
        <v>h</v>
      </c>
      <c r="E17" s="43">
        <f>IF(D17="h",PV!E17,IF(D17="M",PV!G17,PV!I17))</f>
        <v>5.5</v>
      </c>
      <c r="F17" s="291">
        <v>12</v>
      </c>
      <c r="G17" s="291">
        <v>3</v>
      </c>
      <c r="H17" s="291"/>
      <c r="I17" s="291"/>
      <c r="J17" s="291"/>
      <c r="K17" s="373"/>
      <c r="L17" s="331"/>
      <c r="M17" s="332"/>
      <c r="N17" s="333"/>
      <c r="O17" s="333"/>
      <c r="P17" s="334"/>
      <c r="Q17" s="275">
        <f t="shared" si="0"/>
        <v>0</v>
      </c>
      <c r="R17" s="280">
        <f t="shared" si="1"/>
        <v>0</v>
      </c>
      <c r="U17" s="294">
        <f t="shared" si="3"/>
        <v>0</v>
      </c>
    </row>
    <row r="18" spans="1:21" s="25" customFormat="1" ht="20.100000000000001" customHeight="1" x14ac:dyDescent="0.15">
      <c r="A18" s="377">
        <v>65897</v>
      </c>
      <c r="B18" s="341" t="s">
        <v>36</v>
      </c>
      <c r="C18" s="85">
        <f>PV!C18</f>
        <v>0.24</v>
      </c>
      <c r="D18" s="44" t="str">
        <f t="shared" si="2"/>
        <v>h</v>
      </c>
      <c r="E18" s="43">
        <f>IF(D18="h",PV!E18,IF(D18="M",PV!G18,PV!I18))</f>
        <v>3</v>
      </c>
      <c r="F18" s="291">
        <v>23</v>
      </c>
      <c r="G18" s="291">
        <v>33</v>
      </c>
      <c r="H18" s="291"/>
      <c r="I18" s="291"/>
      <c r="J18" s="291"/>
      <c r="K18" s="373"/>
      <c r="L18" s="331"/>
      <c r="M18" s="332"/>
      <c r="N18" s="333"/>
      <c r="O18" s="333"/>
      <c r="P18" s="334"/>
      <c r="Q18" s="275">
        <f t="shared" si="0"/>
        <v>0</v>
      </c>
      <c r="R18" s="280">
        <f t="shared" si="1"/>
        <v>0</v>
      </c>
      <c r="U18" s="294">
        <f t="shared" si="3"/>
        <v>0</v>
      </c>
    </row>
    <row r="19" spans="1:21" s="25" customFormat="1" ht="20.100000000000001" customHeight="1" x14ac:dyDescent="0.15">
      <c r="A19" s="377">
        <v>403773</v>
      </c>
      <c r="B19" s="341" t="s">
        <v>112</v>
      </c>
      <c r="C19" s="85">
        <f>PV!C19</f>
        <v>0.24</v>
      </c>
      <c r="D19" s="44" t="str">
        <f t="shared" si="2"/>
        <v>h</v>
      </c>
      <c r="E19" s="43">
        <f>IF(D19="h",PV!E19,IF(D19="M",PV!G19,PV!I19))</f>
        <v>3.75</v>
      </c>
      <c r="F19" s="291">
        <v>0</v>
      </c>
      <c r="G19" s="291">
        <v>0</v>
      </c>
      <c r="H19" s="291"/>
      <c r="I19" s="291"/>
      <c r="J19" s="291"/>
      <c r="K19" s="373"/>
      <c r="L19" s="331"/>
      <c r="M19" s="332"/>
      <c r="N19" s="333"/>
      <c r="O19" s="333"/>
      <c r="P19" s="334"/>
      <c r="Q19" s="275">
        <f t="shared" si="0"/>
        <v>0</v>
      </c>
      <c r="R19" s="280">
        <f t="shared" si="1"/>
        <v>0</v>
      </c>
      <c r="U19" s="294">
        <f t="shared" si="3"/>
        <v>0</v>
      </c>
    </row>
    <row r="20" spans="1:21" s="25" customFormat="1" ht="20.100000000000001" customHeight="1" x14ac:dyDescent="0.15">
      <c r="A20" s="377">
        <v>886858</v>
      </c>
      <c r="B20" s="336" t="s">
        <v>113</v>
      </c>
      <c r="C20" s="85">
        <f>PV!C20</f>
        <v>0.7</v>
      </c>
      <c r="D20" s="44" t="str">
        <f t="shared" si="2"/>
        <v>h</v>
      </c>
      <c r="E20" s="43">
        <f>IF(D20="h",PV!E20,IF(D20="M",PV!G20,PV!I20))</f>
        <v>6.45</v>
      </c>
      <c r="F20" s="291">
        <v>2</v>
      </c>
      <c r="G20" s="291">
        <v>1</v>
      </c>
      <c r="H20" s="291"/>
      <c r="I20" s="291"/>
      <c r="J20" s="291"/>
      <c r="K20" s="373"/>
      <c r="L20" s="331"/>
      <c r="M20" s="332"/>
      <c r="N20" s="333"/>
      <c r="O20" s="333"/>
      <c r="P20" s="334"/>
      <c r="Q20" s="275">
        <f t="shared" si="0"/>
        <v>0</v>
      </c>
      <c r="R20" s="280">
        <f t="shared" si="1"/>
        <v>0</v>
      </c>
      <c r="U20" s="294">
        <f t="shared" si="3"/>
        <v>0</v>
      </c>
    </row>
    <row r="21" spans="1:21" s="25" customFormat="1" ht="20.100000000000001" customHeight="1" x14ac:dyDescent="0.15">
      <c r="A21" s="377">
        <v>886854</v>
      </c>
      <c r="B21" s="341" t="s">
        <v>114</v>
      </c>
      <c r="C21" s="85">
        <f>PV!C21</f>
        <v>0.35</v>
      </c>
      <c r="D21" s="44" t="str">
        <f t="shared" si="2"/>
        <v>h</v>
      </c>
      <c r="E21" s="43">
        <f>IF(D21="h",PV!E21,IF(D21="M",PV!G21,PV!I21))</f>
        <v>3.75</v>
      </c>
      <c r="F21" s="291">
        <v>2</v>
      </c>
      <c r="G21" s="291">
        <v>3</v>
      </c>
      <c r="H21" s="291"/>
      <c r="I21" s="291"/>
      <c r="J21" s="291"/>
      <c r="K21" s="373"/>
      <c r="L21" s="331"/>
      <c r="M21" s="332"/>
      <c r="N21" s="333"/>
      <c r="O21" s="333"/>
      <c r="P21" s="334"/>
      <c r="Q21" s="275">
        <f t="shared" si="0"/>
        <v>0</v>
      </c>
      <c r="R21" s="280">
        <f t="shared" si="1"/>
        <v>0</v>
      </c>
      <c r="U21" s="294">
        <f t="shared" si="3"/>
        <v>0</v>
      </c>
    </row>
    <row r="22" spans="1:21" s="25" customFormat="1" ht="20.100000000000001" customHeight="1" x14ac:dyDescent="0.15">
      <c r="A22" s="377">
        <v>65929</v>
      </c>
      <c r="B22" s="341" t="s">
        <v>32</v>
      </c>
      <c r="C22" s="85">
        <f>PV!C22</f>
        <v>0.7</v>
      </c>
      <c r="D22" s="44" t="str">
        <f t="shared" si="2"/>
        <v>h</v>
      </c>
      <c r="E22" s="43">
        <f>IF(D22="h",PV!E22,IF(D22="M",PV!G22,PV!I22))</f>
        <v>6.45</v>
      </c>
      <c r="F22" s="291">
        <v>30</v>
      </c>
      <c r="G22" s="291">
        <v>22</v>
      </c>
      <c r="H22" s="291"/>
      <c r="I22" s="291"/>
      <c r="J22" s="291"/>
      <c r="K22" s="373"/>
      <c r="L22" s="331"/>
      <c r="M22" s="332"/>
      <c r="N22" s="333"/>
      <c r="O22" s="333"/>
      <c r="P22" s="334"/>
      <c r="Q22" s="275">
        <f t="shared" si="0"/>
        <v>0</v>
      </c>
      <c r="R22" s="280">
        <f t="shared" si="1"/>
        <v>0</v>
      </c>
      <c r="U22" s="294">
        <f t="shared" si="3"/>
        <v>0</v>
      </c>
    </row>
    <row r="23" spans="1:21" s="25" customFormat="1" ht="18.75" customHeight="1" x14ac:dyDescent="0.15">
      <c r="A23" s="335">
        <v>65926</v>
      </c>
      <c r="B23" s="341" t="s">
        <v>31</v>
      </c>
      <c r="C23" s="85">
        <f>PV!C23</f>
        <v>0.35</v>
      </c>
      <c r="D23" s="44" t="str">
        <f t="shared" si="2"/>
        <v>h</v>
      </c>
      <c r="E23" s="43">
        <f>IF(D23="h",PV!E23,IF(D23="M",PV!G23,PV!I23))</f>
        <v>3.75</v>
      </c>
      <c r="F23" s="291">
        <v>4</v>
      </c>
      <c r="G23" s="291">
        <v>3</v>
      </c>
      <c r="H23" s="291"/>
      <c r="I23" s="291"/>
      <c r="J23" s="291"/>
      <c r="K23" s="373"/>
      <c r="L23" s="331"/>
      <c r="M23" s="332"/>
      <c r="N23" s="333"/>
      <c r="O23" s="333"/>
      <c r="P23" s="334"/>
      <c r="Q23" s="275">
        <f t="shared" si="0"/>
        <v>0</v>
      </c>
      <c r="R23" s="280">
        <f t="shared" si="1"/>
        <v>0</v>
      </c>
      <c r="U23" s="294">
        <f t="shared" si="3"/>
        <v>0</v>
      </c>
    </row>
    <row r="24" spans="1:21" s="25" customFormat="1" ht="9.75" customHeight="1" x14ac:dyDescent="0.2">
      <c r="A24" s="378"/>
      <c r="B24" s="342"/>
      <c r="C24" s="85">
        <f>PV!C24</f>
        <v>0</v>
      </c>
      <c r="D24" s="44" t="str">
        <f t="shared" si="2"/>
        <v>h</v>
      </c>
      <c r="E24" s="43">
        <f>IF(D24="h",PV!E24,IF(D24="M",PV!G24,PV!I24))</f>
        <v>0</v>
      </c>
      <c r="F24" s="291">
        <v>0</v>
      </c>
      <c r="G24" s="291">
        <v>0</v>
      </c>
      <c r="H24" s="291"/>
      <c r="I24" s="291"/>
      <c r="J24" s="291"/>
      <c r="K24" s="373"/>
      <c r="L24" s="331"/>
      <c r="M24" s="332"/>
      <c r="N24" s="333"/>
      <c r="O24" s="333"/>
      <c r="P24" s="334"/>
      <c r="Q24" s="276"/>
      <c r="R24" s="281">
        <f>SUM(R4:R23)</f>
        <v>0</v>
      </c>
      <c r="U24" s="294">
        <f t="shared" si="3"/>
        <v>0</v>
      </c>
    </row>
    <row r="25" spans="1:21" s="25" customFormat="1" ht="16.149999999999999" customHeight="1" x14ac:dyDescent="0.2">
      <c r="A25" s="379">
        <v>206112</v>
      </c>
      <c r="B25" s="343" t="s">
        <v>301</v>
      </c>
      <c r="C25" s="85">
        <f>PV!C25</f>
        <v>0.72</v>
      </c>
      <c r="D25" s="44" t="str">
        <f t="shared" si="2"/>
        <v>h</v>
      </c>
      <c r="E25" s="43">
        <f>IF(D25="h",PV!E25,IF(D25="M",PV!G25,PV!I25))</f>
        <v>7.95</v>
      </c>
      <c r="F25" s="291">
        <v>0</v>
      </c>
      <c r="G25" s="291">
        <v>0</v>
      </c>
      <c r="H25" s="291"/>
      <c r="I25" s="291"/>
      <c r="J25" s="291"/>
      <c r="K25" s="373"/>
      <c r="L25" s="331"/>
      <c r="M25" s="332"/>
      <c r="N25" s="333"/>
      <c r="O25" s="333"/>
      <c r="P25" s="334"/>
      <c r="Q25" s="275">
        <f>(K25*E25)</f>
        <v>0</v>
      </c>
      <c r="R25" s="280">
        <f>K25*C25</f>
        <v>0</v>
      </c>
      <c r="U25" s="294">
        <f t="shared" si="3"/>
        <v>0</v>
      </c>
    </row>
    <row r="26" spans="1:21" s="25" customFormat="1" ht="18.75" customHeight="1" x14ac:dyDescent="0.2">
      <c r="A26" s="379">
        <v>206120</v>
      </c>
      <c r="B26" s="343" t="s">
        <v>302</v>
      </c>
      <c r="C26" s="85">
        <f>PV!C26</f>
        <v>0.36</v>
      </c>
      <c r="D26" s="44" t="str">
        <f t="shared" si="2"/>
        <v>h</v>
      </c>
      <c r="E26" s="43">
        <f>IF(D26="h",PV!E26,IF(D26="M",PV!G26,PV!I26))</f>
        <v>4.95</v>
      </c>
      <c r="F26" s="291">
        <v>0</v>
      </c>
      <c r="G26" s="291">
        <v>5</v>
      </c>
      <c r="H26" s="291"/>
      <c r="I26" s="291"/>
      <c r="J26" s="291"/>
      <c r="K26" s="373"/>
      <c r="L26" s="331"/>
      <c r="M26" s="332"/>
      <c r="N26" s="333"/>
      <c r="O26" s="333"/>
      <c r="P26" s="334"/>
      <c r="Q26" s="275">
        <f>(K26*E26)</f>
        <v>0</v>
      </c>
      <c r="R26" s="280">
        <f>K26*C26</f>
        <v>0</v>
      </c>
      <c r="U26" s="294">
        <f t="shared" si="3"/>
        <v>0</v>
      </c>
    </row>
    <row r="27" spans="1:21" s="25" customFormat="1" ht="18.75" customHeight="1" x14ac:dyDescent="0.2">
      <c r="A27" s="379">
        <v>65864</v>
      </c>
      <c r="B27" s="343" t="s">
        <v>136</v>
      </c>
      <c r="C27" s="85">
        <f>PV!C27</f>
        <v>0.48</v>
      </c>
      <c r="D27" s="44" t="str">
        <f t="shared" si="2"/>
        <v>h</v>
      </c>
      <c r="E27" s="43">
        <f>IF(D27="h",PV!E27,IF(D27="M",PV!G27,PV!I27))</f>
        <v>5.5</v>
      </c>
      <c r="F27" s="291">
        <v>6</v>
      </c>
      <c r="G27" s="291">
        <v>6</v>
      </c>
      <c r="H27" s="291"/>
      <c r="I27" s="291"/>
      <c r="J27" s="291"/>
      <c r="K27" s="373"/>
      <c r="L27" s="331"/>
      <c r="M27" s="332"/>
      <c r="N27" s="333"/>
      <c r="O27" s="333"/>
      <c r="P27" s="334"/>
      <c r="Q27" s="275">
        <f>(K27*E27)</f>
        <v>0</v>
      </c>
      <c r="R27" s="280">
        <f>K27*C27</f>
        <v>0</v>
      </c>
      <c r="U27" s="294">
        <f t="shared" si="3"/>
        <v>0</v>
      </c>
    </row>
    <row r="28" spans="1:21" s="25" customFormat="1" ht="18.75" customHeight="1" x14ac:dyDescent="0.2">
      <c r="A28" s="379">
        <v>1263736</v>
      </c>
      <c r="B28" s="343" t="s">
        <v>273</v>
      </c>
      <c r="C28" s="85">
        <f>PV!C28</f>
        <v>0.47499999999999998</v>
      </c>
      <c r="D28" s="44" t="str">
        <f t="shared" si="2"/>
        <v>h</v>
      </c>
      <c r="E28" s="43">
        <f>IF(D28="h",PV!E28,IF(D28="M",PV!G28,PV!I28))</f>
        <v>5.5</v>
      </c>
      <c r="F28" s="291">
        <v>6</v>
      </c>
      <c r="G28" s="291">
        <v>5</v>
      </c>
      <c r="H28" s="291"/>
      <c r="I28" s="291"/>
      <c r="J28" s="291"/>
      <c r="K28" s="373"/>
      <c r="L28" s="331"/>
      <c r="M28" s="332"/>
      <c r="N28" s="333"/>
      <c r="O28" s="333"/>
      <c r="P28" s="334"/>
      <c r="Q28" s="275">
        <f>(K28*E28)</f>
        <v>0</v>
      </c>
      <c r="R28" s="280">
        <f>K28*C28</f>
        <v>0</v>
      </c>
      <c r="U28" s="294">
        <f t="shared" si="3"/>
        <v>0</v>
      </c>
    </row>
    <row r="29" spans="1:21" s="36" customFormat="1" ht="18.600000000000001" customHeight="1" x14ac:dyDescent="0.2">
      <c r="A29" s="380">
        <v>68789</v>
      </c>
      <c r="B29" s="344" t="s">
        <v>137</v>
      </c>
      <c r="C29" s="85">
        <f>PV!C29</f>
        <v>0.35</v>
      </c>
      <c r="D29" s="44" t="str">
        <f t="shared" si="2"/>
        <v>h</v>
      </c>
      <c r="E29" s="43">
        <f>IF(D29="h",PV!E29,IF(D29="M",PV!G29,PV!I29))</f>
        <v>3.5</v>
      </c>
      <c r="F29" s="291">
        <v>11</v>
      </c>
      <c r="G29" s="291">
        <v>6</v>
      </c>
      <c r="H29" s="291"/>
      <c r="I29" s="291"/>
      <c r="J29" s="291"/>
      <c r="K29" s="373"/>
      <c r="L29" s="331"/>
      <c r="M29" s="332"/>
      <c r="N29" s="333"/>
      <c r="O29" s="333"/>
      <c r="P29" s="334"/>
      <c r="Q29" s="275">
        <f>(K29*E29)</f>
        <v>0</v>
      </c>
      <c r="R29" s="280">
        <f>K29*C29</f>
        <v>0</v>
      </c>
      <c r="U29" s="294">
        <f t="shared" si="3"/>
        <v>0</v>
      </c>
    </row>
    <row r="30" spans="1:21" s="25" customFormat="1" ht="0.6" customHeight="1" x14ac:dyDescent="0.15">
      <c r="A30" s="376"/>
      <c r="B30" s="345"/>
      <c r="C30" s="85">
        <f>PV!C30</f>
        <v>0</v>
      </c>
      <c r="D30" s="44" t="str">
        <f t="shared" si="2"/>
        <v>h</v>
      </c>
      <c r="E30" s="43">
        <f>IF(D30="h",PV!E30,IF(D30="M",PV!G30,PV!I30))</f>
        <v>0</v>
      </c>
      <c r="F30" s="291">
        <v>0</v>
      </c>
      <c r="G30" s="291">
        <v>0</v>
      </c>
      <c r="H30" s="291"/>
      <c r="I30" s="291"/>
      <c r="J30" s="291"/>
      <c r="K30" s="373"/>
      <c r="L30" s="331"/>
      <c r="M30" s="332"/>
      <c r="N30" s="333"/>
      <c r="O30" s="333"/>
      <c r="P30" s="334"/>
      <c r="Q30" s="277"/>
      <c r="R30" s="281">
        <f>SUM(R25:R29)</f>
        <v>0</v>
      </c>
      <c r="U30" s="294">
        <f t="shared" si="3"/>
        <v>0</v>
      </c>
    </row>
    <row r="31" spans="1:21" s="25" customFormat="1" ht="20.100000000000001" customHeight="1" x14ac:dyDescent="0.15">
      <c r="A31" s="377">
        <v>445146</v>
      </c>
      <c r="B31" s="341" t="s">
        <v>132</v>
      </c>
      <c r="C31" s="85">
        <f>PV!C31</f>
        <v>0.48</v>
      </c>
      <c r="D31" s="44" t="str">
        <f t="shared" si="2"/>
        <v>h</v>
      </c>
      <c r="E31" s="43">
        <f>IF(D31="h",PV!E31,IF(D31="M",PV!G31,PV!I31))</f>
        <v>5.95</v>
      </c>
      <c r="F31" s="291">
        <v>1</v>
      </c>
      <c r="G31" s="291">
        <v>5</v>
      </c>
      <c r="H31" s="291"/>
      <c r="I31" s="291"/>
      <c r="J31" s="291"/>
      <c r="K31" s="373"/>
      <c r="L31" s="331"/>
      <c r="M31" s="332"/>
      <c r="N31" s="333"/>
      <c r="O31" s="333"/>
      <c r="P31" s="334"/>
      <c r="Q31" s="275">
        <f>(K31*E31)</f>
        <v>0</v>
      </c>
      <c r="R31" s="280">
        <f>K31*C31</f>
        <v>0</v>
      </c>
      <c r="U31" s="294">
        <f t="shared" si="3"/>
        <v>0</v>
      </c>
    </row>
    <row r="32" spans="1:21" s="25" customFormat="1" ht="0.6" customHeight="1" x14ac:dyDescent="0.15">
      <c r="A32" s="377"/>
      <c r="B32" s="341"/>
      <c r="C32" s="85">
        <f>PV!C32</f>
        <v>0</v>
      </c>
      <c r="D32" s="44" t="str">
        <f t="shared" si="2"/>
        <v>h</v>
      </c>
      <c r="E32" s="43">
        <f>IF(D32="h",PV!E32,IF(D32="M",PV!G32,PV!I32))</f>
        <v>0</v>
      </c>
      <c r="F32" s="291">
        <v>0</v>
      </c>
      <c r="G32" s="291">
        <v>0</v>
      </c>
      <c r="H32" s="291"/>
      <c r="I32" s="291"/>
      <c r="J32" s="291"/>
      <c r="K32" s="373"/>
      <c r="L32" s="331"/>
      <c r="M32" s="332"/>
      <c r="N32" s="333"/>
      <c r="O32" s="333"/>
      <c r="P32" s="334"/>
      <c r="Q32" s="275"/>
      <c r="R32" s="280"/>
      <c r="U32" s="294">
        <f t="shared" si="3"/>
        <v>0</v>
      </c>
    </row>
    <row r="33" spans="1:21" s="25" customFormat="1" ht="22.5" x14ac:dyDescent="0.25">
      <c r="A33" s="381">
        <v>951452</v>
      </c>
      <c r="B33" s="346" t="s">
        <v>163</v>
      </c>
      <c r="C33" s="85">
        <f>PV!C33</f>
        <v>0.45</v>
      </c>
      <c r="D33" s="44" t="str">
        <f t="shared" si="2"/>
        <v>h</v>
      </c>
      <c r="E33" s="43">
        <f>IF(D33="h",PV!E33,IF(D33="M",PV!G33,PV!I33))</f>
        <v>4.95</v>
      </c>
      <c r="F33" s="291">
        <v>0</v>
      </c>
      <c r="G33" s="291">
        <v>0</v>
      </c>
      <c r="H33" s="291"/>
      <c r="I33" s="291"/>
      <c r="J33" s="291"/>
      <c r="K33" s="373"/>
      <c r="L33" s="331"/>
      <c r="M33" s="332"/>
      <c r="N33" s="333"/>
      <c r="O33" s="333"/>
      <c r="P33" s="334"/>
      <c r="Q33" s="275">
        <f>(K33*E33)</f>
        <v>0</v>
      </c>
      <c r="R33" s="281">
        <f>K33*C33</f>
        <v>0</v>
      </c>
      <c r="U33" s="294">
        <f t="shared" si="3"/>
        <v>0</v>
      </c>
    </row>
    <row r="34" spans="1:21" s="25" customFormat="1" ht="0.6" customHeight="1" x14ac:dyDescent="0.2">
      <c r="A34" s="382"/>
      <c r="B34" s="343"/>
      <c r="C34" s="85">
        <f>PV!C34</f>
        <v>0</v>
      </c>
      <c r="D34" s="44" t="str">
        <f t="shared" si="2"/>
        <v>h</v>
      </c>
      <c r="E34" s="43">
        <f>IF(D34="h",PV!E34,IF(D34="M",PV!G34,PV!I34))</f>
        <v>0</v>
      </c>
      <c r="F34" s="291">
        <v>0</v>
      </c>
      <c r="G34" s="291">
        <v>0</v>
      </c>
      <c r="H34" s="291"/>
      <c r="I34" s="291"/>
      <c r="J34" s="291"/>
      <c r="K34" s="373"/>
      <c r="L34" s="331"/>
      <c r="M34" s="332"/>
      <c r="N34" s="333"/>
      <c r="O34" s="333"/>
      <c r="P34" s="334"/>
      <c r="Q34" s="278"/>
      <c r="R34" s="280">
        <f>K34*C34</f>
        <v>0</v>
      </c>
      <c r="U34" s="294">
        <f t="shared" si="3"/>
        <v>0</v>
      </c>
    </row>
    <row r="35" spans="1:21" s="25" customFormat="1" ht="20.100000000000001" customHeight="1" x14ac:dyDescent="0.2">
      <c r="A35" s="379">
        <v>1263737</v>
      </c>
      <c r="B35" s="343" t="s">
        <v>271</v>
      </c>
      <c r="C35" s="85">
        <f>PV!C35</f>
        <v>0.5</v>
      </c>
      <c r="D35" s="44" t="str">
        <f t="shared" si="2"/>
        <v>h</v>
      </c>
      <c r="E35" s="43">
        <f>IF(D35="h",PV!E35,IF(D35="M",PV!G35,PV!I35))</f>
        <v>6.5</v>
      </c>
      <c r="F35" s="291">
        <v>6</v>
      </c>
      <c r="G35" s="291">
        <v>9</v>
      </c>
      <c r="H35" s="291"/>
      <c r="I35" s="291"/>
      <c r="J35" s="291"/>
      <c r="K35" s="373"/>
      <c r="L35" s="331"/>
      <c r="M35" s="332"/>
      <c r="N35" s="333"/>
      <c r="O35" s="333"/>
      <c r="P35" s="334"/>
      <c r="Q35" s="275">
        <f>(K35*E35)</f>
        <v>0</v>
      </c>
      <c r="R35" s="280">
        <f>K35*C35</f>
        <v>0</v>
      </c>
      <c r="U35" s="294">
        <f t="shared" si="3"/>
        <v>0</v>
      </c>
    </row>
    <row r="36" spans="1:21" s="25" customFormat="1" ht="20.100000000000001" customHeight="1" x14ac:dyDescent="0.2">
      <c r="A36" s="379">
        <v>1098038</v>
      </c>
      <c r="B36" s="343" t="s">
        <v>150</v>
      </c>
      <c r="C36" s="85">
        <f>PV!C36</f>
        <v>0.7</v>
      </c>
      <c r="D36" s="44" t="str">
        <f t="shared" si="2"/>
        <v>h</v>
      </c>
      <c r="E36" s="43">
        <f>IF(D36="h",PV!E36,IF(D36="M",PV!G36,PV!I36))</f>
        <v>8.9499999999999993</v>
      </c>
      <c r="F36" s="291">
        <v>0</v>
      </c>
      <c r="G36" s="291">
        <v>0</v>
      </c>
      <c r="H36" s="291"/>
      <c r="I36" s="291"/>
      <c r="J36" s="291"/>
      <c r="K36" s="373"/>
      <c r="L36" s="331"/>
      <c r="M36" s="332"/>
      <c r="N36" s="333"/>
      <c r="O36" s="333"/>
      <c r="P36" s="334"/>
      <c r="Q36" s="275">
        <f>(K36*E36)</f>
        <v>0</v>
      </c>
      <c r="R36" s="280">
        <f>K36*C36</f>
        <v>0</v>
      </c>
      <c r="U36" s="294">
        <f t="shared" si="3"/>
        <v>0</v>
      </c>
    </row>
    <row r="37" spans="1:21" ht="0.6" customHeight="1" x14ac:dyDescent="0.2">
      <c r="A37" s="382"/>
      <c r="B37" s="347"/>
      <c r="C37" s="85">
        <f>PV!C37</f>
        <v>0</v>
      </c>
      <c r="D37" s="44" t="str">
        <f t="shared" si="2"/>
        <v>h</v>
      </c>
      <c r="E37" s="43">
        <f>IF(D37="h",PV!E37,IF(D37="M",PV!G37,PV!I37))</f>
        <v>0</v>
      </c>
      <c r="F37" s="291">
        <v>0</v>
      </c>
      <c r="G37" s="291">
        <v>0</v>
      </c>
      <c r="H37" s="291"/>
      <c r="I37" s="291"/>
      <c r="J37" s="291"/>
      <c r="K37" s="373"/>
      <c r="L37" s="331"/>
      <c r="M37" s="332"/>
      <c r="N37" s="333"/>
      <c r="O37" s="333"/>
      <c r="P37" s="334"/>
      <c r="Q37" s="275"/>
      <c r="R37" s="282">
        <f>SUM(R35:R36)</f>
        <v>0</v>
      </c>
      <c r="U37" s="294">
        <f t="shared" si="3"/>
        <v>0</v>
      </c>
    </row>
    <row r="38" spans="1:21" s="25" customFormat="1" ht="20.100000000000001" customHeight="1" x14ac:dyDescent="0.15">
      <c r="A38" s="335">
        <v>1079156</v>
      </c>
      <c r="B38" s="343" t="s">
        <v>121</v>
      </c>
      <c r="C38" s="85">
        <f>PV!C38</f>
        <v>0.45</v>
      </c>
      <c r="D38" s="44" t="str">
        <f t="shared" si="2"/>
        <v>h</v>
      </c>
      <c r="E38" s="43">
        <f>IF(D38="h",PV!E38,IF(D38="M",PV!G38,PV!I38))</f>
        <v>6.5</v>
      </c>
      <c r="F38" s="291">
        <v>0</v>
      </c>
      <c r="G38" s="291">
        <v>0</v>
      </c>
      <c r="H38" s="291"/>
      <c r="I38" s="291"/>
      <c r="J38" s="291"/>
      <c r="K38" s="373"/>
      <c r="L38" s="331"/>
      <c r="M38" s="332"/>
      <c r="N38" s="333"/>
      <c r="O38" s="333"/>
      <c r="P38" s="334"/>
      <c r="Q38" s="275">
        <f>(K38*E38)</f>
        <v>0</v>
      </c>
      <c r="R38" s="280">
        <f>K38*C38</f>
        <v>0</v>
      </c>
      <c r="U38" s="294">
        <f t="shared" ref="U38:U69" si="4">K38-L38</f>
        <v>0</v>
      </c>
    </row>
    <row r="39" spans="1:21" s="25" customFormat="1" ht="20.100000000000001" customHeight="1" x14ac:dyDescent="0.15">
      <c r="A39" s="383">
        <v>65857</v>
      </c>
      <c r="B39" s="348" t="s">
        <v>122</v>
      </c>
      <c r="C39" s="85">
        <f>PV!C39</f>
        <v>0.5</v>
      </c>
      <c r="D39" s="44" t="str">
        <f t="shared" si="2"/>
        <v>h</v>
      </c>
      <c r="E39" s="43">
        <f>IF(D39="h",PV!E39,IF(D39="M",PV!G39,PV!I39))</f>
        <v>3.15</v>
      </c>
      <c r="F39" s="291">
        <v>50</v>
      </c>
      <c r="G39" s="291">
        <v>40</v>
      </c>
      <c r="H39" s="291"/>
      <c r="I39" s="291"/>
      <c r="J39" s="291"/>
      <c r="K39" s="373"/>
      <c r="L39" s="331"/>
      <c r="M39" s="332"/>
      <c r="N39" s="333"/>
      <c r="O39" s="333"/>
      <c r="P39" s="334"/>
      <c r="Q39" s="275">
        <f>(K39*E39)</f>
        <v>0</v>
      </c>
      <c r="R39" s="280">
        <f>K39*C39</f>
        <v>0</v>
      </c>
      <c r="U39" s="294">
        <f t="shared" si="4"/>
        <v>0</v>
      </c>
    </row>
    <row r="40" spans="1:21" s="25" customFormat="1" ht="20.100000000000001" customHeight="1" x14ac:dyDescent="0.2">
      <c r="A40" s="379">
        <v>645788</v>
      </c>
      <c r="B40" s="343" t="s">
        <v>123</v>
      </c>
      <c r="C40" s="85">
        <f>PV!C40</f>
        <v>0.5</v>
      </c>
      <c r="D40" s="44" t="str">
        <f t="shared" si="2"/>
        <v>h</v>
      </c>
      <c r="E40" s="43">
        <f>IF(D40="h",PV!E40,IF(D40="M",PV!G40,PV!I40))</f>
        <v>5.95</v>
      </c>
      <c r="F40" s="291">
        <v>3</v>
      </c>
      <c r="G40" s="291">
        <v>7</v>
      </c>
      <c r="H40" s="291"/>
      <c r="I40" s="291"/>
      <c r="J40" s="291"/>
      <c r="K40" s="373"/>
      <c r="L40" s="331"/>
      <c r="M40" s="332"/>
      <c r="N40" s="333"/>
      <c r="O40" s="333"/>
      <c r="P40" s="334"/>
      <c r="Q40" s="275">
        <f>(K40*E40)</f>
        <v>0</v>
      </c>
      <c r="R40" s="280">
        <f>K40*C40</f>
        <v>0</v>
      </c>
      <c r="U40" s="294">
        <f t="shared" si="4"/>
        <v>0</v>
      </c>
    </row>
    <row r="41" spans="1:21" s="25" customFormat="1" ht="20.100000000000001" customHeight="1" x14ac:dyDescent="0.2">
      <c r="A41" s="379">
        <v>95901</v>
      </c>
      <c r="B41" s="337" t="s">
        <v>300</v>
      </c>
      <c r="C41" s="85">
        <f>PV!C41</f>
        <v>0.11</v>
      </c>
      <c r="D41" s="44" t="str">
        <f t="shared" si="2"/>
        <v>h</v>
      </c>
      <c r="E41" s="43">
        <f>IF(D41="h",PV!E41,IF(D41="M",PV!G41,PV!I41))</f>
        <v>1.5</v>
      </c>
      <c r="F41" s="291">
        <v>122</v>
      </c>
      <c r="G41" s="291">
        <v>168</v>
      </c>
      <c r="H41" s="291"/>
      <c r="I41" s="291"/>
      <c r="J41" s="291"/>
      <c r="K41" s="373"/>
      <c r="L41" s="331"/>
      <c r="M41" s="332"/>
      <c r="N41" s="333"/>
      <c r="O41" s="333"/>
      <c r="P41" s="334"/>
      <c r="Q41" s="275">
        <f>(K41*E41)</f>
        <v>0</v>
      </c>
      <c r="R41" s="280">
        <f>K41*C41</f>
        <v>0</v>
      </c>
      <c r="U41" s="294">
        <f t="shared" si="4"/>
        <v>0</v>
      </c>
    </row>
    <row r="42" spans="1:21" ht="0.6" customHeight="1" x14ac:dyDescent="0.2">
      <c r="A42" s="384"/>
      <c r="B42" s="349"/>
      <c r="C42" s="85">
        <f>PV!C42</f>
        <v>0</v>
      </c>
      <c r="D42" s="44" t="str">
        <f t="shared" si="2"/>
        <v>h</v>
      </c>
      <c r="E42" s="43">
        <f>IF(D42="h",PV!E42,IF(D42="M",PV!G42,PV!I42))</f>
        <v>0</v>
      </c>
      <c r="F42" s="291">
        <v>0</v>
      </c>
      <c r="G42" s="291">
        <v>0</v>
      </c>
      <c r="H42" s="291"/>
      <c r="I42" s="291"/>
      <c r="J42" s="291"/>
      <c r="K42" s="373"/>
      <c r="L42" s="331"/>
      <c r="M42" s="332"/>
      <c r="N42" s="333"/>
      <c r="O42" s="333"/>
      <c r="P42" s="334"/>
      <c r="Q42" s="271"/>
      <c r="R42" s="283">
        <f>SUM(R38:R41)</f>
        <v>0</v>
      </c>
      <c r="U42" s="294">
        <f t="shared" si="4"/>
        <v>0</v>
      </c>
    </row>
    <row r="43" spans="1:21" s="25" customFormat="1" ht="20.100000000000001" customHeight="1" x14ac:dyDescent="0.25">
      <c r="A43" s="381">
        <v>65882</v>
      </c>
      <c r="B43" s="346" t="s">
        <v>157</v>
      </c>
      <c r="C43" s="85">
        <f>PV!C43</f>
        <v>0.72</v>
      </c>
      <c r="D43" s="44" t="str">
        <f t="shared" si="2"/>
        <v>h</v>
      </c>
      <c r="E43" s="43">
        <f>IF(D43="h",PV!E43,IF(D43="M",PV!G43,PV!I43))</f>
        <v>6.5</v>
      </c>
      <c r="F43" s="291">
        <v>0</v>
      </c>
      <c r="G43" s="291">
        <v>10</v>
      </c>
      <c r="H43" s="291"/>
      <c r="I43" s="291"/>
      <c r="J43" s="291"/>
      <c r="K43" s="373"/>
      <c r="L43" s="331"/>
      <c r="M43" s="332"/>
      <c r="N43" s="333"/>
      <c r="O43" s="333"/>
      <c r="P43" s="334"/>
      <c r="Q43" s="275">
        <f>(K43*E43)</f>
        <v>0</v>
      </c>
      <c r="R43" s="280">
        <f>K43*C43</f>
        <v>0</v>
      </c>
      <c r="U43" s="294">
        <f t="shared" si="4"/>
        <v>0</v>
      </c>
    </row>
    <row r="44" spans="1:21" ht="0.6" customHeight="1" x14ac:dyDescent="0.2">
      <c r="A44" s="380"/>
      <c r="B44" s="347"/>
      <c r="C44" s="85">
        <f>PV!C44</f>
        <v>0</v>
      </c>
      <c r="D44" s="44" t="str">
        <f t="shared" si="2"/>
        <v>h</v>
      </c>
      <c r="E44" s="43">
        <f>IF(D44="h",PV!E44,IF(D44="M",PV!G44,PV!I44))</f>
        <v>0</v>
      </c>
      <c r="F44" s="291">
        <v>0</v>
      </c>
      <c r="G44" s="291">
        <v>0</v>
      </c>
      <c r="H44" s="291"/>
      <c r="I44" s="291"/>
      <c r="J44" s="291"/>
      <c r="K44" s="373"/>
      <c r="L44" s="331"/>
      <c r="M44" s="332"/>
      <c r="N44" s="333"/>
      <c r="O44" s="333"/>
      <c r="P44" s="334"/>
      <c r="Q44" s="271"/>
      <c r="R44" s="283">
        <f>SUM(R43:R43)</f>
        <v>0</v>
      </c>
      <c r="U44" s="294">
        <f t="shared" si="4"/>
        <v>0</v>
      </c>
    </row>
    <row r="45" spans="1:21" ht="22.5" x14ac:dyDescent="0.2">
      <c r="A45" s="380">
        <v>951448</v>
      </c>
      <c r="B45" s="347" t="s">
        <v>153</v>
      </c>
      <c r="C45" s="85">
        <f>PV!C45</f>
        <v>0.06</v>
      </c>
      <c r="D45" s="44" t="str">
        <f t="shared" si="2"/>
        <v>h</v>
      </c>
      <c r="E45" s="43">
        <f>IF(D45="h",PV!E45,IF(D45="M",PV!G45,PV!I45))</f>
        <v>0.5</v>
      </c>
      <c r="F45" s="291">
        <v>0</v>
      </c>
      <c r="G45" s="291">
        <v>0</v>
      </c>
      <c r="H45" s="291"/>
      <c r="I45" s="291"/>
      <c r="J45" s="291"/>
      <c r="K45" s="373"/>
      <c r="L45" s="331"/>
      <c r="M45" s="332"/>
      <c r="N45" s="333"/>
      <c r="O45" s="333"/>
      <c r="P45" s="334"/>
      <c r="Q45" s="275">
        <f>(K45*E45)</f>
        <v>0</v>
      </c>
      <c r="R45" s="280">
        <f>K45*C45</f>
        <v>0</v>
      </c>
      <c r="U45" s="294">
        <f t="shared" si="4"/>
        <v>0</v>
      </c>
    </row>
    <row r="46" spans="1:21" s="25" customFormat="1" ht="20.100000000000001" customHeight="1" x14ac:dyDescent="0.15">
      <c r="A46" s="335">
        <v>1037864</v>
      </c>
      <c r="B46" s="343" t="s">
        <v>154</v>
      </c>
      <c r="C46" s="85">
        <f>PV!C46</f>
        <v>0.36</v>
      </c>
      <c r="D46" s="44" t="str">
        <f t="shared" si="2"/>
        <v>h</v>
      </c>
      <c r="E46" s="43">
        <f>IF(D46="h",PV!E46,IF(D46="M",PV!G46,PV!I46))</f>
        <v>3</v>
      </c>
      <c r="F46" s="291">
        <v>0</v>
      </c>
      <c r="G46" s="291">
        <v>0</v>
      </c>
      <c r="H46" s="291"/>
      <c r="I46" s="291"/>
      <c r="J46" s="291"/>
      <c r="K46" s="373"/>
      <c r="L46" s="331"/>
      <c r="M46" s="332"/>
      <c r="N46" s="333"/>
      <c r="O46" s="333"/>
      <c r="P46" s="334"/>
      <c r="Q46" s="275">
        <f>(K46*E46)</f>
        <v>0</v>
      </c>
      <c r="R46" s="280">
        <f>K46*C46</f>
        <v>0</v>
      </c>
      <c r="U46" s="294">
        <f t="shared" si="4"/>
        <v>0</v>
      </c>
    </row>
    <row r="47" spans="1:21" s="25" customFormat="1" ht="20.100000000000001" customHeight="1" x14ac:dyDescent="0.2">
      <c r="A47" s="379">
        <v>1022414</v>
      </c>
      <c r="B47" s="343" t="s">
        <v>155</v>
      </c>
      <c r="C47" s="85">
        <f>PV!C47</f>
        <v>0.6</v>
      </c>
      <c r="D47" s="44" t="str">
        <f t="shared" si="2"/>
        <v>h</v>
      </c>
      <c r="E47" s="43">
        <f>IF(D47="h",PV!E47,IF(D47="M",PV!G47,PV!I47))</f>
        <v>5</v>
      </c>
      <c r="F47" s="291">
        <v>0</v>
      </c>
      <c r="G47" s="291">
        <v>0</v>
      </c>
      <c r="H47" s="291"/>
      <c r="I47" s="291"/>
      <c r="J47" s="291"/>
      <c r="K47" s="373"/>
      <c r="L47" s="331"/>
      <c r="M47" s="332"/>
      <c r="N47" s="333"/>
      <c r="O47" s="333"/>
      <c r="P47" s="334"/>
      <c r="Q47" s="275">
        <f>(K47*E47)</f>
        <v>0</v>
      </c>
      <c r="R47" s="280">
        <f>K47*C47</f>
        <v>0</v>
      </c>
      <c r="U47" s="294">
        <f t="shared" si="4"/>
        <v>0</v>
      </c>
    </row>
    <row r="48" spans="1:21" s="25" customFormat="1" ht="0.6" customHeight="1" x14ac:dyDescent="0.2">
      <c r="A48" s="382"/>
      <c r="B48" s="343"/>
      <c r="C48" s="85">
        <f>PV!C48</f>
        <v>0</v>
      </c>
      <c r="D48" s="44" t="str">
        <f t="shared" si="2"/>
        <v>h</v>
      </c>
      <c r="E48" s="43">
        <f>IF(D48="h",PV!E48,IF(D48="M",PV!G48,PV!I48))</f>
        <v>0</v>
      </c>
      <c r="F48" s="291">
        <v>0</v>
      </c>
      <c r="G48" s="291">
        <v>0</v>
      </c>
      <c r="H48" s="291"/>
      <c r="I48" s="291"/>
      <c r="J48" s="291"/>
      <c r="K48" s="373"/>
      <c r="L48" s="331"/>
      <c r="M48" s="332"/>
      <c r="N48" s="333"/>
      <c r="O48" s="333"/>
      <c r="P48" s="334"/>
      <c r="Q48" s="271"/>
      <c r="R48" s="281">
        <f>SUM(R45:R47)</f>
        <v>0</v>
      </c>
      <c r="U48" s="294">
        <f t="shared" si="4"/>
        <v>0</v>
      </c>
    </row>
    <row r="49" spans="1:21" s="25" customFormat="1" ht="20.100000000000001" customHeight="1" x14ac:dyDescent="0.15">
      <c r="A49" s="377">
        <v>65860</v>
      </c>
      <c r="B49" s="350" t="s">
        <v>286</v>
      </c>
      <c r="C49" s="85">
        <f>PV!C49</f>
        <v>0.48</v>
      </c>
      <c r="D49" s="44" t="str">
        <f t="shared" si="2"/>
        <v>h</v>
      </c>
      <c r="E49" s="43">
        <f>IF(D49="h",PV!E49,IF(D49="M",PV!G49,PV!I49))</f>
        <v>6.45</v>
      </c>
      <c r="F49" s="291">
        <v>10</v>
      </c>
      <c r="G49" s="291">
        <v>11</v>
      </c>
      <c r="H49" s="291"/>
      <c r="I49" s="291"/>
      <c r="J49" s="291"/>
      <c r="K49" s="373"/>
      <c r="L49" s="331"/>
      <c r="M49" s="332"/>
      <c r="N49" s="333"/>
      <c r="O49" s="333"/>
      <c r="P49" s="334"/>
      <c r="Q49" s="275">
        <f t="shared" ref="Q49:Q57" si="5">(K49*E49)</f>
        <v>0</v>
      </c>
      <c r="R49" s="280">
        <f t="shared" ref="R49:R57" si="6">K49*C49</f>
        <v>0</v>
      </c>
      <c r="U49" s="294">
        <f t="shared" si="4"/>
        <v>0</v>
      </c>
    </row>
    <row r="50" spans="1:21" s="25" customFormat="1" ht="20.100000000000001" customHeight="1" x14ac:dyDescent="0.15">
      <c r="A50" s="377">
        <v>65859</v>
      </c>
      <c r="B50" s="350" t="s">
        <v>287</v>
      </c>
      <c r="C50" s="85">
        <f>PV!C50</f>
        <v>0.96</v>
      </c>
      <c r="D50" s="44" t="str">
        <f t="shared" si="2"/>
        <v>h</v>
      </c>
      <c r="E50" s="43">
        <f>IF(D50="h",PV!E50,IF(D50="M",PV!G50,PV!I50))</f>
        <v>10.75</v>
      </c>
      <c r="F50" s="291">
        <v>2</v>
      </c>
      <c r="G50" s="291">
        <v>1</v>
      </c>
      <c r="H50" s="291"/>
      <c r="I50" s="291"/>
      <c r="J50" s="291"/>
      <c r="K50" s="373"/>
      <c r="L50" s="331"/>
      <c r="M50" s="332"/>
      <c r="N50" s="333"/>
      <c r="O50" s="333"/>
      <c r="P50" s="334"/>
      <c r="Q50" s="275">
        <f t="shared" si="5"/>
        <v>0</v>
      </c>
      <c r="R50" s="280">
        <f t="shared" si="6"/>
        <v>0</v>
      </c>
      <c r="U50" s="294">
        <f t="shared" si="4"/>
        <v>0</v>
      </c>
    </row>
    <row r="51" spans="1:21" s="25" customFormat="1" ht="20.100000000000001" customHeight="1" x14ac:dyDescent="0.15">
      <c r="A51" s="377">
        <v>270450</v>
      </c>
      <c r="B51" s="350" t="s">
        <v>125</v>
      </c>
      <c r="C51" s="85">
        <f>PV!C51</f>
        <v>0.35</v>
      </c>
      <c r="D51" s="44" t="str">
        <f t="shared" si="2"/>
        <v>h</v>
      </c>
      <c r="E51" s="43">
        <f>IF(D51="h",PV!E51,IF(D51="M",PV!G51,PV!I51))</f>
        <v>3.95</v>
      </c>
      <c r="F51" s="291">
        <v>0</v>
      </c>
      <c r="G51" s="291">
        <v>0</v>
      </c>
      <c r="H51" s="291"/>
      <c r="I51" s="291"/>
      <c r="J51" s="291"/>
      <c r="K51" s="373"/>
      <c r="L51" s="331"/>
      <c r="M51" s="332"/>
      <c r="N51" s="333"/>
      <c r="O51" s="333"/>
      <c r="P51" s="334"/>
      <c r="Q51" s="275">
        <f t="shared" si="5"/>
        <v>0</v>
      </c>
      <c r="R51" s="280">
        <f t="shared" si="6"/>
        <v>0</v>
      </c>
      <c r="U51" s="294">
        <f t="shared" si="4"/>
        <v>0</v>
      </c>
    </row>
    <row r="52" spans="1:21" s="25" customFormat="1" ht="20.100000000000001" customHeight="1" x14ac:dyDescent="0.15">
      <c r="A52" s="377">
        <v>270462</v>
      </c>
      <c r="B52" s="339" t="s">
        <v>288</v>
      </c>
      <c r="C52" s="85">
        <f>PV!C52</f>
        <v>0.43636364</v>
      </c>
      <c r="D52" s="44" t="str">
        <f t="shared" si="2"/>
        <v>h</v>
      </c>
      <c r="E52" s="43">
        <f>IF(D52="h",PV!E52,IF(D52="M",PV!G52,PV!I52))</f>
        <v>7.5</v>
      </c>
      <c r="F52" s="291">
        <v>2</v>
      </c>
      <c r="G52" s="291">
        <v>0</v>
      </c>
      <c r="H52" s="291"/>
      <c r="I52" s="291"/>
      <c r="J52" s="291"/>
      <c r="K52" s="373"/>
      <c r="L52" s="331"/>
      <c r="M52" s="332"/>
      <c r="N52" s="333"/>
      <c r="O52" s="333"/>
      <c r="P52" s="334"/>
      <c r="Q52" s="275">
        <f t="shared" si="5"/>
        <v>0</v>
      </c>
      <c r="R52" s="280">
        <f t="shared" si="6"/>
        <v>0</v>
      </c>
      <c r="U52" s="294">
        <f t="shared" si="4"/>
        <v>0</v>
      </c>
    </row>
    <row r="53" spans="1:21" s="25" customFormat="1" ht="20.100000000000001" customHeight="1" x14ac:dyDescent="0.15">
      <c r="A53" s="377">
        <v>305568</v>
      </c>
      <c r="B53" s="350" t="s">
        <v>127</v>
      </c>
      <c r="C53" s="85">
        <f>PV!C53</f>
        <v>1</v>
      </c>
      <c r="D53" s="44" t="str">
        <f t="shared" si="2"/>
        <v>h</v>
      </c>
      <c r="E53" s="43">
        <f>IF(D53="h",PV!E53,IF(D53="M",PV!G53,PV!I53))</f>
        <v>13.5</v>
      </c>
      <c r="F53" s="291">
        <v>0.10299999999999999</v>
      </c>
      <c r="G53" s="291">
        <v>5.8940000000000001</v>
      </c>
      <c r="H53" s="291"/>
      <c r="I53" s="291"/>
      <c r="J53" s="291"/>
      <c r="K53" s="373"/>
      <c r="L53" s="331"/>
      <c r="M53" s="332"/>
      <c r="N53" s="333"/>
      <c r="O53" s="333"/>
      <c r="P53" s="334"/>
      <c r="Q53" s="275">
        <f t="shared" si="5"/>
        <v>0</v>
      </c>
      <c r="R53" s="280">
        <f t="shared" si="6"/>
        <v>0</v>
      </c>
      <c r="U53" s="294">
        <f t="shared" si="4"/>
        <v>0</v>
      </c>
    </row>
    <row r="54" spans="1:21" s="25" customFormat="1" ht="20.100000000000001" customHeight="1" x14ac:dyDescent="0.15">
      <c r="A54" s="377">
        <v>65865</v>
      </c>
      <c r="B54" s="339" t="s">
        <v>128</v>
      </c>
      <c r="C54" s="85">
        <f>PV!C54</f>
        <v>0.43636364</v>
      </c>
      <c r="D54" s="44" t="str">
        <f t="shared" si="2"/>
        <v>h</v>
      </c>
      <c r="E54" s="43">
        <f>IF(D54="h",PV!E54,IF(D54="M",PV!G54,PV!I54))</f>
        <v>7.95</v>
      </c>
      <c r="F54" s="291">
        <v>3</v>
      </c>
      <c r="G54" s="291">
        <v>6</v>
      </c>
      <c r="H54" s="291"/>
      <c r="I54" s="291"/>
      <c r="J54" s="291"/>
      <c r="K54" s="373"/>
      <c r="L54" s="331"/>
      <c r="M54" s="332"/>
      <c r="N54" s="333"/>
      <c r="O54" s="333"/>
      <c r="P54" s="334"/>
      <c r="Q54" s="275">
        <f t="shared" si="5"/>
        <v>0</v>
      </c>
      <c r="R54" s="280">
        <f t="shared" si="6"/>
        <v>0</v>
      </c>
      <c r="U54" s="294">
        <f t="shared" si="4"/>
        <v>0</v>
      </c>
    </row>
    <row r="55" spans="1:21" s="25" customFormat="1" ht="20.100000000000001" customHeight="1" x14ac:dyDescent="0.15">
      <c r="A55" s="377">
        <v>308648</v>
      </c>
      <c r="B55" s="350" t="s">
        <v>129</v>
      </c>
      <c r="C55" s="85">
        <f>PV!C55</f>
        <v>0.58499999999999996</v>
      </c>
      <c r="D55" s="44" t="str">
        <f t="shared" si="2"/>
        <v>h</v>
      </c>
      <c r="E55" s="43">
        <f>IF(D55="h",PV!E55,IF(D55="M",PV!G55,PV!I55))</f>
        <v>5.75</v>
      </c>
      <c r="F55" s="291">
        <v>4</v>
      </c>
      <c r="G55" s="291">
        <v>5</v>
      </c>
      <c r="H55" s="291"/>
      <c r="I55" s="291"/>
      <c r="J55" s="291"/>
      <c r="K55" s="373"/>
      <c r="L55" s="331"/>
      <c r="M55" s="332"/>
      <c r="N55" s="333"/>
      <c r="O55" s="333"/>
      <c r="P55" s="334"/>
      <c r="Q55" s="275">
        <f t="shared" si="5"/>
        <v>0</v>
      </c>
      <c r="R55" s="280">
        <f t="shared" si="6"/>
        <v>0</v>
      </c>
      <c r="U55" s="294">
        <f t="shared" si="4"/>
        <v>0</v>
      </c>
    </row>
    <row r="56" spans="1:21" s="25" customFormat="1" ht="20.100000000000001" customHeight="1" x14ac:dyDescent="0.15">
      <c r="A56" s="377">
        <v>270459</v>
      </c>
      <c r="B56" s="341" t="s">
        <v>130</v>
      </c>
      <c r="C56" s="85">
        <f>PV!C56</f>
        <v>0.43636364</v>
      </c>
      <c r="D56" s="44" t="str">
        <f t="shared" si="2"/>
        <v>h</v>
      </c>
      <c r="E56" s="43">
        <f>IF(D56="h",PV!E56,IF(D56="M",PV!G56,PV!I56))</f>
        <v>7.95</v>
      </c>
      <c r="F56" s="291">
        <v>3</v>
      </c>
      <c r="G56" s="291">
        <v>5</v>
      </c>
      <c r="H56" s="291"/>
      <c r="I56" s="291"/>
      <c r="J56" s="291"/>
      <c r="K56" s="373"/>
      <c r="L56" s="331"/>
      <c r="M56" s="332"/>
      <c r="N56" s="333"/>
      <c r="O56" s="333"/>
      <c r="P56" s="334"/>
      <c r="Q56" s="275">
        <f t="shared" si="5"/>
        <v>0</v>
      </c>
      <c r="R56" s="280">
        <f t="shared" si="6"/>
        <v>0</v>
      </c>
      <c r="U56" s="294">
        <f t="shared" si="4"/>
        <v>0</v>
      </c>
    </row>
    <row r="57" spans="1:21" s="25" customFormat="1" ht="20.100000000000001" customHeight="1" x14ac:dyDescent="0.15">
      <c r="A57" s="377">
        <v>65855</v>
      </c>
      <c r="B57" s="341" t="s">
        <v>289</v>
      </c>
      <c r="C57" s="85">
        <f>PV!C57</f>
        <v>0.63600000000000001</v>
      </c>
      <c r="D57" s="44" t="str">
        <f t="shared" si="2"/>
        <v>h</v>
      </c>
      <c r="E57" s="43">
        <f>IF(D57="h",PV!E57,IF(D57="M",PV!G57,PV!I57))</f>
        <v>6.75</v>
      </c>
      <c r="F57" s="291">
        <v>0</v>
      </c>
      <c r="G57" s="291">
        <v>0</v>
      </c>
      <c r="H57" s="291"/>
      <c r="I57" s="291"/>
      <c r="J57" s="291"/>
      <c r="K57" s="373"/>
      <c r="L57" s="331"/>
      <c r="M57" s="332"/>
      <c r="N57" s="333"/>
      <c r="O57" s="333"/>
      <c r="P57" s="334"/>
      <c r="Q57" s="275">
        <f t="shared" si="5"/>
        <v>0</v>
      </c>
      <c r="R57" s="280">
        <f t="shared" si="6"/>
        <v>0</v>
      </c>
      <c r="U57" s="294">
        <f t="shared" si="4"/>
        <v>0</v>
      </c>
    </row>
    <row r="58" spans="1:21" ht="0.6" customHeight="1" x14ac:dyDescent="0.2">
      <c r="A58" s="384"/>
      <c r="B58" s="347"/>
      <c r="C58" s="85">
        <f>PV!C58</f>
        <v>0</v>
      </c>
      <c r="D58" s="44" t="str">
        <f t="shared" si="2"/>
        <v>h</v>
      </c>
      <c r="E58" s="43">
        <f>IF(D58="h",PV!E58,IF(D58="M",PV!G58,PV!I58))</f>
        <v>0</v>
      </c>
      <c r="F58" s="291">
        <v>0</v>
      </c>
      <c r="G58" s="291">
        <v>0</v>
      </c>
      <c r="H58" s="291"/>
      <c r="I58" s="291"/>
      <c r="J58" s="291"/>
      <c r="K58" s="373"/>
      <c r="L58" s="331"/>
      <c r="M58" s="332"/>
      <c r="N58" s="333"/>
      <c r="O58" s="333"/>
      <c r="P58" s="334"/>
      <c r="Q58" s="271"/>
      <c r="R58" s="284">
        <f>SUM(R49:R57)</f>
        <v>0</v>
      </c>
      <c r="U58" s="294">
        <f t="shared" si="4"/>
        <v>0</v>
      </c>
    </row>
    <row r="59" spans="1:21" s="25" customFormat="1" ht="20.100000000000001" customHeight="1" x14ac:dyDescent="0.25">
      <c r="A59" s="377">
        <v>65928</v>
      </c>
      <c r="B59" s="351" t="s">
        <v>43</v>
      </c>
      <c r="C59" s="85">
        <f>PV!C59</f>
        <v>0.36</v>
      </c>
      <c r="D59" s="44" t="str">
        <f t="shared" si="2"/>
        <v>h</v>
      </c>
      <c r="E59" s="43">
        <f>IF(D59="h",PV!E59,IF(D59="M",PV!G59,PV!I59))</f>
        <v>3.5</v>
      </c>
      <c r="F59" s="291">
        <v>0</v>
      </c>
      <c r="G59" s="291">
        <v>4</v>
      </c>
      <c r="H59" s="291"/>
      <c r="I59" s="291"/>
      <c r="J59" s="291"/>
      <c r="K59" s="373"/>
      <c r="L59" s="331"/>
      <c r="M59" s="332"/>
      <c r="N59" s="333"/>
      <c r="O59" s="333"/>
      <c r="P59" s="334"/>
      <c r="Q59" s="275">
        <f t="shared" ref="Q59:Q73" si="7">(K59*E59)</f>
        <v>0</v>
      </c>
      <c r="R59" s="280">
        <f t="shared" ref="R59:R73" si="8">K59*C59</f>
        <v>0</v>
      </c>
      <c r="U59" s="294">
        <f t="shared" si="4"/>
        <v>0</v>
      </c>
    </row>
    <row r="60" spans="1:21" s="25" customFormat="1" ht="20.100000000000001" customHeight="1" x14ac:dyDescent="0.25">
      <c r="A60" s="377">
        <v>65894</v>
      </c>
      <c r="B60" s="351" t="s">
        <v>45</v>
      </c>
      <c r="C60" s="85">
        <f>PV!C60</f>
        <v>0.36</v>
      </c>
      <c r="D60" s="44" t="str">
        <f t="shared" si="2"/>
        <v>h</v>
      </c>
      <c r="E60" s="43">
        <f>IF(D60="h",PV!E60,IF(D60="M",PV!G60,PV!I60))</f>
        <v>2.25</v>
      </c>
      <c r="F60" s="291">
        <v>35</v>
      </c>
      <c r="G60" s="291">
        <v>37</v>
      </c>
      <c r="H60" s="291"/>
      <c r="I60" s="291"/>
      <c r="J60" s="291"/>
      <c r="K60" s="373"/>
      <c r="L60" s="331"/>
      <c r="M60" s="332"/>
      <c r="N60" s="333"/>
      <c r="O60" s="333"/>
      <c r="P60" s="334"/>
      <c r="Q60" s="275">
        <f t="shared" si="7"/>
        <v>0</v>
      </c>
      <c r="R60" s="280">
        <f t="shared" si="8"/>
        <v>0</v>
      </c>
      <c r="U60" s="294">
        <f t="shared" si="4"/>
        <v>0</v>
      </c>
    </row>
    <row r="61" spans="1:21" s="25" customFormat="1" ht="20.100000000000001" customHeight="1" x14ac:dyDescent="0.25">
      <c r="A61" s="377">
        <v>65927</v>
      </c>
      <c r="B61" s="351" t="s">
        <v>46</v>
      </c>
      <c r="C61" s="85">
        <f>PV!C61</f>
        <v>0.36</v>
      </c>
      <c r="D61" s="44" t="str">
        <f t="shared" si="2"/>
        <v>h</v>
      </c>
      <c r="E61" s="43">
        <f>IF(D61="h",PV!E61,IF(D61="M",PV!G61,PV!I61))</f>
        <v>2.95</v>
      </c>
      <c r="F61" s="291">
        <v>30</v>
      </c>
      <c r="G61" s="291">
        <v>39</v>
      </c>
      <c r="H61" s="291"/>
      <c r="I61" s="291"/>
      <c r="J61" s="291"/>
      <c r="K61" s="373"/>
      <c r="L61" s="331"/>
      <c r="M61" s="332"/>
      <c r="N61" s="333"/>
      <c r="O61" s="333"/>
      <c r="P61" s="334"/>
      <c r="Q61" s="275">
        <f t="shared" si="7"/>
        <v>0</v>
      </c>
      <c r="R61" s="280">
        <f t="shared" si="8"/>
        <v>0</v>
      </c>
      <c r="U61" s="294">
        <f t="shared" si="4"/>
        <v>0</v>
      </c>
    </row>
    <row r="62" spans="1:21" s="25" customFormat="1" ht="20.100000000000001" customHeight="1" x14ac:dyDescent="0.25">
      <c r="A62" s="377">
        <v>425032</v>
      </c>
      <c r="B62" s="351" t="s">
        <v>115</v>
      </c>
      <c r="C62" s="85">
        <f>PV!C62</f>
        <v>0.36</v>
      </c>
      <c r="D62" s="44" t="str">
        <f t="shared" si="2"/>
        <v>h</v>
      </c>
      <c r="E62" s="43">
        <f>IF(D62="h",PV!E62,IF(D62="M",PV!G62,PV!I62))</f>
        <v>2.75</v>
      </c>
      <c r="F62" s="291">
        <v>7</v>
      </c>
      <c r="G62" s="291">
        <v>0</v>
      </c>
      <c r="H62" s="291"/>
      <c r="I62" s="291"/>
      <c r="J62" s="291"/>
      <c r="K62" s="373"/>
      <c r="L62" s="331"/>
      <c r="M62" s="332"/>
      <c r="N62" s="333"/>
      <c r="O62" s="333"/>
      <c r="P62" s="334"/>
      <c r="Q62" s="275">
        <f t="shared" si="7"/>
        <v>0</v>
      </c>
      <c r="R62" s="280">
        <f t="shared" si="8"/>
        <v>0</v>
      </c>
      <c r="U62" s="294">
        <f t="shared" si="4"/>
        <v>0</v>
      </c>
    </row>
    <row r="63" spans="1:21" s="25" customFormat="1" ht="20.100000000000001" customHeight="1" x14ac:dyDescent="0.25">
      <c r="A63" s="377">
        <v>270448</v>
      </c>
      <c r="B63" s="351" t="s">
        <v>116</v>
      </c>
      <c r="C63" s="85">
        <f>PV!C63</f>
        <v>0.35</v>
      </c>
      <c r="D63" s="44" t="str">
        <f t="shared" si="2"/>
        <v>h</v>
      </c>
      <c r="E63" s="43">
        <f>IF(D63="h",PV!E63,IF(D63="M",PV!G63,PV!I63))</f>
        <v>2.95</v>
      </c>
      <c r="F63" s="291">
        <v>1</v>
      </c>
      <c r="G63" s="291">
        <v>2</v>
      </c>
      <c r="H63" s="291"/>
      <c r="I63" s="291"/>
      <c r="J63" s="291"/>
      <c r="K63" s="373"/>
      <c r="L63" s="331"/>
      <c r="M63" s="332"/>
      <c r="N63" s="333"/>
      <c r="O63" s="333"/>
      <c r="P63" s="334"/>
      <c r="Q63" s="275">
        <f t="shared" si="7"/>
        <v>0</v>
      </c>
      <c r="R63" s="280">
        <f t="shared" si="8"/>
        <v>0</v>
      </c>
      <c r="U63" s="294">
        <f t="shared" si="4"/>
        <v>0</v>
      </c>
    </row>
    <row r="64" spans="1:21" s="25" customFormat="1" ht="20.100000000000001" customHeight="1" x14ac:dyDescent="0.25">
      <c r="A64" s="377">
        <v>65871</v>
      </c>
      <c r="B64" s="351" t="s">
        <v>290</v>
      </c>
      <c r="C64" s="85">
        <f>PV!C64</f>
        <v>0.58499999999999996</v>
      </c>
      <c r="D64" s="44" t="str">
        <f t="shared" si="2"/>
        <v>h</v>
      </c>
      <c r="E64" s="43">
        <f>IF(D64="h",PV!E64,IF(D64="M",PV!G64,PV!I64))</f>
        <v>6.45</v>
      </c>
      <c r="F64" s="291">
        <v>41</v>
      </c>
      <c r="G64" s="291">
        <v>37</v>
      </c>
      <c r="H64" s="291"/>
      <c r="I64" s="291"/>
      <c r="J64" s="291"/>
      <c r="K64" s="373"/>
      <c r="L64" s="331"/>
      <c r="M64" s="332"/>
      <c r="N64" s="333"/>
      <c r="O64" s="333"/>
      <c r="P64" s="334"/>
      <c r="Q64" s="275">
        <f t="shared" si="7"/>
        <v>0</v>
      </c>
      <c r="R64" s="280">
        <f t="shared" si="8"/>
        <v>0</v>
      </c>
      <c r="U64" s="294">
        <f t="shared" si="4"/>
        <v>0</v>
      </c>
    </row>
    <row r="65" spans="1:21" s="25" customFormat="1" ht="20.100000000000001" customHeight="1" x14ac:dyDescent="0.25">
      <c r="A65" s="377">
        <v>286631</v>
      </c>
      <c r="B65" s="351" t="s">
        <v>118</v>
      </c>
      <c r="C65" s="85">
        <f>PV!C65</f>
        <v>0.4</v>
      </c>
      <c r="D65" s="44" t="str">
        <f t="shared" si="2"/>
        <v>h</v>
      </c>
      <c r="E65" s="43">
        <f>IF(D65="h",PV!E65,IF(D65="M",PV!G65,PV!I65))</f>
        <v>4.75</v>
      </c>
      <c r="F65" s="291">
        <v>8</v>
      </c>
      <c r="G65" s="291">
        <v>8</v>
      </c>
      <c r="H65" s="291"/>
      <c r="I65" s="291"/>
      <c r="J65" s="291"/>
      <c r="K65" s="373"/>
      <c r="L65" s="331"/>
      <c r="M65" s="332"/>
      <c r="N65" s="333"/>
      <c r="O65" s="333"/>
      <c r="P65" s="334"/>
      <c r="Q65" s="275">
        <f t="shared" si="7"/>
        <v>0</v>
      </c>
      <c r="R65" s="280">
        <f t="shared" si="8"/>
        <v>0</v>
      </c>
      <c r="U65" s="294">
        <f t="shared" si="4"/>
        <v>0</v>
      </c>
    </row>
    <row r="66" spans="1:21" s="25" customFormat="1" ht="20.100000000000001" customHeight="1" x14ac:dyDescent="0.25">
      <c r="A66" s="377">
        <v>306903</v>
      </c>
      <c r="B66" s="351" t="s">
        <v>52</v>
      </c>
      <c r="C66" s="85">
        <f>PV!C66</f>
        <v>0.6</v>
      </c>
      <c r="D66" s="44" t="str">
        <f t="shared" si="2"/>
        <v>h</v>
      </c>
      <c r="E66" s="43">
        <f>IF(D66="h",PV!E66,IF(D66="M",PV!G66,PV!I66))</f>
        <v>6.95</v>
      </c>
      <c r="F66" s="291">
        <v>0</v>
      </c>
      <c r="G66" s="291">
        <v>0</v>
      </c>
      <c r="H66" s="291"/>
      <c r="I66" s="291"/>
      <c r="J66" s="291"/>
      <c r="K66" s="373"/>
      <c r="L66" s="331"/>
      <c r="M66" s="332"/>
      <c r="N66" s="333"/>
      <c r="O66" s="333"/>
      <c r="P66" s="334"/>
      <c r="Q66" s="275">
        <f t="shared" si="7"/>
        <v>0</v>
      </c>
      <c r="R66" s="280">
        <f t="shared" si="8"/>
        <v>0</v>
      </c>
      <c r="U66" s="294">
        <f t="shared" si="4"/>
        <v>0</v>
      </c>
    </row>
    <row r="67" spans="1:21" s="25" customFormat="1" ht="20.100000000000001" customHeight="1" x14ac:dyDescent="0.25">
      <c r="A67" s="377">
        <v>330142</v>
      </c>
      <c r="B67" s="351" t="s">
        <v>51</v>
      </c>
      <c r="C67" s="85">
        <f>PV!C67</f>
        <v>0.3</v>
      </c>
      <c r="D67" s="44" t="str">
        <f t="shared" si="2"/>
        <v>h</v>
      </c>
      <c r="E67" s="43">
        <f>IF(D67="h",PV!E67,IF(D67="M",PV!G67,PV!I67))</f>
        <v>4.5</v>
      </c>
      <c r="F67" s="291">
        <v>0</v>
      </c>
      <c r="G67" s="291">
        <v>0</v>
      </c>
      <c r="H67" s="291"/>
      <c r="I67" s="291"/>
      <c r="J67" s="291"/>
      <c r="K67" s="373"/>
      <c r="L67" s="331"/>
      <c r="M67" s="332"/>
      <c r="N67" s="333"/>
      <c r="O67" s="333"/>
      <c r="P67" s="334"/>
      <c r="Q67" s="275">
        <f t="shared" si="7"/>
        <v>0</v>
      </c>
      <c r="R67" s="280">
        <f t="shared" si="8"/>
        <v>0</v>
      </c>
      <c r="U67" s="294">
        <f t="shared" si="4"/>
        <v>0</v>
      </c>
    </row>
    <row r="68" spans="1:21" s="25" customFormat="1" ht="20.100000000000001" customHeight="1" x14ac:dyDescent="0.25">
      <c r="A68" s="377">
        <v>65877</v>
      </c>
      <c r="B68" s="351" t="s">
        <v>48</v>
      </c>
      <c r="C68" s="85">
        <f>PV!C68</f>
        <v>0.7</v>
      </c>
      <c r="D68" s="44" t="str">
        <f t="shared" si="2"/>
        <v>h</v>
      </c>
      <c r="E68" s="43">
        <f>IF(D68="h",PV!E68,IF(D68="M",PV!G68,PV!I68))</f>
        <v>7.95</v>
      </c>
      <c r="F68" s="291">
        <v>24</v>
      </c>
      <c r="G68" s="291">
        <v>18</v>
      </c>
      <c r="H68" s="291"/>
      <c r="I68" s="291"/>
      <c r="J68" s="291"/>
      <c r="K68" s="373"/>
      <c r="L68" s="331"/>
      <c r="M68" s="332"/>
      <c r="N68" s="333"/>
      <c r="O68" s="333"/>
      <c r="P68" s="334"/>
      <c r="Q68" s="275">
        <f t="shared" si="7"/>
        <v>0</v>
      </c>
      <c r="R68" s="280">
        <f t="shared" si="8"/>
        <v>0</v>
      </c>
      <c r="U68" s="294">
        <f t="shared" si="4"/>
        <v>0</v>
      </c>
    </row>
    <row r="69" spans="1:21" s="25" customFormat="1" ht="20.100000000000001" customHeight="1" x14ac:dyDescent="0.25">
      <c r="A69" s="377">
        <v>206123</v>
      </c>
      <c r="B69" s="351" t="s">
        <v>47</v>
      </c>
      <c r="C69" s="85">
        <f>PV!C69</f>
        <v>0.35</v>
      </c>
      <c r="D69" s="44" t="str">
        <f t="shared" ref="D69:D134" si="9">D68</f>
        <v>h</v>
      </c>
      <c r="E69" s="43">
        <f>IF(D69="h",PV!E69,IF(D69="M",PV!G69,PV!I69))</f>
        <v>4.95</v>
      </c>
      <c r="F69" s="291">
        <v>9</v>
      </c>
      <c r="G69" s="291">
        <v>9</v>
      </c>
      <c r="H69" s="291"/>
      <c r="I69" s="291"/>
      <c r="J69" s="291"/>
      <c r="K69" s="373"/>
      <c r="L69" s="331"/>
      <c r="M69" s="332"/>
      <c r="N69" s="333"/>
      <c r="O69" s="333"/>
      <c r="P69" s="334"/>
      <c r="Q69" s="275">
        <f t="shared" si="7"/>
        <v>0</v>
      </c>
      <c r="R69" s="280">
        <f t="shared" si="8"/>
        <v>0</v>
      </c>
      <c r="U69" s="294">
        <f t="shared" si="4"/>
        <v>0</v>
      </c>
    </row>
    <row r="70" spans="1:21" s="25" customFormat="1" ht="20.100000000000001" customHeight="1" x14ac:dyDescent="0.25">
      <c r="A70" s="377">
        <v>830252</v>
      </c>
      <c r="B70" s="351" t="s">
        <v>119</v>
      </c>
      <c r="C70" s="85">
        <f>PV!C70</f>
        <v>0.36</v>
      </c>
      <c r="D70" s="44" t="str">
        <f t="shared" si="9"/>
        <v>h</v>
      </c>
      <c r="E70" s="43">
        <f>IF(D70="h",PV!E70,IF(D70="M",PV!G70,PV!I70))</f>
        <v>2.75</v>
      </c>
      <c r="F70" s="291">
        <v>12</v>
      </c>
      <c r="G70" s="291">
        <v>27</v>
      </c>
      <c r="H70" s="291"/>
      <c r="I70" s="291"/>
      <c r="J70" s="291"/>
      <c r="K70" s="373"/>
      <c r="L70" s="331"/>
      <c r="M70" s="332"/>
      <c r="N70" s="333"/>
      <c r="O70" s="333"/>
      <c r="P70" s="334"/>
      <c r="Q70" s="275">
        <f t="shared" si="7"/>
        <v>0</v>
      </c>
      <c r="R70" s="280">
        <f t="shared" si="8"/>
        <v>0</v>
      </c>
      <c r="U70" s="294">
        <f t="shared" ref="U70:U75" si="10">K70-L70</f>
        <v>0</v>
      </c>
    </row>
    <row r="71" spans="1:21" s="25" customFormat="1" ht="20.100000000000001" customHeight="1" x14ac:dyDescent="0.25">
      <c r="A71" s="377">
        <v>425026</v>
      </c>
      <c r="B71" s="351" t="s">
        <v>50</v>
      </c>
      <c r="C71" s="85">
        <f>PV!C71</f>
        <v>0.72</v>
      </c>
      <c r="D71" s="44" t="str">
        <f t="shared" si="9"/>
        <v>h</v>
      </c>
      <c r="E71" s="43">
        <f>IF(D71="h",PV!E71,IF(D71="M",PV!G71,PV!I71))</f>
        <v>3.95</v>
      </c>
      <c r="F71" s="291">
        <v>0</v>
      </c>
      <c r="G71" s="291">
        <v>11</v>
      </c>
      <c r="H71" s="291"/>
      <c r="I71" s="291"/>
      <c r="J71" s="291"/>
      <c r="K71" s="373"/>
      <c r="L71" s="331"/>
      <c r="M71" s="332"/>
      <c r="N71" s="333"/>
      <c r="O71" s="333"/>
      <c r="P71" s="334"/>
      <c r="Q71" s="275">
        <f t="shared" si="7"/>
        <v>0</v>
      </c>
      <c r="R71" s="280">
        <f t="shared" si="8"/>
        <v>0</v>
      </c>
      <c r="U71" s="294">
        <f t="shared" si="10"/>
        <v>0</v>
      </c>
    </row>
    <row r="72" spans="1:21" s="25" customFormat="1" ht="20.100000000000001" customHeight="1" x14ac:dyDescent="0.25">
      <c r="A72" s="377">
        <v>286632</v>
      </c>
      <c r="B72" s="351" t="s">
        <v>49</v>
      </c>
      <c r="C72" s="85">
        <f>PV!C72</f>
        <v>0.36</v>
      </c>
      <c r="D72" s="44" t="str">
        <f t="shared" si="9"/>
        <v>h</v>
      </c>
      <c r="E72" s="43">
        <f>IF(D72="h",PV!E72,IF(D72="M",PV!G72,PV!I72))</f>
        <v>1</v>
      </c>
      <c r="F72" s="291">
        <v>7</v>
      </c>
      <c r="G72" s="291">
        <v>21</v>
      </c>
      <c r="H72" s="291"/>
      <c r="I72" s="291"/>
      <c r="J72" s="291"/>
      <c r="K72" s="373"/>
      <c r="L72" s="331"/>
      <c r="M72" s="332"/>
      <c r="N72" s="333"/>
      <c r="O72" s="333"/>
      <c r="P72" s="334"/>
      <c r="Q72" s="275">
        <f t="shared" si="7"/>
        <v>0</v>
      </c>
      <c r="R72" s="280">
        <f t="shared" si="8"/>
        <v>0</v>
      </c>
      <c r="U72" s="294">
        <f t="shared" si="10"/>
        <v>0</v>
      </c>
    </row>
    <row r="73" spans="1:21" s="25" customFormat="1" ht="20.100000000000001" customHeight="1" x14ac:dyDescent="0.25">
      <c r="A73" s="379">
        <v>1008121</v>
      </c>
      <c r="B73" s="351" t="s">
        <v>120</v>
      </c>
      <c r="C73" s="85">
        <f>PV!C73</f>
        <v>0.5</v>
      </c>
      <c r="D73" s="44" t="str">
        <f t="shared" si="9"/>
        <v>h</v>
      </c>
      <c r="E73" s="43">
        <f>IF(D73="h",PV!E73,IF(D73="M",PV!G73,PV!I73))</f>
        <v>3.95</v>
      </c>
      <c r="F73" s="291">
        <v>0</v>
      </c>
      <c r="G73" s="291">
        <v>0</v>
      </c>
      <c r="H73" s="291"/>
      <c r="I73" s="291"/>
      <c r="J73" s="291"/>
      <c r="K73" s="373"/>
      <c r="L73" s="331"/>
      <c r="M73" s="332"/>
      <c r="N73" s="333"/>
      <c r="O73" s="333"/>
      <c r="P73" s="334"/>
      <c r="Q73" s="275">
        <f t="shared" si="7"/>
        <v>0</v>
      </c>
      <c r="R73" s="280">
        <f t="shared" si="8"/>
        <v>0</v>
      </c>
      <c r="U73" s="294">
        <f t="shared" si="10"/>
        <v>0</v>
      </c>
    </row>
    <row r="74" spans="1:21" ht="0.6" customHeight="1" x14ac:dyDescent="0.2">
      <c r="A74" s="382"/>
      <c r="B74" s="347"/>
      <c r="C74" s="85">
        <f>PV!C74</f>
        <v>0</v>
      </c>
      <c r="D74" s="44" t="str">
        <f t="shared" si="9"/>
        <v>h</v>
      </c>
      <c r="E74" s="43">
        <f>IF(D74="h",PV!E74,IF(D74="M",PV!G74,PV!I74))</f>
        <v>0</v>
      </c>
      <c r="F74" s="291">
        <v>0</v>
      </c>
      <c r="G74" s="291">
        <v>0</v>
      </c>
      <c r="H74" s="291"/>
      <c r="I74" s="291"/>
      <c r="J74" s="291"/>
      <c r="K74" s="373"/>
      <c r="L74" s="331"/>
      <c r="M74" s="332"/>
      <c r="N74" s="333"/>
      <c r="O74" s="333"/>
      <c r="P74" s="334"/>
      <c r="Q74" s="271"/>
      <c r="R74" s="282">
        <f>SUM(R59:R73)</f>
        <v>0</v>
      </c>
      <c r="U74" s="294">
        <f t="shared" si="10"/>
        <v>0</v>
      </c>
    </row>
    <row r="75" spans="1:21" s="25" customFormat="1" ht="20.100000000000001" customHeight="1" x14ac:dyDescent="0.25">
      <c r="A75" s="377">
        <v>1263740</v>
      </c>
      <c r="B75" s="351" t="s">
        <v>267</v>
      </c>
      <c r="C75" s="85">
        <f>PV!C75</f>
        <v>0.8</v>
      </c>
      <c r="D75" s="44" t="str">
        <f t="shared" si="9"/>
        <v>h</v>
      </c>
      <c r="E75" s="43">
        <f>IF(D75="h",PV!E75,IF(D75="M",PV!G75,PV!I75))</f>
        <v>4.75</v>
      </c>
      <c r="F75" s="291">
        <v>21</v>
      </c>
      <c r="G75" s="291">
        <v>27</v>
      </c>
      <c r="H75" s="291"/>
      <c r="I75" s="291"/>
      <c r="J75" s="291"/>
      <c r="K75" s="373"/>
      <c r="L75" s="331"/>
      <c r="M75" s="332"/>
      <c r="N75" s="333"/>
      <c r="O75" s="333"/>
      <c r="P75" s="334"/>
      <c r="Q75" s="275">
        <f>(K75*E75)</f>
        <v>0</v>
      </c>
      <c r="R75" s="280">
        <f>K75*C75</f>
        <v>0</v>
      </c>
      <c r="U75" s="294">
        <f t="shared" si="10"/>
        <v>0</v>
      </c>
    </row>
    <row r="76" spans="1:21" s="25" customFormat="1" ht="0.6" customHeight="1" x14ac:dyDescent="0.25">
      <c r="A76" s="376"/>
      <c r="B76" s="351"/>
      <c r="C76" s="85">
        <f>PV!C76</f>
        <v>0</v>
      </c>
      <c r="D76" s="44" t="str">
        <f t="shared" si="9"/>
        <v>h</v>
      </c>
      <c r="E76" s="43">
        <f>IF(D76="h",PV!E76,IF(D76="M",PV!G76,PV!I76))</f>
        <v>0</v>
      </c>
      <c r="F76" s="291">
        <v>0</v>
      </c>
      <c r="G76" s="291">
        <v>0</v>
      </c>
      <c r="H76" s="291"/>
      <c r="I76" s="291"/>
      <c r="J76" s="291"/>
      <c r="K76" s="373"/>
      <c r="L76" s="331"/>
      <c r="M76" s="332"/>
      <c r="N76" s="333"/>
      <c r="O76" s="333"/>
      <c r="P76" s="334"/>
      <c r="Q76" s="279"/>
      <c r="R76" s="281">
        <f>SUM(R75:R75)</f>
        <v>0</v>
      </c>
      <c r="U76" s="294"/>
    </row>
    <row r="77" spans="1:21" s="25" customFormat="1" ht="20.100000000000001" customHeight="1" x14ac:dyDescent="0.25">
      <c r="A77" s="376">
        <v>364629</v>
      </c>
      <c r="B77" s="352" t="s">
        <v>134</v>
      </c>
      <c r="C77" s="85">
        <f>PV!C77</f>
        <v>0.36</v>
      </c>
      <c r="D77" s="44" t="str">
        <f t="shared" si="9"/>
        <v>h</v>
      </c>
      <c r="E77" s="43">
        <f>IF(D77="h",PV!E77,IF(D77="M",PV!G77,PV!I77))</f>
        <v>2.5</v>
      </c>
      <c r="F77" s="291">
        <v>10</v>
      </c>
      <c r="G77" s="291">
        <v>10</v>
      </c>
      <c r="H77" s="291"/>
      <c r="I77" s="291"/>
      <c r="J77" s="291"/>
      <c r="K77" s="373"/>
      <c r="L77" s="331"/>
      <c r="M77" s="332"/>
      <c r="N77" s="333"/>
      <c r="O77" s="333"/>
      <c r="P77" s="334"/>
      <c r="Q77" s="279">
        <f>(K77*E77)</f>
        <v>0</v>
      </c>
      <c r="R77" s="280">
        <f>K77*C77</f>
        <v>0</v>
      </c>
      <c r="U77" s="294">
        <f>K77-L77</f>
        <v>0</v>
      </c>
    </row>
    <row r="78" spans="1:21" s="25" customFormat="1" ht="20.100000000000001" customHeight="1" x14ac:dyDescent="0.25">
      <c r="A78" s="377">
        <v>370600</v>
      </c>
      <c r="B78" s="352" t="s">
        <v>135</v>
      </c>
      <c r="C78" s="85">
        <f>PV!C78</f>
        <v>0.36</v>
      </c>
      <c r="D78" s="44" t="str">
        <f t="shared" si="9"/>
        <v>h</v>
      </c>
      <c r="E78" s="43">
        <f>IF(D78="h",PV!E78,IF(D78="M",PV!G78,PV!I78))</f>
        <v>2.5</v>
      </c>
      <c r="F78" s="291">
        <v>25</v>
      </c>
      <c r="G78" s="291">
        <v>24</v>
      </c>
      <c r="H78" s="291"/>
      <c r="I78" s="291"/>
      <c r="J78" s="291"/>
      <c r="K78" s="373"/>
      <c r="L78" s="331"/>
      <c r="M78" s="332"/>
      <c r="N78" s="333"/>
      <c r="O78" s="333"/>
      <c r="P78" s="334"/>
      <c r="Q78" s="275">
        <f>(K78*E78)</f>
        <v>0</v>
      </c>
      <c r="R78" s="280">
        <f>K78*C78</f>
        <v>0</v>
      </c>
      <c r="U78" s="294">
        <f>K78-L78</f>
        <v>0</v>
      </c>
    </row>
    <row r="79" spans="1:21" s="25" customFormat="1" ht="0.6" customHeight="1" x14ac:dyDescent="0.25">
      <c r="A79" s="377"/>
      <c r="B79" s="352"/>
      <c r="C79" s="85"/>
      <c r="D79" s="44"/>
      <c r="E79" s="43"/>
      <c r="F79" s="291">
        <v>0</v>
      </c>
      <c r="G79" s="291">
        <v>0</v>
      </c>
      <c r="H79" s="291"/>
      <c r="I79" s="291"/>
      <c r="J79" s="291"/>
      <c r="K79" s="373"/>
      <c r="L79" s="331"/>
      <c r="M79" s="332"/>
      <c r="N79" s="333"/>
      <c r="O79" s="333"/>
      <c r="P79" s="334"/>
      <c r="Q79" s="275"/>
      <c r="R79" s="281">
        <f>SUM(R77:R78)</f>
        <v>0</v>
      </c>
      <c r="U79" s="294"/>
    </row>
    <row r="80" spans="1:21" s="25" customFormat="1" ht="20.100000000000001" customHeight="1" x14ac:dyDescent="0.25">
      <c r="A80" s="377">
        <v>1263741</v>
      </c>
      <c r="B80" s="352" t="s">
        <v>268</v>
      </c>
      <c r="C80" s="85">
        <f>PV!C80</f>
        <v>0.8</v>
      </c>
      <c r="D80" s="44" t="str">
        <f>D78</f>
        <v>h</v>
      </c>
      <c r="E80" s="43">
        <f>IF(D80="h",PV!E80,IF(D80="M",PV!G80,PV!I80))</f>
        <v>5.75</v>
      </c>
      <c r="F80" s="291">
        <v>16</v>
      </c>
      <c r="G80" s="291">
        <v>19</v>
      </c>
      <c r="H80" s="291"/>
      <c r="I80" s="291"/>
      <c r="J80" s="291"/>
      <c r="K80" s="373"/>
      <c r="L80" s="331"/>
      <c r="M80" s="332"/>
      <c r="N80" s="333"/>
      <c r="O80" s="333"/>
      <c r="P80" s="334"/>
      <c r="Q80" s="275">
        <f t="shared" ref="Q80:Q86" si="11">(K80*E80)</f>
        <v>0</v>
      </c>
      <c r="R80" s="280">
        <f>K80*C80</f>
        <v>0</v>
      </c>
      <c r="U80" s="294">
        <f t="shared" ref="U80:U97" si="12">K80-L80</f>
        <v>0</v>
      </c>
    </row>
    <row r="81" spans="1:21" s="25" customFormat="1" ht="20.100000000000001" customHeight="1" x14ac:dyDescent="0.25">
      <c r="A81" s="377">
        <v>1263742</v>
      </c>
      <c r="B81" s="352" t="s">
        <v>291</v>
      </c>
      <c r="C81" s="85">
        <f>PV!C81</f>
        <v>0.47</v>
      </c>
      <c r="D81" s="44" t="str">
        <f t="shared" si="9"/>
        <v>h</v>
      </c>
      <c r="E81" s="43">
        <f>IF(D81="h",PV!E81,IF(D81="M",PV!G81,PV!I81))</f>
        <v>3.6</v>
      </c>
      <c r="F81" s="291">
        <v>23</v>
      </c>
      <c r="G81" s="291">
        <v>23</v>
      </c>
      <c r="H81" s="291"/>
      <c r="I81" s="291"/>
      <c r="J81" s="291"/>
      <c r="K81" s="373"/>
      <c r="L81" s="331"/>
      <c r="M81" s="332"/>
      <c r="N81" s="333"/>
      <c r="O81" s="333"/>
      <c r="P81" s="334"/>
      <c r="Q81" s="275">
        <f t="shared" si="11"/>
        <v>0</v>
      </c>
      <c r="R81" s="280">
        <f>K81*C81</f>
        <v>0</v>
      </c>
      <c r="U81" s="294">
        <f t="shared" si="12"/>
        <v>0</v>
      </c>
    </row>
    <row r="82" spans="1:21" s="25" customFormat="1" ht="20.100000000000001" customHeight="1" x14ac:dyDescent="0.25">
      <c r="A82" s="377">
        <v>1263743</v>
      </c>
      <c r="B82" s="352" t="s">
        <v>292</v>
      </c>
      <c r="C82" s="85">
        <f>PV!C82</f>
        <v>0.8</v>
      </c>
      <c r="D82" s="44" t="str">
        <f t="shared" si="9"/>
        <v>h</v>
      </c>
      <c r="E82" s="43">
        <f>IF(D82="h",PV!E82,IF(D82="M",PV!G82,PV!I82))</f>
        <v>5.75</v>
      </c>
      <c r="F82" s="291">
        <v>33</v>
      </c>
      <c r="G82" s="291">
        <v>17</v>
      </c>
      <c r="H82" s="291"/>
      <c r="I82" s="291"/>
      <c r="J82" s="291"/>
      <c r="K82" s="373"/>
      <c r="L82" s="331"/>
      <c r="M82" s="332"/>
      <c r="N82" s="333"/>
      <c r="O82" s="333"/>
      <c r="P82" s="334"/>
      <c r="Q82" s="275">
        <f t="shared" si="11"/>
        <v>0</v>
      </c>
      <c r="R82" s="280">
        <f>K82*C82</f>
        <v>0</v>
      </c>
      <c r="U82" s="294">
        <f t="shared" si="12"/>
        <v>0</v>
      </c>
    </row>
    <row r="83" spans="1:21" s="25" customFormat="1" ht="22.5" x14ac:dyDescent="0.25">
      <c r="A83" s="381">
        <v>65862</v>
      </c>
      <c r="B83" s="346" t="s">
        <v>178</v>
      </c>
      <c r="C83" s="85">
        <f>PV!C83</f>
        <v>0.48</v>
      </c>
      <c r="D83" s="44" t="str">
        <f t="shared" si="9"/>
        <v>h</v>
      </c>
      <c r="E83" s="43">
        <f>IF(D83="h",PV!E83,IF(D83="M",PV!G83,PV!I83))</f>
        <v>3.95</v>
      </c>
      <c r="F83" s="291">
        <v>6</v>
      </c>
      <c r="G83" s="291">
        <v>8</v>
      </c>
      <c r="H83" s="291"/>
      <c r="I83" s="291"/>
      <c r="J83" s="291"/>
      <c r="K83" s="373"/>
      <c r="L83" s="331"/>
      <c r="M83" s="332"/>
      <c r="N83" s="333"/>
      <c r="O83" s="333"/>
      <c r="P83" s="334"/>
      <c r="Q83" s="275">
        <f t="shared" si="11"/>
        <v>0</v>
      </c>
      <c r="R83" s="280">
        <f>K83*C83</f>
        <v>0</v>
      </c>
      <c r="U83" s="294">
        <f t="shared" si="12"/>
        <v>0</v>
      </c>
    </row>
    <row r="84" spans="1:21" s="25" customFormat="1" ht="0.6" customHeight="1" x14ac:dyDescent="0.25">
      <c r="A84" s="335"/>
      <c r="B84" s="353"/>
      <c r="C84" s="85">
        <f>PV!C84</f>
        <v>0</v>
      </c>
      <c r="D84" s="44" t="str">
        <f t="shared" si="9"/>
        <v>h</v>
      </c>
      <c r="E84" s="43">
        <f>IF(D84="h",PV!E84,IF(D84="M",PV!G84,PV!I84))</f>
        <v>0</v>
      </c>
      <c r="F84" s="291">
        <v>0</v>
      </c>
      <c r="G84" s="291">
        <v>0</v>
      </c>
      <c r="H84" s="291"/>
      <c r="I84" s="291"/>
      <c r="J84" s="291"/>
      <c r="K84" s="373"/>
      <c r="L84" s="331"/>
      <c r="M84" s="332"/>
      <c r="N84" s="333"/>
      <c r="O84" s="333"/>
      <c r="P84" s="334"/>
      <c r="Q84" s="275">
        <f t="shared" si="11"/>
        <v>0</v>
      </c>
      <c r="R84" s="281">
        <f>SUM(R80:R83)</f>
        <v>0</v>
      </c>
      <c r="U84" s="294">
        <f t="shared" si="12"/>
        <v>0</v>
      </c>
    </row>
    <row r="85" spans="1:21" s="25" customFormat="1" ht="22.5" x14ac:dyDescent="0.25">
      <c r="A85" s="381">
        <v>1263732</v>
      </c>
      <c r="B85" s="346" t="s">
        <v>263</v>
      </c>
      <c r="C85" s="85">
        <f>PV!C85</f>
        <v>0.47</v>
      </c>
      <c r="D85" s="44" t="str">
        <f t="shared" si="9"/>
        <v>h</v>
      </c>
      <c r="E85" s="43">
        <f>IF(D85="h",PV!E85,IF(D85="M",PV!G85,PV!I85))</f>
        <v>2.75</v>
      </c>
      <c r="F85" s="291">
        <v>7</v>
      </c>
      <c r="G85" s="291">
        <v>5</v>
      </c>
      <c r="H85" s="291"/>
      <c r="I85" s="291"/>
      <c r="J85" s="291"/>
      <c r="K85" s="373"/>
      <c r="L85" s="331"/>
      <c r="M85" s="332"/>
      <c r="N85" s="333"/>
      <c r="O85" s="333"/>
      <c r="P85" s="334"/>
      <c r="Q85" s="275">
        <f t="shared" si="11"/>
        <v>0</v>
      </c>
      <c r="R85" s="280">
        <f>K85*C85</f>
        <v>0</v>
      </c>
      <c r="U85" s="294">
        <f t="shared" si="12"/>
        <v>0</v>
      </c>
    </row>
    <row r="86" spans="1:21" s="25" customFormat="1" ht="22.5" x14ac:dyDescent="0.25">
      <c r="A86" s="381">
        <v>1263733</v>
      </c>
      <c r="B86" s="346" t="s">
        <v>264</v>
      </c>
      <c r="C86" s="85">
        <f>PV!C86</f>
        <v>0.8</v>
      </c>
      <c r="D86" s="44" t="str">
        <f t="shared" si="9"/>
        <v>h</v>
      </c>
      <c r="E86" s="43">
        <f>IF(D86="h",PV!E86,IF(D86="M",PV!G86,PV!I86))</f>
        <v>5.5</v>
      </c>
      <c r="F86" s="291">
        <v>6</v>
      </c>
      <c r="G86" s="291">
        <v>5</v>
      </c>
      <c r="H86" s="291"/>
      <c r="I86" s="291"/>
      <c r="J86" s="291"/>
      <c r="K86" s="373"/>
      <c r="L86" s="331"/>
      <c r="M86" s="332"/>
      <c r="N86" s="333"/>
      <c r="O86" s="333"/>
      <c r="P86" s="334"/>
      <c r="Q86" s="275">
        <f t="shared" si="11"/>
        <v>0</v>
      </c>
      <c r="R86" s="280">
        <f>K86*C86</f>
        <v>0</v>
      </c>
      <c r="U86" s="294">
        <f t="shared" si="12"/>
        <v>0</v>
      </c>
    </row>
    <row r="87" spans="1:21" s="25" customFormat="1" ht="0.6" customHeight="1" x14ac:dyDescent="0.2">
      <c r="A87" s="382"/>
      <c r="B87" s="343"/>
      <c r="C87" s="85">
        <f>PV!C87</f>
        <v>0</v>
      </c>
      <c r="D87" s="44" t="str">
        <f t="shared" si="9"/>
        <v>h</v>
      </c>
      <c r="E87" s="43">
        <f>IF(D87="h",PV!E87,IF(D87="M",PV!G87,PV!I87))</f>
        <v>0</v>
      </c>
      <c r="F87" s="291">
        <v>0</v>
      </c>
      <c r="G87" s="291">
        <v>0</v>
      </c>
      <c r="H87" s="291"/>
      <c r="I87" s="291"/>
      <c r="J87" s="291"/>
      <c r="K87" s="373"/>
      <c r="L87" s="331"/>
      <c r="M87" s="332"/>
      <c r="N87" s="333"/>
      <c r="O87" s="333"/>
      <c r="P87" s="334"/>
      <c r="Q87" s="275"/>
      <c r="R87" s="281">
        <f>SUM(R85:R86)</f>
        <v>0</v>
      </c>
      <c r="U87" s="294">
        <f t="shared" si="12"/>
        <v>0</v>
      </c>
    </row>
    <row r="88" spans="1:21" ht="22.5" x14ac:dyDescent="0.2">
      <c r="A88" s="379">
        <v>1095099</v>
      </c>
      <c r="B88" s="354" t="s">
        <v>161</v>
      </c>
      <c r="C88" s="85">
        <f>PV!C88</f>
        <v>0.15</v>
      </c>
      <c r="D88" s="44" t="str">
        <f t="shared" si="9"/>
        <v>h</v>
      </c>
      <c r="E88" s="43">
        <f>IF(D88="h",PV!E88,IF(D88="M",PV!G88,PV!I88))</f>
        <v>2.5</v>
      </c>
      <c r="F88" s="291">
        <v>0</v>
      </c>
      <c r="G88" s="291">
        <v>0</v>
      </c>
      <c r="H88" s="291"/>
      <c r="I88" s="291"/>
      <c r="J88" s="291"/>
      <c r="K88" s="373"/>
      <c r="L88" s="331"/>
      <c r="M88" s="332"/>
      <c r="N88" s="333"/>
      <c r="O88" s="333"/>
      <c r="P88" s="334"/>
      <c r="Q88" s="275">
        <f>(K88*E88)</f>
        <v>0</v>
      </c>
      <c r="R88" s="280">
        <f>K88*C88</f>
        <v>0</v>
      </c>
      <c r="U88" s="294">
        <f t="shared" si="12"/>
        <v>0</v>
      </c>
    </row>
    <row r="89" spans="1:21" s="28" customFormat="1" ht="22.5" x14ac:dyDescent="0.2">
      <c r="A89" s="380">
        <v>1008120</v>
      </c>
      <c r="B89" s="355" t="s">
        <v>162</v>
      </c>
      <c r="C89" s="85">
        <f>PV!C89</f>
        <v>0.12</v>
      </c>
      <c r="D89" s="44" t="str">
        <f t="shared" si="9"/>
        <v>h</v>
      </c>
      <c r="E89" s="43">
        <f>IF(D89="h",PV!E89,IF(D89="M",PV!G89,PV!I89))</f>
        <v>2.5</v>
      </c>
      <c r="F89" s="291">
        <v>0</v>
      </c>
      <c r="G89" s="291">
        <v>0</v>
      </c>
      <c r="H89" s="291"/>
      <c r="I89" s="291"/>
      <c r="J89" s="291"/>
      <c r="K89" s="373"/>
      <c r="L89" s="331"/>
      <c r="M89" s="332"/>
      <c r="N89" s="333"/>
      <c r="O89" s="333"/>
      <c r="P89" s="334"/>
      <c r="Q89" s="275">
        <f>(K89*E89)</f>
        <v>0</v>
      </c>
      <c r="R89" s="280">
        <f>K89*C89</f>
        <v>0</v>
      </c>
      <c r="U89" s="294">
        <f t="shared" si="12"/>
        <v>0</v>
      </c>
    </row>
    <row r="90" spans="1:21" s="25" customFormat="1" ht="22.5" x14ac:dyDescent="0.2">
      <c r="A90" s="379">
        <v>1263735</v>
      </c>
      <c r="B90" s="343" t="s">
        <v>272</v>
      </c>
      <c r="C90" s="85">
        <f>PV!C90</f>
        <v>0.7</v>
      </c>
      <c r="D90" s="44" t="str">
        <f t="shared" si="9"/>
        <v>h</v>
      </c>
      <c r="E90" s="43">
        <f>IF(D90="h",PV!E90,IF(D90="M",PV!G90,PV!I90))</f>
        <v>6.2</v>
      </c>
      <c r="F90" s="291">
        <v>28</v>
      </c>
      <c r="G90" s="291">
        <v>17</v>
      </c>
      <c r="H90" s="291"/>
      <c r="I90" s="291"/>
      <c r="J90" s="291"/>
      <c r="K90" s="373"/>
      <c r="L90" s="331"/>
      <c r="M90" s="332"/>
      <c r="N90" s="333"/>
      <c r="O90" s="333"/>
      <c r="P90" s="334"/>
      <c r="Q90" s="275">
        <f>(K90*E90)</f>
        <v>0</v>
      </c>
      <c r="R90" s="280">
        <f>K90*C90</f>
        <v>0</v>
      </c>
      <c r="U90" s="294">
        <f t="shared" si="12"/>
        <v>0</v>
      </c>
    </row>
    <row r="91" spans="1:21" ht="22.5" x14ac:dyDescent="0.2">
      <c r="A91" s="379">
        <v>1008119</v>
      </c>
      <c r="B91" s="354" t="s">
        <v>158</v>
      </c>
      <c r="C91" s="85">
        <f>PV!C91</f>
        <v>0.3</v>
      </c>
      <c r="D91" s="44" t="str">
        <f t="shared" si="9"/>
        <v>h</v>
      </c>
      <c r="E91" s="43">
        <f>IF(D91="h",PV!E91,IF(D91="M",PV!G91,PV!I91))</f>
        <v>2.7</v>
      </c>
      <c r="F91" s="291">
        <v>0</v>
      </c>
      <c r="G91" s="291">
        <v>0</v>
      </c>
      <c r="H91" s="291"/>
      <c r="I91" s="291"/>
      <c r="J91" s="291"/>
      <c r="K91" s="373"/>
      <c r="L91" s="331"/>
      <c r="M91" s="332"/>
      <c r="N91" s="333"/>
      <c r="O91" s="333"/>
      <c r="P91" s="334"/>
      <c r="Q91" s="275">
        <f>(K91*E91)</f>
        <v>0</v>
      </c>
      <c r="R91" s="280">
        <f>K91*C91</f>
        <v>0</v>
      </c>
      <c r="U91" s="294">
        <f t="shared" si="12"/>
        <v>0</v>
      </c>
    </row>
    <row r="92" spans="1:21" s="28" customFormat="1" ht="0.6" customHeight="1" x14ac:dyDescent="0.2">
      <c r="A92" s="380"/>
      <c r="B92" s="356"/>
      <c r="C92" s="85">
        <f>PV!C92</f>
        <v>0</v>
      </c>
      <c r="D92" s="44" t="str">
        <f t="shared" si="9"/>
        <v>h</v>
      </c>
      <c r="E92" s="43">
        <f>IF(D92="h",PV!E92,IF(D92="M",PV!G92,PV!I92))</f>
        <v>0</v>
      </c>
      <c r="F92" s="291">
        <v>0</v>
      </c>
      <c r="G92" s="291">
        <v>0</v>
      </c>
      <c r="H92" s="291"/>
      <c r="I92" s="291"/>
      <c r="J92" s="291"/>
      <c r="K92" s="373"/>
      <c r="L92" s="331"/>
      <c r="M92" s="332"/>
      <c r="N92" s="333"/>
      <c r="O92" s="333"/>
      <c r="P92" s="334"/>
      <c r="Q92" s="271"/>
      <c r="R92" s="281">
        <f>SUM(R88:R91)</f>
        <v>0</v>
      </c>
      <c r="U92" s="294">
        <f t="shared" si="12"/>
        <v>0</v>
      </c>
    </row>
    <row r="93" spans="1:21" s="25" customFormat="1" ht="22.5" x14ac:dyDescent="0.25">
      <c r="A93" s="335">
        <v>401788</v>
      </c>
      <c r="B93" s="352" t="s">
        <v>138</v>
      </c>
      <c r="C93" s="85">
        <f>PV!C93</f>
        <v>0.2</v>
      </c>
      <c r="D93" s="44" t="str">
        <f t="shared" si="9"/>
        <v>h</v>
      </c>
      <c r="E93" s="43">
        <f>IF(D93="h",PV!E93,IF(D93="M",PV!G93,PV!I93))</f>
        <v>0.5</v>
      </c>
      <c r="F93" s="291">
        <v>214</v>
      </c>
      <c r="G93" s="291">
        <v>140</v>
      </c>
      <c r="H93" s="291"/>
      <c r="I93" s="291"/>
      <c r="J93" s="291"/>
      <c r="K93" s="373"/>
      <c r="L93" s="331"/>
      <c r="M93" s="332"/>
      <c r="N93" s="333"/>
      <c r="O93" s="333"/>
      <c r="P93" s="334"/>
      <c r="Q93" s="279">
        <f>(K93*E93)</f>
        <v>0</v>
      </c>
      <c r="R93" s="280">
        <f>K93*C93</f>
        <v>0</v>
      </c>
      <c r="U93" s="294">
        <f t="shared" si="12"/>
        <v>0</v>
      </c>
    </row>
    <row r="94" spans="1:21" s="25" customFormat="1" ht="22.5" x14ac:dyDescent="0.25">
      <c r="A94" s="335">
        <v>391720</v>
      </c>
      <c r="B94" s="352" t="s">
        <v>139</v>
      </c>
      <c r="C94" s="85">
        <f>PV!C94</f>
        <v>0.84</v>
      </c>
      <c r="D94" s="44" t="str">
        <f t="shared" si="9"/>
        <v>h</v>
      </c>
      <c r="E94" s="43">
        <f>IF(D94="h",PV!E94,IF(D94="M",PV!G94,PV!I94))</f>
        <v>3.5</v>
      </c>
      <c r="F94" s="291">
        <v>0</v>
      </c>
      <c r="G94" s="291">
        <v>0</v>
      </c>
      <c r="H94" s="291"/>
      <c r="I94" s="291"/>
      <c r="J94" s="291"/>
      <c r="K94" s="373"/>
      <c r="L94" s="331"/>
      <c r="M94" s="332"/>
      <c r="N94" s="333"/>
      <c r="O94" s="333"/>
      <c r="P94" s="334"/>
      <c r="Q94" s="275">
        <f>(K94*E94)</f>
        <v>0</v>
      </c>
      <c r="R94" s="280">
        <f>K94*C94</f>
        <v>0</v>
      </c>
      <c r="U94" s="294">
        <f t="shared" si="12"/>
        <v>0</v>
      </c>
    </row>
    <row r="95" spans="1:21" s="25" customFormat="1" ht="22.5" x14ac:dyDescent="0.25">
      <c r="A95" s="335">
        <v>438079</v>
      </c>
      <c r="B95" s="352" t="s">
        <v>293</v>
      </c>
      <c r="C95" s="85">
        <f>PV!C95</f>
        <v>0.3</v>
      </c>
      <c r="D95" s="44" t="str">
        <f t="shared" si="9"/>
        <v>h</v>
      </c>
      <c r="E95" s="43">
        <f>IF(D95="h",PV!E95,IF(D95="M",PV!G95,PV!I95))</f>
        <v>2.65</v>
      </c>
      <c r="F95" s="291">
        <v>0</v>
      </c>
      <c r="G95" s="291">
        <v>0</v>
      </c>
      <c r="H95" s="291"/>
      <c r="I95" s="291"/>
      <c r="J95" s="291"/>
      <c r="K95" s="373"/>
      <c r="L95" s="331"/>
      <c r="M95" s="332"/>
      <c r="N95" s="333"/>
      <c r="O95" s="333"/>
      <c r="P95" s="334"/>
      <c r="Q95" s="275">
        <f>(K95*E95)</f>
        <v>0</v>
      </c>
      <c r="R95" s="280">
        <f>K95*C95</f>
        <v>0</v>
      </c>
      <c r="U95" s="294">
        <f t="shared" si="12"/>
        <v>0</v>
      </c>
    </row>
    <row r="96" spans="1:21" s="25" customFormat="1" ht="22.5" x14ac:dyDescent="0.25">
      <c r="A96" s="335">
        <v>391741</v>
      </c>
      <c r="B96" s="352" t="s">
        <v>41</v>
      </c>
      <c r="C96" s="85">
        <f>PV!C96</f>
        <v>1.2</v>
      </c>
      <c r="D96" s="44" t="str">
        <f t="shared" si="9"/>
        <v>h</v>
      </c>
      <c r="E96" s="43">
        <f>IF(D96="h",PV!E96,IF(D96="M",PV!G96,PV!I96))</f>
        <v>2.5</v>
      </c>
      <c r="F96" s="291">
        <v>103</v>
      </c>
      <c r="G96" s="291">
        <v>51</v>
      </c>
      <c r="H96" s="291"/>
      <c r="I96" s="291"/>
      <c r="J96" s="291"/>
      <c r="K96" s="373"/>
      <c r="L96" s="331"/>
      <c r="M96" s="332"/>
      <c r="N96" s="333"/>
      <c r="O96" s="333"/>
      <c r="P96" s="334"/>
      <c r="Q96" s="275">
        <f>(K96*E96)</f>
        <v>0</v>
      </c>
      <c r="R96" s="280">
        <f>K96*C96</f>
        <v>0</v>
      </c>
      <c r="U96" s="294">
        <f t="shared" si="12"/>
        <v>0</v>
      </c>
    </row>
    <row r="97" spans="1:21" s="25" customFormat="1" ht="22.5" x14ac:dyDescent="0.25">
      <c r="A97" s="335">
        <v>391742</v>
      </c>
      <c r="B97" s="352" t="s">
        <v>141</v>
      </c>
      <c r="C97" s="85">
        <f>PV!C97</f>
        <v>0.6</v>
      </c>
      <c r="D97" s="44" t="str">
        <f t="shared" si="9"/>
        <v>h</v>
      </c>
      <c r="E97" s="43">
        <f>IF(D97="h",PV!E97,IF(D97="M",PV!G97,PV!I97))</f>
        <v>1.25</v>
      </c>
      <c r="F97" s="291">
        <v>2</v>
      </c>
      <c r="G97" s="291">
        <v>0</v>
      </c>
      <c r="H97" s="291"/>
      <c r="I97" s="291"/>
      <c r="J97" s="291"/>
      <c r="K97" s="373"/>
      <c r="L97" s="331"/>
      <c r="M97" s="332"/>
      <c r="N97" s="333"/>
      <c r="O97" s="333"/>
      <c r="P97" s="334"/>
      <c r="Q97" s="275">
        <f>(K97*E97)</f>
        <v>0</v>
      </c>
      <c r="R97" s="280">
        <f>K97*C97</f>
        <v>0</v>
      </c>
      <c r="U97" s="294">
        <f t="shared" si="12"/>
        <v>0</v>
      </c>
    </row>
    <row r="98" spans="1:21" s="25" customFormat="1" ht="0.6" customHeight="1" x14ac:dyDescent="0.25">
      <c r="A98" s="335"/>
      <c r="B98" s="352"/>
      <c r="C98" s="85"/>
      <c r="D98" s="44"/>
      <c r="E98" s="43"/>
      <c r="F98" s="291">
        <v>0</v>
      </c>
      <c r="G98" s="291">
        <v>0</v>
      </c>
      <c r="H98" s="291"/>
      <c r="I98" s="291"/>
      <c r="J98" s="291"/>
      <c r="K98" s="373"/>
      <c r="L98" s="331"/>
      <c r="M98" s="332"/>
      <c r="N98" s="333"/>
      <c r="O98" s="333"/>
      <c r="P98" s="334"/>
      <c r="Q98" s="275"/>
      <c r="R98" s="282">
        <f>SUM(R93:R97)</f>
        <v>0</v>
      </c>
      <c r="U98" s="294"/>
    </row>
    <row r="99" spans="1:21" s="25" customFormat="1" ht="22.5" x14ac:dyDescent="0.25">
      <c r="A99" s="335">
        <v>875635</v>
      </c>
      <c r="B99" s="352" t="s">
        <v>142</v>
      </c>
      <c r="C99" s="85">
        <f>PV!C99</f>
        <v>0.05</v>
      </c>
      <c r="D99" s="44" t="str">
        <f>D97</f>
        <v>h</v>
      </c>
      <c r="E99" s="43">
        <f>IF(D99="h",PV!E99,IF(D99="M",PV!G99,PV!I99))</f>
        <v>1.5</v>
      </c>
      <c r="F99" s="291">
        <v>0</v>
      </c>
      <c r="G99" s="291">
        <v>0</v>
      </c>
      <c r="H99" s="291"/>
      <c r="I99" s="291"/>
      <c r="J99" s="291"/>
      <c r="K99" s="373"/>
      <c r="L99" s="331"/>
      <c r="M99" s="332"/>
      <c r="N99" s="333"/>
      <c r="O99" s="333"/>
      <c r="P99" s="334"/>
      <c r="Q99" s="275">
        <f t="shared" ref="Q99:Q107" si="13">(K99*E99)</f>
        <v>0</v>
      </c>
      <c r="R99" s="280">
        <f t="shared" ref="R99:R104" si="14">K99*C99</f>
        <v>0</v>
      </c>
      <c r="U99" s="294">
        <f t="shared" ref="U99:U130" si="15">K99-L99</f>
        <v>0</v>
      </c>
    </row>
    <row r="100" spans="1:21" s="48" customFormat="1" ht="22.5" x14ac:dyDescent="0.25">
      <c r="A100" s="335">
        <v>391727</v>
      </c>
      <c r="B100" s="352" t="s">
        <v>143</v>
      </c>
      <c r="C100" s="85">
        <f>PV!C100</f>
        <v>0.1</v>
      </c>
      <c r="D100" s="44" t="str">
        <f t="shared" si="9"/>
        <v>h</v>
      </c>
      <c r="E100" s="43">
        <f>IF(D100="h",PV!E100,IF(D100="M",PV!G100,PV!I100))</f>
        <v>5.75</v>
      </c>
      <c r="F100" s="291">
        <v>34</v>
      </c>
      <c r="G100" s="291">
        <v>99</v>
      </c>
      <c r="H100" s="291"/>
      <c r="I100" s="291"/>
      <c r="J100" s="291"/>
      <c r="K100" s="373"/>
      <c r="L100" s="331"/>
      <c r="M100" s="332"/>
      <c r="N100" s="333"/>
      <c r="O100" s="333"/>
      <c r="P100" s="334"/>
      <c r="Q100" s="275">
        <f t="shared" si="13"/>
        <v>0</v>
      </c>
      <c r="R100" s="280">
        <f t="shared" si="14"/>
        <v>0</v>
      </c>
      <c r="U100" s="294">
        <f t="shared" si="15"/>
        <v>0</v>
      </c>
    </row>
    <row r="101" spans="1:21" s="48" customFormat="1" ht="22.5" x14ac:dyDescent="0.25">
      <c r="A101" s="379">
        <v>401769</v>
      </c>
      <c r="B101" s="352" t="s">
        <v>299</v>
      </c>
      <c r="C101" s="85">
        <f>PV!C101</f>
        <v>0.1</v>
      </c>
      <c r="D101" s="44" t="str">
        <f t="shared" si="9"/>
        <v>h</v>
      </c>
      <c r="E101" s="43">
        <f>IF(D101="h",PV!E101,IF(D101="M",PV!G101,PV!I101))</f>
        <v>4.75</v>
      </c>
      <c r="F101" s="291">
        <v>37</v>
      </c>
      <c r="G101" s="291">
        <v>32</v>
      </c>
      <c r="H101" s="291"/>
      <c r="I101" s="291"/>
      <c r="J101" s="291"/>
      <c r="K101" s="373"/>
      <c r="L101" s="331"/>
      <c r="M101" s="332"/>
      <c r="N101" s="333"/>
      <c r="O101" s="333"/>
      <c r="P101" s="334"/>
      <c r="Q101" s="275">
        <f t="shared" si="13"/>
        <v>0</v>
      </c>
      <c r="R101" s="280">
        <f t="shared" si="14"/>
        <v>0</v>
      </c>
      <c r="U101" s="294">
        <f t="shared" si="15"/>
        <v>0</v>
      </c>
    </row>
    <row r="102" spans="1:21" s="25" customFormat="1" ht="22.5" x14ac:dyDescent="0.25">
      <c r="A102" s="379">
        <v>915518</v>
      </c>
      <c r="B102" s="352" t="s">
        <v>145</v>
      </c>
      <c r="C102" s="85">
        <f>PV!C102</f>
        <v>0.1</v>
      </c>
      <c r="D102" s="44" t="str">
        <f t="shared" si="9"/>
        <v>h</v>
      </c>
      <c r="E102" s="43">
        <f>IF(D102="h",PV!E102,IF(D102="M",PV!G102,PV!I102))</f>
        <v>5.75</v>
      </c>
      <c r="F102" s="291">
        <v>19</v>
      </c>
      <c r="G102" s="291">
        <v>0</v>
      </c>
      <c r="H102" s="291"/>
      <c r="I102" s="291"/>
      <c r="J102" s="291"/>
      <c r="K102" s="373"/>
      <c r="L102" s="331"/>
      <c r="M102" s="332"/>
      <c r="N102" s="333"/>
      <c r="O102" s="333"/>
      <c r="P102" s="334"/>
      <c r="Q102" s="275">
        <f t="shared" si="13"/>
        <v>0</v>
      </c>
      <c r="R102" s="280">
        <f t="shared" si="14"/>
        <v>0</v>
      </c>
      <c r="U102" s="294">
        <f t="shared" si="15"/>
        <v>0</v>
      </c>
    </row>
    <row r="103" spans="1:21" ht="22.5" x14ac:dyDescent="0.2">
      <c r="A103" s="380">
        <v>915523</v>
      </c>
      <c r="B103" s="354" t="s">
        <v>146</v>
      </c>
      <c r="C103" s="85">
        <f>PV!C103</f>
        <v>0.1</v>
      </c>
      <c r="D103" s="44" t="str">
        <f t="shared" si="9"/>
        <v>h</v>
      </c>
      <c r="E103" s="43">
        <f>IF(D103="h",PV!E103,IF(D103="M",PV!G103,PV!I103))</f>
        <v>5.25</v>
      </c>
      <c r="F103" s="291">
        <v>0</v>
      </c>
      <c r="G103" s="291">
        <v>0</v>
      </c>
      <c r="H103" s="291"/>
      <c r="I103" s="291"/>
      <c r="J103" s="291"/>
      <c r="K103" s="373"/>
      <c r="L103" s="331"/>
      <c r="M103" s="332"/>
      <c r="N103" s="333"/>
      <c r="O103" s="333"/>
      <c r="P103" s="334"/>
      <c r="Q103" s="275">
        <f t="shared" si="13"/>
        <v>0</v>
      </c>
      <c r="R103" s="280">
        <f t="shared" si="14"/>
        <v>0</v>
      </c>
      <c r="U103" s="294">
        <f t="shared" si="15"/>
        <v>0</v>
      </c>
    </row>
    <row r="104" spans="1:21" s="25" customFormat="1" ht="22.5" x14ac:dyDescent="0.25">
      <c r="A104" s="385">
        <v>391721</v>
      </c>
      <c r="B104" s="357" t="s">
        <v>147</v>
      </c>
      <c r="C104" s="85">
        <f>PV!C104</f>
        <v>0.1</v>
      </c>
      <c r="D104" s="44" t="str">
        <f t="shared" si="9"/>
        <v>h</v>
      </c>
      <c r="E104" s="43">
        <f>IF(D104="h",PV!E104,IF(D104="M",PV!G104,PV!I104))</f>
        <v>3.75</v>
      </c>
      <c r="F104" s="291">
        <v>44</v>
      </c>
      <c r="G104" s="291">
        <v>54</v>
      </c>
      <c r="H104" s="291"/>
      <c r="I104" s="291"/>
      <c r="J104" s="291"/>
      <c r="K104" s="373"/>
      <c r="L104" s="331"/>
      <c r="M104" s="332"/>
      <c r="N104" s="333"/>
      <c r="O104" s="333"/>
      <c r="P104" s="334"/>
      <c r="Q104" s="275">
        <f t="shared" si="13"/>
        <v>0</v>
      </c>
      <c r="R104" s="280">
        <f t="shared" si="14"/>
        <v>0</v>
      </c>
      <c r="U104" s="294">
        <f t="shared" si="15"/>
        <v>0</v>
      </c>
    </row>
    <row r="105" spans="1:21" s="25" customFormat="1" ht="0.6" customHeight="1" x14ac:dyDescent="0.25">
      <c r="A105" s="382"/>
      <c r="B105" s="353"/>
      <c r="C105" s="85">
        <f>PV!C105</f>
        <v>0</v>
      </c>
      <c r="D105" s="44" t="str">
        <f t="shared" si="9"/>
        <v>h</v>
      </c>
      <c r="E105" s="43">
        <f>IF(D105="h",PV!E105,IF(D105="M",PV!G105,PV!I105))</f>
        <v>0</v>
      </c>
      <c r="F105" s="291">
        <v>0</v>
      </c>
      <c r="G105" s="291">
        <v>0</v>
      </c>
      <c r="H105" s="291"/>
      <c r="I105" s="291"/>
      <c r="J105" s="291"/>
      <c r="K105" s="373"/>
      <c r="L105" s="331"/>
      <c r="M105" s="332"/>
      <c r="N105" s="333"/>
      <c r="O105" s="333"/>
      <c r="P105" s="334"/>
      <c r="Q105" s="275">
        <f t="shared" si="13"/>
        <v>0</v>
      </c>
      <c r="R105" s="318">
        <f>SUM(R99:R104)</f>
        <v>0</v>
      </c>
      <c r="U105" s="294">
        <f t="shared" si="15"/>
        <v>0</v>
      </c>
    </row>
    <row r="106" spans="1:21" ht="18.75" customHeight="1" x14ac:dyDescent="0.2">
      <c r="A106" s="381">
        <v>391717</v>
      </c>
      <c r="B106" s="338" t="s">
        <v>294</v>
      </c>
      <c r="C106" s="85">
        <f>PV!C106</f>
        <v>1.2</v>
      </c>
      <c r="D106" s="44" t="str">
        <f t="shared" si="9"/>
        <v>h</v>
      </c>
      <c r="E106" s="43">
        <f>IF(D106="h",PV!E106,IF(D106="M",PV!G106,PV!I106))</f>
        <v>4.25</v>
      </c>
      <c r="F106" s="291">
        <v>20</v>
      </c>
      <c r="G106" s="291">
        <v>35</v>
      </c>
      <c r="H106" s="291"/>
      <c r="I106" s="291"/>
      <c r="J106" s="291"/>
      <c r="K106" s="373"/>
      <c r="L106" s="331"/>
      <c r="M106" s="332"/>
      <c r="N106" s="333"/>
      <c r="O106" s="333"/>
      <c r="P106" s="334"/>
      <c r="Q106" s="275">
        <f t="shared" si="13"/>
        <v>0</v>
      </c>
      <c r="R106" s="280">
        <f>K106*C106</f>
        <v>0</v>
      </c>
      <c r="U106" s="294">
        <f t="shared" si="15"/>
        <v>0</v>
      </c>
    </row>
    <row r="107" spans="1:21" ht="22.5" x14ac:dyDescent="0.2">
      <c r="A107" s="381">
        <v>438604</v>
      </c>
      <c r="B107" s="338" t="s">
        <v>295</v>
      </c>
      <c r="C107" s="85">
        <f>PV!C107</f>
        <v>0.6</v>
      </c>
      <c r="D107" s="44" t="str">
        <f t="shared" si="9"/>
        <v>h</v>
      </c>
      <c r="E107" s="43">
        <f>IF(D107="h",PV!E107,IF(D107="M",PV!G107,PV!I107))</f>
        <v>3.25</v>
      </c>
      <c r="F107" s="291">
        <v>0</v>
      </c>
      <c r="G107" s="291">
        <v>1</v>
      </c>
      <c r="H107" s="291"/>
      <c r="I107" s="291"/>
      <c r="J107" s="291"/>
      <c r="K107" s="373"/>
      <c r="L107" s="331"/>
      <c r="M107" s="332"/>
      <c r="N107" s="333"/>
      <c r="O107" s="333"/>
      <c r="P107" s="334"/>
      <c r="Q107" s="275">
        <f t="shared" si="13"/>
        <v>0</v>
      </c>
      <c r="R107" s="280">
        <f>K107*C107</f>
        <v>0</v>
      </c>
      <c r="U107" s="294">
        <f t="shared" si="15"/>
        <v>0</v>
      </c>
    </row>
    <row r="108" spans="1:21" s="25" customFormat="1" ht="0.6" customHeight="1" x14ac:dyDescent="0.15">
      <c r="A108" s="335"/>
      <c r="B108" s="343"/>
      <c r="C108" s="85">
        <f>PV!C108</f>
        <v>0</v>
      </c>
      <c r="D108" s="44" t="str">
        <f t="shared" si="9"/>
        <v>h</v>
      </c>
      <c r="E108" s="43">
        <f>IF(D108="h",PV!E108,IF(D108="M",PV!G108,PV!I108))</f>
        <v>0</v>
      </c>
      <c r="F108" s="291">
        <v>0</v>
      </c>
      <c r="G108" s="291">
        <v>0</v>
      </c>
      <c r="H108" s="291"/>
      <c r="I108" s="291"/>
      <c r="J108" s="291"/>
      <c r="K108" s="373"/>
      <c r="L108" s="331"/>
      <c r="M108" s="332"/>
      <c r="N108" s="333"/>
      <c r="O108" s="333"/>
      <c r="P108" s="334"/>
      <c r="Q108" s="275"/>
      <c r="R108" s="281">
        <f>SUM(R106:R107)</f>
        <v>0</v>
      </c>
      <c r="U108" s="294">
        <f t="shared" si="15"/>
        <v>0</v>
      </c>
    </row>
    <row r="109" spans="1:21" s="25" customFormat="1" ht="22.5" x14ac:dyDescent="0.25">
      <c r="A109" s="381">
        <v>1008122</v>
      </c>
      <c r="B109" s="346" t="s">
        <v>165</v>
      </c>
      <c r="C109" s="85">
        <f>PV!C109</f>
        <v>0.3</v>
      </c>
      <c r="D109" s="44" t="str">
        <f t="shared" si="9"/>
        <v>h</v>
      </c>
      <c r="E109" s="43">
        <f>IF(D109="h",PV!E109,IF(D109="M",PV!G109,PV!I109))</f>
        <v>4</v>
      </c>
      <c r="F109" s="291">
        <v>15</v>
      </c>
      <c r="G109" s="291">
        <v>11</v>
      </c>
      <c r="H109" s="291"/>
      <c r="I109" s="291"/>
      <c r="J109" s="291"/>
      <c r="K109" s="373"/>
      <c r="L109" s="331"/>
      <c r="M109" s="332"/>
      <c r="N109" s="333"/>
      <c r="O109" s="333"/>
      <c r="P109" s="334"/>
      <c r="Q109" s="275">
        <f>(K109*E109)</f>
        <v>0</v>
      </c>
      <c r="R109" s="280">
        <f>K109*C109</f>
        <v>0</v>
      </c>
      <c r="U109" s="294">
        <f t="shared" si="15"/>
        <v>0</v>
      </c>
    </row>
    <row r="110" spans="1:21" s="25" customFormat="1" ht="22.5" x14ac:dyDescent="0.25">
      <c r="A110" s="381">
        <v>1008124</v>
      </c>
      <c r="B110" s="346" t="s">
        <v>166</v>
      </c>
      <c r="C110" s="85">
        <f>PV!C110</f>
        <v>0.3</v>
      </c>
      <c r="D110" s="44" t="str">
        <f t="shared" si="9"/>
        <v>h</v>
      </c>
      <c r="E110" s="43">
        <f>IF(D110="h",PV!E110,IF(D110="M",PV!G110,PV!I110))</f>
        <v>5</v>
      </c>
      <c r="F110" s="291">
        <v>34</v>
      </c>
      <c r="G110" s="291">
        <v>9</v>
      </c>
      <c r="H110" s="291"/>
      <c r="I110" s="291"/>
      <c r="J110" s="291"/>
      <c r="K110" s="373"/>
      <c r="L110" s="331"/>
      <c r="M110" s="332"/>
      <c r="N110" s="333"/>
      <c r="O110" s="333"/>
      <c r="P110" s="334"/>
      <c r="Q110" s="275">
        <f>(K110*E110)</f>
        <v>0</v>
      </c>
      <c r="R110" s="280">
        <f>K110*C110</f>
        <v>0</v>
      </c>
      <c r="U110" s="294">
        <f t="shared" si="15"/>
        <v>0</v>
      </c>
    </row>
    <row r="111" spans="1:21" s="25" customFormat="1" ht="22.5" x14ac:dyDescent="0.25">
      <c r="A111" s="381">
        <v>1007683</v>
      </c>
      <c r="B111" s="346" t="s">
        <v>167</v>
      </c>
      <c r="C111" s="85">
        <f>PV!C111</f>
        <v>0.3</v>
      </c>
      <c r="D111" s="44" t="str">
        <f t="shared" si="9"/>
        <v>h</v>
      </c>
      <c r="E111" s="43">
        <f>IF(D111="h",PV!E111,IF(D111="M",PV!G111,PV!I111))</f>
        <v>1.5</v>
      </c>
      <c r="F111" s="291">
        <v>137</v>
      </c>
      <c r="G111" s="291">
        <v>252</v>
      </c>
      <c r="H111" s="291"/>
      <c r="I111" s="291"/>
      <c r="J111" s="291"/>
      <c r="K111" s="373"/>
      <c r="L111" s="331"/>
      <c r="M111" s="332"/>
      <c r="N111" s="333"/>
      <c r="O111" s="333"/>
      <c r="P111" s="334"/>
      <c r="Q111" s="275">
        <f>(K111*E111)</f>
        <v>0</v>
      </c>
      <c r="R111" s="280">
        <f>K111*C111</f>
        <v>0</v>
      </c>
      <c r="U111" s="294">
        <f t="shared" si="15"/>
        <v>0</v>
      </c>
    </row>
    <row r="112" spans="1:21" s="25" customFormat="1" ht="22.5" x14ac:dyDescent="0.25">
      <c r="A112" s="381">
        <v>1008123</v>
      </c>
      <c r="B112" s="346" t="s">
        <v>168</v>
      </c>
      <c r="C112" s="85">
        <f>PV!C112</f>
        <v>0.3</v>
      </c>
      <c r="D112" s="44" t="str">
        <f t="shared" si="9"/>
        <v>h</v>
      </c>
      <c r="E112" s="43">
        <f>IF(D112="h",PV!E112,IF(D112="M",PV!G112,PV!I112))</f>
        <v>3</v>
      </c>
      <c r="F112" s="291">
        <v>18</v>
      </c>
      <c r="G112" s="291">
        <v>14</v>
      </c>
      <c r="H112" s="291"/>
      <c r="I112" s="291"/>
      <c r="J112" s="291"/>
      <c r="K112" s="373"/>
      <c r="L112" s="331"/>
      <c r="M112" s="332"/>
      <c r="N112" s="333"/>
      <c r="O112" s="333"/>
      <c r="P112" s="334"/>
      <c r="Q112" s="275">
        <f>(K112*E112)</f>
        <v>0</v>
      </c>
      <c r="R112" s="280">
        <f>K112*C112</f>
        <v>0</v>
      </c>
      <c r="U112" s="294">
        <f t="shared" si="15"/>
        <v>0</v>
      </c>
    </row>
    <row r="113" spans="1:21" s="25" customFormat="1" ht="22.5" x14ac:dyDescent="0.2">
      <c r="A113" s="382"/>
      <c r="B113" s="343"/>
      <c r="C113" s="85">
        <f>PV!C113</f>
        <v>0</v>
      </c>
      <c r="D113" s="44" t="str">
        <f t="shared" si="9"/>
        <v>h</v>
      </c>
      <c r="E113" s="43">
        <f>IF(D113="h",PV!E113,IF(D113="M",PV!G113,PV!I113))</f>
        <v>0</v>
      </c>
      <c r="F113" s="291">
        <v>0</v>
      </c>
      <c r="G113" s="291">
        <v>0</v>
      </c>
      <c r="H113" s="291"/>
      <c r="I113" s="291"/>
      <c r="J113" s="291"/>
      <c r="K113" s="373"/>
      <c r="L113" s="331"/>
      <c r="M113" s="332"/>
      <c r="N113" s="333"/>
      <c r="O113" s="333"/>
      <c r="P113" s="334"/>
      <c r="Q113" s="275"/>
      <c r="R113" s="281">
        <f>SUM(R109:R112)</f>
        <v>0</v>
      </c>
      <c r="U113" s="294">
        <f t="shared" si="15"/>
        <v>0</v>
      </c>
    </row>
    <row r="114" spans="1:21" ht="22.5" x14ac:dyDescent="0.25">
      <c r="A114" s="381">
        <v>949835</v>
      </c>
      <c r="B114" s="346" t="s">
        <v>179</v>
      </c>
      <c r="C114" s="85">
        <f>PV!C114</f>
        <v>0.24</v>
      </c>
      <c r="D114" s="44" t="str">
        <f t="shared" si="9"/>
        <v>h</v>
      </c>
      <c r="E114" s="43">
        <f>IF(D114="h",PV!E114,IF(D114="M",PV!G114,PV!I114))</f>
        <v>5.95</v>
      </c>
      <c r="F114" s="291">
        <v>0</v>
      </c>
      <c r="G114" s="291">
        <v>0</v>
      </c>
      <c r="H114" s="291"/>
      <c r="I114" s="291"/>
      <c r="J114" s="291"/>
      <c r="K114" s="373"/>
      <c r="L114" s="331"/>
      <c r="M114" s="332"/>
      <c r="N114" s="333"/>
      <c r="O114" s="333"/>
      <c r="P114" s="334"/>
      <c r="Q114" s="275">
        <f>(K114*E114)</f>
        <v>0</v>
      </c>
      <c r="R114" s="280">
        <f>K114*C114</f>
        <v>0</v>
      </c>
      <c r="U114" s="294">
        <f t="shared" si="15"/>
        <v>0</v>
      </c>
    </row>
    <row r="115" spans="1:21" ht="22.5" x14ac:dyDescent="0.2">
      <c r="A115" s="380"/>
      <c r="B115" s="358"/>
      <c r="C115" s="85">
        <f>PV!C115</f>
        <v>0</v>
      </c>
      <c r="D115" s="44" t="str">
        <f t="shared" si="9"/>
        <v>h</v>
      </c>
      <c r="E115" s="43">
        <f>IF(D115="h",PV!E115,IF(D115="M",PV!G115,PV!I115))</f>
        <v>0</v>
      </c>
      <c r="F115" s="291">
        <v>0</v>
      </c>
      <c r="G115" s="291">
        <v>0</v>
      </c>
      <c r="H115" s="291"/>
      <c r="I115" s="291"/>
      <c r="J115" s="291"/>
      <c r="K115" s="373"/>
      <c r="L115" s="331"/>
      <c r="M115" s="332"/>
      <c r="N115" s="333"/>
      <c r="O115" s="333"/>
      <c r="P115" s="334"/>
      <c r="Q115" s="278"/>
      <c r="R115" s="281">
        <f>SUM(R114:R114)</f>
        <v>0</v>
      </c>
      <c r="U115" s="294">
        <f t="shared" si="15"/>
        <v>0</v>
      </c>
    </row>
    <row r="116" spans="1:21" ht="22.5" x14ac:dyDescent="0.25">
      <c r="A116" s="381">
        <v>65916</v>
      </c>
      <c r="B116" s="359" t="s">
        <v>171</v>
      </c>
      <c r="C116" s="85">
        <f>PV!C116</f>
        <v>0.42</v>
      </c>
      <c r="D116" s="44" t="str">
        <f t="shared" si="9"/>
        <v>h</v>
      </c>
      <c r="E116" s="43">
        <f>IF(D116="h",PV!E116,IF(D116="M",PV!G116,PV!I116))</f>
        <v>11.95</v>
      </c>
      <c r="F116" s="291">
        <v>0</v>
      </c>
      <c r="G116" s="291">
        <v>0</v>
      </c>
      <c r="H116" s="291"/>
      <c r="I116" s="291"/>
      <c r="J116" s="291"/>
      <c r="K116" s="373"/>
      <c r="L116" s="331"/>
      <c r="M116" s="332"/>
      <c r="N116" s="333"/>
      <c r="O116" s="333"/>
      <c r="P116" s="334"/>
      <c r="Q116" s="275">
        <f>(K116*E116)</f>
        <v>0</v>
      </c>
      <c r="R116" s="280">
        <f>K116*C116</f>
        <v>0</v>
      </c>
      <c r="U116" s="294">
        <f t="shared" si="15"/>
        <v>0</v>
      </c>
    </row>
    <row r="117" spans="1:21" s="25" customFormat="1" ht="22.5" x14ac:dyDescent="0.25">
      <c r="A117" s="381">
        <v>65898</v>
      </c>
      <c r="B117" s="359" t="s">
        <v>172</v>
      </c>
      <c r="C117" s="85">
        <f>PV!C117</f>
        <v>0.42</v>
      </c>
      <c r="D117" s="44" t="str">
        <f t="shared" si="9"/>
        <v>h</v>
      </c>
      <c r="E117" s="43">
        <f>IF(D117="h",PV!E117,IF(D117="M",PV!G117,PV!I117))</f>
        <v>12.95</v>
      </c>
      <c r="F117" s="291">
        <v>1</v>
      </c>
      <c r="G117" s="291">
        <v>0</v>
      </c>
      <c r="H117" s="291"/>
      <c r="I117" s="291"/>
      <c r="J117" s="291"/>
      <c r="K117" s="373"/>
      <c r="L117" s="331"/>
      <c r="M117" s="332"/>
      <c r="N117" s="333"/>
      <c r="O117" s="333"/>
      <c r="P117" s="334"/>
      <c r="Q117" s="275">
        <f>(K117*E117)</f>
        <v>0</v>
      </c>
      <c r="R117" s="280">
        <f>K117*C117</f>
        <v>0</v>
      </c>
      <c r="U117" s="294">
        <f t="shared" si="15"/>
        <v>0</v>
      </c>
    </row>
    <row r="118" spans="1:21" s="25" customFormat="1" ht="22.5" x14ac:dyDescent="0.25">
      <c r="A118" s="381">
        <v>811956</v>
      </c>
      <c r="B118" s="359" t="s">
        <v>173</v>
      </c>
      <c r="C118" s="85">
        <f>PV!C118</f>
        <v>1.2</v>
      </c>
      <c r="D118" s="44" t="str">
        <f t="shared" si="9"/>
        <v>h</v>
      </c>
      <c r="E118" s="43">
        <f>IF(D118="h",PV!E118,IF(D118="M",PV!G118,PV!I118))</f>
        <v>29.75</v>
      </c>
      <c r="F118" s="291">
        <v>0</v>
      </c>
      <c r="G118" s="291">
        <v>0</v>
      </c>
      <c r="H118" s="291"/>
      <c r="I118" s="291"/>
      <c r="J118" s="291"/>
      <c r="K118" s="373"/>
      <c r="L118" s="331"/>
      <c r="M118" s="332"/>
      <c r="N118" s="333"/>
      <c r="O118" s="333"/>
      <c r="P118" s="334"/>
      <c r="Q118" s="275">
        <f>(K118*E118)</f>
        <v>0</v>
      </c>
      <c r="R118" s="280">
        <f>K118*C118</f>
        <v>0</v>
      </c>
      <c r="U118" s="294">
        <f t="shared" si="15"/>
        <v>0</v>
      </c>
    </row>
    <row r="119" spans="1:21" s="25" customFormat="1" ht="22.5" x14ac:dyDescent="0.25">
      <c r="A119" s="381">
        <v>445249</v>
      </c>
      <c r="B119" s="359" t="s">
        <v>174</v>
      </c>
      <c r="C119" s="85">
        <f>PV!C119</f>
        <v>0.35</v>
      </c>
      <c r="D119" s="44" t="str">
        <f t="shared" si="9"/>
        <v>h</v>
      </c>
      <c r="E119" s="43">
        <f>IF(D119="h",PV!E119,IF(D119="M",PV!G119,PV!I119))</f>
        <v>8.9</v>
      </c>
      <c r="F119" s="291">
        <v>1</v>
      </c>
      <c r="G119" s="291">
        <v>1</v>
      </c>
      <c r="H119" s="291"/>
      <c r="I119" s="291"/>
      <c r="J119" s="291"/>
      <c r="K119" s="373"/>
      <c r="L119" s="331"/>
      <c r="M119" s="332"/>
      <c r="N119" s="333"/>
      <c r="O119" s="333"/>
      <c r="P119" s="334"/>
      <c r="Q119" s="275">
        <f>(K119*E119)</f>
        <v>0</v>
      </c>
      <c r="R119" s="280">
        <f>K119*C119</f>
        <v>0</v>
      </c>
      <c r="U119" s="294">
        <f t="shared" si="15"/>
        <v>0</v>
      </c>
    </row>
    <row r="120" spans="1:21" ht="22.5" x14ac:dyDescent="0.25">
      <c r="A120" s="381">
        <v>65922</v>
      </c>
      <c r="B120" s="359" t="s">
        <v>74</v>
      </c>
      <c r="C120" s="85">
        <f>PV!C120</f>
        <v>0.35</v>
      </c>
      <c r="D120" s="44" t="str">
        <f t="shared" si="9"/>
        <v>h</v>
      </c>
      <c r="E120" s="43">
        <f>IF(D120="h",PV!E120,IF(D120="M",PV!G120,PV!I120))</f>
        <v>8.6999999999999993</v>
      </c>
      <c r="F120" s="291">
        <v>2</v>
      </c>
      <c r="G120" s="291">
        <v>1</v>
      </c>
      <c r="H120" s="291"/>
      <c r="I120" s="291"/>
      <c r="J120" s="291"/>
      <c r="K120" s="373"/>
      <c r="L120" s="331"/>
      <c r="M120" s="332"/>
      <c r="N120" s="333"/>
      <c r="O120" s="333"/>
      <c r="P120" s="334"/>
      <c r="Q120" s="275">
        <f>(K120*E120)</f>
        <v>0</v>
      </c>
      <c r="R120" s="280">
        <f>K120*C120</f>
        <v>0</v>
      </c>
      <c r="U120" s="294">
        <f t="shared" si="15"/>
        <v>0</v>
      </c>
    </row>
    <row r="121" spans="1:21" ht="22.5" x14ac:dyDescent="0.2">
      <c r="A121" s="380"/>
      <c r="B121" s="358"/>
      <c r="C121" s="85">
        <f>PV!C121</f>
        <v>0</v>
      </c>
      <c r="D121" s="44" t="str">
        <f t="shared" si="9"/>
        <v>h</v>
      </c>
      <c r="E121" s="43">
        <f>IF(D121="h",PV!E121,IF(D121="M",PV!G121,PV!I121))</f>
        <v>0</v>
      </c>
      <c r="F121" s="291">
        <v>0</v>
      </c>
      <c r="G121" s="291">
        <v>0</v>
      </c>
      <c r="H121" s="291"/>
      <c r="I121" s="291"/>
      <c r="J121" s="291"/>
      <c r="K121" s="373"/>
      <c r="L121" s="331"/>
      <c r="M121" s="332"/>
      <c r="N121" s="333"/>
      <c r="O121" s="333"/>
      <c r="P121" s="334"/>
      <c r="Q121" s="278"/>
      <c r="R121" s="281">
        <f>SUM(R116:R120)</f>
        <v>0</v>
      </c>
      <c r="S121" s="21">
        <f>K122*10</f>
        <v>0</v>
      </c>
      <c r="T121" s="21" t="s">
        <v>189</v>
      </c>
      <c r="U121" s="294">
        <f t="shared" si="15"/>
        <v>0</v>
      </c>
    </row>
    <row r="122" spans="1:21" ht="22.5" x14ac:dyDescent="0.2">
      <c r="A122" s="380">
        <v>1126414</v>
      </c>
      <c r="B122" s="358" t="s">
        <v>189</v>
      </c>
      <c r="C122" s="85">
        <f>PV!C122</f>
        <v>0.45</v>
      </c>
      <c r="D122" s="44" t="str">
        <f t="shared" si="9"/>
        <v>h</v>
      </c>
      <c r="E122" s="43">
        <f>IF(D122="h",PV!E122,IF(D122="M",PV!G122,PV!I122))</f>
        <v>11.25</v>
      </c>
      <c r="F122" s="291">
        <v>51</v>
      </c>
      <c r="G122" s="291">
        <v>0</v>
      </c>
      <c r="H122" s="291"/>
      <c r="I122" s="291"/>
      <c r="J122" s="291"/>
      <c r="K122" s="373"/>
      <c r="L122" s="331"/>
      <c r="M122" s="332"/>
      <c r="N122" s="333"/>
      <c r="O122" s="333"/>
      <c r="P122" s="334"/>
      <c r="Q122" s="275">
        <f t="shared" ref="Q122:Q152" si="16">(K122*E122)</f>
        <v>0</v>
      </c>
      <c r="R122" s="286">
        <f t="shared" ref="R122:R152" si="17">K122*C122</f>
        <v>0</v>
      </c>
      <c r="S122" s="21">
        <f>(K123*2)+(K124*5)+(K125*8)+(K138*4)+K137</f>
        <v>0</v>
      </c>
      <c r="T122" s="21" t="s">
        <v>99</v>
      </c>
      <c r="U122" s="294">
        <f t="shared" si="15"/>
        <v>0</v>
      </c>
    </row>
    <row r="123" spans="1:21" s="25" customFormat="1" ht="20.100000000000001" customHeight="1" x14ac:dyDescent="0.25">
      <c r="A123" s="335">
        <v>65842</v>
      </c>
      <c r="B123" s="360" t="s">
        <v>55</v>
      </c>
      <c r="C123" s="85">
        <f>PV!C123</f>
        <v>0.16</v>
      </c>
      <c r="D123" s="44" t="str">
        <f t="shared" si="9"/>
        <v>h</v>
      </c>
      <c r="E123" s="43">
        <f>IF(D123="h",PV!E123,IF(D123="M",PV!G123,PV!I123))</f>
        <v>5.5</v>
      </c>
      <c r="F123" s="291">
        <v>21</v>
      </c>
      <c r="G123" s="291">
        <v>15</v>
      </c>
      <c r="H123" s="291"/>
      <c r="I123" s="291"/>
      <c r="J123" s="291"/>
      <c r="K123" s="373"/>
      <c r="L123" s="331"/>
      <c r="M123" s="332"/>
      <c r="N123" s="333"/>
      <c r="O123" s="333"/>
      <c r="P123" s="334"/>
      <c r="Q123" s="275">
        <f t="shared" si="16"/>
        <v>0</v>
      </c>
      <c r="R123" s="286">
        <f t="shared" si="17"/>
        <v>0</v>
      </c>
      <c r="S123" s="25">
        <f>(K127*2)+(K128*5)+(K129*8)+(K138*4)+K137</f>
        <v>0</v>
      </c>
      <c r="T123" s="25" t="s">
        <v>100</v>
      </c>
      <c r="U123" s="294">
        <f t="shared" si="15"/>
        <v>0</v>
      </c>
    </row>
    <row r="124" spans="1:21" s="25" customFormat="1" ht="20.100000000000001" customHeight="1" x14ac:dyDescent="0.25">
      <c r="A124" s="335">
        <v>65902</v>
      </c>
      <c r="B124" s="360" t="s">
        <v>57</v>
      </c>
      <c r="C124" s="85">
        <f>PV!C124</f>
        <v>0.4</v>
      </c>
      <c r="D124" s="44" t="str">
        <f t="shared" si="9"/>
        <v>h</v>
      </c>
      <c r="E124" s="43">
        <f>IF(D124="h",PV!E124,IF(D124="M",PV!G124,PV!I124))</f>
        <v>10.5</v>
      </c>
      <c r="F124" s="291">
        <v>30</v>
      </c>
      <c r="G124" s="291">
        <v>0</v>
      </c>
      <c r="H124" s="291"/>
      <c r="I124" s="291"/>
      <c r="J124" s="291"/>
      <c r="K124" s="373"/>
      <c r="L124" s="331"/>
      <c r="M124" s="332"/>
      <c r="N124" s="333"/>
      <c r="O124" s="333"/>
      <c r="P124" s="334"/>
      <c r="Q124" s="275">
        <f t="shared" si="16"/>
        <v>0</v>
      </c>
      <c r="R124" s="286">
        <f t="shared" si="17"/>
        <v>0</v>
      </c>
      <c r="S124" s="25">
        <f>(K131*2)+(K132*5)+(K133*8)</f>
        <v>0</v>
      </c>
      <c r="T124" s="25" t="s">
        <v>101</v>
      </c>
      <c r="U124" s="294">
        <f t="shared" si="15"/>
        <v>0</v>
      </c>
    </row>
    <row r="125" spans="1:21" s="25" customFormat="1" ht="20.100000000000001" customHeight="1" x14ac:dyDescent="0.25">
      <c r="A125" s="335">
        <v>905815</v>
      </c>
      <c r="B125" s="360" t="s">
        <v>182</v>
      </c>
      <c r="C125" s="85">
        <f>PV!C125</f>
        <v>0.64</v>
      </c>
      <c r="D125" s="44" t="str">
        <f t="shared" si="9"/>
        <v>h</v>
      </c>
      <c r="E125" s="43">
        <f>IF(D125="h",PV!E125,IF(D125="M",PV!G125,PV!I125))</f>
        <v>15.55</v>
      </c>
      <c r="F125" s="291">
        <v>20</v>
      </c>
      <c r="G125" s="291">
        <v>102.392</v>
      </c>
      <c r="H125" s="291"/>
      <c r="I125" s="291"/>
      <c r="J125" s="291"/>
      <c r="K125" s="373"/>
      <c r="L125" s="331"/>
      <c r="M125" s="332"/>
      <c r="N125" s="333"/>
      <c r="O125" s="333"/>
      <c r="P125" s="334"/>
      <c r="Q125" s="275">
        <f t="shared" si="16"/>
        <v>0</v>
      </c>
      <c r="R125" s="286">
        <f t="shared" si="17"/>
        <v>0</v>
      </c>
      <c r="S125" s="25">
        <f>(K134*2)+(K135*5)+(K136*8)</f>
        <v>0</v>
      </c>
      <c r="T125" s="25" t="s">
        <v>209</v>
      </c>
      <c r="U125" s="294">
        <f t="shared" si="15"/>
        <v>0</v>
      </c>
    </row>
    <row r="126" spans="1:21" s="25" customFormat="1" ht="20.100000000000001" customHeight="1" x14ac:dyDescent="0.25">
      <c r="A126" s="335">
        <v>1126415</v>
      </c>
      <c r="B126" s="360" t="s">
        <v>296</v>
      </c>
      <c r="C126" s="85">
        <f>PV!C126</f>
        <v>0.45</v>
      </c>
      <c r="D126" s="44" t="str">
        <f t="shared" si="9"/>
        <v>h</v>
      </c>
      <c r="E126" s="43">
        <f>IF(D126="h",PV!E126,IF(D126="M",PV!G126,PV!I126))</f>
        <v>12.5</v>
      </c>
      <c r="F126" s="291">
        <v>0</v>
      </c>
      <c r="G126" s="291">
        <v>0</v>
      </c>
      <c r="H126" s="291"/>
      <c r="I126" s="291"/>
      <c r="J126" s="291"/>
      <c r="K126" s="373"/>
      <c r="L126" s="331"/>
      <c r="M126" s="332"/>
      <c r="N126" s="333"/>
      <c r="O126" s="333"/>
      <c r="P126" s="334"/>
      <c r="Q126" s="275">
        <f t="shared" si="16"/>
        <v>0</v>
      </c>
      <c r="R126" s="286">
        <f t="shared" si="17"/>
        <v>0</v>
      </c>
      <c r="S126" s="25">
        <f>(K126*10)</f>
        <v>0</v>
      </c>
      <c r="T126" s="25" t="s">
        <v>212</v>
      </c>
      <c r="U126" s="294">
        <f t="shared" si="15"/>
        <v>0</v>
      </c>
    </row>
    <row r="127" spans="1:21" s="25" customFormat="1" ht="20.100000000000001" customHeight="1" x14ac:dyDescent="0.25">
      <c r="A127" s="335">
        <v>65907</v>
      </c>
      <c r="B127" s="360" t="s">
        <v>261</v>
      </c>
      <c r="C127" s="85">
        <f>PV!C127</f>
        <v>0.16</v>
      </c>
      <c r="D127" s="44" t="str">
        <f t="shared" si="9"/>
        <v>h</v>
      </c>
      <c r="E127" s="43">
        <f>IF(D127="h",PV!E127,IF(D127="M",PV!G127,PV!I127))</f>
        <v>6.25</v>
      </c>
      <c r="F127" s="291">
        <v>23</v>
      </c>
      <c r="G127" s="291">
        <v>13</v>
      </c>
      <c r="H127" s="291"/>
      <c r="I127" s="291"/>
      <c r="J127" s="291"/>
      <c r="K127" s="373"/>
      <c r="L127" s="331"/>
      <c r="M127" s="332"/>
      <c r="N127" s="333"/>
      <c r="O127" s="333"/>
      <c r="P127" s="334"/>
      <c r="Q127" s="275">
        <f t="shared" si="16"/>
        <v>0</v>
      </c>
      <c r="R127" s="286">
        <f t="shared" si="17"/>
        <v>0</v>
      </c>
      <c r="S127" s="25">
        <f>(K130*10)</f>
        <v>0</v>
      </c>
      <c r="T127" s="25" t="s">
        <v>213</v>
      </c>
      <c r="U127" s="294">
        <f t="shared" si="15"/>
        <v>0</v>
      </c>
    </row>
    <row r="128" spans="1:21" s="25" customFormat="1" ht="20.100000000000001" customHeight="1" x14ac:dyDescent="0.25">
      <c r="A128" s="335">
        <v>65909</v>
      </c>
      <c r="B128" s="360" t="s">
        <v>262</v>
      </c>
      <c r="C128" s="85">
        <f>PV!C128</f>
        <v>0.4</v>
      </c>
      <c r="D128" s="44" t="str">
        <f t="shared" si="9"/>
        <v>h</v>
      </c>
      <c r="E128" s="43">
        <f>IF(D128="h",PV!E128,IF(D128="M",PV!G128,PV!I128))</f>
        <v>11.75</v>
      </c>
      <c r="F128" s="291">
        <v>12</v>
      </c>
      <c r="G128" s="291">
        <v>0</v>
      </c>
      <c r="H128" s="291"/>
      <c r="I128" s="291"/>
      <c r="J128" s="291"/>
      <c r="K128" s="373"/>
      <c r="L128" s="331"/>
      <c r="M128" s="332"/>
      <c r="N128" s="333"/>
      <c r="O128" s="333"/>
      <c r="P128" s="334"/>
      <c r="Q128" s="275">
        <f t="shared" si="16"/>
        <v>0</v>
      </c>
      <c r="R128" s="286">
        <f t="shared" si="17"/>
        <v>0</v>
      </c>
      <c r="S128" s="25">
        <f>K139*10</f>
        <v>0</v>
      </c>
      <c r="T128" s="25" t="s">
        <v>214</v>
      </c>
      <c r="U128" s="294">
        <f t="shared" si="15"/>
        <v>0</v>
      </c>
    </row>
    <row r="129" spans="1:21" s="25" customFormat="1" ht="20.100000000000001" customHeight="1" x14ac:dyDescent="0.25">
      <c r="A129" s="335">
        <v>905816</v>
      </c>
      <c r="B129" s="360" t="s">
        <v>184</v>
      </c>
      <c r="C129" s="85">
        <f>PV!C129</f>
        <v>0.64</v>
      </c>
      <c r="D129" s="44" t="str">
        <f t="shared" si="9"/>
        <v>h</v>
      </c>
      <c r="E129" s="43">
        <f>IF(D129="h",PV!E129,IF(D129="M",PV!G129,PV!I129))</f>
        <v>15.85</v>
      </c>
      <c r="F129" s="291">
        <v>128</v>
      </c>
      <c r="G129" s="291">
        <v>15</v>
      </c>
      <c r="H129" s="291"/>
      <c r="I129" s="291"/>
      <c r="J129" s="291"/>
      <c r="K129" s="373"/>
      <c r="L129" s="331"/>
      <c r="M129" s="332"/>
      <c r="N129" s="333"/>
      <c r="O129" s="333"/>
      <c r="P129" s="334"/>
      <c r="Q129" s="275">
        <f t="shared" si="16"/>
        <v>0</v>
      </c>
      <c r="R129" s="286">
        <f t="shared" si="17"/>
        <v>0</v>
      </c>
      <c r="S129" s="25">
        <f>(K148*2)+(K149*4)</f>
        <v>0</v>
      </c>
      <c r="T129" s="25" t="s">
        <v>219</v>
      </c>
      <c r="U129" s="294">
        <f t="shared" si="15"/>
        <v>0</v>
      </c>
    </row>
    <row r="130" spans="1:21" s="25" customFormat="1" ht="20.100000000000001" customHeight="1" x14ac:dyDescent="0.25">
      <c r="A130" s="335">
        <v>1126416</v>
      </c>
      <c r="B130" s="360" t="s">
        <v>188</v>
      </c>
      <c r="C130" s="85">
        <f>PV!C130</f>
        <v>0.45</v>
      </c>
      <c r="D130" s="44" t="str">
        <f t="shared" si="9"/>
        <v>h</v>
      </c>
      <c r="E130" s="43">
        <f>IF(D130="h",PV!E130,IF(D130="M",PV!G130,PV!I130))</f>
        <v>12.5</v>
      </c>
      <c r="F130" s="291">
        <v>0</v>
      </c>
      <c r="G130" s="291">
        <v>0</v>
      </c>
      <c r="H130" s="291"/>
      <c r="I130" s="291"/>
      <c r="J130" s="291"/>
      <c r="K130" s="373"/>
      <c r="L130" s="331"/>
      <c r="M130" s="332"/>
      <c r="N130" s="333"/>
      <c r="O130" s="333"/>
      <c r="P130" s="334"/>
      <c r="Q130" s="275">
        <f t="shared" si="16"/>
        <v>0</v>
      </c>
      <c r="R130" s="286">
        <f t="shared" si="17"/>
        <v>0</v>
      </c>
      <c r="T130" s="25" t="s">
        <v>215</v>
      </c>
      <c r="U130" s="294">
        <f t="shared" si="15"/>
        <v>0</v>
      </c>
    </row>
    <row r="131" spans="1:21" s="25" customFormat="1" ht="20.100000000000001" customHeight="1" x14ac:dyDescent="0.25">
      <c r="A131" s="335">
        <v>65920</v>
      </c>
      <c r="B131" s="360" t="s">
        <v>60</v>
      </c>
      <c r="C131" s="85">
        <f>PV!C131</f>
        <v>0.16</v>
      </c>
      <c r="D131" s="44" t="str">
        <f t="shared" si="9"/>
        <v>h</v>
      </c>
      <c r="E131" s="43">
        <f>IF(D131="h",PV!E131,IF(D131="M",PV!G131,PV!I131))</f>
        <v>6.75</v>
      </c>
      <c r="F131" s="291">
        <v>20</v>
      </c>
      <c r="G131" s="291">
        <v>12</v>
      </c>
      <c r="H131" s="291"/>
      <c r="I131" s="291"/>
      <c r="J131" s="291"/>
      <c r="K131" s="373"/>
      <c r="L131" s="331"/>
      <c r="M131" s="332"/>
      <c r="N131" s="333"/>
      <c r="O131" s="333"/>
      <c r="P131" s="334"/>
      <c r="Q131" s="275">
        <f t="shared" si="16"/>
        <v>0</v>
      </c>
      <c r="R131" s="286">
        <f t="shared" si="17"/>
        <v>0</v>
      </c>
      <c r="S131" s="25">
        <f>K152</f>
        <v>0</v>
      </c>
      <c r="T131" s="25" t="s">
        <v>216</v>
      </c>
      <c r="U131" s="294">
        <f t="shared" ref="U131:U153" si="18">K131-L131</f>
        <v>0</v>
      </c>
    </row>
    <row r="132" spans="1:21" s="25" customFormat="1" ht="19.5" customHeight="1" x14ac:dyDescent="0.25">
      <c r="A132" s="335">
        <v>65921</v>
      </c>
      <c r="B132" s="360" t="s">
        <v>61</v>
      </c>
      <c r="C132" s="85">
        <f>PV!C132</f>
        <v>0.4</v>
      </c>
      <c r="D132" s="44" t="str">
        <f t="shared" si="9"/>
        <v>h</v>
      </c>
      <c r="E132" s="43">
        <f>IF(D132="h",PV!E132,IF(D132="M",PV!G132,PV!I132))</f>
        <v>12.75</v>
      </c>
      <c r="F132" s="291">
        <v>19</v>
      </c>
      <c r="G132" s="291">
        <v>0</v>
      </c>
      <c r="H132" s="291"/>
      <c r="I132" s="291"/>
      <c r="J132" s="291"/>
      <c r="K132" s="373"/>
      <c r="L132" s="331"/>
      <c r="M132" s="332"/>
      <c r="N132" s="333"/>
      <c r="O132" s="333"/>
      <c r="P132" s="334"/>
      <c r="Q132" s="275">
        <f t="shared" si="16"/>
        <v>0</v>
      </c>
      <c r="R132" s="286">
        <f t="shared" si="17"/>
        <v>0</v>
      </c>
      <c r="S132" s="25" t="e">
        <f>#REF!</f>
        <v>#REF!</v>
      </c>
      <c r="T132" s="25" t="s">
        <v>217</v>
      </c>
      <c r="U132" s="294">
        <f t="shared" si="18"/>
        <v>0</v>
      </c>
    </row>
    <row r="133" spans="1:21" s="25" customFormat="1" ht="19.5" customHeight="1" x14ac:dyDescent="0.25">
      <c r="A133" s="335">
        <v>905817</v>
      </c>
      <c r="B133" s="360" t="s">
        <v>185</v>
      </c>
      <c r="C133" s="85">
        <f>PV!C133</f>
        <v>0.64</v>
      </c>
      <c r="D133" s="44" t="str">
        <f t="shared" si="9"/>
        <v>h</v>
      </c>
      <c r="E133" s="43">
        <f>IF(D133="h",PV!E133,IF(D133="M",PV!G133,PV!I133))</f>
        <v>17.95</v>
      </c>
      <c r="F133" s="291">
        <v>16</v>
      </c>
      <c r="G133" s="291">
        <v>14</v>
      </c>
      <c r="H133" s="291"/>
      <c r="I133" s="291"/>
      <c r="J133" s="291"/>
      <c r="K133" s="373"/>
      <c r="L133" s="331"/>
      <c r="M133" s="332"/>
      <c r="N133" s="333"/>
      <c r="O133" s="333"/>
      <c r="P133" s="334"/>
      <c r="Q133" s="275">
        <f t="shared" si="16"/>
        <v>0</v>
      </c>
      <c r="R133" s="286">
        <f t="shared" si="17"/>
        <v>0</v>
      </c>
      <c r="S133" s="25" t="e">
        <f>#REF!</f>
        <v>#REF!</v>
      </c>
      <c r="T133" s="25" t="s">
        <v>218</v>
      </c>
      <c r="U133" s="294">
        <f t="shared" si="18"/>
        <v>0</v>
      </c>
    </row>
    <row r="134" spans="1:21" s="25" customFormat="1" ht="20.100000000000001" customHeight="1" x14ac:dyDescent="0.25">
      <c r="A134" s="335">
        <v>65918</v>
      </c>
      <c r="B134" s="360" t="s">
        <v>62</v>
      </c>
      <c r="C134" s="85">
        <f>PV!C134</f>
        <v>0.16</v>
      </c>
      <c r="D134" s="44" t="str">
        <f t="shared" si="9"/>
        <v>h</v>
      </c>
      <c r="E134" s="43">
        <f>IF(D134="h",PV!E134,IF(D134="M",PV!G134,PV!I134))</f>
        <v>5.95</v>
      </c>
      <c r="F134" s="291">
        <v>7</v>
      </c>
      <c r="G134" s="291">
        <v>4</v>
      </c>
      <c r="H134" s="291"/>
      <c r="I134" s="291"/>
      <c r="J134" s="291"/>
      <c r="K134" s="373"/>
      <c r="L134" s="331"/>
      <c r="M134" s="332"/>
      <c r="N134" s="333"/>
      <c r="O134" s="333"/>
      <c r="P134" s="334"/>
      <c r="Q134" s="275">
        <f t="shared" si="16"/>
        <v>0</v>
      </c>
      <c r="R134" s="286">
        <f t="shared" si="17"/>
        <v>0</v>
      </c>
      <c r="S134" s="25">
        <f>(K144*2)+(K145*5)</f>
        <v>0</v>
      </c>
      <c r="T134" s="25" t="s">
        <v>220</v>
      </c>
      <c r="U134" s="294">
        <f t="shared" si="18"/>
        <v>0</v>
      </c>
    </row>
    <row r="135" spans="1:21" s="25" customFormat="1" ht="20.100000000000001" customHeight="1" x14ac:dyDescent="0.25">
      <c r="A135" s="335">
        <v>65919</v>
      </c>
      <c r="B135" s="360" t="s">
        <v>63</v>
      </c>
      <c r="C135" s="85">
        <f>PV!C135</f>
        <v>0.64</v>
      </c>
      <c r="D135" s="44" t="str">
        <f t="shared" ref="D135:D152" si="19">D134</f>
        <v>h</v>
      </c>
      <c r="E135" s="43">
        <f>IF(D135="h",PV!E135,IF(D135="M",PV!G135,PV!I135))</f>
        <v>10.65</v>
      </c>
      <c r="F135" s="291">
        <v>10</v>
      </c>
      <c r="G135" s="291">
        <v>0</v>
      </c>
      <c r="H135" s="291"/>
      <c r="I135" s="291"/>
      <c r="J135" s="291"/>
      <c r="K135" s="373"/>
      <c r="L135" s="331"/>
      <c r="M135" s="332"/>
      <c r="N135" s="333"/>
      <c r="O135" s="333"/>
      <c r="P135" s="334"/>
      <c r="Q135" s="275">
        <f t="shared" si="16"/>
        <v>0</v>
      </c>
      <c r="R135" s="286">
        <f t="shared" si="17"/>
        <v>0</v>
      </c>
      <c r="S135" s="25">
        <f>(K146*2)+(K147*5)</f>
        <v>0</v>
      </c>
      <c r="T135" s="25" t="s">
        <v>222</v>
      </c>
      <c r="U135" s="294">
        <f t="shared" si="18"/>
        <v>0</v>
      </c>
    </row>
    <row r="136" spans="1:21" s="25" customFormat="1" ht="20.100000000000001" customHeight="1" x14ac:dyDescent="0.25">
      <c r="A136" s="335">
        <v>905818</v>
      </c>
      <c r="B136" s="360" t="s">
        <v>186</v>
      </c>
      <c r="C136" s="85">
        <f>PV!C136</f>
        <v>0.64</v>
      </c>
      <c r="D136" s="44" t="str">
        <f t="shared" si="19"/>
        <v>h</v>
      </c>
      <c r="E136" s="43">
        <f>IF(D136="h",PV!E136,IF(D136="M",PV!G136,PV!I136))</f>
        <v>15.9</v>
      </c>
      <c r="F136" s="291">
        <v>5</v>
      </c>
      <c r="G136" s="291">
        <v>4</v>
      </c>
      <c r="H136" s="291"/>
      <c r="I136" s="291"/>
      <c r="J136" s="291"/>
      <c r="K136" s="373"/>
      <c r="L136" s="331"/>
      <c r="M136" s="332"/>
      <c r="N136" s="333"/>
      <c r="O136" s="333"/>
      <c r="P136" s="334"/>
      <c r="Q136" s="275">
        <f t="shared" si="16"/>
        <v>0</v>
      </c>
      <c r="R136" s="286">
        <f t="shared" si="17"/>
        <v>0</v>
      </c>
      <c r="S136" s="25">
        <f>(K140*2)+(K141*4)</f>
        <v>0</v>
      </c>
      <c r="T136" s="25" t="s">
        <v>221</v>
      </c>
      <c r="U136" s="294">
        <f t="shared" si="18"/>
        <v>0</v>
      </c>
    </row>
    <row r="137" spans="1:21" s="25" customFormat="1" ht="20.100000000000001" customHeight="1" x14ac:dyDescent="0.25">
      <c r="A137" s="335">
        <v>970195</v>
      </c>
      <c r="B137" s="360" t="s">
        <v>298</v>
      </c>
      <c r="C137" s="85">
        <f>PV!C137</f>
        <v>0.16</v>
      </c>
      <c r="D137" s="44" t="str">
        <f t="shared" si="19"/>
        <v>h</v>
      </c>
      <c r="E137" s="43">
        <f>IF(D137="h",PV!E137,IF(D137="M",PV!G137,PV!I137))</f>
        <v>5.75</v>
      </c>
      <c r="F137" s="291">
        <v>0</v>
      </c>
      <c r="G137" s="291">
        <v>0</v>
      </c>
      <c r="H137" s="291"/>
      <c r="I137" s="291"/>
      <c r="J137" s="291"/>
      <c r="K137" s="373"/>
      <c r="L137" s="331"/>
      <c r="M137" s="332"/>
      <c r="N137" s="333"/>
      <c r="O137" s="333"/>
      <c r="P137" s="334"/>
      <c r="Q137" s="275">
        <f t="shared" si="16"/>
        <v>0</v>
      </c>
      <c r="R137" s="286">
        <f t="shared" si="17"/>
        <v>0</v>
      </c>
      <c r="S137" s="25">
        <f>K119*5</f>
        <v>0</v>
      </c>
      <c r="T137" s="25" t="s">
        <v>174</v>
      </c>
      <c r="U137" s="294">
        <f t="shared" si="18"/>
        <v>0</v>
      </c>
    </row>
    <row r="138" spans="1:21" s="25" customFormat="1" ht="20.100000000000001" customHeight="1" x14ac:dyDescent="0.25">
      <c r="A138" s="335">
        <v>905820</v>
      </c>
      <c r="B138" s="360" t="s">
        <v>297</v>
      </c>
      <c r="C138" s="85">
        <f>PV!C138</f>
        <v>0.64</v>
      </c>
      <c r="D138" s="44" t="str">
        <f t="shared" si="19"/>
        <v>h</v>
      </c>
      <c r="E138" s="43">
        <f>IF(D138="h",PV!E138,IF(D138="M",PV!G138,PV!I138))</f>
        <v>15.55</v>
      </c>
      <c r="F138" s="291">
        <v>5</v>
      </c>
      <c r="G138" s="291">
        <v>12</v>
      </c>
      <c r="H138" s="291"/>
      <c r="I138" s="291"/>
      <c r="J138" s="291"/>
      <c r="K138" s="373"/>
      <c r="L138" s="331"/>
      <c r="M138" s="332"/>
      <c r="N138" s="333"/>
      <c r="O138" s="333"/>
      <c r="P138" s="334"/>
      <c r="Q138" s="275">
        <f t="shared" si="16"/>
        <v>0</v>
      </c>
      <c r="R138" s="286">
        <f t="shared" si="17"/>
        <v>0</v>
      </c>
      <c r="S138" s="25">
        <f>K120*5</f>
        <v>0</v>
      </c>
      <c r="T138" s="25" t="s">
        <v>74</v>
      </c>
      <c r="U138" s="294">
        <f t="shared" si="18"/>
        <v>0</v>
      </c>
    </row>
    <row r="139" spans="1:21" s="25" customFormat="1" ht="19.5" customHeight="1" x14ac:dyDescent="0.25">
      <c r="A139" s="335">
        <v>1126417</v>
      </c>
      <c r="B139" s="360" t="s">
        <v>187</v>
      </c>
      <c r="C139" s="85">
        <f>PV!C139</f>
        <v>0.45</v>
      </c>
      <c r="D139" s="44" t="str">
        <f t="shared" si="19"/>
        <v>h</v>
      </c>
      <c r="E139" s="43">
        <f>IF(D139="h",PV!E139,IF(D139="M",PV!G139,PV!I139))</f>
        <v>9.9499999999999993</v>
      </c>
      <c r="F139" s="291">
        <v>0</v>
      </c>
      <c r="G139" s="291">
        <v>0</v>
      </c>
      <c r="H139" s="291"/>
      <c r="I139" s="291"/>
      <c r="J139" s="291"/>
      <c r="K139" s="373"/>
      <c r="L139" s="331"/>
      <c r="M139" s="332"/>
      <c r="N139" s="333"/>
      <c r="O139" s="333"/>
      <c r="P139" s="334"/>
      <c r="Q139" s="275">
        <f t="shared" si="16"/>
        <v>0</v>
      </c>
      <c r="R139" s="286">
        <f t="shared" si="17"/>
        <v>0</v>
      </c>
      <c r="U139" s="294">
        <f t="shared" si="18"/>
        <v>0</v>
      </c>
    </row>
    <row r="140" spans="1:21" s="25" customFormat="1" ht="20.100000000000001" customHeight="1" x14ac:dyDescent="0.25">
      <c r="A140" s="335">
        <v>67493</v>
      </c>
      <c r="B140" s="360" t="s">
        <v>64</v>
      </c>
      <c r="C140" s="85">
        <f>PV!C140</f>
        <v>0.16</v>
      </c>
      <c r="D140" s="44" t="str">
        <f t="shared" si="19"/>
        <v>h</v>
      </c>
      <c r="E140" s="43">
        <f>IF(D140="h",PV!E140,IF(D140="M",PV!G140,PV!I140))</f>
        <v>6.75</v>
      </c>
      <c r="F140" s="291">
        <v>7</v>
      </c>
      <c r="G140" s="291">
        <v>14</v>
      </c>
      <c r="H140" s="291"/>
      <c r="I140" s="291"/>
      <c r="J140" s="291"/>
      <c r="K140" s="373"/>
      <c r="L140" s="331"/>
      <c r="M140" s="332"/>
      <c r="N140" s="333"/>
      <c r="O140" s="333"/>
      <c r="P140" s="334"/>
      <c r="Q140" s="275">
        <f t="shared" si="16"/>
        <v>0</v>
      </c>
      <c r="R140" s="286">
        <f t="shared" si="17"/>
        <v>0</v>
      </c>
      <c r="U140" s="294">
        <f t="shared" si="18"/>
        <v>0</v>
      </c>
    </row>
    <row r="141" spans="1:21" s="25" customFormat="1" ht="18.75" customHeight="1" x14ac:dyDescent="0.25">
      <c r="A141" s="335">
        <v>65906</v>
      </c>
      <c r="B141" s="360" t="s">
        <v>65</v>
      </c>
      <c r="C141" s="85">
        <f>PV!C141</f>
        <v>0.24</v>
      </c>
      <c r="D141" s="44" t="str">
        <f t="shared" si="19"/>
        <v>h</v>
      </c>
      <c r="E141" s="43">
        <f>IF(D141="h",PV!E141,IF(D141="M",PV!G141,PV!I141))</f>
        <v>12.5</v>
      </c>
      <c r="F141" s="291">
        <v>7</v>
      </c>
      <c r="G141" s="291">
        <v>9</v>
      </c>
      <c r="H141" s="291"/>
      <c r="I141" s="291"/>
      <c r="J141" s="291"/>
      <c r="K141" s="373"/>
      <c r="L141" s="331"/>
      <c r="M141" s="332"/>
      <c r="N141" s="333"/>
      <c r="O141" s="333"/>
      <c r="P141" s="334"/>
      <c r="Q141" s="275">
        <f t="shared" si="16"/>
        <v>0</v>
      </c>
      <c r="R141" s="286">
        <f t="shared" si="17"/>
        <v>0</v>
      </c>
      <c r="U141" s="294">
        <f t="shared" si="18"/>
        <v>0</v>
      </c>
    </row>
    <row r="142" spans="1:21" s="25" customFormat="1" ht="19.5" customHeight="1" x14ac:dyDescent="0.25">
      <c r="A142" s="335">
        <v>270422</v>
      </c>
      <c r="B142" s="360" t="s">
        <v>66</v>
      </c>
      <c r="C142" s="85">
        <f>PV!C142</f>
        <v>0.24</v>
      </c>
      <c r="D142" s="44" t="str">
        <f t="shared" si="19"/>
        <v>h</v>
      </c>
      <c r="E142" s="43">
        <f>IF(D142="h",PV!E142,IF(D142="M",PV!G142,PV!I142))</f>
        <v>5.95</v>
      </c>
      <c r="F142" s="291">
        <v>6</v>
      </c>
      <c r="G142" s="291">
        <v>3</v>
      </c>
      <c r="H142" s="291"/>
      <c r="I142" s="291"/>
      <c r="J142" s="291"/>
      <c r="K142" s="373"/>
      <c r="L142" s="331"/>
      <c r="M142" s="332"/>
      <c r="N142" s="333"/>
      <c r="O142" s="333"/>
      <c r="P142" s="334"/>
      <c r="Q142" s="275">
        <f t="shared" si="16"/>
        <v>0</v>
      </c>
      <c r="R142" s="286">
        <f t="shared" si="17"/>
        <v>0</v>
      </c>
      <c r="U142" s="294">
        <f t="shared" si="18"/>
        <v>0</v>
      </c>
    </row>
    <row r="143" spans="1:21" s="25" customFormat="1" ht="20.100000000000001" customHeight="1" x14ac:dyDescent="0.25">
      <c r="A143" s="335">
        <v>67778</v>
      </c>
      <c r="B143" s="360" t="s">
        <v>67</v>
      </c>
      <c r="C143" s="85">
        <f>PV!C143</f>
        <v>0.6</v>
      </c>
      <c r="D143" s="44" t="str">
        <f t="shared" si="19"/>
        <v>h</v>
      </c>
      <c r="E143" s="43">
        <f>IF(D143="h",PV!E143,IF(D143="M",PV!G143,PV!I143))</f>
        <v>10.95</v>
      </c>
      <c r="F143" s="291">
        <v>12</v>
      </c>
      <c r="G143" s="291">
        <v>0</v>
      </c>
      <c r="H143" s="291"/>
      <c r="I143" s="291"/>
      <c r="J143" s="291"/>
      <c r="K143" s="373"/>
      <c r="L143" s="331"/>
      <c r="M143" s="332"/>
      <c r="N143" s="333"/>
      <c r="O143" s="333"/>
      <c r="P143" s="334"/>
      <c r="Q143" s="275">
        <f t="shared" si="16"/>
        <v>0</v>
      </c>
      <c r="R143" s="286">
        <f t="shared" si="17"/>
        <v>0</v>
      </c>
      <c r="U143" s="294">
        <f t="shared" si="18"/>
        <v>0</v>
      </c>
    </row>
    <row r="144" spans="1:21" s="25" customFormat="1" ht="20.100000000000001" customHeight="1" x14ac:dyDescent="0.25">
      <c r="A144" s="335">
        <v>1039726</v>
      </c>
      <c r="B144" s="360" t="s">
        <v>193</v>
      </c>
      <c r="C144" s="85">
        <f>PV!C144</f>
        <v>0.24</v>
      </c>
      <c r="D144" s="44" t="str">
        <f t="shared" si="19"/>
        <v>h</v>
      </c>
      <c r="E144" s="43">
        <f>IF(D144="h",PV!E144,IF(D144="M",PV!G144,PV!I144))</f>
        <v>5.95</v>
      </c>
      <c r="F144" s="291">
        <v>3</v>
      </c>
      <c r="G144" s="291">
        <v>0</v>
      </c>
      <c r="H144" s="291"/>
      <c r="I144" s="291"/>
      <c r="J144" s="291"/>
      <c r="K144" s="373"/>
      <c r="L144" s="331"/>
      <c r="M144" s="332"/>
      <c r="N144" s="333"/>
      <c r="O144" s="333"/>
      <c r="P144" s="334"/>
      <c r="Q144" s="275">
        <f t="shared" si="16"/>
        <v>0</v>
      </c>
      <c r="R144" s="286">
        <f t="shared" si="17"/>
        <v>0</v>
      </c>
      <c r="U144" s="294">
        <f t="shared" si="18"/>
        <v>0</v>
      </c>
    </row>
    <row r="145" spans="1:21" s="25" customFormat="1" ht="20.100000000000001" customHeight="1" x14ac:dyDescent="0.25">
      <c r="A145" s="335">
        <v>1039725</v>
      </c>
      <c r="B145" s="360" t="s">
        <v>194</v>
      </c>
      <c r="C145" s="85">
        <f>PV!C145</f>
        <v>0.6</v>
      </c>
      <c r="D145" s="44" t="str">
        <f t="shared" si="19"/>
        <v>h</v>
      </c>
      <c r="E145" s="43">
        <f>IF(D145="h",PV!E145,IF(D145="M",PV!G145,PV!I145))</f>
        <v>10.95</v>
      </c>
      <c r="F145" s="291">
        <v>2</v>
      </c>
      <c r="G145" s="291">
        <v>0</v>
      </c>
      <c r="H145" s="291"/>
      <c r="I145" s="291"/>
      <c r="J145" s="291"/>
      <c r="K145" s="373"/>
      <c r="L145" s="331"/>
      <c r="M145" s="332"/>
      <c r="N145" s="333"/>
      <c r="O145" s="333"/>
      <c r="P145" s="334"/>
      <c r="Q145" s="275">
        <f t="shared" si="16"/>
        <v>0</v>
      </c>
      <c r="R145" s="286">
        <f t="shared" si="17"/>
        <v>0</v>
      </c>
      <c r="U145" s="294">
        <f t="shared" si="18"/>
        <v>0</v>
      </c>
    </row>
    <row r="146" spans="1:21" s="25" customFormat="1" ht="20.100000000000001" customHeight="1" x14ac:dyDescent="0.25">
      <c r="A146" s="335">
        <v>270418</v>
      </c>
      <c r="B146" s="360" t="s">
        <v>68</v>
      </c>
      <c r="C146" s="85">
        <f>PV!C146</f>
        <v>0.24</v>
      </c>
      <c r="D146" s="44" t="str">
        <f t="shared" si="19"/>
        <v>h</v>
      </c>
      <c r="E146" s="43">
        <f>IF(D146="h",PV!E146,IF(D146="M",PV!G146,PV!I146))</f>
        <v>6.25</v>
      </c>
      <c r="F146" s="291">
        <v>12</v>
      </c>
      <c r="G146" s="291">
        <v>8</v>
      </c>
      <c r="H146" s="291"/>
      <c r="I146" s="291"/>
      <c r="J146" s="291"/>
      <c r="K146" s="373"/>
      <c r="L146" s="331"/>
      <c r="M146" s="332"/>
      <c r="N146" s="333"/>
      <c r="O146" s="333"/>
      <c r="P146" s="334"/>
      <c r="Q146" s="275">
        <f t="shared" si="16"/>
        <v>0</v>
      </c>
      <c r="R146" s="286">
        <f t="shared" si="17"/>
        <v>0</v>
      </c>
      <c r="U146" s="294">
        <f t="shared" si="18"/>
        <v>0</v>
      </c>
    </row>
    <row r="147" spans="1:21" s="25" customFormat="1" ht="20.100000000000001" customHeight="1" x14ac:dyDescent="0.25">
      <c r="A147" s="335">
        <v>65912</v>
      </c>
      <c r="B147" s="360" t="s">
        <v>69</v>
      </c>
      <c r="C147" s="85">
        <f>PV!C147</f>
        <v>0.6</v>
      </c>
      <c r="D147" s="44" t="str">
        <f t="shared" si="19"/>
        <v>h</v>
      </c>
      <c r="E147" s="43">
        <f>IF(D147="h",PV!E147,IF(D147="M",PV!G147,PV!I147))</f>
        <v>11.45</v>
      </c>
      <c r="F147" s="291">
        <v>14</v>
      </c>
      <c r="G147" s="291">
        <v>0</v>
      </c>
      <c r="H147" s="291"/>
      <c r="I147" s="291"/>
      <c r="J147" s="291"/>
      <c r="K147" s="373"/>
      <c r="L147" s="331"/>
      <c r="M147" s="332"/>
      <c r="N147" s="333"/>
      <c r="O147" s="333"/>
      <c r="P147" s="334"/>
      <c r="Q147" s="275">
        <f t="shared" si="16"/>
        <v>0</v>
      </c>
      <c r="R147" s="286">
        <f t="shared" si="17"/>
        <v>0</v>
      </c>
      <c r="U147" s="294">
        <f t="shared" si="18"/>
        <v>0</v>
      </c>
    </row>
    <row r="148" spans="1:21" s="25" customFormat="1" ht="20.100000000000001" customHeight="1" x14ac:dyDescent="0.25">
      <c r="A148" s="335">
        <v>425024</v>
      </c>
      <c r="B148" s="360" t="s">
        <v>70</v>
      </c>
      <c r="C148" s="85">
        <f>PV!C148</f>
        <v>0.24</v>
      </c>
      <c r="D148" s="44" t="str">
        <f t="shared" si="19"/>
        <v>h</v>
      </c>
      <c r="E148" s="43">
        <f>IF(D148="h",PV!E148,IF(D148="M",PV!G148,PV!I148))</f>
        <v>9.4499999999999993</v>
      </c>
      <c r="F148" s="291">
        <v>6</v>
      </c>
      <c r="G148" s="291">
        <v>5</v>
      </c>
      <c r="H148" s="291"/>
      <c r="I148" s="291"/>
      <c r="J148" s="291"/>
      <c r="K148" s="373"/>
      <c r="L148" s="331"/>
      <c r="M148" s="332"/>
      <c r="N148" s="333"/>
      <c r="O148" s="333"/>
      <c r="P148" s="334"/>
      <c r="Q148" s="275">
        <f t="shared" si="16"/>
        <v>0</v>
      </c>
      <c r="R148" s="286">
        <f t="shared" si="17"/>
        <v>0</v>
      </c>
      <c r="U148" s="294">
        <f t="shared" si="18"/>
        <v>0</v>
      </c>
    </row>
    <row r="149" spans="1:21" s="25" customFormat="1" ht="20.100000000000001" customHeight="1" x14ac:dyDescent="0.25">
      <c r="A149" s="335">
        <v>294817</v>
      </c>
      <c r="B149" s="360" t="s">
        <v>71</v>
      </c>
      <c r="C149" s="85">
        <f>PV!C149</f>
        <v>0.6</v>
      </c>
      <c r="D149" s="44" t="str">
        <f t="shared" si="19"/>
        <v>h</v>
      </c>
      <c r="E149" s="43">
        <f>IF(D149="h",PV!E149,IF(D149="M",PV!G149,PV!I149))</f>
        <v>14.95</v>
      </c>
      <c r="F149" s="291">
        <v>7</v>
      </c>
      <c r="G149" s="291">
        <v>4</v>
      </c>
      <c r="H149" s="291"/>
      <c r="I149" s="291"/>
      <c r="J149" s="291"/>
      <c r="K149" s="373"/>
      <c r="L149" s="331"/>
      <c r="M149" s="332"/>
      <c r="N149" s="333"/>
      <c r="O149" s="333"/>
      <c r="P149" s="334"/>
      <c r="Q149" s="275">
        <f t="shared" si="16"/>
        <v>0</v>
      </c>
      <c r="R149" s="286">
        <f t="shared" si="17"/>
        <v>0</v>
      </c>
      <c r="U149" s="294">
        <f t="shared" si="18"/>
        <v>0</v>
      </c>
    </row>
    <row r="150" spans="1:21" s="25" customFormat="1" ht="20.100000000000001" customHeight="1" x14ac:dyDescent="0.25">
      <c r="A150" s="335">
        <v>441991</v>
      </c>
      <c r="B150" s="360" t="s">
        <v>72</v>
      </c>
      <c r="C150" s="85">
        <f>PV!C150</f>
        <v>0.16</v>
      </c>
      <c r="D150" s="44" t="str">
        <f t="shared" si="19"/>
        <v>h</v>
      </c>
      <c r="E150" s="43">
        <f>IF(D150="h",PV!E150,IF(D150="M",PV!G150,PV!I150))</f>
        <v>4.75</v>
      </c>
      <c r="F150" s="291">
        <v>6</v>
      </c>
      <c r="G150" s="291">
        <v>8</v>
      </c>
      <c r="H150" s="291"/>
      <c r="I150" s="291"/>
      <c r="J150" s="291"/>
      <c r="K150" s="373"/>
      <c r="L150" s="331"/>
      <c r="M150" s="332"/>
      <c r="N150" s="333"/>
      <c r="O150" s="333"/>
      <c r="P150" s="334"/>
      <c r="Q150" s="275">
        <f t="shared" si="16"/>
        <v>0</v>
      </c>
      <c r="R150" s="286">
        <f t="shared" si="17"/>
        <v>0</v>
      </c>
      <c r="U150" s="294">
        <f t="shared" si="18"/>
        <v>0</v>
      </c>
    </row>
    <row r="151" spans="1:21" s="25" customFormat="1" ht="20.100000000000001" customHeight="1" x14ac:dyDescent="0.25">
      <c r="A151" s="335">
        <v>65899</v>
      </c>
      <c r="B151" s="360" t="s">
        <v>73</v>
      </c>
      <c r="C151" s="85">
        <f>PV!C151</f>
        <v>0.32</v>
      </c>
      <c r="D151" s="44" t="str">
        <f t="shared" si="19"/>
        <v>h</v>
      </c>
      <c r="E151" s="43">
        <f>IF(D151="h",PV!E151,IF(D151="M",PV!G151,PV!I151))</f>
        <v>9.75</v>
      </c>
      <c r="F151" s="291">
        <v>10</v>
      </c>
      <c r="G151" s="291">
        <v>20</v>
      </c>
      <c r="H151" s="291"/>
      <c r="I151" s="291"/>
      <c r="J151" s="291"/>
      <c r="K151" s="373"/>
      <c r="L151" s="331"/>
      <c r="M151" s="332"/>
      <c r="N151" s="333"/>
      <c r="O151" s="333"/>
      <c r="P151" s="334"/>
      <c r="Q151" s="275">
        <f t="shared" si="16"/>
        <v>0</v>
      </c>
      <c r="R151" s="286">
        <f t="shared" si="17"/>
        <v>0</v>
      </c>
      <c r="U151" s="294">
        <f t="shared" si="18"/>
        <v>0</v>
      </c>
    </row>
    <row r="152" spans="1:21" s="25" customFormat="1" ht="20.100000000000001" customHeight="1" x14ac:dyDescent="0.25">
      <c r="A152" s="335">
        <v>65925</v>
      </c>
      <c r="B152" s="360" t="s">
        <v>75</v>
      </c>
      <c r="C152" s="85">
        <f>PV!C152</f>
        <v>0.72</v>
      </c>
      <c r="D152" s="44" t="str">
        <f t="shared" si="19"/>
        <v>h</v>
      </c>
      <c r="E152" s="43">
        <f>IF(D152="h",PV!E152,IF(D152="M",PV!G152,PV!I152))</f>
        <v>14.95</v>
      </c>
      <c r="F152" s="291">
        <v>2</v>
      </c>
      <c r="G152" s="291">
        <v>1</v>
      </c>
      <c r="H152" s="291"/>
      <c r="I152" s="291"/>
      <c r="J152" s="291"/>
      <c r="K152" s="373"/>
      <c r="L152" s="331"/>
      <c r="M152" s="332"/>
      <c r="N152" s="333"/>
      <c r="O152" s="333"/>
      <c r="P152" s="334"/>
      <c r="Q152" s="275">
        <f t="shared" si="16"/>
        <v>0</v>
      </c>
      <c r="R152" s="286">
        <f t="shared" si="17"/>
        <v>0</v>
      </c>
      <c r="U152" s="294">
        <f t="shared" si="18"/>
        <v>0</v>
      </c>
    </row>
    <row r="153" spans="1:21" s="25" customFormat="1" ht="20.100000000000001" customHeight="1" x14ac:dyDescent="0.25">
      <c r="A153" s="335"/>
      <c r="B153" s="360"/>
      <c r="C153" s="85"/>
      <c r="D153" s="44"/>
      <c r="E153" s="43"/>
      <c r="F153" s="291"/>
      <c r="G153" s="291"/>
      <c r="H153" s="291"/>
      <c r="I153" s="291"/>
      <c r="J153" s="291"/>
      <c r="K153" s="45"/>
      <c r="L153" s="331"/>
      <c r="M153" s="332"/>
      <c r="N153" s="333"/>
      <c r="O153" s="333"/>
      <c r="P153" s="334"/>
      <c r="Q153" s="278"/>
      <c r="R153" s="287">
        <f>SUM(R122:R152)</f>
        <v>0</v>
      </c>
      <c r="U153" s="294">
        <f t="shared" si="18"/>
        <v>0</v>
      </c>
    </row>
    <row r="154" spans="1:21" ht="11.25" customHeight="1" x14ac:dyDescent="0.2">
      <c r="A154" s="416"/>
      <c r="B154" s="416"/>
      <c r="C154" s="33"/>
      <c r="D154" s="47"/>
      <c r="E154" s="46"/>
      <c r="F154" s="292"/>
    </row>
    <row r="155" spans="1:21" ht="15" customHeight="1" x14ac:dyDescent="0.2">
      <c r="A155" s="416"/>
      <c r="B155" s="416"/>
      <c r="C155" s="33"/>
      <c r="D155" s="47"/>
      <c r="E155" s="46"/>
      <c r="F155" s="292"/>
    </row>
    <row r="156" spans="1:21" ht="15.75" customHeight="1" x14ac:dyDescent="0.2">
      <c r="A156" s="416"/>
      <c r="B156" s="416"/>
      <c r="C156" s="33"/>
      <c r="D156" s="47"/>
      <c r="E156" s="46"/>
      <c r="F156" s="292"/>
    </row>
    <row r="157" spans="1:21" ht="13.5" customHeight="1" x14ac:dyDescent="0.2">
      <c r="A157" s="416"/>
      <c r="B157" s="416"/>
      <c r="C157" s="33"/>
      <c r="D157" s="47"/>
      <c r="E157" s="46"/>
      <c r="F157" s="292"/>
    </row>
    <row r="158" spans="1:21" ht="15" customHeight="1" x14ac:dyDescent="0.2">
      <c r="A158" s="416"/>
      <c r="B158" s="416"/>
      <c r="C158" s="33"/>
      <c r="D158" s="47"/>
      <c r="E158" s="46"/>
      <c r="F158" s="292"/>
    </row>
    <row r="159" spans="1:21" ht="19.5" customHeight="1" x14ac:dyDescent="0.2">
      <c r="A159" s="375"/>
      <c r="B159" s="361"/>
      <c r="C159" s="33"/>
      <c r="D159" s="47"/>
      <c r="E159" s="46"/>
      <c r="F159" s="292"/>
    </row>
    <row r="160" spans="1:21" ht="21.75" customHeight="1" x14ac:dyDescent="0.2">
      <c r="A160" s="375"/>
      <c r="B160" s="361"/>
      <c r="C160" s="33"/>
      <c r="D160" s="47"/>
      <c r="E160" s="46"/>
      <c r="F160" s="292"/>
    </row>
    <row r="161" spans="1:18" ht="19.5" customHeight="1" x14ac:dyDescent="0.2">
      <c r="A161" s="375"/>
      <c r="B161" s="361"/>
      <c r="C161" s="33"/>
      <c r="D161" s="47"/>
      <c r="E161" s="46"/>
      <c r="F161" s="292"/>
    </row>
    <row r="162" spans="1:18" ht="19.5" x14ac:dyDescent="0.2">
      <c r="A162" s="375"/>
      <c r="B162" s="361"/>
      <c r="C162" s="33"/>
      <c r="D162" s="47"/>
      <c r="E162" s="46"/>
      <c r="F162" s="292"/>
    </row>
    <row r="163" spans="1:18" ht="11.25" customHeight="1" x14ac:dyDescent="0.2">
      <c r="A163" s="375"/>
      <c r="B163" s="362"/>
      <c r="C163" s="33"/>
      <c r="D163" s="33"/>
      <c r="E163" s="33"/>
      <c r="F163" s="292"/>
      <c r="Q163" s="49"/>
      <c r="R163" s="50"/>
    </row>
    <row r="164" spans="1:18" ht="15.75" customHeight="1" x14ac:dyDescent="0.2">
      <c r="A164" s="375"/>
      <c r="B164" s="362"/>
      <c r="C164" s="33"/>
      <c r="D164" s="33"/>
      <c r="E164" s="33"/>
      <c r="F164" s="292"/>
    </row>
  </sheetData>
  <sheetProtection password="C71F" sheet="1" objects="1" scenarios="1" formatCells="0"/>
  <mergeCells count="20">
    <mergeCell ref="A154:B154"/>
    <mergeCell ref="A155:B155"/>
    <mergeCell ref="A156:B156"/>
    <mergeCell ref="A157:B157"/>
    <mergeCell ref="A158:B158"/>
    <mergeCell ref="L1:P1"/>
    <mergeCell ref="B2:B3"/>
    <mergeCell ref="C2:C3"/>
    <mergeCell ref="D2:D3"/>
    <mergeCell ref="E2:E3"/>
    <mergeCell ref="F2:F3"/>
    <mergeCell ref="G2:G3"/>
    <mergeCell ref="K2:K3"/>
    <mergeCell ref="L2:L3"/>
    <mergeCell ref="Q2:Q3"/>
    <mergeCell ref="R2:R3"/>
    <mergeCell ref="M2:M3"/>
    <mergeCell ref="N2:N3"/>
    <mergeCell ref="O2:O3"/>
    <mergeCell ref="P2:P3"/>
  </mergeCells>
  <conditionalFormatting sqref="L4:P153">
    <cfRule type="cellIs" dxfId="3" priority="1" operator="lessThan">
      <formula>1</formula>
    </cfRule>
  </conditionalFormatting>
  <printOptions horizontalCentered="1"/>
  <pageMargins left="0" right="0" top="0.39370078740157499" bottom="0.59055118110236204" header="0.15748031496063" footer="0.15748031496063"/>
  <pageSetup paperSize="9" scale="70" fitToHeight="5" orientation="portrait" r:id="rId1"/>
  <headerFooter alignWithMargins="0">
    <oddFooter>&amp;Lécole boulangerie&amp;CPage &amp;P</oddFooter>
  </headerFooter>
  <rowBreaks count="2" manualBreakCount="2">
    <brk id="57" max="15" man="1"/>
    <brk id="112" max="15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J182"/>
  <sheetViews>
    <sheetView showGridLines="0" zoomScaleNormal="100" workbookViewId="0">
      <selection activeCell="A4" sqref="A4:E4"/>
    </sheetView>
  </sheetViews>
  <sheetFormatPr defaultColWidth="11.42578125" defaultRowHeight="12.75" x14ac:dyDescent="0.2"/>
  <cols>
    <col min="1" max="1" width="22.28515625" style="97" customWidth="1"/>
    <col min="2" max="2" width="12" style="97" bestFit="1" customWidth="1"/>
    <col min="3" max="3" width="4" style="97" bestFit="1" customWidth="1"/>
    <col min="4" max="4" width="3.85546875" style="97" customWidth="1"/>
    <col min="5" max="5" width="26.5703125" style="97" bestFit="1" customWidth="1"/>
    <col min="6" max="6" width="8.28515625" style="134" customWidth="1"/>
    <col min="7" max="7" width="10.42578125" style="135" customWidth="1"/>
    <col min="8" max="8" width="7" style="97" customWidth="1"/>
    <col min="9" max="9" width="4.28515625" style="97" customWidth="1"/>
    <col min="10" max="10" width="11.42578125" style="179"/>
    <col min="11" max="16384" width="11.42578125" style="97"/>
  </cols>
  <sheetData>
    <row r="1" spans="1:7" ht="15.75" x14ac:dyDescent="0.25">
      <c r="A1" s="51" t="str">
        <f>thursday!G1</f>
        <v>Thursday</v>
      </c>
      <c r="B1" s="52">
        <f>thursday!K1</f>
        <v>42460</v>
      </c>
    </row>
    <row r="2" spans="1:7" ht="18" x14ac:dyDescent="0.25">
      <c r="A2" s="177" t="s">
        <v>86</v>
      </c>
    </row>
    <row r="3" spans="1:7" ht="6" customHeight="1" x14ac:dyDescent="0.25">
      <c r="A3" s="136"/>
    </row>
    <row r="4" spans="1:7" ht="15.75" x14ac:dyDescent="0.25">
      <c r="A4" s="418" t="s">
        <v>0</v>
      </c>
      <c r="B4" s="418"/>
      <c r="C4" s="418"/>
      <c r="D4" s="418"/>
      <c r="E4" s="418"/>
      <c r="F4" s="53">
        <f>thursday!R24</f>
        <v>0</v>
      </c>
      <c r="G4" s="54" t="s">
        <v>87</v>
      </c>
    </row>
    <row r="5" spans="1:7" ht="13.5" customHeight="1" x14ac:dyDescent="0.25">
      <c r="A5" s="55" t="s">
        <v>88</v>
      </c>
      <c r="B5" s="137">
        <f>thursday!F1</f>
        <v>50</v>
      </c>
      <c r="C5" s="56"/>
      <c r="D5" s="57"/>
    </row>
    <row r="6" spans="1:7" ht="15.75" x14ac:dyDescent="0.25">
      <c r="A6" s="138" t="s">
        <v>89</v>
      </c>
      <c r="B6" s="139">
        <f>ROUNDDOWN(A7/B5,0)</f>
        <v>0</v>
      </c>
      <c r="C6" s="56"/>
      <c r="D6" s="57"/>
      <c r="E6" s="58" t="s">
        <v>90</v>
      </c>
    </row>
    <row r="7" spans="1:7" x14ac:dyDescent="0.2">
      <c r="A7" s="289">
        <f>B13*farine</f>
        <v>0</v>
      </c>
      <c r="B7" s="417" t="s">
        <v>91</v>
      </c>
      <c r="C7" s="417"/>
      <c r="D7" s="298"/>
      <c r="F7" s="417" t="s">
        <v>91</v>
      </c>
      <c r="G7" s="417"/>
    </row>
    <row r="8" spans="1:7" x14ac:dyDescent="0.2">
      <c r="A8" s="2" t="s">
        <v>2</v>
      </c>
      <c r="B8" s="140">
        <f>B5</f>
        <v>50</v>
      </c>
      <c r="C8" s="141" t="s">
        <v>87</v>
      </c>
      <c r="D8" s="96"/>
      <c r="E8" s="2" t="s">
        <v>2</v>
      </c>
      <c r="F8" s="72">
        <f>ROUNDUP(A7-(B6*B5),0)</f>
        <v>0</v>
      </c>
      <c r="G8" s="141" t="s">
        <v>87</v>
      </c>
    </row>
    <row r="9" spans="1:7" x14ac:dyDescent="0.2">
      <c r="A9" s="5" t="s">
        <v>3</v>
      </c>
      <c r="B9" s="142">
        <f>recipe!C5*P.Thursday!B8</f>
        <v>30.5</v>
      </c>
      <c r="C9" s="143" t="s">
        <v>92</v>
      </c>
      <c r="D9" s="131"/>
      <c r="E9" s="5" t="s">
        <v>3</v>
      </c>
      <c r="F9" s="144">
        <f>recipe!C5*P.Thursday!F8</f>
        <v>0</v>
      </c>
      <c r="G9" s="143" t="s">
        <v>92</v>
      </c>
    </row>
    <row r="10" spans="1:7" x14ac:dyDescent="0.2">
      <c r="A10" s="5" t="s">
        <v>4</v>
      </c>
      <c r="B10" s="145">
        <f>recipe!C6*P.Thursday!B8</f>
        <v>1</v>
      </c>
      <c r="C10" s="146" t="s">
        <v>87</v>
      </c>
      <c r="D10" s="131"/>
      <c r="E10" s="5" t="s">
        <v>4</v>
      </c>
      <c r="F10" s="142">
        <f>ROUND(recipe!C6*P.Thursday!F9,2)*1000</f>
        <v>0</v>
      </c>
      <c r="G10" s="146" t="s">
        <v>93</v>
      </c>
    </row>
    <row r="11" spans="1:7" x14ac:dyDescent="0.2">
      <c r="A11" s="5" t="s">
        <v>5</v>
      </c>
      <c r="B11" s="145">
        <f>recipe!C7*P.Thursday!B8</f>
        <v>0.5</v>
      </c>
      <c r="C11" s="146" t="s">
        <v>87</v>
      </c>
      <c r="D11" s="131"/>
      <c r="E11" s="5" t="s">
        <v>5</v>
      </c>
      <c r="F11" s="142">
        <f>ROUND(recipe!C7*P.Thursday!F8,2)*1000</f>
        <v>0</v>
      </c>
      <c r="G11" s="146" t="s">
        <v>93</v>
      </c>
    </row>
    <row r="12" spans="1:7" x14ac:dyDescent="0.2">
      <c r="A12" s="5" t="s">
        <v>6</v>
      </c>
      <c r="B12" s="142">
        <f>(recipe!C8*P.Thursday!B8)*1000</f>
        <v>500</v>
      </c>
      <c r="C12" s="146" t="s">
        <v>94</v>
      </c>
      <c r="D12" s="131"/>
      <c r="E12" s="5" t="s">
        <v>6</v>
      </c>
      <c r="F12" s="142">
        <f>ROUND(recipe!C8*P.Thursday!F8,2)*1000</f>
        <v>0</v>
      </c>
      <c r="G12" s="146" t="s">
        <v>94</v>
      </c>
    </row>
    <row r="13" spans="1:7" hidden="1" x14ac:dyDescent="0.2">
      <c r="A13" s="147"/>
      <c r="B13" s="134">
        <f>F4/recipe!B9</f>
        <v>0</v>
      </c>
      <c r="C13" s="135"/>
      <c r="D13" s="96"/>
    </row>
    <row r="14" spans="1:7" x14ac:dyDescent="0.2">
      <c r="A14" s="59"/>
      <c r="B14" s="60"/>
      <c r="C14" s="61"/>
      <c r="D14" s="96"/>
    </row>
    <row r="15" spans="1:7" ht="15.75" x14ac:dyDescent="0.25">
      <c r="A15" s="240" t="s">
        <v>1</v>
      </c>
      <c r="B15" s="53">
        <f>thursday!R42</f>
        <v>0</v>
      </c>
      <c r="C15" s="54" t="s">
        <v>87</v>
      </c>
      <c r="D15" s="96"/>
      <c r="E15" s="176" t="s">
        <v>232</v>
      </c>
      <c r="F15" s="67">
        <f>thursday!K38</f>
        <v>0</v>
      </c>
      <c r="G15" s="54" t="s">
        <v>233</v>
      </c>
    </row>
    <row r="16" spans="1:7" x14ac:dyDescent="0.2">
      <c r="B16" s="417" t="s">
        <v>91</v>
      </c>
      <c r="C16" s="417"/>
      <c r="D16" s="96"/>
      <c r="F16" s="417" t="s">
        <v>91</v>
      </c>
      <c r="G16" s="417"/>
    </row>
    <row r="17" spans="1:7" x14ac:dyDescent="0.2">
      <c r="A17" s="2" t="s">
        <v>2</v>
      </c>
      <c r="B17" s="149">
        <f>ROUND(ftf*P.Thursday!B23,0)</f>
        <v>0</v>
      </c>
      <c r="C17" s="141" t="s">
        <v>87</v>
      </c>
      <c r="D17" s="96"/>
      <c r="E17" s="8" t="s">
        <v>234</v>
      </c>
      <c r="F17" s="250">
        <f>ROUND(F15*recipe!B136,1)</f>
        <v>0</v>
      </c>
      <c r="G17" s="70" t="s">
        <v>87</v>
      </c>
    </row>
    <row r="18" spans="1:7" x14ac:dyDescent="0.2">
      <c r="A18" s="5" t="s">
        <v>3</v>
      </c>
      <c r="B18" s="145">
        <f>ROUND(recipe!G5*P.Thursday!B17,1)</f>
        <v>0</v>
      </c>
      <c r="C18" s="143" t="s">
        <v>92</v>
      </c>
      <c r="D18" s="96"/>
      <c r="E18" s="62" t="s">
        <v>200</v>
      </c>
      <c r="F18" s="251">
        <f>ROUND(F15*recipe!B137,1)*1000</f>
        <v>0</v>
      </c>
      <c r="G18" s="163" t="s">
        <v>94</v>
      </c>
    </row>
    <row r="19" spans="1:7" x14ac:dyDescent="0.2">
      <c r="A19" s="5" t="s">
        <v>4</v>
      </c>
      <c r="B19" s="142">
        <f>ROUND(recipe!G6*P.Thursday!B17,2)*1000</f>
        <v>0</v>
      </c>
      <c r="C19" s="146" t="s">
        <v>94</v>
      </c>
      <c r="D19" s="96"/>
      <c r="F19" s="172"/>
      <c r="G19" s="148"/>
    </row>
    <row r="20" spans="1:7" x14ac:dyDescent="0.2">
      <c r="A20" s="5" t="s">
        <v>5</v>
      </c>
      <c r="B20" s="142">
        <f>ROUND(recipe!G7*P.Thursday!B17,2)*1000</f>
        <v>0</v>
      </c>
      <c r="C20" s="146" t="s">
        <v>94</v>
      </c>
      <c r="D20" s="96"/>
    </row>
    <row r="21" spans="1:7" x14ac:dyDescent="0.2">
      <c r="A21" s="5" t="s">
        <v>195</v>
      </c>
      <c r="B21" s="95">
        <f>ROUND(recipe!G8*P.Thursday!B17,1)</f>
        <v>0</v>
      </c>
      <c r="C21" s="150" t="s">
        <v>87</v>
      </c>
      <c r="D21" s="96"/>
    </row>
    <row r="22" spans="1:7" x14ac:dyDescent="0.2">
      <c r="A22" s="5"/>
      <c r="B22" s="151"/>
      <c r="C22" s="150"/>
      <c r="D22" s="96"/>
    </row>
    <row r="23" spans="1:7" hidden="1" x14ac:dyDescent="0.2">
      <c r="B23" s="134">
        <f>B15/recipe!F9</f>
        <v>0</v>
      </c>
      <c r="C23" s="148"/>
      <c r="D23" s="96"/>
    </row>
    <row r="24" spans="1:7" x14ac:dyDescent="0.2">
      <c r="A24" s="147"/>
      <c r="B24" s="134"/>
      <c r="C24" s="135"/>
      <c r="D24" s="96"/>
    </row>
    <row r="25" spans="1:7" ht="15.75" x14ac:dyDescent="0.25">
      <c r="A25" s="240" t="s">
        <v>159</v>
      </c>
      <c r="B25" s="53">
        <f>thursday!R121</f>
        <v>0</v>
      </c>
      <c r="C25" s="54" t="s">
        <v>87</v>
      </c>
      <c r="E25" s="176" t="s">
        <v>96</v>
      </c>
      <c r="F25" s="66">
        <f>thursday!R117+thursday!R119</f>
        <v>0</v>
      </c>
      <c r="G25" s="54" t="s">
        <v>87</v>
      </c>
    </row>
    <row r="26" spans="1:7" x14ac:dyDescent="0.2">
      <c r="B26" s="417" t="s">
        <v>91</v>
      </c>
      <c r="C26" s="417"/>
      <c r="F26" s="417" t="s">
        <v>91</v>
      </c>
      <c r="G26" s="417"/>
    </row>
    <row r="27" spans="1:7" x14ac:dyDescent="0.2">
      <c r="A27" s="2" t="s">
        <v>10</v>
      </c>
      <c r="B27" s="149">
        <f>ROUND(flr*P.Thursday!B36,1)</f>
        <v>0</v>
      </c>
      <c r="C27" s="141" t="s">
        <v>87</v>
      </c>
      <c r="E27" s="8" t="s">
        <v>224</v>
      </c>
      <c r="F27" s="252">
        <f>F25*recipe!F145/recipe!F147</f>
        <v>0</v>
      </c>
      <c r="G27" s="154" t="s">
        <v>87</v>
      </c>
    </row>
    <row r="28" spans="1:7" x14ac:dyDescent="0.2">
      <c r="A28" s="5" t="s">
        <v>3</v>
      </c>
      <c r="B28" s="145">
        <f>ROUND(recipe!G17*P.Thursday!B27,1)</f>
        <v>0</v>
      </c>
      <c r="C28" s="143" t="s">
        <v>87</v>
      </c>
      <c r="E28" s="62" t="s">
        <v>225</v>
      </c>
      <c r="F28" s="252">
        <f>F25*recipe!F146/recipe!F147</f>
        <v>0</v>
      </c>
      <c r="G28" s="100" t="s">
        <v>87</v>
      </c>
    </row>
    <row r="29" spans="1:7" x14ac:dyDescent="0.2">
      <c r="A29" s="5" t="s">
        <v>176</v>
      </c>
      <c r="B29" s="145">
        <f>ROUND(recipe!G18*P.Thursday!B27,1)</f>
        <v>0</v>
      </c>
      <c r="C29" s="143" t="s">
        <v>92</v>
      </c>
      <c r="E29" s="63"/>
      <c r="F29" s="97"/>
      <c r="G29" s="148"/>
    </row>
    <row r="30" spans="1:7" x14ac:dyDescent="0.2">
      <c r="A30" s="5" t="s">
        <v>12</v>
      </c>
      <c r="B30" s="145">
        <f>ROUND(recipe!G19*P.Thursday!B27,1)</f>
        <v>0</v>
      </c>
      <c r="C30" s="146" t="s">
        <v>94</v>
      </c>
    </row>
    <row r="31" spans="1:7" x14ac:dyDescent="0.2">
      <c r="A31" s="5" t="s">
        <v>4</v>
      </c>
      <c r="B31" s="142">
        <f>ROUND(recipe!G20*P.Thursday!B27,1)*1000</f>
        <v>0</v>
      </c>
      <c r="C31" s="146" t="s">
        <v>94</v>
      </c>
    </row>
    <row r="32" spans="1:7" x14ac:dyDescent="0.2">
      <c r="A32" s="5" t="s">
        <v>6</v>
      </c>
      <c r="B32" s="142">
        <f>ROUND(recipe!G21*P.Thursday!B27,2)*1000</f>
        <v>0</v>
      </c>
      <c r="C32" s="146" t="s">
        <v>94</v>
      </c>
    </row>
    <row r="33" spans="1:7" x14ac:dyDescent="0.2">
      <c r="A33" s="5" t="s">
        <v>5</v>
      </c>
      <c r="B33" s="142">
        <f>ROUND(recipe!G22*P.Thursday!B27,1)*1000</f>
        <v>0</v>
      </c>
      <c r="C33" s="146" t="s">
        <v>94</v>
      </c>
    </row>
    <row r="34" spans="1:7" x14ac:dyDescent="0.2">
      <c r="A34" s="5" t="s">
        <v>177</v>
      </c>
      <c r="B34" s="142">
        <f>ROUND(recipe!G23*P.Thursday!B27,2)*1000</f>
        <v>0</v>
      </c>
      <c r="C34" s="146" t="s">
        <v>94</v>
      </c>
      <c r="F34" s="97"/>
      <c r="G34" s="97"/>
    </row>
    <row r="35" spans="1:7" x14ac:dyDescent="0.2">
      <c r="A35" s="3" t="s">
        <v>16</v>
      </c>
      <c r="B35" s="153">
        <f>ROUND(recipe!G24*P.Thursday!B27,2)</f>
        <v>0</v>
      </c>
      <c r="C35" s="150" t="s">
        <v>87</v>
      </c>
      <c r="F35" s="97"/>
      <c r="G35" s="97"/>
    </row>
    <row r="36" spans="1:7" hidden="1" x14ac:dyDescent="0.2">
      <c r="B36" s="134">
        <f>B25/recipe!F25</f>
        <v>0</v>
      </c>
      <c r="C36" s="148"/>
      <c r="F36" s="166">
        <f>F25/recipe!F147</f>
        <v>0</v>
      </c>
      <c r="G36" s="97"/>
    </row>
    <row r="37" spans="1:7" x14ac:dyDescent="0.2">
      <c r="B37" s="134"/>
      <c r="C37" s="135"/>
      <c r="D37" s="101"/>
      <c r="F37" s="97"/>
      <c r="G37" s="97"/>
    </row>
    <row r="38" spans="1:7" ht="15.75" x14ac:dyDescent="0.25">
      <c r="A38" s="240" t="s">
        <v>7</v>
      </c>
      <c r="B38" s="53">
        <f>thursday!R58</f>
        <v>0</v>
      </c>
      <c r="C38" s="54" t="s">
        <v>87</v>
      </c>
      <c r="D38" s="57"/>
      <c r="E38" s="176" t="s">
        <v>229</v>
      </c>
      <c r="F38" s="67">
        <f>thursday!K57</f>
        <v>0</v>
      </c>
      <c r="G38" s="54" t="s">
        <v>235</v>
      </c>
    </row>
    <row r="39" spans="1:7" x14ac:dyDescent="0.2">
      <c r="B39" s="417" t="s">
        <v>91</v>
      </c>
      <c r="C39" s="417"/>
      <c r="D39" s="80"/>
      <c r="F39" s="417" t="s">
        <v>91</v>
      </c>
      <c r="G39" s="417"/>
    </row>
    <row r="40" spans="1:7" x14ac:dyDescent="0.2">
      <c r="A40" s="8" t="s">
        <v>9</v>
      </c>
      <c r="B40" s="267">
        <f>ROUNDUP(fcr*P.Thursday!B44,0)</f>
        <v>0</v>
      </c>
      <c r="C40" s="141" t="s">
        <v>87</v>
      </c>
      <c r="D40" s="101"/>
      <c r="E40" s="8" t="s">
        <v>199</v>
      </c>
      <c r="F40" s="266">
        <f>ROUND(F38*recipe!B128,1)</f>
        <v>0</v>
      </c>
      <c r="G40" s="70" t="s">
        <v>87</v>
      </c>
    </row>
    <row r="41" spans="1:7" x14ac:dyDescent="0.2">
      <c r="A41" s="9" t="s">
        <v>197</v>
      </c>
      <c r="B41" s="268">
        <f>ROUND(recipe!C17*P.Thursday!B40,1)</f>
        <v>0</v>
      </c>
      <c r="C41" s="143" t="s">
        <v>87</v>
      </c>
      <c r="D41" s="101"/>
      <c r="E41" s="62" t="s">
        <v>230</v>
      </c>
      <c r="F41" s="251">
        <f>ROUND(F38*recipe!B129,1)*1000</f>
        <v>0</v>
      </c>
      <c r="G41" s="163" t="s">
        <v>94</v>
      </c>
    </row>
    <row r="42" spans="1:7" x14ac:dyDescent="0.2">
      <c r="A42" s="9" t="s">
        <v>11</v>
      </c>
      <c r="B42" s="269">
        <f>ROUND(recipe!C18*P.Thursday!B40,1)</f>
        <v>0</v>
      </c>
      <c r="C42" s="143" t="s">
        <v>92</v>
      </c>
      <c r="D42" s="101"/>
      <c r="E42" s="62" t="s">
        <v>236</v>
      </c>
      <c r="F42" s="251">
        <f>ROUND(F38*recipe!B130,1)*1000</f>
        <v>0</v>
      </c>
      <c r="G42" s="163" t="s">
        <v>94</v>
      </c>
    </row>
    <row r="43" spans="1:7" x14ac:dyDescent="0.2">
      <c r="A43" s="9" t="s">
        <v>5</v>
      </c>
      <c r="B43" s="270">
        <f>ROUND(recipe!C19*P.Thursday!B40,2)*1000</f>
        <v>0</v>
      </c>
      <c r="C43" s="146" t="s">
        <v>94</v>
      </c>
      <c r="D43" s="101"/>
      <c r="F43" s="97"/>
      <c r="G43" s="97"/>
    </row>
    <row r="44" spans="1:7" hidden="1" x14ac:dyDescent="0.2">
      <c r="B44" s="134">
        <f>B38/recipe!B25</f>
        <v>0</v>
      </c>
      <c r="C44" s="135"/>
      <c r="D44" s="101"/>
      <c r="G44" s="148"/>
    </row>
    <row r="45" spans="1:7" x14ac:dyDescent="0.2">
      <c r="B45" s="134"/>
      <c r="C45" s="135"/>
      <c r="D45" s="101"/>
      <c r="G45" s="148"/>
    </row>
    <row r="46" spans="1:7" ht="15.75" x14ac:dyDescent="0.25">
      <c r="A46" s="176" t="s">
        <v>226</v>
      </c>
      <c r="B46" s="67">
        <f>thursday!K54</f>
        <v>0</v>
      </c>
      <c r="C46" s="54" t="s">
        <v>235</v>
      </c>
      <c r="D46" s="132"/>
      <c r="E46" s="227"/>
      <c r="F46" s="228"/>
      <c r="G46" s="229"/>
    </row>
    <row r="47" spans="1:7" x14ac:dyDescent="0.2">
      <c r="B47" s="417" t="s">
        <v>91</v>
      </c>
      <c r="C47" s="417"/>
      <c r="D47" s="80"/>
      <c r="E47" s="230"/>
      <c r="F47" s="419"/>
      <c r="G47" s="419"/>
    </row>
    <row r="48" spans="1:7" x14ac:dyDescent="0.2">
      <c r="A48" s="8" t="s">
        <v>199</v>
      </c>
      <c r="B48" s="250">
        <f>ROUND(B46*recipe!F119,1)</f>
        <v>0</v>
      </c>
      <c r="C48" s="70" t="s">
        <v>87</v>
      </c>
      <c r="D48" s="101"/>
      <c r="E48" s="231"/>
      <c r="F48" s="232"/>
      <c r="G48" s="239"/>
    </row>
    <row r="49" spans="1:8" x14ac:dyDescent="0.2">
      <c r="A49" s="62" t="s">
        <v>231</v>
      </c>
      <c r="B49" s="261">
        <f>ROUND(B46*recipe!F120,2)*1000</f>
        <v>0</v>
      </c>
      <c r="C49" s="163" t="s">
        <v>94</v>
      </c>
      <c r="D49" s="101"/>
      <c r="E49" s="231"/>
      <c r="F49" s="232"/>
      <c r="G49" s="239"/>
    </row>
    <row r="50" spans="1:8" hidden="1" x14ac:dyDescent="0.2">
      <c r="B50" s="134">
        <f>B46/recipe!F121</f>
        <v>0</v>
      </c>
      <c r="C50" s="135"/>
      <c r="D50" s="101"/>
      <c r="E50" s="230"/>
      <c r="F50" s="237"/>
      <c r="G50" s="234"/>
    </row>
    <row r="51" spans="1:8" ht="4.5" customHeight="1" x14ac:dyDescent="0.2">
      <c r="B51" s="134"/>
      <c r="C51" s="135"/>
      <c r="G51" s="160"/>
    </row>
    <row r="52" spans="1:8" ht="15.75" x14ac:dyDescent="0.25">
      <c r="A52" s="176" t="s">
        <v>227</v>
      </c>
      <c r="B52" s="67">
        <f>thursday!K56</f>
        <v>0</v>
      </c>
      <c r="C52" s="54" t="s">
        <v>235</v>
      </c>
      <c r="D52" s="132"/>
      <c r="E52" s="176" t="s">
        <v>228</v>
      </c>
      <c r="F52" s="67">
        <f>thursday!K52</f>
        <v>0</v>
      </c>
      <c r="G52" s="54" t="s">
        <v>235</v>
      </c>
    </row>
    <row r="53" spans="1:8" x14ac:dyDescent="0.2">
      <c r="B53" s="417" t="s">
        <v>91</v>
      </c>
      <c r="C53" s="417"/>
      <c r="D53" s="80"/>
      <c r="F53" s="417" t="s">
        <v>91</v>
      </c>
      <c r="G53" s="417"/>
    </row>
    <row r="54" spans="1:8" x14ac:dyDescent="0.2">
      <c r="A54" s="8" t="s">
        <v>199</v>
      </c>
      <c r="B54" s="250">
        <f>ROUND(B52*recipe!B119,1)</f>
        <v>0</v>
      </c>
      <c r="C54" s="70" t="s">
        <v>87</v>
      </c>
      <c r="D54" s="101"/>
      <c r="E54" s="8" t="s">
        <v>199</v>
      </c>
      <c r="F54" s="266">
        <f>ROUND(F52*recipe!F128,1)</f>
        <v>0</v>
      </c>
      <c r="G54" s="70" t="s">
        <v>87</v>
      </c>
    </row>
    <row r="55" spans="1:8" x14ac:dyDescent="0.2">
      <c r="A55" s="62" t="s">
        <v>230</v>
      </c>
      <c r="B55" s="265">
        <f>ROUND(B52*recipe!B120,2)*1000</f>
        <v>0</v>
      </c>
      <c r="C55" s="163" t="s">
        <v>94</v>
      </c>
      <c r="D55" s="101"/>
      <c r="E55" s="62" t="s">
        <v>22</v>
      </c>
      <c r="F55" s="261">
        <f>ROUND(F52*recipe!F129,2)*1000</f>
        <v>0</v>
      </c>
      <c r="G55" s="163" t="s">
        <v>94</v>
      </c>
    </row>
    <row r="56" spans="1:8" hidden="1" x14ac:dyDescent="0.2">
      <c r="B56" s="134">
        <f>B52/recipe!B121</f>
        <v>0</v>
      </c>
      <c r="C56" s="135"/>
      <c r="D56" s="101"/>
      <c r="F56" s="134">
        <f>F52/recipe!F130</f>
        <v>0</v>
      </c>
      <c r="G56" s="148"/>
    </row>
    <row r="57" spans="1:8" ht="4.5" customHeight="1" x14ac:dyDescent="0.2">
      <c r="B57" s="134"/>
      <c r="C57" s="135"/>
      <c r="G57" s="160"/>
    </row>
    <row r="58" spans="1:8" ht="15.75" x14ac:dyDescent="0.25">
      <c r="D58" s="132"/>
      <c r="F58" s="97"/>
      <c r="G58" s="97"/>
    </row>
    <row r="59" spans="1:8" ht="15.75" x14ac:dyDescent="0.25">
      <c r="A59" s="176" t="s">
        <v>21</v>
      </c>
      <c r="B59" s="53">
        <f>thursday!R74</f>
        <v>0</v>
      </c>
      <c r="C59" s="54" t="s">
        <v>87</v>
      </c>
      <c r="D59" s="101"/>
      <c r="E59" s="176" t="s">
        <v>17</v>
      </c>
      <c r="F59" s="53">
        <f>thursday!R44</f>
        <v>0</v>
      </c>
      <c r="G59" s="54" t="s">
        <v>87</v>
      </c>
    </row>
    <row r="60" spans="1:8" x14ac:dyDescent="0.2">
      <c r="B60" s="417" t="s">
        <v>91</v>
      </c>
      <c r="C60" s="417"/>
      <c r="D60" s="101"/>
      <c r="F60" s="417" t="s">
        <v>91</v>
      </c>
      <c r="G60" s="417"/>
    </row>
    <row r="61" spans="1:8" x14ac:dyDescent="0.2">
      <c r="A61" s="2" t="s">
        <v>10</v>
      </c>
      <c r="B61" s="69">
        <f>ROUND(B68*fvr,1)</f>
        <v>0</v>
      </c>
      <c r="C61" s="70" t="s">
        <v>87</v>
      </c>
      <c r="E61" s="2" t="s">
        <v>10</v>
      </c>
      <c r="F61" s="149">
        <f>ROUND(fbr*P.Thursday!F68,1)</f>
        <v>0</v>
      </c>
      <c r="G61" s="70" t="s">
        <v>87</v>
      </c>
    </row>
    <row r="62" spans="1:8" x14ac:dyDescent="0.2">
      <c r="A62" s="5" t="s">
        <v>3</v>
      </c>
      <c r="B62" s="69">
        <f>ROUND(B68*recipe!B80,1)</f>
        <v>0</v>
      </c>
      <c r="C62" s="146" t="s">
        <v>92</v>
      </c>
      <c r="E62" s="5" t="s">
        <v>3</v>
      </c>
      <c r="F62" s="145">
        <f>ROUND(recipe!C56*P.Thursday!F61,1)</f>
        <v>0</v>
      </c>
      <c r="G62" s="146" t="s">
        <v>92</v>
      </c>
      <c r="H62" s="115"/>
    </row>
    <row r="63" spans="1:8" x14ac:dyDescent="0.2">
      <c r="A63" s="5" t="s">
        <v>4</v>
      </c>
      <c r="B63" s="72">
        <f>ROUND(B68*recipe!B81,2)*1000</f>
        <v>0</v>
      </c>
      <c r="C63" s="146" t="s">
        <v>94</v>
      </c>
      <c r="E63" s="5" t="s">
        <v>5</v>
      </c>
      <c r="F63" s="142">
        <f>ROUND(recipe!C57*P.Thursday!F61,2)*1000</f>
        <v>0</v>
      </c>
      <c r="G63" s="146" t="s">
        <v>94</v>
      </c>
      <c r="H63" s="115"/>
    </row>
    <row r="64" spans="1:8" x14ac:dyDescent="0.2">
      <c r="A64" s="5" t="s">
        <v>5</v>
      </c>
      <c r="B64" s="72">
        <f>ROUND(B68*recipe!B82,2)*1000</f>
        <v>0</v>
      </c>
      <c r="C64" s="146" t="s">
        <v>94</v>
      </c>
      <c r="D64" s="115"/>
      <c r="E64" s="5" t="s">
        <v>196</v>
      </c>
      <c r="F64" s="142">
        <f>ROUND(recipe!C58*P.Thursday!F61,2)*1000</f>
        <v>0</v>
      </c>
      <c r="G64" s="146" t="s">
        <v>94</v>
      </c>
    </row>
    <row r="65" spans="1:7" x14ac:dyDescent="0.2">
      <c r="A65" s="5" t="s">
        <v>6</v>
      </c>
      <c r="B65" s="72">
        <f>ROUND(B68*recipe!B83,2)*1000</f>
        <v>0</v>
      </c>
      <c r="C65" s="146" t="s">
        <v>94</v>
      </c>
      <c r="E65" s="5" t="s">
        <v>133</v>
      </c>
      <c r="F65" s="142">
        <f>ROUND(recipe!C58*P.Thursday!F62,1)*1000</f>
        <v>0</v>
      </c>
      <c r="G65" s="146" t="s">
        <v>87</v>
      </c>
    </row>
    <row r="66" spans="1:7" x14ac:dyDescent="0.2">
      <c r="A66" s="5" t="s">
        <v>12</v>
      </c>
      <c r="B66" s="69">
        <f>ROUND(B68*recipe!B84,1)</f>
        <v>0</v>
      </c>
      <c r="C66" s="146" t="s">
        <v>87</v>
      </c>
      <c r="E66" s="3" t="s">
        <v>4</v>
      </c>
      <c r="F66" s="142">
        <f>ROUND(recipe!C60*P.Thursday!F61,2)*1000</f>
        <v>0</v>
      </c>
      <c r="G66" s="100" t="s">
        <v>94</v>
      </c>
    </row>
    <row r="67" spans="1:7" x14ac:dyDescent="0.2">
      <c r="A67" s="5" t="s">
        <v>205</v>
      </c>
      <c r="B67" s="69">
        <f>ROUND(B68*recipe!B85,1)</f>
        <v>0</v>
      </c>
      <c r="C67" s="146" t="s">
        <v>87</v>
      </c>
      <c r="F67" s="97"/>
    </row>
    <row r="68" spans="1:7" hidden="1" x14ac:dyDescent="0.2">
      <c r="A68" s="59"/>
      <c r="B68" s="60">
        <f>B59/recipe!B86</f>
        <v>0</v>
      </c>
      <c r="C68" s="135"/>
      <c r="D68" s="101"/>
      <c r="E68" s="231"/>
      <c r="F68" s="134">
        <f>F59/recipe!B61</f>
        <v>0</v>
      </c>
      <c r="G68" s="238"/>
    </row>
    <row r="69" spans="1:7" x14ac:dyDescent="0.2">
      <c r="A69" s="230"/>
      <c r="B69" s="237"/>
      <c r="C69" s="233"/>
      <c r="D69" s="101"/>
      <c r="E69" s="231"/>
      <c r="F69" s="235"/>
      <c r="G69" s="238"/>
    </row>
    <row r="70" spans="1:7" ht="15.75" x14ac:dyDescent="0.25">
      <c r="A70" s="176" t="s">
        <v>169</v>
      </c>
      <c r="B70" s="67">
        <f>thursday!R113</f>
        <v>0</v>
      </c>
      <c r="C70" s="54" t="s">
        <v>87</v>
      </c>
      <c r="E70" s="176" t="s">
        <v>211</v>
      </c>
      <c r="F70" s="64">
        <f>thursday!R84</f>
        <v>0</v>
      </c>
      <c r="G70" s="54" t="s">
        <v>87</v>
      </c>
    </row>
    <row r="71" spans="1:7" x14ac:dyDescent="0.2">
      <c r="B71" s="417" t="s">
        <v>91</v>
      </c>
      <c r="C71" s="417"/>
      <c r="F71" s="417" t="s">
        <v>91</v>
      </c>
      <c r="G71" s="417"/>
    </row>
    <row r="72" spans="1:7" x14ac:dyDescent="0.2">
      <c r="A72" s="8" t="s">
        <v>10</v>
      </c>
      <c r="B72" s="250">
        <f>ROUND(prnr*P.Thursday!B76,1)</f>
        <v>0</v>
      </c>
      <c r="C72" s="154" t="s">
        <v>87</v>
      </c>
      <c r="E72" s="2" t="s">
        <v>284</v>
      </c>
      <c r="F72" s="164">
        <f>ROUND(fpbr*P.Thursday!F76,1)</f>
        <v>0</v>
      </c>
      <c r="G72" s="154" t="s">
        <v>87</v>
      </c>
    </row>
    <row r="73" spans="1:7" x14ac:dyDescent="0.2">
      <c r="A73" s="9" t="s">
        <v>3</v>
      </c>
      <c r="B73" s="250">
        <f>ROUND(B72*recipe!G137,1)</f>
        <v>0</v>
      </c>
      <c r="C73" s="155" t="s">
        <v>87</v>
      </c>
      <c r="E73" s="5" t="s">
        <v>246</v>
      </c>
      <c r="F73" s="158">
        <f>ROUND(recipe!G33*P.Thursday!F72,1)</f>
        <v>0</v>
      </c>
      <c r="G73" s="155" t="s">
        <v>87</v>
      </c>
    </row>
    <row r="74" spans="1:7" x14ac:dyDescent="0.2">
      <c r="A74" s="62" t="s">
        <v>4</v>
      </c>
      <c r="B74" s="251">
        <f>ROUND(B72*recipe!G138,2)*1000</f>
        <v>0</v>
      </c>
      <c r="C74" s="100" t="s">
        <v>94</v>
      </c>
      <c r="E74" s="5" t="s">
        <v>3</v>
      </c>
      <c r="F74" s="158">
        <f>ROUND(recipe!G34*P.Thursday!F72,1)</f>
        <v>0</v>
      </c>
      <c r="G74" s="155" t="s">
        <v>92</v>
      </c>
    </row>
    <row r="75" spans="1:7" x14ac:dyDescent="0.2">
      <c r="A75" s="249" t="s">
        <v>5</v>
      </c>
      <c r="B75" s="251">
        <f>ROUND(B72*recipe!G139,2)*1000</f>
        <v>0</v>
      </c>
      <c r="C75" s="100" t="s">
        <v>94</v>
      </c>
      <c r="E75" s="5" t="s">
        <v>5</v>
      </c>
      <c r="F75" s="157">
        <f>ROUND(recipe!G35*P.Thursday!F72,2)*1000</f>
        <v>0</v>
      </c>
      <c r="G75" s="155" t="s">
        <v>94</v>
      </c>
    </row>
    <row r="76" spans="1:7" hidden="1" x14ac:dyDescent="0.2">
      <c r="B76" s="97">
        <f>B70/recipe!F140</f>
        <v>0</v>
      </c>
      <c r="C76" s="135"/>
      <c r="D76" s="101"/>
      <c r="F76" s="134">
        <f>F70/recipe!F39</f>
        <v>0</v>
      </c>
      <c r="G76" s="148"/>
    </row>
    <row r="77" spans="1:7" x14ac:dyDescent="0.2">
      <c r="C77" s="135"/>
      <c r="D77" s="101"/>
      <c r="G77" s="148"/>
    </row>
    <row r="78" spans="1:7" ht="15.75" x14ac:dyDescent="0.25">
      <c r="A78" s="227"/>
      <c r="B78" s="236"/>
      <c r="C78" s="324"/>
      <c r="E78" s="176" t="s">
        <v>285</v>
      </c>
      <c r="F78" s="64">
        <f>thursday!R79</f>
        <v>0</v>
      </c>
      <c r="G78" s="54" t="s">
        <v>87</v>
      </c>
    </row>
    <row r="79" spans="1:7" ht="15.75" x14ac:dyDescent="0.25">
      <c r="A79" s="227"/>
      <c r="B79" s="236"/>
      <c r="C79" s="324"/>
      <c r="F79" s="417" t="s">
        <v>91</v>
      </c>
      <c r="G79" s="417"/>
    </row>
    <row r="80" spans="1:7" ht="15.75" x14ac:dyDescent="0.25">
      <c r="A80" s="227"/>
      <c r="B80" s="236"/>
      <c r="C80" s="324"/>
      <c r="E80" s="2" t="s">
        <v>10</v>
      </c>
      <c r="F80" s="164">
        <f>ROUND(fpbr*P.Thursday!F87,1)</f>
        <v>0</v>
      </c>
      <c r="G80" s="154" t="s">
        <v>87</v>
      </c>
    </row>
    <row r="81" spans="1:7" ht="15.75" x14ac:dyDescent="0.25">
      <c r="A81" s="227"/>
      <c r="B81" s="236"/>
      <c r="C81" s="324"/>
      <c r="E81" s="5" t="s">
        <v>282</v>
      </c>
      <c r="F81" s="158">
        <f>ROUND(recipe!G168*P.Thursday!F80,1)</f>
        <v>0</v>
      </c>
      <c r="G81" s="155" t="s">
        <v>87</v>
      </c>
    </row>
    <row r="82" spans="1:7" ht="15.75" x14ac:dyDescent="0.25">
      <c r="A82" s="227"/>
      <c r="B82" s="236"/>
      <c r="C82" s="324"/>
      <c r="E82" s="3" t="s">
        <v>3</v>
      </c>
      <c r="F82" s="158">
        <f>ROUND(recipe!G169*P.Thursday!F80,1)</f>
        <v>0</v>
      </c>
      <c r="G82" s="155" t="s">
        <v>92</v>
      </c>
    </row>
    <row r="83" spans="1:7" ht="15.75" x14ac:dyDescent="0.25">
      <c r="A83" s="227"/>
      <c r="B83" s="236"/>
      <c r="C83" s="324"/>
      <c r="E83" s="5" t="s">
        <v>4</v>
      </c>
      <c r="F83" s="157">
        <f>ROUND(recipe!G170*P.Thursday!F80,2)*1000</f>
        <v>0</v>
      </c>
      <c r="G83" s="155" t="s">
        <v>94</v>
      </c>
    </row>
    <row r="84" spans="1:7" ht="15.75" x14ac:dyDescent="0.25">
      <c r="A84" s="227"/>
      <c r="B84" s="236"/>
      <c r="C84" s="324"/>
      <c r="E84" s="5" t="s">
        <v>6</v>
      </c>
      <c r="F84" s="157">
        <f>ROUND(recipe!G171*P.Thursday!F80,2)*1000</f>
        <v>0</v>
      </c>
      <c r="G84" s="155" t="s">
        <v>94</v>
      </c>
    </row>
    <row r="85" spans="1:7" ht="15.75" x14ac:dyDescent="0.25">
      <c r="A85" s="227"/>
      <c r="B85" s="236"/>
      <c r="C85" s="324"/>
      <c r="D85" s="101"/>
      <c r="E85" s="14" t="s">
        <v>205</v>
      </c>
      <c r="F85" s="157">
        <f>ROUND(recipe!G172*P.Thursday!F80,2)*1000</f>
        <v>0</v>
      </c>
      <c r="G85" s="155" t="s">
        <v>94</v>
      </c>
    </row>
    <row r="86" spans="1:7" x14ac:dyDescent="0.2">
      <c r="A86" s="231"/>
      <c r="B86" s="236"/>
      <c r="C86" s="324"/>
      <c r="D86" s="101"/>
      <c r="E86" s="5" t="s">
        <v>283</v>
      </c>
      <c r="F86" s="157">
        <f>ROUND(recipe!G173*P.Thursday!F80,2)*1000</f>
        <v>0</v>
      </c>
      <c r="G86" s="155" t="s">
        <v>94</v>
      </c>
    </row>
    <row r="87" spans="1:7" hidden="1" x14ac:dyDescent="0.2">
      <c r="A87" s="323"/>
      <c r="B87" s="323"/>
      <c r="C87" s="325"/>
      <c r="D87" s="101"/>
      <c r="F87" s="134">
        <f>F78/recipe!F174</f>
        <v>0</v>
      </c>
      <c r="G87" s="148"/>
    </row>
    <row r="88" spans="1:7" x14ac:dyDescent="0.2">
      <c r="A88" s="323"/>
      <c r="B88" s="323"/>
      <c r="C88" s="325"/>
      <c r="D88" s="101"/>
      <c r="G88" s="148"/>
    </row>
    <row r="89" spans="1:7" ht="14.25" customHeight="1" x14ac:dyDescent="0.25">
      <c r="A89" s="176" t="s">
        <v>95</v>
      </c>
      <c r="B89" s="53">
        <f>thursday!R30</f>
        <v>0</v>
      </c>
      <c r="C89" s="54" t="s">
        <v>87</v>
      </c>
      <c r="D89" s="179" t="s">
        <v>198</v>
      </c>
      <c r="E89" s="176" t="s">
        <v>95</v>
      </c>
      <c r="F89" s="53">
        <f>thursday!R30</f>
        <v>0</v>
      </c>
      <c r="G89" s="54" t="s">
        <v>87</v>
      </c>
    </row>
    <row r="90" spans="1:7" ht="14.25" customHeight="1" x14ac:dyDescent="0.2">
      <c r="B90" s="297" t="s">
        <v>91</v>
      </c>
      <c r="C90" s="297"/>
      <c r="F90" s="297" t="s">
        <v>91</v>
      </c>
      <c r="G90" s="297"/>
    </row>
    <row r="91" spans="1:7" ht="14.25" customHeight="1" x14ac:dyDescent="0.2">
      <c r="A91" s="8" t="s">
        <v>9</v>
      </c>
      <c r="B91" s="252">
        <f>ROUND(fpcr*P.Thursday!B97,0)</f>
        <v>0</v>
      </c>
      <c r="C91" s="154" t="s">
        <v>87</v>
      </c>
      <c r="E91" s="8" t="s">
        <v>199</v>
      </c>
      <c r="F91" s="255">
        <f>ROUND(F97*recipe!F44,1)</f>
        <v>0</v>
      </c>
      <c r="G91" s="154" t="s">
        <v>87</v>
      </c>
    </row>
    <row r="92" spans="1:7" ht="14.25" customHeight="1" x14ac:dyDescent="0.2">
      <c r="A92" s="9" t="s">
        <v>197</v>
      </c>
      <c r="B92" s="253">
        <f>ROUND(recipe!C45*P.Thursday!B97,1)</f>
        <v>0</v>
      </c>
      <c r="C92" s="155" t="s">
        <v>92</v>
      </c>
      <c r="E92" s="9" t="s">
        <v>200</v>
      </c>
      <c r="F92" s="252">
        <f>ROUND(F97*recipe!F45,1)</f>
        <v>0</v>
      </c>
      <c r="G92" s="155" t="s">
        <v>87</v>
      </c>
    </row>
    <row r="93" spans="1:7" ht="14.25" customHeight="1" x14ac:dyDescent="0.2">
      <c r="A93" s="9" t="s">
        <v>11</v>
      </c>
      <c r="B93" s="253">
        <f>ROUND(recipe!C46*P.Thursday!B91,1)</f>
        <v>0</v>
      </c>
      <c r="C93" s="155" t="s">
        <v>94</v>
      </c>
      <c r="E93" s="9" t="s">
        <v>201</v>
      </c>
      <c r="F93" s="256">
        <f>ROUND(F97*recipe!F46,1)*1000</f>
        <v>0</v>
      </c>
      <c r="G93" s="155" t="s">
        <v>94</v>
      </c>
    </row>
    <row r="94" spans="1:7" ht="14.25" customHeight="1" x14ac:dyDescent="0.2">
      <c r="A94" s="9" t="s">
        <v>5</v>
      </c>
      <c r="B94" s="254">
        <f>ROUND(recipe!C47*P.Thursday!B91,1)*1000</f>
        <v>0</v>
      </c>
      <c r="C94" s="155" t="s">
        <v>94</v>
      </c>
      <c r="E94" s="84"/>
      <c r="F94" s="159"/>
      <c r="G94" s="257"/>
    </row>
    <row r="95" spans="1:7" ht="14.25" customHeight="1" x14ac:dyDescent="0.2">
      <c r="A95" s="65" t="s">
        <v>200</v>
      </c>
      <c r="B95" s="253">
        <f>ROUND(recipe!C48*P.Thursday!B91,1)</f>
        <v>0</v>
      </c>
      <c r="C95" s="155" t="s">
        <v>87</v>
      </c>
      <c r="E95" s="231"/>
      <c r="F95" s="184"/>
      <c r="G95" s="148"/>
    </row>
    <row r="96" spans="1:7" ht="14.25" customHeight="1" x14ac:dyDescent="0.2">
      <c r="A96" s="9" t="s">
        <v>201</v>
      </c>
      <c r="B96" s="254">
        <f>ROUND(recipe!C49*P.Thursday!B91,1)*1000</f>
        <v>0</v>
      </c>
      <c r="C96" s="163" t="s">
        <v>94</v>
      </c>
      <c r="E96" s="63"/>
      <c r="F96" s="181"/>
      <c r="G96" s="165"/>
    </row>
    <row r="97" spans="1:7" ht="14.25" hidden="1" customHeight="1" x14ac:dyDescent="0.2">
      <c r="B97" s="180">
        <f>B89/recipe!B50</f>
        <v>0</v>
      </c>
      <c r="C97" s="148"/>
      <c r="F97" s="134">
        <f>F89/recipe!F50</f>
        <v>0</v>
      </c>
      <c r="G97" s="148"/>
    </row>
    <row r="98" spans="1:7" x14ac:dyDescent="0.2">
      <c r="B98" s="134"/>
      <c r="C98" s="160"/>
    </row>
    <row r="99" spans="1:7" ht="15.75" x14ac:dyDescent="0.25">
      <c r="A99" s="176" t="s">
        <v>18</v>
      </c>
      <c r="B99" s="64">
        <f>thursday!R31</f>
        <v>0</v>
      </c>
      <c r="C99" s="54" t="s">
        <v>87</v>
      </c>
      <c r="D99" s="57"/>
      <c r="E99" s="176" t="s">
        <v>151</v>
      </c>
      <c r="F99" s="64">
        <f>thursday!R37</f>
        <v>0</v>
      </c>
      <c r="G99" s="54" t="s">
        <v>87</v>
      </c>
    </row>
    <row r="100" spans="1:7" x14ac:dyDescent="0.2">
      <c r="B100" s="417" t="s">
        <v>91</v>
      </c>
      <c r="C100" s="417"/>
      <c r="D100" s="80"/>
      <c r="F100" s="417" t="s">
        <v>91</v>
      </c>
      <c r="G100" s="417"/>
    </row>
    <row r="101" spans="1:7" x14ac:dyDescent="0.2">
      <c r="A101" s="2" t="s">
        <v>204</v>
      </c>
      <c r="B101" s="69">
        <f>ROUND(psr*P.Thursday!B106,1)</f>
        <v>0</v>
      </c>
      <c r="C101" s="70" t="s">
        <v>87</v>
      </c>
      <c r="D101" s="101"/>
      <c r="E101" s="8" t="s">
        <v>152</v>
      </c>
      <c r="F101" s="263">
        <f>ROUND(fcre*P.Thursday!F106,1)</f>
        <v>0</v>
      </c>
      <c r="G101" s="70" t="s">
        <v>87</v>
      </c>
    </row>
    <row r="102" spans="1:7" x14ac:dyDescent="0.2">
      <c r="A102" s="5" t="s">
        <v>19</v>
      </c>
      <c r="B102" s="69">
        <f>ROUND(recipe!C69*P.Thursday!B101,1)</f>
        <v>0</v>
      </c>
      <c r="C102" s="146" t="s">
        <v>87</v>
      </c>
      <c r="D102" s="101"/>
      <c r="E102" s="9" t="s">
        <v>10</v>
      </c>
      <c r="F102" s="263">
        <f>ROUND(recipe!G69*P.Thursday!F101,1)</f>
        <v>0</v>
      </c>
      <c r="G102" s="146" t="s">
        <v>87</v>
      </c>
    </row>
    <row r="103" spans="1:7" x14ac:dyDescent="0.2">
      <c r="A103" s="5" t="s">
        <v>252</v>
      </c>
      <c r="B103" s="69">
        <f>ROUND(recipe!C70*P.Thursday!B101,1)</f>
        <v>0</v>
      </c>
      <c r="C103" s="146" t="s">
        <v>87</v>
      </c>
      <c r="D103" s="101"/>
      <c r="E103" s="84" t="s">
        <v>5</v>
      </c>
      <c r="F103" s="263">
        <f>ROUND(recipe!G70*P.Thursday!F101,1)</f>
        <v>0</v>
      </c>
      <c r="G103" s="167" t="s">
        <v>94</v>
      </c>
    </row>
    <row r="104" spans="1:7" x14ac:dyDescent="0.2">
      <c r="A104" s="5" t="s">
        <v>3</v>
      </c>
      <c r="B104" s="97">
        <f>ROUND(recipe!C71*P.Thursday!B101,1)</f>
        <v>0</v>
      </c>
      <c r="C104" s="163" t="s">
        <v>87</v>
      </c>
      <c r="D104" s="101"/>
      <c r="E104" s="62" t="s">
        <v>3</v>
      </c>
      <c r="F104" s="264">
        <f>ROUND(recipe!G71*P.Thursday!F101,1)</f>
        <v>0</v>
      </c>
      <c r="G104" s="163" t="s">
        <v>92</v>
      </c>
    </row>
    <row r="105" spans="1:7" x14ac:dyDescent="0.2">
      <c r="A105" s="5" t="s">
        <v>5</v>
      </c>
      <c r="B105" s="168">
        <f>ROUND(recipe!C72*P.Thursday!B101,2)*1000</f>
        <v>0</v>
      </c>
      <c r="C105" s="163" t="s">
        <v>94</v>
      </c>
      <c r="D105" s="101"/>
      <c r="E105" s="244" t="s">
        <v>4</v>
      </c>
      <c r="F105" s="256">
        <f>ROUND(recipe!G72*P.Thursday!F101,2)*1000</f>
        <v>0</v>
      </c>
      <c r="G105" s="246" t="s">
        <v>94</v>
      </c>
    </row>
    <row r="106" spans="1:7" hidden="1" x14ac:dyDescent="0.2">
      <c r="B106" s="134">
        <f>B99/recipe!B73</f>
        <v>0</v>
      </c>
      <c r="C106" s="135"/>
      <c r="D106" s="101"/>
      <c r="F106" s="134">
        <f>F99/recipe!F73</f>
        <v>0</v>
      </c>
      <c r="G106" s="148"/>
    </row>
    <row r="107" spans="1:7" x14ac:dyDescent="0.2">
      <c r="B107" s="134"/>
      <c r="C107" s="135"/>
      <c r="G107" s="160"/>
    </row>
    <row r="108" spans="1:7" ht="4.5" customHeight="1" x14ac:dyDescent="0.2">
      <c r="B108" s="134"/>
      <c r="C108" s="135"/>
      <c r="G108" s="160"/>
    </row>
    <row r="109" spans="1:7" ht="15.75" x14ac:dyDescent="0.25">
      <c r="A109" s="176" t="s">
        <v>20</v>
      </c>
      <c r="B109" s="53">
        <f>thursday!R108</f>
        <v>0</v>
      </c>
      <c r="C109" s="54" t="s">
        <v>87</v>
      </c>
      <c r="D109" s="132"/>
      <c r="E109" s="176" t="s">
        <v>8</v>
      </c>
      <c r="F109" s="53">
        <f>thursday!R98</f>
        <v>0</v>
      </c>
      <c r="G109" s="54" t="s">
        <v>87</v>
      </c>
    </row>
    <row r="110" spans="1:7" x14ac:dyDescent="0.2">
      <c r="B110" s="417" t="s">
        <v>91</v>
      </c>
      <c r="C110" s="417"/>
      <c r="D110" s="80"/>
      <c r="F110" s="417" t="s">
        <v>91</v>
      </c>
      <c r="G110" s="417"/>
    </row>
    <row r="111" spans="1:7" x14ac:dyDescent="0.2">
      <c r="A111" s="2" t="s">
        <v>206</v>
      </c>
      <c r="B111" s="161">
        <f>ROUND(fasr*P.Thursday!B118,0)</f>
        <v>0</v>
      </c>
      <c r="C111" s="70" t="s">
        <v>87</v>
      </c>
      <c r="D111" s="101"/>
      <c r="E111" s="2" t="s">
        <v>10</v>
      </c>
      <c r="F111" s="161">
        <f>ROUND(fpsfgr*P.Thursday!F118,0)</f>
        <v>0</v>
      </c>
      <c r="G111" s="154" t="s">
        <v>87</v>
      </c>
    </row>
    <row r="112" spans="1:7" x14ac:dyDescent="0.2">
      <c r="A112" s="5" t="s">
        <v>207</v>
      </c>
      <c r="B112" s="169">
        <f>ROUND(recipe!G56*P.Thursday!B111,1)</f>
        <v>0</v>
      </c>
      <c r="C112" s="146" t="s">
        <v>87</v>
      </c>
      <c r="D112" s="101"/>
      <c r="E112" s="5" t="s">
        <v>3</v>
      </c>
      <c r="F112" s="169">
        <f>ROUND(recipe!G80*P.Thursday!F111,1)</f>
        <v>0</v>
      </c>
      <c r="G112" s="155" t="s">
        <v>92</v>
      </c>
    </row>
    <row r="113" spans="1:7" x14ac:dyDescent="0.2">
      <c r="A113" s="5" t="s">
        <v>3</v>
      </c>
      <c r="B113" s="169">
        <f>ROUND(recipe!G57*P.Thursday!B111,1)</f>
        <v>0</v>
      </c>
      <c r="C113" s="146" t="s">
        <v>92</v>
      </c>
      <c r="D113" s="101"/>
      <c r="E113" s="5" t="s">
        <v>205</v>
      </c>
      <c r="F113" s="169">
        <f>ROUND(recipe!G81*P.Thursday!F111,1)</f>
        <v>0</v>
      </c>
      <c r="G113" s="155" t="s">
        <v>87</v>
      </c>
    </row>
    <row r="114" spans="1:7" x14ac:dyDescent="0.2">
      <c r="A114" s="5" t="s">
        <v>4</v>
      </c>
      <c r="B114" s="157">
        <f>ROUND(recipe!G58*P.Thursday!B111,2)*1000</f>
        <v>0</v>
      </c>
      <c r="C114" s="146" t="s">
        <v>94</v>
      </c>
      <c r="D114" s="101"/>
      <c r="E114" s="5" t="s">
        <v>4</v>
      </c>
      <c r="F114" s="157">
        <f>ROUND(recipe!G82*P.Thursday!F111,2)*1000</f>
        <v>0</v>
      </c>
      <c r="G114" s="155" t="s">
        <v>94</v>
      </c>
    </row>
    <row r="115" spans="1:7" x14ac:dyDescent="0.2">
      <c r="A115" s="5" t="s">
        <v>5</v>
      </c>
      <c r="B115" s="157">
        <f>ROUND(recipe!G59*P.Thursday!B111,2)*1000</f>
        <v>0</v>
      </c>
      <c r="C115" s="146" t="s">
        <v>94</v>
      </c>
      <c r="D115" s="101"/>
      <c r="E115" s="5" t="s">
        <v>5</v>
      </c>
      <c r="F115" s="157">
        <f>ROUND(recipe!G83*P.Thursday!F111,2)*1000</f>
        <v>0</v>
      </c>
      <c r="G115" s="155" t="s">
        <v>94</v>
      </c>
    </row>
    <row r="116" spans="1:7" x14ac:dyDescent="0.2">
      <c r="A116" s="3" t="s">
        <v>208</v>
      </c>
      <c r="B116" s="171">
        <f>ROUND(recipe!G60*P.Thursday!B111,1)</f>
        <v>0</v>
      </c>
      <c r="C116" s="100" t="s">
        <v>87</v>
      </c>
      <c r="D116" s="101"/>
      <c r="E116" s="5" t="s">
        <v>6</v>
      </c>
      <c r="F116" s="157">
        <f>ROUND(recipe!G84*P.Thursday!F111,2)*1000</f>
        <v>0</v>
      </c>
      <c r="G116" s="155" t="s">
        <v>94</v>
      </c>
    </row>
    <row r="117" spans="1:7" x14ac:dyDescent="0.2">
      <c r="C117" s="148"/>
      <c r="D117" s="101"/>
      <c r="E117" s="3" t="s">
        <v>12</v>
      </c>
      <c r="F117" s="157">
        <f>ROUND(recipe!G85*P.Thursday!F111,1)*1000</f>
        <v>0</v>
      </c>
      <c r="G117" s="155" t="s">
        <v>94</v>
      </c>
    </row>
    <row r="118" spans="1:7" x14ac:dyDescent="0.2">
      <c r="B118" s="134">
        <f>B109/recipe!F61</f>
        <v>0</v>
      </c>
      <c r="D118" s="101"/>
      <c r="F118" s="134">
        <f>F109/recipe!F86</f>
        <v>0</v>
      </c>
      <c r="G118" s="148"/>
    </row>
    <row r="119" spans="1:7" x14ac:dyDescent="0.2">
      <c r="A119" s="59"/>
      <c r="B119" s="60"/>
      <c r="C119" s="135"/>
      <c r="D119" s="101"/>
      <c r="F119" s="97"/>
      <c r="G119" s="97"/>
    </row>
    <row r="120" spans="1:7" x14ac:dyDescent="0.2">
      <c r="B120" s="134"/>
      <c r="C120" s="135"/>
      <c r="G120" s="160"/>
    </row>
    <row r="121" spans="1:7" ht="15.75" x14ac:dyDescent="0.25">
      <c r="A121" s="176" t="s">
        <v>180</v>
      </c>
      <c r="B121" s="67">
        <f>thursday!R115</f>
        <v>0</v>
      </c>
      <c r="C121" s="54" t="s">
        <v>87</v>
      </c>
      <c r="D121" s="132"/>
      <c r="E121" s="176" t="s">
        <v>160</v>
      </c>
      <c r="F121" s="67">
        <f>thursday!R92</f>
        <v>0</v>
      </c>
      <c r="G121" s="54" t="s">
        <v>87</v>
      </c>
    </row>
    <row r="122" spans="1:7" x14ac:dyDescent="0.2">
      <c r="B122" s="420" t="s">
        <v>91</v>
      </c>
      <c r="C122" s="420"/>
      <c r="D122" s="80"/>
      <c r="F122" s="417" t="s">
        <v>91</v>
      </c>
      <c r="G122" s="417"/>
    </row>
    <row r="123" spans="1:7" x14ac:dyDescent="0.2">
      <c r="A123" s="244" t="s">
        <v>10</v>
      </c>
      <c r="B123" s="247">
        <f>ROUND(recipe!B93*P.Thursday!B131,1)</f>
        <v>0</v>
      </c>
      <c r="C123" s="245" t="s">
        <v>87</v>
      </c>
      <c r="D123" s="80"/>
      <c r="E123" s="8" t="s">
        <v>247</v>
      </c>
      <c r="F123" s="267">
        <f>ROUND(fmnp*P.Thursday!F131,1)</f>
        <v>0</v>
      </c>
      <c r="G123" s="70" t="s">
        <v>87</v>
      </c>
    </row>
    <row r="124" spans="1:7" x14ac:dyDescent="0.2">
      <c r="A124" s="244" t="s">
        <v>237</v>
      </c>
      <c r="B124" s="247">
        <f>ROUND(recipe!C94*P.Thursday!B123,2)</f>
        <v>0</v>
      </c>
      <c r="C124" s="245" t="s">
        <v>92</v>
      </c>
      <c r="D124" s="80"/>
      <c r="E124" s="9" t="s">
        <v>246</v>
      </c>
      <c r="F124" s="258">
        <f>ROUND(recipe!G94*P.Thursday!F123,2)</f>
        <v>0</v>
      </c>
      <c r="G124" s="146" t="s">
        <v>87</v>
      </c>
    </row>
    <row r="125" spans="1:7" x14ac:dyDescent="0.2">
      <c r="A125" s="244" t="s">
        <v>238</v>
      </c>
      <c r="B125" s="247">
        <f>ROUND(recipe!C95*P.Thursday!B123,2)</f>
        <v>0</v>
      </c>
      <c r="C125" s="245" t="s">
        <v>92</v>
      </c>
      <c r="D125" s="80"/>
      <c r="E125" s="9" t="s">
        <v>3</v>
      </c>
      <c r="F125" s="259">
        <f>ROUND(recipe!G95*P.Thursday!F123,2)</f>
        <v>0</v>
      </c>
      <c r="G125" s="146" t="s">
        <v>92</v>
      </c>
    </row>
    <row r="126" spans="1:7" x14ac:dyDescent="0.2">
      <c r="A126" s="244" t="s">
        <v>16</v>
      </c>
      <c r="B126" s="247">
        <f>ROUND(recipe!C96*P.Thursday!B123,2)</f>
        <v>0</v>
      </c>
      <c r="C126" s="245" t="s">
        <v>87</v>
      </c>
      <c r="D126" s="80"/>
      <c r="E126" s="9" t="s">
        <v>5</v>
      </c>
      <c r="F126" s="260">
        <f>ROUND(recipe!G96*P.Thursday!F123,2)*1000</f>
        <v>0</v>
      </c>
      <c r="G126" s="146" t="s">
        <v>94</v>
      </c>
    </row>
    <row r="127" spans="1:7" x14ac:dyDescent="0.2">
      <c r="A127" s="244" t="s">
        <v>12</v>
      </c>
      <c r="B127" s="248">
        <f>ROUND(recipe!C97*P.Thursday!B123,2)*1000</f>
        <v>0</v>
      </c>
      <c r="C127" s="245" t="s">
        <v>94</v>
      </c>
      <c r="D127" s="80"/>
      <c r="E127" s="9"/>
      <c r="F127" s="260">
        <f>ROUND(recipe!G97*P.Thursday!F123,2)*1000</f>
        <v>0</v>
      </c>
      <c r="G127" s="146" t="s">
        <v>94</v>
      </c>
    </row>
    <row r="128" spans="1:7" x14ac:dyDescent="0.2">
      <c r="A128" s="244" t="s">
        <v>5</v>
      </c>
      <c r="B128" s="248">
        <f>ROUND(recipe!C98*P.Thursday!B123,2)*1000</f>
        <v>0</v>
      </c>
      <c r="C128" s="245" t="s">
        <v>94</v>
      </c>
      <c r="D128" s="80"/>
      <c r="E128" s="9"/>
      <c r="F128" s="260">
        <f>ROUND(recipe!G98*P.Thursday!F123,2)*1000</f>
        <v>0</v>
      </c>
      <c r="G128" s="146" t="s">
        <v>94</v>
      </c>
    </row>
    <row r="129" spans="1:7" x14ac:dyDescent="0.2">
      <c r="A129" s="244" t="s">
        <v>4</v>
      </c>
      <c r="B129" s="248">
        <f>ROUND(recipe!C99*P.Thursday!B123,2)*1000</f>
        <v>0</v>
      </c>
      <c r="C129" s="246" t="s">
        <v>94</v>
      </c>
      <c r="D129" s="101"/>
      <c r="E129" s="9"/>
      <c r="F129" s="260">
        <f>ROUND(recipe!G99*P.Thursday!F123,2)*1000</f>
        <v>0</v>
      </c>
      <c r="G129" s="146" t="s">
        <v>94</v>
      </c>
    </row>
    <row r="130" spans="1:7" x14ac:dyDescent="0.2">
      <c r="A130" s="244" t="s">
        <v>6</v>
      </c>
      <c r="B130" s="248">
        <f>ROUND(recipe!C100*P.Thursday!B123,2)*1000</f>
        <v>0</v>
      </c>
      <c r="C130" s="246" t="s">
        <v>94</v>
      </c>
      <c r="D130" s="101"/>
      <c r="E130" s="9"/>
      <c r="F130" s="260">
        <f>ROUND(recipe!G100*P.Thursday!F123,2)*1000</f>
        <v>0</v>
      </c>
      <c r="G130" s="146" t="s">
        <v>94</v>
      </c>
    </row>
    <row r="131" spans="1:7" hidden="1" x14ac:dyDescent="0.2">
      <c r="B131" s="172">
        <f>B121/recipe!B101</f>
        <v>0</v>
      </c>
      <c r="C131" s="173"/>
      <c r="D131" s="101"/>
      <c r="E131" s="59"/>
      <c r="F131" s="60">
        <f>F121/recipe!F101</f>
        <v>0</v>
      </c>
      <c r="G131" s="148"/>
    </row>
    <row r="132" spans="1:7" x14ac:dyDescent="0.2">
      <c r="B132" s="134"/>
      <c r="C132" s="135"/>
      <c r="G132" s="160"/>
    </row>
    <row r="133" spans="1:7" ht="15.75" x14ac:dyDescent="0.25">
      <c r="A133" s="176" t="s">
        <v>250</v>
      </c>
      <c r="B133" s="67">
        <f>thursday!R76</f>
        <v>0</v>
      </c>
      <c r="C133" s="54" t="s">
        <v>87</v>
      </c>
      <c r="D133" s="132"/>
      <c r="E133" s="176" t="s">
        <v>265</v>
      </c>
      <c r="F133" s="67"/>
      <c r="G133" s="54" t="s">
        <v>87</v>
      </c>
    </row>
    <row r="134" spans="1:7" x14ac:dyDescent="0.2">
      <c r="B134" s="417" t="s">
        <v>91</v>
      </c>
      <c r="C134" s="417"/>
      <c r="D134" s="80"/>
      <c r="F134" s="417" t="s">
        <v>91</v>
      </c>
      <c r="G134" s="417"/>
    </row>
    <row r="135" spans="1:7" x14ac:dyDescent="0.2">
      <c r="A135" s="2" t="s">
        <v>266</v>
      </c>
      <c r="B135" s="69">
        <f>ROUND(recipe!B155*B139,1)</f>
        <v>0</v>
      </c>
      <c r="C135" s="70" t="s">
        <v>87</v>
      </c>
      <c r="D135" s="101"/>
      <c r="E135" s="2" t="s">
        <v>248</v>
      </c>
      <c r="F135" s="69">
        <f>ROUND(recipe!B145*P.Thursday!F139,1)</f>
        <v>0</v>
      </c>
      <c r="G135" s="70" t="s">
        <v>87</v>
      </c>
    </row>
    <row r="136" spans="1:7" x14ac:dyDescent="0.2">
      <c r="A136" s="5" t="s">
        <v>3</v>
      </c>
      <c r="B136" s="69">
        <f>ROUND(recipe!C156*P.Thursday!B135,1)</f>
        <v>0</v>
      </c>
      <c r="C136" s="71" t="s">
        <v>92</v>
      </c>
      <c r="D136" s="101"/>
      <c r="E136" s="5" t="s">
        <v>3</v>
      </c>
      <c r="F136" s="69">
        <f>ROUND(recipe!C146*P.Thursday!F135,1)</f>
        <v>0</v>
      </c>
      <c r="G136" s="71" t="s">
        <v>92</v>
      </c>
    </row>
    <row r="137" spans="1:7" x14ac:dyDescent="0.2">
      <c r="A137" s="5" t="s">
        <v>5</v>
      </c>
      <c r="B137" s="72">
        <f>ROUND(recipe!C157*P.Thursday!B135,2)*1000</f>
        <v>0</v>
      </c>
      <c r="C137" s="146" t="s">
        <v>94</v>
      </c>
      <c r="D137" s="101"/>
      <c r="E137" s="5" t="s">
        <v>5</v>
      </c>
      <c r="F137" s="72">
        <f>ROUND(recipe!C147*P.Thursday!F135,2)*1000</f>
        <v>0</v>
      </c>
      <c r="G137" s="146" t="s">
        <v>94</v>
      </c>
    </row>
    <row r="138" spans="1:7" x14ac:dyDescent="0.2">
      <c r="A138" s="63" t="s">
        <v>246</v>
      </c>
      <c r="B138" s="166">
        <f>ROUND(recipe!C158*P.Thursday!B135,1)</f>
        <v>0</v>
      </c>
      <c r="C138" s="165" t="s">
        <v>87</v>
      </c>
      <c r="D138" s="101"/>
      <c r="E138" s="63" t="s">
        <v>246</v>
      </c>
      <c r="F138" s="166">
        <f>ROUND(recipe!C148*P.Thursday!F135,1)</f>
        <v>0</v>
      </c>
      <c r="G138" s="165" t="s">
        <v>87</v>
      </c>
    </row>
    <row r="139" spans="1:7" hidden="1" x14ac:dyDescent="0.2">
      <c r="B139" s="166">
        <f>B133/recipe!B159</f>
        <v>0</v>
      </c>
      <c r="C139" s="148"/>
      <c r="D139" s="101"/>
      <c r="F139" s="166">
        <f>F133/recipe!B149</f>
        <v>0</v>
      </c>
      <c r="G139" s="148"/>
    </row>
    <row r="140" spans="1:7" x14ac:dyDescent="0.2">
      <c r="B140" s="134"/>
      <c r="C140" s="135"/>
      <c r="G140" s="160"/>
    </row>
    <row r="141" spans="1:7" ht="15.75" x14ac:dyDescent="0.25">
      <c r="A141" s="176" t="s">
        <v>156</v>
      </c>
      <c r="B141" s="68">
        <f>thursday!R48</f>
        <v>0</v>
      </c>
      <c r="C141" s="54" t="s">
        <v>87</v>
      </c>
      <c r="D141" s="132"/>
      <c r="E141" s="176" t="s">
        <v>164</v>
      </c>
      <c r="F141" s="67">
        <f>thursday!R33</f>
        <v>0</v>
      </c>
      <c r="G141" s="54" t="s">
        <v>87</v>
      </c>
    </row>
    <row r="142" spans="1:7" x14ac:dyDescent="0.2">
      <c r="B142" s="417" t="s">
        <v>91</v>
      </c>
      <c r="C142" s="417"/>
      <c r="D142" s="80"/>
      <c r="F142" s="417" t="s">
        <v>91</v>
      </c>
      <c r="G142" s="417"/>
    </row>
    <row r="143" spans="1:7" x14ac:dyDescent="0.2">
      <c r="A143" s="2" t="s">
        <v>251</v>
      </c>
      <c r="B143" s="69">
        <f>ROUND(fbpp*P.Thursday!B147,1)</f>
        <v>0</v>
      </c>
      <c r="C143" s="70" t="s">
        <v>87</v>
      </c>
      <c r="D143" s="101"/>
      <c r="E143" s="8" t="s">
        <v>10</v>
      </c>
      <c r="F143" s="250">
        <f>ROUND(pssp*P.Thursday!F147,1)</f>
        <v>0</v>
      </c>
      <c r="G143" s="154" t="s">
        <v>87</v>
      </c>
    </row>
    <row r="144" spans="1:7" x14ac:dyDescent="0.2">
      <c r="A144" s="5" t="s">
        <v>3</v>
      </c>
      <c r="B144" s="162">
        <f>ROUND(recipe!C109*P.Thursday!B143,1)</f>
        <v>0</v>
      </c>
      <c r="C144" s="146" t="s">
        <v>92</v>
      </c>
      <c r="D144" s="101"/>
      <c r="E144" s="8" t="s">
        <v>170</v>
      </c>
      <c r="F144" s="262">
        <f>ROUND(recipe!G109*P.Thursday!F143,1)</f>
        <v>0</v>
      </c>
      <c r="G144" s="100" t="s">
        <v>87</v>
      </c>
    </row>
    <row r="145" spans="1:8" x14ac:dyDescent="0.2">
      <c r="A145" s="5" t="s">
        <v>5</v>
      </c>
      <c r="B145" s="142">
        <f>ROUND(recipe!C110*P.Thursday!B143,2)*1000</f>
        <v>0</v>
      </c>
      <c r="C145" s="146" t="s">
        <v>94</v>
      </c>
      <c r="D145" s="101"/>
      <c r="E145" s="8" t="s">
        <v>3</v>
      </c>
      <c r="F145" s="250">
        <f>ROUND(recipe!G110*P.Thursday!F143,1)</f>
        <v>0</v>
      </c>
      <c r="G145" s="154" t="s">
        <v>87</v>
      </c>
    </row>
    <row r="146" spans="1:8" x14ac:dyDescent="0.2">
      <c r="A146" s="3" t="s">
        <v>246</v>
      </c>
      <c r="B146" s="151">
        <f>ROUND(recipe!C111*P.Thursday!B143,1)</f>
        <v>0</v>
      </c>
      <c r="C146" s="163" t="s">
        <v>87</v>
      </c>
      <c r="D146" s="101"/>
      <c r="E146" s="8" t="s">
        <v>5</v>
      </c>
      <c r="F146" s="261">
        <f>ROUND(recipe!G111*P.Thursday!F143,2)*1000</f>
        <v>0</v>
      </c>
      <c r="G146" s="100" t="s">
        <v>94</v>
      </c>
    </row>
    <row r="147" spans="1:8" hidden="1" x14ac:dyDescent="0.2">
      <c r="B147" s="134">
        <f>B141/recipe!B113</f>
        <v>0</v>
      </c>
      <c r="C147" s="135"/>
      <c r="F147" s="170">
        <f>F141/recipe!F114</f>
        <v>0</v>
      </c>
      <c r="G147" s="148"/>
    </row>
    <row r="148" spans="1:8" x14ac:dyDescent="0.2">
      <c r="B148" s="134"/>
      <c r="C148" s="135"/>
      <c r="F148" s="166"/>
      <c r="G148" s="148"/>
    </row>
    <row r="149" spans="1:8" ht="15.75" x14ac:dyDescent="0.25">
      <c r="A149" s="176" t="s">
        <v>281</v>
      </c>
      <c r="B149" s="53">
        <f>thursday!R105</f>
        <v>0</v>
      </c>
      <c r="C149" s="54" t="s">
        <v>87</v>
      </c>
      <c r="D149" s="132"/>
      <c r="E149" s="176" t="s">
        <v>13</v>
      </c>
      <c r="F149" s="64">
        <f>thursday!R153</f>
        <v>0</v>
      </c>
      <c r="G149" s="54" t="s">
        <v>87</v>
      </c>
      <c r="H149" s="57"/>
    </row>
    <row r="150" spans="1:8" x14ac:dyDescent="0.2">
      <c r="B150" s="417" t="s">
        <v>91</v>
      </c>
      <c r="C150" s="417"/>
      <c r="D150" s="80"/>
      <c r="F150" s="417" t="s">
        <v>91</v>
      </c>
      <c r="G150" s="417"/>
      <c r="H150" s="80"/>
    </row>
    <row r="151" spans="1:8" x14ac:dyDescent="0.2">
      <c r="A151" s="2" t="s">
        <v>10</v>
      </c>
      <c r="B151" s="161">
        <f>ROUND(fpsfgr*P.Thursday!B158,0)</f>
        <v>0</v>
      </c>
      <c r="C151" s="154" t="s">
        <v>87</v>
      </c>
      <c r="D151" s="101"/>
      <c r="E151" s="2" t="s">
        <v>15</v>
      </c>
      <c r="F151" s="152">
        <f>ROUND(frr*P.Thursday!F158,1)</f>
        <v>0</v>
      </c>
      <c r="G151" s="141" t="s">
        <v>87</v>
      </c>
      <c r="H151" s="101"/>
    </row>
    <row r="152" spans="1:8" x14ac:dyDescent="0.2">
      <c r="A152" s="5" t="s">
        <v>3</v>
      </c>
      <c r="B152" s="169">
        <f>ROUND(recipe!G156*P.Thursday!B151,1)</f>
        <v>0</v>
      </c>
      <c r="C152" s="155" t="s">
        <v>92</v>
      </c>
      <c r="D152" s="101"/>
      <c r="E152" s="5" t="s">
        <v>3</v>
      </c>
      <c r="F152" s="144">
        <f>ROUND(recipe!C33*P.Thursday!F151,1)</f>
        <v>0</v>
      </c>
      <c r="G152" s="143" t="s">
        <v>92</v>
      </c>
      <c r="H152" s="101"/>
    </row>
    <row r="153" spans="1:8" x14ac:dyDescent="0.2">
      <c r="A153" s="5" t="s">
        <v>205</v>
      </c>
      <c r="B153" s="169">
        <f>ROUND(recipe!G157*P.Thursday!B151,1)</f>
        <v>0</v>
      </c>
      <c r="C153" s="155" t="s">
        <v>87</v>
      </c>
      <c r="D153" s="101"/>
      <c r="E153" s="5" t="s">
        <v>5</v>
      </c>
      <c r="F153" s="145">
        <f>ROUND(recipe!C34*P.Thursday!F151,2)</f>
        <v>0</v>
      </c>
      <c r="G153" s="146" t="s">
        <v>87</v>
      </c>
      <c r="H153" s="101"/>
    </row>
    <row r="154" spans="1:8" x14ac:dyDescent="0.2">
      <c r="A154" s="5" t="s">
        <v>4</v>
      </c>
      <c r="B154" s="157">
        <f>ROUND(recipe!G158*P.Thursday!B151,2)*1000</f>
        <v>0</v>
      </c>
      <c r="C154" s="155" t="s">
        <v>94</v>
      </c>
      <c r="D154" s="101"/>
      <c r="E154" s="5" t="s">
        <v>16</v>
      </c>
      <c r="F154" s="145">
        <f>ROUND(recipe!C35*P.Thursday!F151,1)</f>
        <v>0</v>
      </c>
      <c r="G154" s="146" t="s">
        <v>87</v>
      </c>
      <c r="H154" s="101"/>
    </row>
    <row r="155" spans="1:8" ht="12.75" customHeight="1" x14ac:dyDescent="0.2">
      <c r="A155" s="5" t="s">
        <v>5</v>
      </c>
      <c r="B155" s="157">
        <f>ROUND(recipe!G159*P.Thursday!B151,2)*1000</f>
        <v>0</v>
      </c>
      <c r="C155" s="155" t="s">
        <v>94</v>
      </c>
      <c r="D155" s="101"/>
      <c r="E155" s="65"/>
      <c r="F155" s="97"/>
      <c r="G155" s="143"/>
      <c r="H155" s="101"/>
    </row>
    <row r="156" spans="1:8" x14ac:dyDescent="0.2">
      <c r="A156" s="5" t="s">
        <v>6</v>
      </c>
      <c r="B156" s="157">
        <f>ROUND(recipe!G160*P.Thursday!B151,2)*1000</f>
        <v>0</v>
      </c>
      <c r="C156" s="155" t="s">
        <v>94</v>
      </c>
      <c r="D156" s="101"/>
      <c r="E156" s="231"/>
      <c r="G156" s="156"/>
      <c r="H156" s="101"/>
    </row>
    <row r="157" spans="1:8" x14ac:dyDescent="0.2">
      <c r="A157" s="3" t="s">
        <v>12</v>
      </c>
      <c r="B157" s="157">
        <f>ROUND(recipe!G161*P.Thursday!B151,1)*1000</f>
        <v>0</v>
      </c>
      <c r="C157" s="155" t="s">
        <v>94</v>
      </c>
      <c r="D157" s="101"/>
      <c r="E157" s="231"/>
      <c r="G157" s="156"/>
      <c r="H157" s="101"/>
    </row>
    <row r="158" spans="1:8" ht="25.9" hidden="1" customHeight="1" x14ac:dyDescent="0.2">
      <c r="B158" s="134">
        <f>B149/recipe!F162</f>
        <v>0</v>
      </c>
      <c r="C158" s="148"/>
      <c r="F158" s="134">
        <f>F149/recipe!B39</f>
        <v>0</v>
      </c>
      <c r="G158" s="160"/>
    </row>
    <row r="159" spans="1:8" ht="18" x14ac:dyDescent="0.25">
      <c r="A159" s="422" t="s">
        <v>97</v>
      </c>
      <c r="B159" s="365"/>
      <c r="C159" s="365"/>
      <c r="D159" s="366"/>
      <c r="E159" s="367"/>
      <c r="G159" s="160"/>
      <c r="H159" s="108"/>
    </row>
    <row r="160" spans="1:8" ht="18" x14ac:dyDescent="0.25">
      <c r="A160" s="422"/>
      <c r="B160" s="368"/>
      <c r="C160" s="368"/>
      <c r="D160" s="369"/>
      <c r="E160" s="370" t="s">
        <v>98</v>
      </c>
      <c r="G160" s="174"/>
      <c r="H160" s="103"/>
    </row>
    <row r="161" spans="1:10" ht="15.75" x14ac:dyDescent="0.2">
      <c r="A161" s="73"/>
      <c r="B161" s="175"/>
      <c r="C161" s="175"/>
      <c r="D161" s="103"/>
      <c r="E161" s="74"/>
      <c r="G161" s="174"/>
      <c r="H161" s="103"/>
    </row>
    <row r="162" spans="1:10" s="78" customFormat="1" ht="30" customHeight="1" x14ac:dyDescent="0.45">
      <c r="A162" s="423" t="s">
        <v>99</v>
      </c>
      <c r="B162" s="423"/>
      <c r="C162" s="423"/>
      <c r="D162" s="423"/>
      <c r="E162" s="371">
        <f>thursday!S122/15</f>
        <v>0</v>
      </c>
      <c r="F162" s="75"/>
      <c r="G162" s="76"/>
      <c r="H162" s="77"/>
      <c r="J162" s="179"/>
    </row>
    <row r="163" spans="1:10" s="78" customFormat="1" ht="30" customHeight="1" x14ac:dyDescent="0.45">
      <c r="A163" s="421" t="s">
        <v>100</v>
      </c>
      <c r="B163" s="421"/>
      <c r="C163" s="421"/>
      <c r="D163" s="421"/>
      <c r="E163" s="371">
        <f>thursday!S123/15</f>
        <v>0</v>
      </c>
      <c r="F163" s="75"/>
      <c r="G163" s="76"/>
      <c r="H163" s="77"/>
      <c r="J163" s="179"/>
    </row>
    <row r="164" spans="1:10" s="78" customFormat="1" ht="30" customHeight="1" x14ac:dyDescent="0.45">
      <c r="A164" s="421" t="s">
        <v>101</v>
      </c>
      <c r="B164" s="421"/>
      <c r="C164" s="421"/>
      <c r="D164" s="421"/>
      <c r="E164" s="371">
        <f>thursday!S124/15</f>
        <v>0</v>
      </c>
      <c r="F164" s="75"/>
      <c r="G164" s="76"/>
      <c r="H164" s="77"/>
      <c r="J164" s="179"/>
    </row>
    <row r="165" spans="1:10" s="78" customFormat="1" ht="30" customHeight="1" x14ac:dyDescent="0.45">
      <c r="A165" s="421" t="s">
        <v>209</v>
      </c>
      <c r="B165" s="421"/>
      <c r="C165" s="421"/>
      <c r="D165" s="421"/>
      <c r="E165" s="371">
        <f>thursday!S125/15</f>
        <v>0</v>
      </c>
      <c r="F165" s="75"/>
      <c r="G165" s="76"/>
      <c r="H165" s="77"/>
      <c r="J165" s="179"/>
    </row>
    <row r="166" spans="1:10" s="78" customFormat="1" ht="30" customHeight="1" x14ac:dyDescent="0.45">
      <c r="A166" s="421" t="s">
        <v>210</v>
      </c>
      <c r="B166" s="421"/>
      <c r="C166" s="421"/>
      <c r="D166" s="421"/>
      <c r="E166" s="371">
        <f>thursday!S121/30</f>
        <v>0</v>
      </c>
      <c r="F166" s="75"/>
      <c r="G166" s="79"/>
      <c r="J166" s="179"/>
    </row>
    <row r="167" spans="1:10" s="78" customFormat="1" ht="30" customHeight="1" x14ac:dyDescent="0.45">
      <c r="A167" s="421" t="s">
        <v>212</v>
      </c>
      <c r="B167" s="421"/>
      <c r="C167" s="421"/>
      <c r="D167" s="421"/>
      <c r="E167" s="371">
        <f>thursday!S126/30</f>
        <v>0</v>
      </c>
      <c r="F167" s="75"/>
      <c r="G167" s="79"/>
      <c r="J167" s="179"/>
    </row>
    <row r="168" spans="1:10" s="78" customFormat="1" ht="30" customHeight="1" x14ac:dyDescent="0.45">
      <c r="A168" s="421" t="s">
        <v>213</v>
      </c>
      <c r="B168" s="421"/>
      <c r="C168" s="421"/>
      <c r="D168" s="421"/>
      <c r="E168" s="371">
        <f>thursday!S127/30</f>
        <v>0</v>
      </c>
      <c r="F168" s="75"/>
      <c r="G168" s="79"/>
      <c r="J168" s="179"/>
    </row>
    <row r="169" spans="1:10" s="78" customFormat="1" ht="30" customHeight="1" x14ac:dyDescent="0.45">
      <c r="A169" s="363" t="s">
        <v>214</v>
      </c>
      <c r="B169" s="363"/>
      <c r="C169" s="363"/>
      <c r="D169" s="363"/>
      <c r="E169" s="371">
        <f>thursday!S128/30</f>
        <v>0</v>
      </c>
      <c r="F169" s="75"/>
      <c r="G169" s="79"/>
      <c r="J169" s="179"/>
    </row>
    <row r="170" spans="1:10" s="78" customFormat="1" ht="30" customHeight="1" x14ac:dyDescent="0.45">
      <c r="A170" s="363" t="s">
        <v>219</v>
      </c>
      <c r="B170" s="363"/>
      <c r="C170" s="363"/>
      <c r="D170" s="363"/>
      <c r="E170" s="371">
        <f>thursday!S129/12</f>
        <v>0</v>
      </c>
      <c r="F170" s="75"/>
      <c r="G170" s="79"/>
      <c r="J170" s="179"/>
    </row>
    <row r="171" spans="1:10" s="78" customFormat="1" ht="30" customHeight="1" x14ac:dyDescent="0.45">
      <c r="A171" s="363" t="s">
        <v>216</v>
      </c>
      <c r="B171" s="363"/>
      <c r="C171" s="363"/>
      <c r="D171" s="363"/>
      <c r="E171" s="372">
        <f>thursday!S131</f>
        <v>0</v>
      </c>
      <c r="F171" s="75"/>
      <c r="G171" s="79"/>
      <c r="J171" s="179"/>
    </row>
    <row r="172" spans="1:10" s="78" customFormat="1" ht="30" customHeight="1" x14ac:dyDescent="0.45">
      <c r="A172" s="364" t="s">
        <v>220</v>
      </c>
      <c r="B172" s="364"/>
      <c r="C172" s="364"/>
      <c r="D172" s="364"/>
      <c r="E172" s="371">
        <f>thursday!S134/15</f>
        <v>0</v>
      </c>
      <c r="F172" s="75"/>
      <c r="G172" s="79"/>
      <c r="J172" s="179"/>
    </row>
    <row r="173" spans="1:10" s="78" customFormat="1" ht="30" customHeight="1" x14ac:dyDescent="0.45">
      <c r="A173" s="364" t="s">
        <v>222</v>
      </c>
      <c r="B173" s="364"/>
      <c r="C173" s="364"/>
      <c r="D173" s="364"/>
      <c r="E173" s="371">
        <f>thursday!S135/12</f>
        <v>0</v>
      </c>
      <c r="F173" s="75"/>
      <c r="G173" s="79"/>
      <c r="J173" s="179"/>
    </row>
    <row r="174" spans="1:10" s="78" customFormat="1" ht="30" customHeight="1" x14ac:dyDescent="0.45">
      <c r="A174" s="363" t="s">
        <v>221</v>
      </c>
      <c r="B174" s="363"/>
      <c r="C174" s="363"/>
      <c r="D174" s="363"/>
      <c r="E174" s="371">
        <f>thursday!S136/15</f>
        <v>0</v>
      </c>
      <c r="F174" s="75"/>
      <c r="G174" s="79"/>
      <c r="J174" s="179"/>
    </row>
    <row r="175" spans="1:10" s="78" customFormat="1" ht="30" customHeight="1" x14ac:dyDescent="0.45">
      <c r="A175" s="363" t="s">
        <v>277</v>
      </c>
      <c r="B175" s="363"/>
      <c r="C175" s="363"/>
      <c r="D175" s="363"/>
      <c r="E175" s="371">
        <f>thursday!S137/15</f>
        <v>0</v>
      </c>
      <c r="F175" s="75"/>
      <c r="G175" s="79"/>
      <c r="J175" s="179"/>
    </row>
    <row r="176" spans="1:10" s="78" customFormat="1" ht="34.5" x14ac:dyDescent="0.45">
      <c r="A176" s="364" t="s">
        <v>278</v>
      </c>
      <c r="B176" s="364"/>
      <c r="C176" s="364"/>
      <c r="D176" s="364"/>
      <c r="E176" s="371">
        <f>thursday!S138/15</f>
        <v>0</v>
      </c>
      <c r="F176" s="75"/>
      <c r="G176" s="79"/>
      <c r="J176" s="179"/>
    </row>
    <row r="182" spans="2:2" x14ac:dyDescent="0.2">
      <c r="B182" s="97" t="s">
        <v>102</v>
      </c>
    </row>
  </sheetData>
  <sheetProtection password="C71F" sheet="1" objects="1" scenarios="1"/>
  <autoFilter ref="A139:J139"/>
  <mergeCells count="38">
    <mergeCell ref="A165:D165"/>
    <mergeCell ref="A166:D166"/>
    <mergeCell ref="A167:D167"/>
    <mergeCell ref="A168:D168"/>
    <mergeCell ref="B150:C150"/>
    <mergeCell ref="F150:G150"/>
    <mergeCell ref="A159:A160"/>
    <mergeCell ref="A162:D162"/>
    <mergeCell ref="A163:D163"/>
    <mergeCell ref="A164:D164"/>
    <mergeCell ref="B142:C142"/>
    <mergeCell ref="F142:G142"/>
    <mergeCell ref="B60:C60"/>
    <mergeCell ref="F60:G60"/>
    <mergeCell ref="B71:C71"/>
    <mergeCell ref="F71:G71"/>
    <mergeCell ref="B100:C100"/>
    <mergeCell ref="F100:G100"/>
    <mergeCell ref="B110:C110"/>
    <mergeCell ref="F110:G110"/>
    <mergeCell ref="B122:C122"/>
    <mergeCell ref="F122:G122"/>
    <mergeCell ref="F134:G134"/>
    <mergeCell ref="B26:C26"/>
    <mergeCell ref="F26:G26"/>
    <mergeCell ref="B134:C134"/>
    <mergeCell ref="A4:E4"/>
    <mergeCell ref="B7:C7"/>
    <mergeCell ref="F7:G7"/>
    <mergeCell ref="B16:C16"/>
    <mergeCell ref="F16:G16"/>
    <mergeCell ref="B39:C39"/>
    <mergeCell ref="F39:G39"/>
    <mergeCell ref="B47:C47"/>
    <mergeCell ref="F47:G47"/>
    <mergeCell ref="B53:C53"/>
    <mergeCell ref="F53:G53"/>
    <mergeCell ref="F79:G79"/>
  </mergeCells>
  <printOptions horizontalCentered="1"/>
  <pageMargins left="0.196850393700787" right="0.196850393700787" top="0.39370078740157499" bottom="0.196850393700787" header="0.31496062992126" footer="0.31496062992126"/>
  <pageSetup paperSize="9" scale="78" orientation="portrait" r:id="rId1"/>
  <headerFooter alignWithMargins="0">
    <oddFooter>&amp;Lécole boulangerie&amp;CPage &amp;P</oddFooter>
  </headerFooter>
  <rowBreaks count="1" manualBreakCount="1">
    <brk id="158" max="6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164"/>
  <sheetViews>
    <sheetView showGridLines="0" view="pageBreakPreview" zoomScale="80" zoomScaleNormal="70" zoomScaleSheetLayoutView="80" workbookViewId="0">
      <pane xSplit="3" ySplit="3" topLeftCell="F4" activePane="bottomRight" state="frozen"/>
      <selection activeCell="A4" sqref="A4:E4"/>
      <selection pane="topRight" activeCell="A4" sqref="A4:E4"/>
      <selection pane="bottomLeft" activeCell="A4" sqref="A4:E4"/>
      <selection pane="bottomRight" activeCell="A4" sqref="A4:E4"/>
    </sheetView>
  </sheetViews>
  <sheetFormatPr defaultColWidth="11.42578125" defaultRowHeight="15" customHeight="1" x14ac:dyDescent="0.2"/>
  <cols>
    <col min="1" max="1" width="9.140625" style="374" bestFit="1" customWidth="1"/>
    <col min="2" max="2" width="52.85546875" style="340" bestFit="1" customWidth="1"/>
    <col min="3" max="3" width="6.5703125" style="19" hidden="1" customWidth="1"/>
    <col min="4" max="4" width="5.7109375" style="19" hidden="1" customWidth="1"/>
    <col min="5" max="5" width="6.140625" style="19" hidden="1" customWidth="1"/>
    <col min="6" max="6" width="11" style="290" customWidth="1"/>
    <col min="7" max="7" width="13.42578125" style="290" customWidth="1"/>
    <col min="8" max="10" width="13.42578125" style="290" hidden="1" customWidth="1"/>
    <col min="11" max="11" width="12.7109375" style="293" customWidth="1"/>
    <col min="12" max="12" width="9.28515625" style="299" bestFit="1" customWidth="1"/>
    <col min="13" max="13" width="7.5703125" style="300" customWidth="1"/>
    <col min="14" max="15" width="7.7109375" style="300" customWidth="1"/>
    <col min="16" max="16" width="7.7109375" style="300" hidden="1" customWidth="1"/>
    <col min="17" max="17" width="8" style="21" hidden="1" customWidth="1"/>
    <col min="18" max="18" width="9.7109375" style="21" hidden="1" customWidth="1"/>
    <col min="19" max="19" width="11.42578125" style="21" hidden="1" customWidth="1"/>
    <col min="20" max="20" width="25.140625" style="21" hidden="1" customWidth="1"/>
    <col min="21" max="21" width="11.42578125" style="21" hidden="1" customWidth="1"/>
    <col min="22" max="22" width="0" style="21" hidden="1" customWidth="1"/>
    <col min="23" max="16384" width="11.42578125" style="21"/>
  </cols>
  <sheetData>
    <row r="1" spans="1:22" ht="21" customHeight="1" x14ac:dyDescent="0.2">
      <c r="B1" s="340" t="s">
        <v>76</v>
      </c>
      <c r="F1" s="40">
        <v>50</v>
      </c>
      <c r="G1" s="295" t="s">
        <v>241</v>
      </c>
      <c r="H1" s="295"/>
      <c r="I1" s="295"/>
      <c r="J1" s="295"/>
      <c r="K1" s="296">
        <f>thursday!K1+1</f>
        <v>42461</v>
      </c>
      <c r="L1" s="401" t="s">
        <v>274</v>
      </c>
      <c r="M1" s="402"/>
      <c r="N1" s="402"/>
      <c r="O1" s="402"/>
      <c r="P1" s="402"/>
      <c r="Q1" s="41">
        <v>1</v>
      </c>
    </row>
    <row r="2" spans="1:22" ht="13.15" customHeight="1" x14ac:dyDescent="0.2">
      <c r="B2" s="403" t="s">
        <v>23</v>
      </c>
      <c r="C2" s="404" t="s">
        <v>78</v>
      </c>
      <c r="D2" s="404" t="s">
        <v>79</v>
      </c>
      <c r="E2" s="405" t="s">
        <v>80</v>
      </c>
      <c r="F2" s="407" t="s">
        <v>183</v>
      </c>
      <c r="G2" s="408" t="s">
        <v>81</v>
      </c>
      <c r="H2" s="319"/>
      <c r="I2" s="319"/>
      <c r="J2" s="319"/>
      <c r="K2" s="410" t="s">
        <v>82</v>
      </c>
      <c r="L2" s="411" t="s">
        <v>243</v>
      </c>
      <c r="M2" s="411" t="s">
        <v>275</v>
      </c>
      <c r="N2" s="411" t="s">
        <v>306</v>
      </c>
      <c r="O2" s="411" t="s">
        <v>307</v>
      </c>
      <c r="P2" s="411" t="s">
        <v>276</v>
      </c>
      <c r="Q2" s="413" t="s">
        <v>83</v>
      </c>
      <c r="R2" s="415" t="s">
        <v>84</v>
      </c>
    </row>
    <row r="3" spans="1:22" s="28" customFormat="1" ht="17.45" customHeight="1" thickBot="1" x14ac:dyDescent="0.25">
      <c r="A3" s="375"/>
      <c r="B3" s="403"/>
      <c r="C3" s="404"/>
      <c r="D3" s="404"/>
      <c r="E3" s="406"/>
      <c r="F3" s="407"/>
      <c r="G3" s="409"/>
      <c r="H3" s="320"/>
      <c r="I3" s="320"/>
      <c r="J3" s="320"/>
      <c r="K3" s="410"/>
      <c r="L3" s="412"/>
      <c r="M3" s="412"/>
      <c r="N3" s="412"/>
      <c r="O3" s="412"/>
      <c r="P3" s="412"/>
      <c r="Q3" s="414"/>
      <c r="R3" s="415"/>
    </row>
    <row r="4" spans="1:22" s="25" customFormat="1" ht="20.100000000000001" customHeight="1" x14ac:dyDescent="0.15">
      <c r="A4" s="376">
        <v>755730</v>
      </c>
      <c r="B4" s="341" t="s">
        <v>103</v>
      </c>
      <c r="C4" s="85">
        <f>PV!C4</f>
        <v>0.17499999999999999</v>
      </c>
      <c r="D4" s="42" t="s">
        <v>85</v>
      </c>
      <c r="E4" s="43">
        <f>IF(D4="h",PV!E4,IF(D4="M",PV!G4,PV!I4))</f>
        <v>1.1000000000000001</v>
      </c>
      <c r="F4" s="291">
        <v>30</v>
      </c>
      <c r="G4" s="291">
        <v>9</v>
      </c>
      <c r="H4" s="291"/>
      <c r="I4" s="291"/>
      <c r="J4" s="291"/>
      <c r="K4" s="373"/>
      <c r="L4" s="327"/>
      <c r="M4" s="328"/>
      <c r="N4" s="329"/>
      <c r="O4" s="329"/>
      <c r="P4" s="330"/>
      <c r="Q4" s="275">
        <f t="shared" ref="Q4:Q23" si="0">(K4*E4)</f>
        <v>0</v>
      </c>
      <c r="R4" s="280">
        <f t="shared" ref="R4:R23" si="1">K4*C4</f>
        <v>0</v>
      </c>
      <c r="U4" s="294">
        <f>K4-L4</f>
        <v>0</v>
      </c>
      <c r="V4" s="301"/>
    </row>
    <row r="5" spans="1:22" s="25" customFormat="1" ht="20.100000000000001" customHeight="1" x14ac:dyDescent="0.15">
      <c r="A5" s="376">
        <v>65846</v>
      </c>
      <c r="B5" s="341" t="s">
        <v>104</v>
      </c>
      <c r="C5" s="85">
        <f>PV!C5</f>
        <v>0.35</v>
      </c>
      <c r="D5" s="44" t="str">
        <f t="shared" ref="D5:D68" si="2">D4</f>
        <v>h</v>
      </c>
      <c r="E5" s="43">
        <f>IF(D5="h",PV!E5,IF(D5="M",PV!G5,PV!I5))</f>
        <v>1.8</v>
      </c>
      <c r="F5" s="291">
        <v>15</v>
      </c>
      <c r="G5" s="291">
        <v>16</v>
      </c>
      <c r="H5" s="291"/>
      <c r="I5" s="291"/>
      <c r="J5" s="291"/>
      <c r="K5" s="373"/>
      <c r="L5" s="331"/>
      <c r="M5" s="332"/>
      <c r="N5" s="333"/>
      <c r="O5" s="333"/>
      <c r="P5" s="334"/>
      <c r="Q5" s="275">
        <f t="shared" si="0"/>
        <v>0</v>
      </c>
      <c r="R5" s="280">
        <f t="shared" si="1"/>
        <v>0</v>
      </c>
      <c r="U5" s="294"/>
      <c r="V5" s="301"/>
    </row>
    <row r="6" spans="1:22" s="25" customFormat="1" ht="20.100000000000001" customHeight="1" x14ac:dyDescent="0.15">
      <c r="A6" s="377">
        <v>358700</v>
      </c>
      <c r="B6" s="341" t="s">
        <v>35</v>
      </c>
      <c r="C6" s="85">
        <f>PV!C6</f>
        <v>0.35</v>
      </c>
      <c r="D6" s="44" t="str">
        <f t="shared" si="2"/>
        <v>h</v>
      </c>
      <c r="E6" s="43">
        <f>IF(D6="h",PV!E6,IF(D6="M",PV!G6,PV!I6))</f>
        <v>3.45</v>
      </c>
      <c r="F6" s="291">
        <v>0</v>
      </c>
      <c r="G6" s="291">
        <v>4</v>
      </c>
      <c r="H6" s="291"/>
      <c r="I6" s="291"/>
      <c r="J6" s="291"/>
      <c r="K6" s="373"/>
      <c r="L6" s="331"/>
      <c r="M6" s="332"/>
      <c r="N6" s="333"/>
      <c r="O6" s="333"/>
      <c r="P6" s="334"/>
      <c r="Q6" s="275">
        <f t="shared" si="0"/>
        <v>0</v>
      </c>
      <c r="R6" s="280">
        <f t="shared" si="1"/>
        <v>0</v>
      </c>
      <c r="U6" s="294">
        <f t="shared" ref="U6:U37" si="3">K6-L6</f>
        <v>0</v>
      </c>
      <c r="V6" s="301"/>
    </row>
    <row r="7" spans="1:22" s="25" customFormat="1" ht="20.100000000000001" customHeight="1" x14ac:dyDescent="0.15">
      <c r="A7" s="377">
        <v>348164</v>
      </c>
      <c r="B7" s="341" t="s">
        <v>105</v>
      </c>
      <c r="C7" s="85">
        <f>PV!C7</f>
        <v>0.35</v>
      </c>
      <c r="D7" s="44" t="str">
        <f t="shared" si="2"/>
        <v>h</v>
      </c>
      <c r="E7" s="43">
        <f>IF(D7="h",PV!E7,IF(D7="M",PV!G7,PV!I7))</f>
        <v>5.95</v>
      </c>
      <c r="F7" s="291">
        <v>71</v>
      </c>
      <c r="G7" s="291">
        <v>2</v>
      </c>
      <c r="H7" s="291"/>
      <c r="I7" s="291"/>
      <c r="J7" s="291"/>
      <c r="K7" s="373"/>
      <c r="L7" s="331"/>
      <c r="M7" s="332"/>
      <c r="N7" s="333"/>
      <c r="O7" s="333"/>
      <c r="P7" s="334"/>
      <c r="Q7" s="275">
        <f t="shared" si="0"/>
        <v>0</v>
      </c>
      <c r="R7" s="280">
        <f t="shared" si="1"/>
        <v>0</v>
      </c>
      <c r="U7" s="294">
        <f t="shared" si="3"/>
        <v>0</v>
      </c>
      <c r="V7" s="301"/>
    </row>
    <row r="8" spans="1:22" s="25" customFormat="1" ht="20.100000000000001" customHeight="1" x14ac:dyDescent="0.15">
      <c r="A8" s="377">
        <v>358194</v>
      </c>
      <c r="B8" s="341" t="s">
        <v>106</v>
      </c>
      <c r="C8" s="85">
        <f>PV!C8</f>
        <v>0.35</v>
      </c>
      <c r="D8" s="44" t="str">
        <f t="shared" si="2"/>
        <v>h</v>
      </c>
      <c r="E8" s="43">
        <f>IF(D8="h",PV!E8,IF(D8="M",PV!G8,PV!I8))</f>
        <v>5.5</v>
      </c>
      <c r="F8" s="291">
        <v>6</v>
      </c>
      <c r="G8" s="291">
        <v>5</v>
      </c>
      <c r="H8" s="291"/>
      <c r="I8" s="291"/>
      <c r="J8" s="291"/>
      <c r="K8" s="373"/>
      <c r="L8" s="331"/>
      <c r="M8" s="332"/>
      <c r="N8" s="333"/>
      <c r="O8" s="333"/>
      <c r="P8" s="334"/>
      <c r="Q8" s="275">
        <f t="shared" si="0"/>
        <v>0</v>
      </c>
      <c r="R8" s="280">
        <f t="shared" si="1"/>
        <v>0</v>
      </c>
      <c r="U8" s="294">
        <f t="shared" si="3"/>
        <v>0</v>
      </c>
      <c r="V8" s="301"/>
    </row>
    <row r="9" spans="1:22" s="25" customFormat="1" ht="20.100000000000001" customHeight="1" x14ac:dyDescent="0.15">
      <c r="A9" s="377">
        <v>65888</v>
      </c>
      <c r="B9" s="336" t="s">
        <v>305</v>
      </c>
      <c r="C9" s="85">
        <f>PV!C9</f>
        <v>0.35</v>
      </c>
      <c r="D9" s="44" t="str">
        <f t="shared" si="2"/>
        <v>h</v>
      </c>
      <c r="E9" s="43">
        <f>IF(D9="h",PV!E9,IF(D9="M",PV!G9,PV!I9))</f>
        <v>5.5</v>
      </c>
      <c r="F9" s="291">
        <v>0</v>
      </c>
      <c r="G9" s="291">
        <v>5</v>
      </c>
      <c r="H9" s="291"/>
      <c r="I9" s="291"/>
      <c r="J9" s="291"/>
      <c r="K9" s="373"/>
      <c r="L9" s="331"/>
      <c r="M9" s="332"/>
      <c r="N9" s="333"/>
      <c r="O9" s="333"/>
      <c r="P9" s="334"/>
      <c r="Q9" s="275">
        <f t="shared" si="0"/>
        <v>0</v>
      </c>
      <c r="R9" s="280">
        <f t="shared" si="1"/>
        <v>0</v>
      </c>
      <c r="U9" s="294">
        <f t="shared" si="3"/>
        <v>0</v>
      </c>
      <c r="V9" s="301"/>
    </row>
    <row r="10" spans="1:22" s="25" customFormat="1" ht="20.100000000000001" customHeight="1" x14ac:dyDescent="0.15">
      <c r="A10" s="377">
        <v>65850</v>
      </c>
      <c r="B10" s="341" t="s">
        <v>108</v>
      </c>
      <c r="C10" s="85">
        <f>PV!C10</f>
        <v>0.35</v>
      </c>
      <c r="D10" s="44" t="str">
        <f t="shared" si="2"/>
        <v>h</v>
      </c>
      <c r="E10" s="43">
        <f>IF(D10="h",PV!E10,IF(D10="M",PV!G10,PV!I10))</f>
        <v>3.45</v>
      </c>
      <c r="F10" s="291">
        <v>5</v>
      </c>
      <c r="G10" s="291">
        <v>5</v>
      </c>
      <c r="H10" s="291"/>
      <c r="I10" s="291"/>
      <c r="J10" s="291"/>
      <c r="K10" s="373"/>
      <c r="L10" s="331"/>
      <c r="M10" s="332"/>
      <c r="N10" s="333"/>
      <c r="O10" s="333"/>
      <c r="P10" s="334"/>
      <c r="Q10" s="275">
        <f t="shared" si="0"/>
        <v>0</v>
      </c>
      <c r="R10" s="280">
        <f t="shared" si="1"/>
        <v>0</v>
      </c>
      <c r="U10" s="294">
        <f t="shared" si="3"/>
        <v>0</v>
      </c>
      <c r="V10" s="301"/>
    </row>
    <row r="11" spans="1:22" s="25" customFormat="1" ht="20.100000000000001" customHeight="1" x14ac:dyDescent="0.15">
      <c r="A11" s="377">
        <v>65852</v>
      </c>
      <c r="B11" s="341" t="s">
        <v>109</v>
      </c>
      <c r="C11" s="85">
        <f>PV!C11</f>
        <v>0.35</v>
      </c>
      <c r="D11" s="44" t="str">
        <f t="shared" si="2"/>
        <v>h</v>
      </c>
      <c r="E11" s="43">
        <f>IF(D11="h",PV!E11,IF(D11="M",PV!G11,PV!I11))</f>
        <v>1.95</v>
      </c>
      <c r="F11" s="291">
        <v>258</v>
      </c>
      <c r="G11" s="291">
        <v>280</v>
      </c>
      <c r="H11" s="291"/>
      <c r="I11" s="291"/>
      <c r="J11" s="291"/>
      <c r="K11" s="373"/>
      <c r="L11" s="331"/>
      <c r="M11" s="332"/>
      <c r="N11" s="333"/>
      <c r="O11" s="333"/>
      <c r="P11" s="334"/>
      <c r="Q11" s="275">
        <f t="shared" si="0"/>
        <v>0</v>
      </c>
      <c r="R11" s="280">
        <f t="shared" si="1"/>
        <v>0</v>
      </c>
      <c r="U11" s="294">
        <f t="shared" si="3"/>
        <v>0</v>
      </c>
      <c r="V11" s="301"/>
    </row>
    <row r="12" spans="1:22" s="25" customFormat="1" ht="20.100000000000001" customHeight="1" x14ac:dyDescent="0.15">
      <c r="A12" s="377">
        <v>303831</v>
      </c>
      <c r="B12" s="336" t="s">
        <v>110</v>
      </c>
      <c r="C12" s="85">
        <f>PV!C12</f>
        <v>0.35</v>
      </c>
      <c r="D12" s="44" t="str">
        <f t="shared" si="2"/>
        <v>h</v>
      </c>
      <c r="E12" s="43">
        <f>IF(D12="h",PV!E12,IF(D12="M",PV!G12,PV!I12))</f>
        <v>2.5</v>
      </c>
      <c r="F12" s="291">
        <v>16</v>
      </c>
      <c r="G12" s="291">
        <v>7</v>
      </c>
      <c r="H12" s="291"/>
      <c r="I12" s="291"/>
      <c r="J12" s="291"/>
      <c r="K12" s="373"/>
      <c r="L12" s="331"/>
      <c r="M12" s="332"/>
      <c r="N12" s="333"/>
      <c r="O12" s="333"/>
      <c r="P12" s="334"/>
      <c r="Q12" s="275">
        <f t="shared" si="0"/>
        <v>0</v>
      </c>
      <c r="R12" s="280">
        <f t="shared" si="1"/>
        <v>0</v>
      </c>
      <c r="U12" s="294">
        <f t="shared" si="3"/>
        <v>0</v>
      </c>
      <c r="V12" s="301"/>
    </row>
    <row r="13" spans="1:22" s="25" customFormat="1" ht="20.100000000000001" customHeight="1" x14ac:dyDescent="0.15">
      <c r="A13" s="377">
        <v>292745</v>
      </c>
      <c r="B13" s="341" t="s">
        <v>111</v>
      </c>
      <c r="C13" s="85">
        <f>PV!C13</f>
        <v>0.48</v>
      </c>
      <c r="D13" s="44" t="str">
        <f t="shared" si="2"/>
        <v>h</v>
      </c>
      <c r="E13" s="43">
        <f>IF(D13="h",PV!E13,IF(D13="M",PV!G13,PV!I13))</f>
        <v>2.95</v>
      </c>
      <c r="F13" s="291">
        <v>94</v>
      </c>
      <c r="G13" s="291">
        <v>67</v>
      </c>
      <c r="H13" s="291"/>
      <c r="I13" s="291"/>
      <c r="J13" s="291"/>
      <c r="K13" s="373"/>
      <c r="L13" s="331"/>
      <c r="M13" s="332"/>
      <c r="N13" s="333"/>
      <c r="O13" s="333"/>
      <c r="P13" s="334"/>
      <c r="Q13" s="275">
        <f t="shared" si="0"/>
        <v>0</v>
      </c>
      <c r="R13" s="280">
        <f t="shared" si="1"/>
        <v>0</v>
      </c>
      <c r="U13" s="294">
        <f t="shared" si="3"/>
        <v>0</v>
      </c>
      <c r="V13" s="301"/>
    </row>
    <row r="14" spans="1:22" s="25" customFormat="1" ht="20.100000000000001" customHeight="1" x14ac:dyDescent="0.15">
      <c r="A14" s="377">
        <v>65890</v>
      </c>
      <c r="B14" s="341" t="s">
        <v>30</v>
      </c>
      <c r="C14" s="85">
        <f>PV!C14</f>
        <v>1.165</v>
      </c>
      <c r="D14" s="44" t="str">
        <f t="shared" si="2"/>
        <v>h</v>
      </c>
      <c r="E14" s="43">
        <f>IF(D14="h",PV!E14,IF(D14="M",PV!G14,PV!I14))</f>
        <v>8.4499999999999993</v>
      </c>
      <c r="F14" s="291">
        <v>24</v>
      </c>
      <c r="G14" s="291">
        <v>27</v>
      </c>
      <c r="H14" s="291"/>
      <c r="I14" s="291"/>
      <c r="J14" s="291"/>
      <c r="K14" s="373"/>
      <c r="L14" s="331"/>
      <c r="M14" s="332"/>
      <c r="N14" s="333"/>
      <c r="O14" s="333"/>
      <c r="P14" s="334"/>
      <c r="Q14" s="275">
        <f t="shared" si="0"/>
        <v>0</v>
      </c>
      <c r="R14" s="280">
        <f t="shared" si="1"/>
        <v>0</v>
      </c>
      <c r="U14" s="294">
        <f t="shared" si="3"/>
        <v>0</v>
      </c>
      <c r="V14" s="301"/>
    </row>
    <row r="15" spans="1:22" s="25" customFormat="1" ht="20.100000000000001" customHeight="1" x14ac:dyDescent="0.15">
      <c r="A15" s="377">
        <v>65892</v>
      </c>
      <c r="B15" s="341" t="s">
        <v>29</v>
      </c>
      <c r="C15" s="85">
        <f>PV!C15</f>
        <v>0.58499999999999996</v>
      </c>
      <c r="D15" s="44" t="str">
        <f t="shared" si="2"/>
        <v>h</v>
      </c>
      <c r="E15" s="43">
        <f>IF(D15="h",PV!E15,IF(D15="M",PV!G15,PV!I15))</f>
        <v>5.5</v>
      </c>
      <c r="F15" s="291">
        <v>24</v>
      </c>
      <c r="G15" s="291">
        <v>10</v>
      </c>
      <c r="H15" s="291"/>
      <c r="I15" s="291"/>
      <c r="J15" s="291"/>
      <c r="K15" s="373"/>
      <c r="L15" s="331"/>
      <c r="M15" s="332"/>
      <c r="N15" s="333"/>
      <c r="O15" s="333"/>
      <c r="P15" s="334"/>
      <c r="Q15" s="275">
        <f t="shared" si="0"/>
        <v>0</v>
      </c>
      <c r="R15" s="280">
        <f t="shared" si="1"/>
        <v>0</v>
      </c>
      <c r="U15" s="294">
        <f t="shared" si="3"/>
        <v>0</v>
      </c>
      <c r="V15" s="301"/>
    </row>
    <row r="16" spans="1:22" s="25" customFormat="1" ht="20.100000000000001" customHeight="1" x14ac:dyDescent="0.15">
      <c r="A16" s="377">
        <v>886852</v>
      </c>
      <c r="B16" s="336" t="s">
        <v>303</v>
      </c>
      <c r="C16" s="85">
        <f>PV!C16</f>
        <v>1.165</v>
      </c>
      <c r="D16" s="44" t="str">
        <f t="shared" si="2"/>
        <v>h</v>
      </c>
      <c r="E16" s="43">
        <f>IF(D16="h",PV!E16,IF(D16="M",PV!G16,PV!I16))</f>
        <v>8.4499999999999993</v>
      </c>
      <c r="F16" s="291">
        <v>1</v>
      </c>
      <c r="G16" s="291">
        <v>1</v>
      </c>
      <c r="H16" s="291"/>
      <c r="I16" s="291"/>
      <c r="J16" s="291"/>
      <c r="K16" s="373"/>
      <c r="L16" s="331"/>
      <c r="M16" s="332"/>
      <c r="N16" s="333"/>
      <c r="O16" s="333"/>
      <c r="P16" s="334"/>
      <c r="Q16" s="275">
        <f t="shared" si="0"/>
        <v>0</v>
      </c>
      <c r="R16" s="280">
        <f t="shared" si="1"/>
        <v>0</v>
      </c>
      <c r="U16" s="294">
        <f t="shared" si="3"/>
        <v>0</v>
      </c>
      <c r="V16" s="301"/>
    </row>
    <row r="17" spans="1:22" s="25" customFormat="1" ht="20.100000000000001" customHeight="1" x14ac:dyDescent="0.15">
      <c r="A17" s="377">
        <v>886849</v>
      </c>
      <c r="B17" s="341" t="s">
        <v>304</v>
      </c>
      <c r="C17" s="85">
        <f>PV!C17</f>
        <v>0.58499999999999996</v>
      </c>
      <c r="D17" s="44" t="str">
        <f t="shared" si="2"/>
        <v>h</v>
      </c>
      <c r="E17" s="43">
        <f>IF(D17="h",PV!E17,IF(D17="M",PV!G17,PV!I17))</f>
        <v>5.5</v>
      </c>
      <c r="F17" s="291">
        <v>2</v>
      </c>
      <c r="G17" s="291">
        <v>0</v>
      </c>
      <c r="H17" s="291"/>
      <c r="I17" s="291"/>
      <c r="J17" s="291"/>
      <c r="K17" s="373"/>
      <c r="L17" s="331"/>
      <c r="M17" s="332"/>
      <c r="N17" s="333"/>
      <c r="O17" s="333"/>
      <c r="P17" s="334"/>
      <c r="Q17" s="275">
        <f t="shared" si="0"/>
        <v>0</v>
      </c>
      <c r="R17" s="280">
        <f t="shared" si="1"/>
        <v>0</v>
      </c>
      <c r="U17" s="294">
        <f t="shared" si="3"/>
        <v>0</v>
      </c>
      <c r="V17" s="301"/>
    </row>
    <row r="18" spans="1:22" s="25" customFormat="1" ht="20.100000000000001" customHeight="1" x14ac:dyDescent="0.15">
      <c r="A18" s="377">
        <v>65897</v>
      </c>
      <c r="B18" s="341" t="s">
        <v>36</v>
      </c>
      <c r="C18" s="85">
        <f>PV!C18</f>
        <v>0.24</v>
      </c>
      <c r="D18" s="44" t="str">
        <f t="shared" si="2"/>
        <v>h</v>
      </c>
      <c r="E18" s="43">
        <f>IF(D18="h",PV!E18,IF(D18="M",PV!G18,PV!I18))</f>
        <v>3</v>
      </c>
      <c r="F18" s="291">
        <v>30</v>
      </c>
      <c r="G18" s="291">
        <v>34</v>
      </c>
      <c r="H18" s="291"/>
      <c r="I18" s="291"/>
      <c r="J18" s="291"/>
      <c r="K18" s="373"/>
      <c r="L18" s="331"/>
      <c r="M18" s="332"/>
      <c r="N18" s="333"/>
      <c r="O18" s="333"/>
      <c r="P18" s="334"/>
      <c r="Q18" s="275">
        <f t="shared" si="0"/>
        <v>0</v>
      </c>
      <c r="R18" s="280">
        <f t="shared" si="1"/>
        <v>0</v>
      </c>
      <c r="U18" s="294">
        <f t="shared" si="3"/>
        <v>0</v>
      </c>
      <c r="V18" s="301"/>
    </row>
    <row r="19" spans="1:22" s="25" customFormat="1" ht="20.100000000000001" customHeight="1" x14ac:dyDescent="0.15">
      <c r="A19" s="377">
        <v>403773</v>
      </c>
      <c r="B19" s="341" t="s">
        <v>112</v>
      </c>
      <c r="C19" s="85">
        <f>PV!C19</f>
        <v>0.24</v>
      </c>
      <c r="D19" s="44" t="str">
        <f t="shared" si="2"/>
        <v>h</v>
      </c>
      <c r="E19" s="43">
        <f>IF(D19="h",PV!E19,IF(D19="M",PV!G19,PV!I19))</f>
        <v>3.75</v>
      </c>
      <c r="F19" s="291">
        <v>0</v>
      </c>
      <c r="G19" s="291">
        <v>0</v>
      </c>
      <c r="H19" s="291"/>
      <c r="I19" s="291"/>
      <c r="J19" s="291"/>
      <c r="K19" s="373"/>
      <c r="L19" s="331"/>
      <c r="M19" s="332"/>
      <c r="N19" s="333"/>
      <c r="O19" s="333"/>
      <c r="P19" s="334"/>
      <c r="Q19" s="275">
        <f t="shared" si="0"/>
        <v>0</v>
      </c>
      <c r="R19" s="280">
        <f t="shared" si="1"/>
        <v>0</v>
      </c>
      <c r="U19" s="294">
        <f t="shared" si="3"/>
        <v>0</v>
      </c>
      <c r="V19" s="301"/>
    </row>
    <row r="20" spans="1:22" s="25" customFormat="1" ht="20.100000000000001" customHeight="1" x14ac:dyDescent="0.15">
      <c r="A20" s="377">
        <v>886858</v>
      </c>
      <c r="B20" s="336" t="s">
        <v>113</v>
      </c>
      <c r="C20" s="85">
        <f>PV!C20</f>
        <v>0.7</v>
      </c>
      <c r="D20" s="44" t="str">
        <f t="shared" si="2"/>
        <v>h</v>
      </c>
      <c r="E20" s="43">
        <f>IF(D20="h",PV!E20,IF(D20="M",PV!G20,PV!I20))</f>
        <v>6.45</v>
      </c>
      <c r="F20" s="291">
        <v>2</v>
      </c>
      <c r="G20" s="291">
        <v>2</v>
      </c>
      <c r="H20" s="291"/>
      <c r="I20" s="291"/>
      <c r="J20" s="291"/>
      <c r="K20" s="373"/>
      <c r="L20" s="331"/>
      <c r="M20" s="332"/>
      <c r="N20" s="333"/>
      <c r="O20" s="333"/>
      <c r="P20" s="334"/>
      <c r="Q20" s="275">
        <f t="shared" si="0"/>
        <v>0</v>
      </c>
      <c r="R20" s="280">
        <f t="shared" si="1"/>
        <v>0</v>
      </c>
      <c r="U20" s="294">
        <f t="shared" si="3"/>
        <v>0</v>
      </c>
      <c r="V20" s="301"/>
    </row>
    <row r="21" spans="1:22" s="25" customFormat="1" ht="20.100000000000001" customHeight="1" x14ac:dyDescent="0.15">
      <c r="A21" s="377">
        <v>886854</v>
      </c>
      <c r="B21" s="341" t="s">
        <v>114</v>
      </c>
      <c r="C21" s="85">
        <f>PV!C21</f>
        <v>0.35</v>
      </c>
      <c r="D21" s="44" t="str">
        <f t="shared" si="2"/>
        <v>h</v>
      </c>
      <c r="E21" s="43">
        <f>IF(D21="h",PV!E21,IF(D21="M",PV!G21,PV!I21))</f>
        <v>3.75</v>
      </c>
      <c r="F21" s="291">
        <v>3</v>
      </c>
      <c r="G21" s="291">
        <v>4</v>
      </c>
      <c r="H21" s="291"/>
      <c r="I21" s="291"/>
      <c r="J21" s="291"/>
      <c r="K21" s="373"/>
      <c r="L21" s="331"/>
      <c r="M21" s="332"/>
      <c r="N21" s="333"/>
      <c r="O21" s="333"/>
      <c r="P21" s="334"/>
      <c r="Q21" s="275">
        <f t="shared" si="0"/>
        <v>0</v>
      </c>
      <c r="R21" s="280">
        <f t="shared" si="1"/>
        <v>0</v>
      </c>
      <c r="U21" s="294">
        <f t="shared" si="3"/>
        <v>0</v>
      </c>
      <c r="V21" s="301"/>
    </row>
    <row r="22" spans="1:22" s="25" customFormat="1" ht="20.100000000000001" customHeight="1" x14ac:dyDescent="0.15">
      <c r="A22" s="377">
        <v>65929</v>
      </c>
      <c r="B22" s="341" t="s">
        <v>32</v>
      </c>
      <c r="C22" s="85">
        <f>PV!C22</f>
        <v>0.7</v>
      </c>
      <c r="D22" s="44" t="str">
        <f t="shared" si="2"/>
        <v>h</v>
      </c>
      <c r="E22" s="43">
        <f>IF(D22="h",PV!E22,IF(D22="M",PV!G22,PV!I22))</f>
        <v>6.45</v>
      </c>
      <c r="F22" s="291">
        <v>32</v>
      </c>
      <c r="G22" s="291">
        <v>33</v>
      </c>
      <c r="H22" s="291"/>
      <c r="I22" s="291"/>
      <c r="J22" s="291"/>
      <c r="K22" s="373"/>
      <c r="L22" s="331"/>
      <c r="M22" s="332"/>
      <c r="N22" s="333"/>
      <c r="O22" s="333"/>
      <c r="P22" s="334"/>
      <c r="Q22" s="275">
        <f t="shared" si="0"/>
        <v>0</v>
      </c>
      <c r="R22" s="280">
        <f t="shared" si="1"/>
        <v>0</v>
      </c>
      <c r="U22" s="294">
        <f t="shared" si="3"/>
        <v>0</v>
      </c>
      <c r="V22" s="301"/>
    </row>
    <row r="23" spans="1:22" s="25" customFormat="1" ht="18.75" customHeight="1" x14ac:dyDescent="0.15">
      <c r="A23" s="335">
        <v>65926</v>
      </c>
      <c r="B23" s="341" t="s">
        <v>31</v>
      </c>
      <c r="C23" s="85">
        <f>PV!C23</f>
        <v>0.35</v>
      </c>
      <c r="D23" s="44" t="str">
        <f t="shared" si="2"/>
        <v>h</v>
      </c>
      <c r="E23" s="43">
        <f>IF(D23="h",PV!E23,IF(D23="M",PV!G23,PV!I23))</f>
        <v>3.75</v>
      </c>
      <c r="F23" s="291">
        <v>12</v>
      </c>
      <c r="G23" s="291">
        <v>14</v>
      </c>
      <c r="H23" s="291"/>
      <c r="I23" s="291"/>
      <c r="J23" s="291"/>
      <c r="K23" s="373"/>
      <c r="L23" s="331"/>
      <c r="M23" s="332"/>
      <c r="N23" s="333"/>
      <c r="O23" s="333"/>
      <c r="P23" s="334"/>
      <c r="Q23" s="275">
        <f t="shared" si="0"/>
        <v>0</v>
      </c>
      <c r="R23" s="280">
        <f t="shared" si="1"/>
        <v>0</v>
      </c>
      <c r="U23" s="294">
        <f t="shared" si="3"/>
        <v>0</v>
      </c>
      <c r="V23" s="301"/>
    </row>
    <row r="24" spans="1:22" s="25" customFormat="1" ht="9.75" customHeight="1" x14ac:dyDescent="0.2">
      <c r="A24" s="378"/>
      <c r="B24" s="342"/>
      <c r="C24" s="85">
        <f>PV!C24</f>
        <v>0</v>
      </c>
      <c r="D24" s="44" t="str">
        <f t="shared" si="2"/>
        <v>h</v>
      </c>
      <c r="E24" s="43">
        <f>IF(D24="h",PV!E24,IF(D24="M",PV!G24,PV!I24))</f>
        <v>0</v>
      </c>
      <c r="F24" s="291">
        <v>0</v>
      </c>
      <c r="G24" s="291">
        <v>0</v>
      </c>
      <c r="H24" s="291"/>
      <c r="I24" s="291"/>
      <c r="J24" s="291"/>
      <c r="K24" s="373"/>
      <c r="L24" s="331"/>
      <c r="M24" s="332"/>
      <c r="N24" s="333"/>
      <c r="O24" s="333"/>
      <c r="P24" s="334"/>
      <c r="Q24" s="276"/>
      <c r="R24" s="281">
        <f>SUM(R4:R23)</f>
        <v>0</v>
      </c>
      <c r="U24" s="294">
        <f t="shared" si="3"/>
        <v>0</v>
      </c>
      <c r="V24" s="301"/>
    </row>
    <row r="25" spans="1:22" s="25" customFormat="1" ht="16.149999999999999" customHeight="1" x14ac:dyDescent="0.2">
      <c r="A25" s="379">
        <v>206112</v>
      </c>
      <c r="B25" s="343" t="s">
        <v>301</v>
      </c>
      <c r="C25" s="85">
        <f>PV!C25</f>
        <v>0.72</v>
      </c>
      <c r="D25" s="44" t="str">
        <f t="shared" si="2"/>
        <v>h</v>
      </c>
      <c r="E25" s="43">
        <f>IF(D25="h",PV!E25,IF(D25="M",PV!G25,PV!I25))</f>
        <v>7.95</v>
      </c>
      <c r="F25" s="291">
        <v>0</v>
      </c>
      <c r="G25" s="291">
        <v>0</v>
      </c>
      <c r="H25" s="291"/>
      <c r="I25" s="291"/>
      <c r="J25" s="291"/>
      <c r="K25" s="373"/>
      <c r="L25" s="331"/>
      <c r="M25" s="332"/>
      <c r="N25" s="333"/>
      <c r="O25" s="333"/>
      <c r="P25" s="334"/>
      <c r="Q25" s="275">
        <f>(K25*E25)</f>
        <v>0</v>
      </c>
      <c r="R25" s="280">
        <f>K25*C25</f>
        <v>0</v>
      </c>
      <c r="U25" s="294">
        <f t="shared" si="3"/>
        <v>0</v>
      </c>
      <c r="V25" s="301"/>
    </row>
    <row r="26" spans="1:22" s="25" customFormat="1" ht="18.75" customHeight="1" x14ac:dyDescent="0.2">
      <c r="A26" s="379">
        <v>206120</v>
      </c>
      <c r="B26" s="343" t="s">
        <v>302</v>
      </c>
      <c r="C26" s="85">
        <f>PV!C26</f>
        <v>0.36</v>
      </c>
      <c r="D26" s="44" t="str">
        <f t="shared" si="2"/>
        <v>h</v>
      </c>
      <c r="E26" s="43">
        <f>IF(D26="h",PV!E26,IF(D26="M",PV!G26,PV!I26))</f>
        <v>4.95</v>
      </c>
      <c r="F26" s="291">
        <v>2</v>
      </c>
      <c r="G26" s="291">
        <v>4</v>
      </c>
      <c r="H26" s="291"/>
      <c r="I26" s="291"/>
      <c r="J26" s="291"/>
      <c r="K26" s="373"/>
      <c r="L26" s="331"/>
      <c r="M26" s="332"/>
      <c r="N26" s="333"/>
      <c r="O26" s="333"/>
      <c r="P26" s="334"/>
      <c r="Q26" s="275">
        <f>(K26*E26)</f>
        <v>0</v>
      </c>
      <c r="R26" s="280">
        <f>K26*C26</f>
        <v>0</v>
      </c>
      <c r="U26" s="294">
        <f t="shared" si="3"/>
        <v>0</v>
      </c>
      <c r="V26" s="301"/>
    </row>
    <row r="27" spans="1:22" s="25" customFormat="1" ht="18.75" customHeight="1" x14ac:dyDescent="0.2">
      <c r="A27" s="379">
        <v>65864</v>
      </c>
      <c r="B27" s="343" t="s">
        <v>136</v>
      </c>
      <c r="C27" s="85">
        <f>PV!C27</f>
        <v>0.48</v>
      </c>
      <c r="D27" s="44" t="str">
        <f t="shared" si="2"/>
        <v>h</v>
      </c>
      <c r="E27" s="43">
        <f>IF(D27="h",PV!E27,IF(D27="M",PV!G27,PV!I27))</f>
        <v>5.5</v>
      </c>
      <c r="F27" s="291">
        <v>7</v>
      </c>
      <c r="G27" s="291">
        <v>7</v>
      </c>
      <c r="H27" s="291"/>
      <c r="I27" s="291"/>
      <c r="J27" s="291"/>
      <c r="K27" s="373"/>
      <c r="L27" s="331"/>
      <c r="M27" s="332"/>
      <c r="N27" s="333"/>
      <c r="O27" s="333"/>
      <c r="P27" s="334"/>
      <c r="Q27" s="275">
        <f>(K27*E27)</f>
        <v>0</v>
      </c>
      <c r="R27" s="280">
        <f>K27*C27</f>
        <v>0</v>
      </c>
      <c r="U27" s="294">
        <f t="shared" si="3"/>
        <v>0</v>
      </c>
      <c r="V27" s="301"/>
    </row>
    <row r="28" spans="1:22" s="25" customFormat="1" ht="18.75" customHeight="1" x14ac:dyDescent="0.2">
      <c r="A28" s="379">
        <v>1263736</v>
      </c>
      <c r="B28" s="343" t="s">
        <v>273</v>
      </c>
      <c r="C28" s="85">
        <f>PV!C28</f>
        <v>0.47499999999999998</v>
      </c>
      <c r="D28" s="44" t="str">
        <f t="shared" si="2"/>
        <v>h</v>
      </c>
      <c r="E28" s="43">
        <f>IF(D28="h",PV!E28,IF(D28="M",PV!G28,PV!I28))</f>
        <v>5.5</v>
      </c>
      <c r="F28" s="291">
        <v>9</v>
      </c>
      <c r="G28" s="291">
        <v>4</v>
      </c>
      <c r="H28" s="291"/>
      <c r="I28" s="291"/>
      <c r="J28" s="291"/>
      <c r="K28" s="373"/>
      <c r="L28" s="331"/>
      <c r="M28" s="332"/>
      <c r="N28" s="333"/>
      <c r="O28" s="333"/>
      <c r="P28" s="334"/>
      <c r="Q28" s="275">
        <f>(K28*E28)</f>
        <v>0</v>
      </c>
      <c r="R28" s="280">
        <f>K28*C28</f>
        <v>0</v>
      </c>
      <c r="U28" s="294">
        <f t="shared" si="3"/>
        <v>0</v>
      </c>
      <c r="V28" s="301"/>
    </row>
    <row r="29" spans="1:22" s="36" customFormat="1" ht="18.600000000000001" customHeight="1" x14ac:dyDescent="0.2">
      <c r="A29" s="380">
        <v>68789</v>
      </c>
      <c r="B29" s="344" t="s">
        <v>137</v>
      </c>
      <c r="C29" s="85">
        <f>PV!C29</f>
        <v>0.35</v>
      </c>
      <c r="D29" s="44" t="str">
        <f t="shared" si="2"/>
        <v>h</v>
      </c>
      <c r="E29" s="43">
        <f>IF(D29="h",PV!E29,IF(D29="M",PV!G29,PV!I29))</f>
        <v>3.5</v>
      </c>
      <c r="F29" s="291">
        <v>5</v>
      </c>
      <c r="G29" s="291">
        <v>11</v>
      </c>
      <c r="H29" s="291"/>
      <c r="I29" s="291"/>
      <c r="J29" s="291"/>
      <c r="K29" s="373"/>
      <c r="L29" s="331"/>
      <c r="M29" s="332"/>
      <c r="N29" s="333"/>
      <c r="O29" s="333"/>
      <c r="P29" s="334"/>
      <c r="Q29" s="275">
        <f>(K29*E29)</f>
        <v>0</v>
      </c>
      <c r="R29" s="280">
        <f>K29*C29</f>
        <v>0</v>
      </c>
      <c r="U29" s="294">
        <f t="shared" si="3"/>
        <v>0</v>
      </c>
      <c r="V29" s="302"/>
    </row>
    <row r="30" spans="1:22" s="25" customFormat="1" ht="0.6" customHeight="1" x14ac:dyDescent="0.15">
      <c r="A30" s="376"/>
      <c r="B30" s="345"/>
      <c r="C30" s="85">
        <f>PV!C30</f>
        <v>0</v>
      </c>
      <c r="D30" s="44" t="str">
        <f t="shared" si="2"/>
        <v>h</v>
      </c>
      <c r="E30" s="43">
        <f>IF(D30="h",PV!E30,IF(D30="M",PV!G30,PV!I30))</f>
        <v>0</v>
      </c>
      <c r="F30" s="291">
        <v>0</v>
      </c>
      <c r="G30" s="291">
        <v>0</v>
      </c>
      <c r="H30" s="291"/>
      <c r="I30" s="291"/>
      <c r="J30" s="291"/>
      <c r="K30" s="373"/>
      <c r="L30" s="331"/>
      <c r="M30" s="332"/>
      <c r="N30" s="333"/>
      <c r="O30" s="333"/>
      <c r="P30" s="334"/>
      <c r="Q30" s="277"/>
      <c r="R30" s="281">
        <f>SUM(R25:R29)</f>
        <v>0</v>
      </c>
      <c r="U30" s="294">
        <f t="shared" si="3"/>
        <v>0</v>
      </c>
      <c r="V30" s="301"/>
    </row>
    <row r="31" spans="1:22" s="25" customFormat="1" ht="20.100000000000001" customHeight="1" x14ac:dyDescent="0.15">
      <c r="A31" s="377">
        <v>445146</v>
      </c>
      <c r="B31" s="341" t="s">
        <v>132</v>
      </c>
      <c r="C31" s="85">
        <f>PV!C31</f>
        <v>0.48</v>
      </c>
      <c r="D31" s="44" t="str">
        <f t="shared" si="2"/>
        <v>h</v>
      </c>
      <c r="E31" s="43">
        <f>IF(D31="h",PV!E31,IF(D31="M",PV!G31,PV!I31))</f>
        <v>5.95</v>
      </c>
      <c r="F31" s="291">
        <v>6</v>
      </c>
      <c r="G31" s="291">
        <v>5</v>
      </c>
      <c r="H31" s="291"/>
      <c r="I31" s="291"/>
      <c r="J31" s="291"/>
      <c r="K31" s="373"/>
      <c r="L31" s="331"/>
      <c r="M31" s="332"/>
      <c r="N31" s="333"/>
      <c r="O31" s="333"/>
      <c r="P31" s="334"/>
      <c r="Q31" s="275">
        <f>(K31*E31)</f>
        <v>0</v>
      </c>
      <c r="R31" s="280">
        <f>K31*C31</f>
        <v>0</v>
      </c>
      <c r="U31" s="294">
        <f t="shared" si="3"/>
        <v>0</v>
      </c>
      <c r="V31" s="301"/>
    </row>
    <row r="32" spans="1:22" s="25" customFormat="1" ht="0.6" customHeight="1" x14ac:dyDescent="0.15">
      <c r="A32" s="377"/>
      <c r="B32" s="341"/>
      <c r="C32" s="85">
        <f>PV!C32</f>
        <v>0</v>
      </c>
      <c r="D32" s="44" t="str">
        <f t="shared" si="2"/>
        <v>h</v>
      </c>
      <c r="E32" s="43">
        <f>IF(D32="h",PV!E32,IF(D32="M",PV!G32,PV!I32))</f>
        <v>0</v>
      </c>
      <c r="F32" s="291">
        <v>0</v>
      </c>
      <c r="G32" s="291">
        <v>0</v>
      </c>
      <c r="H32" s="291"/>
      <c r="I32" s="291"/>
      <c r="J32" s="291"/>
      <c r="K32" s="373"/>
      <c r="L32" s="331"/>
      <c r="M32" s="332"/>
      <c r="N32" s="333"/>
      <c r="O32" s="333"/>
      <c r="P32" s="334"/>
      <c r="Q32" s="275"/>
      <c r="R32" s="280"/>
      <c r="U32" s="294">
        <f t="shared" si="3"/>
        <v>0</v>
      </c>
      <c r="V32" s="301"/>
    </row>
    <row r="33" spans="1:22" s="25" customFormat="1" ht="22.5" x14ac:dyDescent="0.25">
      <c r="A33" s="381">
        <v>951452</v>
      </c>
      <c r="B33" s="346" t="s">
        <v>163</v>
      </c>
      <c r="C33" s="85">
        <f>PV!C33</f>
        <v>0.45</v>
      </c>
      <c r="D33" s="44" t="str">
        <f t="shared" si="2"/>
        <v>h</v>
      </c>
      <c r="E33" s="43">
        <f>IF(D33="h",PV!E33,IF(D33="M",PV!G33,PV!I33))</f>
        <v>4.95</v>
      </c>
      <c r="F33" s="291">
        <v>0</v>
      </c>
      <c r="G33" s="291">
        <v>0</v>
      </c>
      <c r="H33" s="291"/>
      <c r="I33" s="291"/>
      <c r="J33" s="291"/>
      <c r="K33" s="373"/>
      <c r="L33" s="331"/>
      <c r="M33" s="332"/>
      <c r="N33" s="333"/>
      <c r="O33" s="333"/>
      <c r="P33" s="334"/>
      <c r="Q33" s="275">
        <f>(K33*E33)</f>
        <v>0</v>
      </c>
      <c r="R33" s="281">
        <f>K33*C33</f>
        <v>0</v>
      </c>
      <c r="U33" s="294">
        <f t="shared" si="3"/>
        <v>0</v>
      </c>
      <c r="V33" s="301"/>
    </row>
    <row r="34" spans="1:22" s="25" customFormat="1" ht="0.6" customHeight="1" x14ac:dyDescent="0.2">
      <c r="A34" s="382"/>
      <c r="B34" s="343"/>
      <c r="C34" s="85">
        <f>PV!C34</f>
        <v>0</v>
      </c>
      <c r="D34" s="44" t="str">
        <f t="shared" si="2"/>
        <v>h</v>
      </c>
      <c r="E34" s="43">
        <f>IF(D34="h",PV!E34,IF(D34="M",PV!G34,PV!I34))</f>
        <v>0</v>
      </c>
      <c r="F34" s="291">
        <v>0</v>
      </c>
      <c r="G34" s="291">
        <v>0</v>
      </c>
      <c r="H34" s="291"/>
      <c r="I34" s="291"/>
      <c r="J34" s="291"/>
      <c r="K34" s="373"/>
      <c r="L34" s="331"/>
      <c r="M34" s="332"/>
      <c r="N34" s="333"/>
      <c r="O34" s="333"/>
      <c r="P34" s="334"/>
      <c r="Q34" s="278"/>
      <c r="R34" s="280">
        <f>K34*C34</f>
        <v>0</v>
      </c>
      <c r="U34" s="294">
        <f t="shared" si="3"/>
        <v>0</v>
      </c>
      <c r="V34" s="301"/>
    </row>
    <row r="35" spans="1:22" s="25" customFormat="1" ht="20.100000000000001" customHeight="1" x14ac:dyDescent="0.2">
      <c r="A35" s="379">
        <v>1263737</v>
      </c>
      <c r="B35" s="343" t="s">
        <v>271</v>
      </c>
      <c r="C35" s="85">
        <f>PV!C35</f>
        <v>0.5</v>
      </c>
      <c r="D35" s="44" t="str">
        <f t="shared" si="2"/>
        <v>h</v>
      </c>
      <c r="E35" s="43">
        <f>IF(D35="h",PV!E35,IF(D35="M",PV!G35,PV!I35))</f>
        <v>6.5</v>
      </c>
      <c r="F35" s="291">
        <v>10</v>
      </c>
      <c r="G35" s="291">
        <v>5</v>
      </c>
      <c r="H35" s="291"/>
      <c r="I35" s="291"/>
      <c r="J35" s="291"/>
      <c r="K35" s="373"/>
      <c r="L35" s="331"/>
      <c r="M35" s="332"/>
      <c r="N35" s="333"/>
      <c r="O35" s="333"/>
      <c r="P35" s="334"/>
      <c r="Q35" s="275">
        <f>(K35*E35)</f>
        <v>0</v>
      </c>
      <c r="R35" s="280">
        <f>K35*C35</f>
        <v>0</v>
      </c>
      <c r="U35" s="294">
        <f t="shared" si="3"/>
        <v>0</v>
      </c>
      <c r="V35" s="301"/>
    </row>
    <row r="36" spans="1:22" s="25" customFormat="1" ht="20.100000000000001" customHeight="1" x14ac:dyDescent="0.2">
      <c r="A36" s="379">
        <v>1098038</v>
      </c>
      <c r="B36" s="343" t="s">
        <v>150</v>
      </c>
      <c r="C36" s="85">
        <f>PV!C36</f>
        <v>0.7</v>
      </c>
      <c r="D36" s="44" t="str">
        <f t="shared" si="2"/>
        <v>h</v>
      </c>
      <c r="E36" s="43">
        <f>IF(D36="h",PV!E36,IF(D36="M",PV!G36,PV!I36))</f>
        <v>8.9499999999999993</v>
      </c>
      <c r="F36" s="291">
        <v>0</v>
      </c>
      <c r="G36" s="291">
        <v>0</v>
      </c>
      <c r="H36" s="291"/>
      <c r="I36" s="291"/>
      <c r="J36" s="291"/>
      <c r="K36" s="373"/>
      <c r="L36" s="331"/>
      <c r="M36" s="332"/>
      <c r="N36" s="333"/>
      <c r="O36" s="333"/>
      <c r="P36" s="334"/>
      <c r="Q36" s="275">
        <f>(K36*E36)</f>
        <v>0</v>
      </c>
      <c r="R36" s="280">
        <f>K36*C36</f>
        <v>0</v>
      </c>
      <c r="U36" s="294">
        <f t="shared" si="3"/>
        <v>0</v>
      </c>
      <c r="V36" s="301"/>
    </row>
    <row r="37" spans="1:22" ht="0.6" customHeight="1" x14ac:dyDescent="0.2">
      <c r="A37" s="382"/>
      <c r="B37" s="347"/>
      <c r="C37" s="85">
        <f>PV!C37</f>
        <v>0</v>
      </c>
      <c r="D37" s="44" t="str">
        <f t="shared" si="2"/>
        <v>h</v>
      </c>
      <c r="E37" s="43">
        <f>IF(D37="h",PV!E37,IF(D37="M",PV!G37,PV!I37))</f>
        <v>0</v>
      </c>
      <c r="F37" s="291">
        <v>0</v>
      </c>
      <c r="G37" s="291">
        <v>0</v>
      </c>
      <c r="H37" s="291"/>
      <c r="I37" s="291"/>
      <c r="J37" s="291"/>
      <c r="K37" s="373"/>
      <c r="L37" s="331"/>
      <c r="M37" s="332"/>
      <c r="N37" s="333"/>
      <c r="O37" s="333"/>
      <c r="P37" s="334"/>
      <c r="Q37" s="275"/>
      <c r="R37" s="282">
        <f>SUM(R35:R36)</f>
        <v>0</v>
      </c>
      <c r="U37" s="294">
        <f t="shared" si="3"/>
        <v>0</v>
      </c>
      <c r="V37" s="301"/>
    </row>
    <row r="38" spans="1:22" s="25" customFormat="1" ht="20.100000000000001" customHeight="1" x14ac:dyDescent="0.15">
      <c r="A38" s="335">
        <v>1079156</v>
      </c>
      <c r="B38" s="343" t="s">
        <v>121</v>
      </c>
      <c r="C38" s="85">
        <f>PV!C38</f>
        <v>0.45</v>
      </c>
      <c r="D38" s="44" t="str">
        <f t="shared" si="2"/>
        <v>h</v>
      </c>
      <c r="E38" s="43">
        <f>IF(D38="h",PV!E38,IF(D38="M",PV!G38,PV!I38))</f>
        <v>6.5</v>
      </c>
      <c r="F38" s="291">
        <v>0</v>
      </c>
      <c r="G38" s="291">
        <v>0</v>
      </c>
      <c r="H38" s="291"/>
      <c r="I38" s="291"/>
      <c r="J38" s="291"/>
      <c r="K38" s="373"/>
      <c r="L38" s="331"/>
      <c r="M38" s="332"/>
      <c r="N38" s="333"/>
      <c r="O38" s="333"/>
      <c r="P38" s="334"/>
      <c r="Q38" s="275">
        <f>(K38*E38)</f>
        <v>0</v>
      </c>
      <c r="R38" s="280">
        <f>K38*C38</f>
        <v>0</v>
      </c>
      <c r="U38" s="294">
        <f t="shared" ref="U38:U69" si="4">K38-L38</f>
        <v>0</v>
      </c>
      <c r="V38" s="301"/>
    </row>
    <row r="39" spans="1:22" s="25" customFormat="1" ht="20.100000000000001" customHeight="1" x14ac:dyDescent="0.15">
      <c r="A39" s="383">
        <v>65857</v>
      </c>
      <c r="B39" s="348" t="s">
        <v>122</v>
      </c>
      <c r="C39" s="85">
        <f>PV!C39</f>
        <v>0.5</v>
      </c>
      <c r="D39" s="44" t="str">
        <f t="shared" si="2"/>
        <v>h</v>
      </c>
      <c r="E39" s="43">
        <f>IF(D39="h",PV!E39,IF(D39="M",PV!G39,PV!I39))</f>
        <v>3.15</v>
      </c>
      <c r="F39" s="291">
        <v>75</v>
      </c>
      <c r="G39" s="291">
        <v>34</v>
      </c>
      <c r="H39" s="291"/>
      <c r="I39" s="291"/>
      <c r="J39" s="291"/>
      <c r="K39" s="373"/>
      <c r="L39" s="331"/>
      <c r="M39" s="332"/>
      <c r="N39" s="333"/>
      <c r="O39" s="333"/>
      <c r="P39" s="334"/>
      <c r="Q39" s="275">
        <f>(K39*E39)</f>
        <v>0</v>
      </c>
      <c r="R39" s="280">
        <f>K39*C39</f>
        <v>0</v>
      </c>
      <c r="U39" s="294">
        <f t="shared" si="4"/>
        <v>0</v>
      </c>
      <c r="V39" s="301"/>
    </row>
    <row r="40" spans="1:22" s="25" customFormat="1" ht="20.100000000000001" customHeight="1" x14ac:dyDescent="0.2">
      <c r="A40" s="379">
        <v>645788</v>
      </c>
      <c r="B40" s="343" t="s">
        <v>123</v>
      </c>
      <c r="C40" s="85">
        <f>PV!C40</f>
        <v>0.5</v>
      </c>
      <c r="D40" s="44" t="str">
        <f t="shared" si="2"/>
        <v>h</v>
      </c>
      <c r="E40" s="43">
        <f>IF(D40="h",PV!E40,IF(D40="M",PV!G40,PV!I40))</f>
        <v>5.95</v>
      </c>
      <c r="F40" s="291">
        <v>8</v>
      </c>
      <c r="G40" s="291">
        <v>5</v>
      </c>
      <c r="H40" s="291"/>
      <c r="I40" s="291"/>
      <c r="J40" s="291"/>
      <c r="K40" s="373"/>
      <c r="L40" s="331"/>
      <c r="M40" s="332"/>
      <c r="N40" s="333"/>
      <c r="O40" s="333"/>
      <c r="P40" s="334"/>
      <c r="Q40" s="275">
        <f>(K40*E40)</f>
        <v>0</v>
      </c>
      <c r="R40" s="280">
        <f>K40*C40</f>
        <v>0</v>
      </c>
      <c r="U40" s="294">
        <f t="shared" si="4"/>
        <v>0</v>
      </c>
      <c r="V40" s="301"/>
    </row>
    <row r="41" spans="1:22" s="25" customFormat="1" ht="20.100000000000001" customHeight="1" x14ac:dyDescent="0.2">
      <c r="A41" s="379">
        <v>95901</v>
      </c>
      <c r="B41" s="337" t="s">
        <v>300</v>
      </c>
      <c r="C41" s="85">
        <f>PV!C41</f>
        <v>0.11</v>
      </c>
      <c r="D41" s="44" t="str">
        <f t="shared" si="2"/>
        <v>h</v>
      </c>
      <c r="E41" s="43">
        <f>IF(D41="h",PV!E41,IF(D41="M",PV!G41,PV!I41))</f>
        <v>1.5</v>
      </c>
      <c r="F41" s="291">
        <v>145</v>
      </c>
      <c r="G41" s="291">
        <v>206</v>
      </c>
      <c r="H41" s="291"/>
      <c r="I41" s="291"/>
      <c r="J41" s="291"/>
      <c r="K41" s="373"/>
      <c r="L41" s="331"/>
      <c r="M41" s="332"/>
      <c r="N41" s="333"/>
      <c r="O41" s="333"/>
      <c r="P41" s="334"/>
      <c r="Q41" s="275">
        <f>(K41*E41)</f>
        <v>0</v>
      </c>
      <c r="R41" s="280">
        <f>K41*C41</f>
        <v>0</v>
      </c>
      <c r="U41" s="294">
        <f t="shared" si="4"/>
        <v>0</v>
      </c>
      <c r="V41" s="301"/>
    </row>
    <row r="42" spans="1:22" ht="0.6" customHeight="1" x14ac:dyDescent="0.2">
      <c r="A42" s="384"/>
      <c r="B42" s="349"/>
      <c r="C42" s="85">
        <f>PV!C42</f>
        <v>0</v>
      </c>
      <c r="D42" s="44" t="str">
        <f t="shared" si="2"/>
        <v>h</v>
      </c>
      <c r="E42" s="43">
        <f>IF(D42="h",PV!E42,IF(D42="M",PV!G42,PV!I42))</f>
        <v>0</v>
      </c>
      <c r="F42" s="291">
        <v>0</v>
      </c>
      <c r="G42" s="291">
        <v>0</v>
      </c>
      <c r="H42" s="291"/>
      <c r="I42" s="291"/>
      <c r="J42" s="291"/>
      <c r="K42" s="373"/>
      <c r="L42" s="331"/>
      <c r="M42" s="332"/>
      <c r="N42" s="333"/>
      <c r="O42" s="333"/>
      <c r="P42" s="334"/>
      <c r="Q42" s="271"/>
      <c r="R42" s="283">
        <f>SUM(R38:R41)</f>
        <v>0</v>
      </c>
      <c r="U42" s="294">
        <f t="shared" si="4"/>
        <v>0</v>
      </c>
      <c r="V42" s="301"/>
    </row>
    <row r="43" spans="1:22" s="25" customFormat="1" ht="20.100000000000001" customHeight="1" x14ac:dyDescent="0.25">
      <c r="A43" s="381">
        <v>65882</v>
      </c>
      <c r="B43" s="346" t="s">
        <v>157</v>
      </c>
      <c r="C43" s="85">
        <f>PV!C43</f>
        <v>0.72</v>
      </c>
      <c r="D43" s="44" t="str">
        <f t="shared" si="2"/>
        <v>h</v>
      </c>
      <c r="E43" s="43">
        <f>IF(D43="h",PV!E43,IF(D43="M",PV!G43,PV!I43))</f>
        <v>6.5</v>
      </c>
      <c r="F43" s="291">
        <v>8</v>
      </c>
      <c r="G43" s="291">
        <v>6</v>
      </c>
      <c r="H43" s="291"/>
      <c r="I43" s="291"/>
      <c r="J43" s="291"/>
      <c r="K43" s="373"/>
      <c r="L43" s="331"/>
      <c r="M43" s="332"/>
      <c r="N43" s="333"/>
      <c r="O43" s="333"/>
      <c r="P43" s="334"/>
      <c r="Q43" s="275">
        <f>(K43*E43)</f>
        <v>0</v>
      </c>
      <c r="R43" s="280">
        <f>K43*C43</f>
        <v>0</v>
      </c>
      <c r="U43" s="294">
        <f t="shared" si="4"/>
        <v>0</v>
      </c>
      <c r="V43" s="301"/>
    </row>
    <row r="44" spans="1:22" ht="0.6" customHeight="1" x14ac:dyDescent="0.2">
      <c r="A44" s="380"/>
      <c r="B44" s="347"/>
      <c r="C44" s="85">
        <f>PV!C44</f>
        <v>0</v>
      </c>
      <c r="D44" s="44" t="str">
        <f t="shared" si="2"/>
        <v>h</v>
      </c>
      <c r="E44" s="43">
        <f>IF(D44="h",PV!E44,IF(D44="M",PV!G44,PV!I44))</f>
        <v>0</v>
      </c>
      <c r="F44" s="291">
        <v>0</v>
      </c>
      <c r="G44" s="291">
        <v>0</v>
      </c>
      <c r="H44" s="291"/>
      <c r="I44" s="291"/>
      <c r="J44" s="291"/>
      <c r="K44" s="373"/>
      <c r="L44" s="331"/>
      <c r="M44" s="332"/>
      <c r="N44" s="333"/>
      <c r="O44" s="333"/>
      <c r="P44" s="334"/>
      <c r="Q44" s="271"/>
      <c r="R44" s="283">
        <f>SUM(R43:R43)</f>
        <v>0</v>
      </c>
      <c r="U44" s="294">
        <f t="shared" si="4"/>
        <v>0</v>
      </c>
      <c r="V44" s="301"/>
    </row>
    <row r="45" spans="1:22" ht="22.5" x14ac:dyDescent="0.2">
      <c r="A45" s="380">
        <v>951448</v>
      </c>
      <c r="B45" s="347" t="s">
        <v>153</v>
      </c>
      <c r="C45" s="85">
        <f>PV!C45</f>
        <v>0.06</v>
      </c>
      <c r="D45" s="44" t="str">
        <f t="shared" si="2"/>
        <v>h</v>
      </c>
      <c r="E45" s="43">
        <f>IF(D45="h",PV!E45,IF(D45="M",PV!G45,PV!I45))</f>
        <v>0.5</v>
      </c>
      <c r="F45" s="291">
        <v>4</v>
      </c>
      <c r="G45" s="291">
        <v>0</v>
      </c>
      <c r="H45" s="291"/>
      <c r="I45" s="291"/>
      <c r="J45" s="291"/>
      <c r="K45" s="373"/>
      <c r="L45" s="331"/>
      <c r="M45" s="332"/>
      <c r="N45" s="333"/>
      <c r="O45" s="333"/>
      <c r="P45" s="334"/>
      <c r="Q45" s="275">
        <f>(K45*E45)</f>
        <v>0</v>
      </c>
      <c r="R45" s="280">
        <f>K45*C45</f>
        <v>0</v>
      </c>
      <c r="U45" s="294">
        <f t="shared" si="4"/>
        <v>0</v>
      </c>
      <c r="V45" s="301"/>
    </row>
    <row r="46" spans="1:22" s="25" customFormat="1" ht="20.100000000000001" customHeight="1" x14ac:dyDescent="0.15">
      <c r="A46" s="335">
        <v>1037864</v>
      </c>
      <c r="B46" s="343" t="s">
        <v>154</v>
      </c>
      <c r="C46" s="85">
        <f>PV!C46</f>
        <v>0.36</v>
      </c>
      <c r="D46" s="44" t="str">
        <f t="shared" si="2"/>
        <v>h</v>
      </c>
      <c r="E46" s="43">
        <f>IF(D46="h",PV!E46,IF(D46="M",PV!G46,PV!I46))</f>
        <v>3</v>
      </c>
      <c r="F46" s="291">
        <v>0</v>
      </c>
      <c r="G46" s="291">
        <v>0</v>
      </c>
      <c r="H46" s="291"/>
      <c r="I46" s="291"/>
      <c r="J46" s="291"/>
      <c r="K46" s="373"/>
      <c r="L46" s="331"/>
      <c r="M46" s="332"/>
      <c r="N46" s="333"/>
      <c r="O46" s="333"/>
      <c r="P46" s="334"/>
      <c r="Q46" s="275">
        <f>(K46*E46)</f>
        <v>0</v>
      </c>
      <c r="R46" s="280">
        <f>K46*C46</f>
        <v>0</v>
      </c>
      <c r="U46" s="294">
        <f t="shared" si="4"/>
        <v>0</v>
      </c>
      <c r="V46" s="301"/>
    </row>
    <row r="47" spans="1:22" s="25" customFormat="1" ht="20.100000000000001" customHeight="1" x14ac:dyDescent="0.2">
      <c r="A47" s="379">
        <v>1022414</v>
      </c>
      <c r="B47" s="343" t="s">
        <v>155</v>
      </c>
      <c r="C47" s="85">
        <f>PV!C47</f>
        <v>0.6</v>
      </c>
      <c r="D47" s="44" t="str">
        <f t="shared" si="2"/>
        <v>h</v>
      </c>
      <c r="E47" s="43">
        <f>IF(D47="h",PV!E47,IF(D47="M",PV!G47,PV!I47))</f>
        <v>5</v>
      </c>
      <c r="F47" s="291">
        <v>0</v>
      </c>
      <c r="G47" s="291">
        <v>0</v>
      </c>
      <c r="H47" s="291"/>
      <c r="I47" s="291"/>
      <c r="J47" s="291"/>
      <c r="K47" s="373"/>
      <c r="L47" s="331"/>
      <c r="M47" s="332"/>
      <c r="N47" s="333"/>
      <c r="O47" s="333"/>
      <c r="P47" s="334"/>
      <c r="Q47" s="275">
        <f>(K47*E47)</f>
        <v>0</v>
      </c>
      <c r="R47" s="280">
        <f>K47*C47</f>
        <v>0</v>
      </c>
      <c r="U47" s="294">
        <f t="shared" si="4"/>
        <v>0</v>
      </c>
      <c r="V47" s="301"/>
    </row>
    <row r="48" spans="1:22" s="25" customFormat="1" ht="0.6" customHeight="1" x14ac:dyDescent="0.2">
      <c r="A48" s="382"/>
      <c r="B48" s="343"/>
      <c r="C48" s="85">
        <f>PV!C48</f>
        <v>0</v>
      </c>
      <c r="D48" s="44" t="str">
        <f t="shared" si="2"/>
        <v>h</v>
      </c>
      <c r="E48" s="43">
        <f>IF(D48="h",PV!E48,IF(D48="M",PV!G48,PV!I48))</f>
        <v>0</v>
      </c>
      <c r="F48" s="291">
        <v>0</v>
      </c>
      <c r="G48" s="291">
        <v>0</v>
      </c>
      <c r="H48" s="291"/>
      <c r="I48" s="291"/>
      <c r="J48" s="291"/>
      <c r="K48" s="373"/>
      <c r="L48" s="331"/>
      <c r="M48" s="332"/>
      <c r="N48" s="333"/>
      <c r="O48" s="333"/>
      <c r="P48" s="334"/>
      <c r="Q48" s="271"/>
      <c r="R48" s="281">
        <f>SUM(R45:R47)</f>
        <v>0</v>
      </c>
      <c r="U48" s="294">
        <f t="shared" si="4"/>
        <v>0</v>
      </c>
      <c r="V48" s="301"/>
    </row>
    <row r="49" spans="1:22" s="25" customFormat="1" ht="20.100000000000001" customHeight="1" x14ac:dyDescent="0.15">
      <c r="A49" s="377">
        <v>65860</v>
      </c>
      <c r="B49" s="350" t="s">
        <v>286</v>
      </c>
      <c r="C49" s="85">
        <f>PV!C49</f>
        <v>0.48</v>
      </c>
      <c r="D49" s="44" t="str">
        <f t="shared" si="2"/>
        <v>h</v>
      </c>
      <c r="E49" s="43">
        <f>IF(D49="h",PV!E49,IF(D49="M",PV!G49,PV!I49))</f>
        <v>6.45</v>
      </c>
      <c r="F49" s="291">
        <v>10</v>
      </c>
      <c r="G49" s="291">
        <v>2</v>
      </c>
      <c r="H49" s="291"/>
      <c r="I49" s="291"/>
      <c r="J49" s="291"/>
      <c r="K49" s="373"/>
      <c r="L49" s="331"/>
      <c r="M49" s="332"/>
      <c r="N49" s="333"/>
      <c r="O49" s="333"/>
      <c r="P49" s="334"/>
      <c r="Q49" s="275">
        <f t="shared" ref="Q49:Q57" si="5">(K49*E49)</f>
        <v>0</v>
      </c>
      <c r="R49" s="280">
        <f t="shared" ref="R49:R57" si="6">K49*C49</f>
        <v>0</v>
      </c>
      <c r="U49" s="294">
        <f t="shared" si="4"/>
        <v>0</v>
      </c>
      <c r="V49" s="301"/>
    </row>
    <row r="50" spans="1:22" s="25" customFormat="1" ht="20.100000000000001" customHeight="1" x14ac:dyDescent="0.15">
      <c r="A50" s="377">
        <v>65859</v>
      </c>
      <c r="B50" s="350" t="s">
        <v>287</v>
      </c>
      <c r="C50" s="85">
        <f>PV!C50</f>
        <v>0.96</v>
      </c>
      <c r="D50" s="44" t="str">
        <f t="shared" si="2"/>
        <v>h</v>
      </c>
      <c r="E50" s="43">
        <f>IF(D50="h",PV!E50,IF(D50="M",PV!G50,PV!I50))</f>
        <v>10.75</v>
      </c>
      <c r="F50" s="291">
        <v>0</v>
      </c>
      <c r="G50" s="291">
        <v>1</v>
      </c>
      <c r="H50" s="291"/>
      <c r="I50" s="291"/>
      <c r="J50" s="291"/>
      <c r="K50" s="373"/>
      <c r="L50" s="331"/>
      <c r="M50" s="332"/>
      <c r="N50" s="333"/>
      <c r="O50" s="333"/>
      <c r="P50" s="334"/>
      <c r="Q50" s="275">
        <f t="shared" si="5"/>
        <v>0</v>
      </c>
      <c r="R50" s="280">
        <f t="shared" si="6"/>
        <v>0</v>
      </c>
      <c r="U50" s="294">
        <f t="shared" si="4"/>
        <v>0</v>
      </c>
      <c r="V50" s="301"/>
    </row>
    <row r="51" spans="1:22" s="25" customFormat="1" ht="20.100000000000001" customHeight="1" x14ac:dyDescent="0.15">
      <c r="A51" s="377">
        <v>270450</v>
      </c>
      <c r="B51" s="350" t="s">
        <v>125</v>
      </c>
      <c r="C51" s="85">
        <f>PV!C51</f>
        <v>0.35</v>
      </c>
      <c r="D51" s="44" t="str">
        <f t="shared" si="2"/>
        <v>h</v>
      </c>
      <c r="E51" s="43">
        <f>IF(D51="h",PV!E51,IF(D51="M",PV!G51,PV!I51))</f>
        <v>3.95</v>
      </c>
      <c r="F51" s="291">
        <v>0</v>
      </c>
      <c r="G51" s="291">
        <v>0</v>
      </c>
      <c r="H51" s="291"/>
      <c r="I51" s="291"/>
      <c r="J51" s="291"/>
      <c r="K51" s="373"/>
      <c r="L51" s="331"/>
      <c r="M51" s="332"/>
      <c r="N51" s="333"/>
      <c r="O51" s="333"/>
      <c r="P51" s="334"/>
      <c r="Q51" s="275">
        <f t="shared" si="5"/>
        <v>0</v>
      </c>
      <c r="R51" s="280">
        <f t="shared" si="6"/>
        <v>0</v>
      </c>
      <c r="U51" s="294">
        <f t="shared" si="4"/>
        <v>0</v>
      </c>
      <c r="V51" s="301"/>
    </row>
    <row r="52" spans="1:22" s="25" customFormat="1" ht="20.100000000000001" customHeight="1" x14ac:dyDescent="0.15">
      <c r="A52" s="377">
        <v>270462</v>
      </c>
      <c r="B52" s="339" t="s">
        <v>288</v>
      </c>
      <c r="C52" s="85">
        <f>PV!C52</f>
        <v>0.43636364</v>
      </c>
      <c r="D52" s="44" t="str">
        <f t="shared" si="2"/>
        <v>h</v>
      </c>
      <c r="E52" s="43">
        <f>IF(D52="h",PV!E52,IF(D52="M",PV!G52,PV!I52))</f>
        <v>7.5</v>
      </c>
      <c r="F52" s="291">
        <v>2</v>
      </c>
      <c r="G52" s="291">
        <v>4</v>
      </c>
      <c r="H52" s="291"/>
      <c r="I52" s="291"/>
      <c r="J52" s="291"/>
      <c r="K52" s="373"/>
      <c r="L52" s="331"/>
      <c r="M52" s="332"/>
      <c r="N52" s="333"/>
      <c r="O52" s="333"/>
      <c r="P52" s="334"/>
      <c r="Q52" s="275">
        <f t="shared" si="5"/>
        <v>0</v>
      </c>
      <c r="R52" s="280">
        <f t="shared" si="6"/>
        <v>0</v>
      </c>
      <c r="U52" s="294">
        <f t="shared" si="4"/>
        <v>0</v>
      </c>
      <c r="V52" s="301"/>
    </row>
    <row r="53" spans="1:22" s="25" customFormat="1" ht="20.100000000000001" customHeight="1" x14ac:dyDescent="0.15">
      <c r="A53" s="377">
        <v>305568</v>
      </c>
      <c r="B53" s="350" t="s">
        <v>127</v>
      </c>
      <c r="C53" s="85">
        <f>PV!C53</f>
        <v>1</v>
      </c>
      <c r="D53" s="44" t="str">
        <f t="shared" si="2"/>
        <v>h</v>
      </c>
      <c r="E53" s="43">
        <f>IF(D53="h",PV!E53,IF(D53="M",PV!G53,PV!I53))</f>
        <v>13.5</v>
      </c>
      <c r="F53" s="291">
        <v>1.129</v>
      </c>
      <c r="G53" s="291">
        <v>6.468</v>
      </c>
      <c r="H53" s="291"/>
      <c r="I53" s="291"/>
      <c r="J53" s="291"/>
      <c r="K53" s="373"/>
      <c r="L53" s="331"/>
      <c r="M53" s="332"/>
      <c r="N53" s="333"/>
      <c r="O53" s="333"/>
      <c r="P53" s="334"/>
      <c r="Q53" s="275">
        <f t="shared" si="5"/>
        <v>0</v>
      </c>
      <c r="R53" s="280">
        <f t="shared" si="6"/>
        <v>0</v>
      </c>
      <c r="U53" s="294">
        <f t="shared" si="4"/>
        <v>0</v>
      </c>
      <c r="V53" s="301"/>
    </row>
    <row r="54" spans="1:22" s="25" customFormat="1" ht="20.100000000000001" customHeight="1" x14ac:dyDescent="0.15">
      <c r="A54" s="377">
        <v>65865</v>
      </c>
      <c r="B54" s="339" t="s">
        <v>128</v>
      </c>
      <c r="C54" s="85">
        <f>PV!C54</f>
        <v>0.43636364</v>
      </c>
      <c r="D54" s="44" t="str">
        <f t="shared" si="2"/>
        <v>h</v>
      </c>
      <c r="E54" s="43">
        <f>IF(D54="h",PV!E54,IF(D54="M",PV!G54,PV!I54))</f>
        <v>7.95</v>
      </c>
      <c r="F54" s="291">
        <v>7</v>
      </c>
      <c r="G54" s="291">
        <v>3</v>
      </c>
      <c r="H54" s="291"/>
      <c r="I54" s="291"/>
      <c r="J54" s="291"/>
      <c r="K54" s="373"/>
      <c r="L54" s="331"/>
      <c r="M54" s="332"/>
      <c r="N54" s="333"/>
      <c r="O54" s="333"/>
      <c r="P54" s="334"/>
      <c r="Q54" s="275">
        <f t="shared" si="5"/>
        <v>0</v>
      </c>
      <c r="R54" s="280">
        <f t="shared" si="6"/>
        <v>0</v>
      </c>
      <c r="U54" s="294">
        <f t="shared" si="4"/>
        <v>0</v>
      </c>
      <c r="V54" s="301"/>
    </row>
    <row r="55" spans="1:22" s="25" customFormat="1" ht="20.100000000000001" customHeight="1" x14ac:dyDescent="0.15">
      <c r="A55" s="377">
        <v>308648</v>
      </c>
      <c r="B55" s="350" t="s">
        <v>129</v>
      </c>
      <c r="C55" s="85">
        <f>PV!C55</f>
        <v>0.58499999999999996</v>
      </c>
      <c r="D55" s="44" t="str">
        <f t="shared" si="2"/>
        <v>h</v>
      </c>
      <c r="E55" s="43">
        <f>IF(D55="h",PV!E55,IF(D55="M",PV!G55,PV!I55))</f>
        <v>5.75</v>
      </c>
      <c r="F55" s="291">
        <v>3</v>
      </c>
      <c r="G55" s="291">
        <v>0</v>
      </c>
      <c r="H55" s="291"/>
      <c r="I55" s="291"/>
      <c r="J55" s="291"/>
      <c r="K55" s="373"/>
      <c r="L55" s="331"/>
      <c r="M55" s="332"/>
      <c r="N55" s="333"/>
      <c r="O55" s="333"/>
      <c r="P55" s="334"/>
      <c r="Q55" s="275">
        <f t="shared" si="5"/>
        <v>0</v>
      </c>
      <c r="R55" s="280">
        <f t="shared" si="6"/>
        <v>0</v>
      </c>
      <c r="U55" s="294">
        <f t="shared" si="4"/>
        <v>0</v>
      </c>
      <c r="V55" s="301"/>
    </row>
    <row r="56" spans="1:22" s="25" customFormat="1" ht="20.100000000000001" customHeight="1" x14ac:dyDescent="0.15">
      <c r="A56" s="377">
        <v>270459</v>
      </c>
      <c r="B56" s="341" t="s">
        <v>130</v>
      </c>
      <c r="C56" s="85">
        <f>PV!C56</f>
        <v>0.43636364</v>
      </c>
      <c r="D56" s="44" t="str">
        <f t="shared" si="2"/>
        <v>h</v>
      </c>
      <c r="E56" s="43">
        <f>IF(D56="h",PV!E56,IF(D56="M",PV!G56,PV!I56))</f>
        <v>7.95</v>
      </c>
      <c r="F56" s="291">
        <v>3</v>
      </c>
      <c r="G56" s="291">
        <v>0</v>
      </c>
      <c r="H56" s="291"/>
      <c r="I56" s="291"/>
      <c r="J56" s="291"/>
      <c r="K56" s="373"/>
      <c r="L56" s="331"/>
      <c r="M56" s="332"/>
      <c r="N56" s="333"/>
      <c r="O56" s="333"/>
      <c r="P56" s="334"/>
      <c r="Q56" s="275">
        <f t="shared" si="5"/>
        <v>0</v>
      </c>
      <c r="R56" s="280">
        <f t="shared" si="6"/>
        <v>0</v>
      </c>
      <c r="U56" s="294">
        <f t="shared" si="4"/>
        <v>0</v>
      </c>
      <c r="V56" s="301"/>
    </row>
    <row r="57" spans="1:22" s="25" customFormat="1" ht="20.100000000000001" customHeight="1" x14ac:dyDescent="0.15">
      <c r="A57" s="377">
        <v>65855</v>
      </c>
      <c r="B57" s="341" t="s">
        <v>289</v>
      </c>
      <c r="C57" s="85">
        <f>PV!C57</f>
        <v>0.63600000000000001</v>
      </c>
      <c r="D57" s="44" t="str">
        <f t="shared" si="2"/>
        <v>h</v>
      </c>
      <c r="E57" s="43">
        <f>IF(D57="h",PV!E57,IF(D57="M",PV!G57,PV!I57))</f>
        <v>6.75</v>
      </c>
      <c r="F57" s="291">
        <v>0</v>
      </c>
      <c r="G57" s="291">
        <v>0</v>
      </c>
      <c r="H57" s="291"/>
      <c r="I57" s="291"/>
      <c r="J57" s="291"/>
      <c r="K57" s="373"/>
      <c r="L57" s="331"/>
      <c r="M57" s="332"/>
      <c r="N57" s="333"/>
      <c r="O57" s="333"/>
      <c r="P57" s="334"/>
      <c r="Q57" s="275">
        <f t="shared" si="5"/>
        <v>0</v>
      </c>
      <c r="R57" s="280">
        <f t="shared" si="6"/>
        <v>0</v>
      </c>
      <c r="U57" s="294">
        <f t="shared" si="4"/>
        <v>0</v>
      </c>
      <c r="V57" s="301"/>
    </row>
    <row r="58" spans="1:22" ht="0.6" customHeight="1" x14ac:dyDescent="0.2">
      <c r="A58" s="384"/>
      <c r="B58" s="347"/>
      <c r="C58" s="85">
        <f>PV!C58</f>
        <v>0</v>
      </c>
      <c r="D58" s="44" t="str">
        <f t="shared" si="2"/>
        <v>h</v>
      </c>
      <c r="E58" s="43">
        <f>IF(D58="h",PV!E58,IF(D58="M",PV!G58,PV!I58))</f>
        <v>0</v>
      </c>
      <c r="F58" s="291">
        <v>0</v>
      </c>
      <c r="G58" s="291">
        <v>0</v>
      </c>
      <c r="H58" s="291"/>
      <c r="I58" s="291"/>
      <c r="J58" s="291"/>
      <c r="K58" s="373"/>
      <c r="L58" s="331"/>
      <c r="M58" s="332"/>
      <c r="N58" s="333"/>
      <c r="O58" s="333"/>
      <c r="P58" s="334"/>
      <c r="Q58" s="271"/>
      <c r="R58" s="284">
        <f>SUM(R49:R57)</f>
        <v>0</v>
      </c>
      <c r="U58" s="294">
        <f t="shared" si="4"/>
        <v>0</v>
      </c>
      <c r="V58" s="301"/>
    </row>
    <row r="59" spans="1:22" s="25" customFormat="1" ht="20.100000000000001" customHeight="1" x14ac:dyDescent="0.25">
      <c r="A59" s="377">
        <v>65928</v>
      </c>
      <c r="B59" s="351" t="s">
        <v>43</v>
      </c>
      <c r="C59" s="85">
        <f>PV!C59</f>
        <v>0.36</v>
      </c>
      <c r="D59" s="44" t="str">
        <f t="shared" si="2"/>
        <v>h</v>
      </c>
      <c r="E59" s="43">
        <f>IF(D59="h",PV!E59,IF(D59="M",PV!G59,PV!I59))</f>
        <v>3.5</v>
      </c>
      <c r="F59" s="291">
        <v>9</v>
      </c>
      <c r="G59" s="291">
        <v>6</v>
      </c>
      <c r="H59" s="291"/>
      <c r="I59" s="291"/>
      <c r="J59" s="291"/>
      <c r="K59" s="373"/>
      <c r="L59" s="331"/>
      <c r="M59" s="332"/>
      <c r="N59" s="333"/>
      <c r="O59" s="333"/>
      <c r="P59" s="334"/>
      <c r="Q59" s="275">
        <f t="shared" ref="Q59:Q73" si="7">(K59*E59)</f>
        <v>0</v>
      </c>
      <c r="R59" s="280">
        <f t="shared" ref="R59:R73" si="8">K59*C59</f>
        <v>0</v>
      </c>
      <c r="U59" s="294">
        <f t="shared" si="4"/>
        <v>0</v>
      </c>
      <c r="V59" s="301"/>
    </row>
    <row r="60" spans="1:22" s="25" customFormat="1" ht="20.100000000000001" customHeight="1" x14ac:dyDescent="0.25">
      <c r="A60" s="377">
        <v>65894</v>
      </c>
      <c r="B60" s="351" t="s">
        <v>45</v>
      </c>
      <c r="C60" s="85">
        <f>PV!C60</f>
        <v>0.36</v>
      </c>
      <c r="D60" s="44" t="str">
        <f t="shared" si="2"/>
        <v>h</v>
      </c>
      <c r="E60" s="43">
        <f>IF(D60="h",PV!E60,IF(D60="M",PV!G60,PV!I60))</f>
        <v>2.25</v>
      </c>
      <c r="F60" s="291">
        <v>22</v>
      </c>
      <c r="G60" s="291">
        <v>17</v>
      </c>
      <c r="H60" s="291"/>
      <c r="I60" s="291"/>
      <c r="J60" s="291"/>
      <c r="K60" s="373"/>
      <c r="L60" s="331"/>
      <c r="M60" s="332"/>
      <c r="N60" s="333"/>
      <c r="O60" s="333"/>
      <c r="P60" s="334"/>
      <c r="Q60" s="275">
        <f t="shared" si="7"/>
        <v>0</v>
      </c>
      <c r="R60" s="280">
        <f t="shared" si="8"/>
        <v>0</v>
      </c>
      <c r="U60" s="294">
        <f t="shared" si="4"/>
        <v>0</v>
      </c>
      <c r="V60" s="301"/>
    </row>
    <row r="61" spans="1:22" s="25" customFormat="1" ht="20.100000000000001" customHeight="1" x14ac:dyDescent="0.25">
      <c r="A61" s="377">
        <v>65927</v>
      </c>
      <c r="B61" s="351" t="s">
        <v>46</v>
      </c>
      <c r="C61" s="85">
        <f>PV!C61</f>
        <v>0.36</v>
      </c>
      <c r="D61" s="44" t="str">
        <f t="shared" si="2"/>
        <v>h</v>
      </c>
      <c r="E61" s="43">
        <f>IF(D61="h",PV!E61,IF(D61="M",PV!G61,PV!I61))</f>
        <v>2.95</v>
      </c>
      <c r="F61" s="291">
        <v>65</v>
      </c>
      <c r="G61" s="291">
        <v>39</v>
      </c>
      <c r="H61" s="291"/>
      <c r="I61" s="291"/>
      <c r="J61" s="291"/>
      <c r="K61" s="373"/>
      <c r="L61" s="331"/>
      <c r="M61" s="332"/>
      <c r="N61" s="333"/>
      <c r="O61" s="333"/>
      <c r="P61" s="334"/>
      <c r="Q61" s="275">
        <f t="shared" si="7"/>
        <v>0</v>
      </c>
      <c r="R61" s="280">
        <f t="shared" si="8"/>
        <v>0</v>
      </c>
      <c r="U61" s="294">
        <f t="shared" si="4"/>
        <v>0</v>
      </c>
      <c r="V61" s="301"/>
    </row>
    <row r="62" spans="1:22" s="25" customFormat="1" ht="20.100000000000001" customHeight="1" x14ac:dyDescent="0.25">
      <c r="A62" s="377">
        <v>425032</v>
      </c>
      <c r="B62" s="351" t="s">
        <v>115</v>
      </c>
      <c r="C62" s="85">
        <f>PV!C62</f>
        <v>0.36</v>
      </c>
      <c r="D62" s="44" t="str">
        <f t="shared" si="2"/>
        <v>h</v>
      </c>
      <c r="E62" s="43">
        <f>IF(D62="h",PV!E62,IF(D62="M",PV!G62,PV!I62))</f>
        <v>2.75</v>
      </c>
      <c r="F62" s="291">
        <v>7</v>
      </c>
      <c r="G62" s="291">
        <v>3</v>
      </c>
      <c r="H62" s="291"/>
      <c r="I62" s="291"/>
      <c r="J62" s="291"/>
      <c r="K62" s="373"/>
      <c r="L62" s="331"/>
      <c r="M62" s="332"/>
      <c r="N62" s="333"/>
      <c r="O62" s="333"/>
      <c r="P62" s="334"/>
      <c r="Q62" s="275">
        <f t="shared" si="7"/>
        <v>0</v>
      </c>
      <c r="R62" s="280">
        <f t="shared" si="8"/>
        <v>0</v>
      </c>
      <c r="U62" s="294">
        <f t="shared" si="4"/>
        <v>0</v>
      </c>
      <c r="V62" s="301"/>
    </row>
    <row r="63" spans="1:22" s="25" customFormat="1" ht="20.100000000000001" customHeight="1" x14ac:dyDescent="0.25">
      <c r="A63" s="377">
        <v>270448</v>
      </c>
      <c r="B63" s="351" t="s">
        <v>116</v>
      </c>
      <c r="C63" s="85">
        <f>PV!C63</f>
        <v>0.35</v>
      </c>
      <c r="D63" s="44" t="str">
        <f t="shared" si="2"/>
        <v>h</v>
      </c>
      <c r="E63" s="43">
        <f>IF(D63="h",PV!E63,IF(D63="M",PV!G63,PV!I63))</f>
        <v>2.95</v>
      </c>
      <c r="F63" s="291">
        <v>0</v>
      </c>
      <c r="G63" s="291">
        <v>0</v>
      </c>
      <c r="H63" s="291"/>
      <c r="I63" s="291"/>
      <c r="J63" s="291"/>
      <c r="K63" s="373"/>
      <c r="L63" s="331"/>
      <c r="M63" s="332"/>
      <c r="N63" s="333"/>
      <c r="O63" s="333"/>
      <c r="P63" s="334"/>
      <c r="Q63" s="275">
        <f t="shared" si="7"/>
        <v>0</v>
      </c>
      <c r="R63" s="280">
        <f t="shared" si="8"/>
        <v>0</v>
      </c>
      <c r="U63" s="294">
        <f t="shared" si="4"/>
        <v>0</v>
      </c>
      <c r="V63" s="301"/>
    </row>
    <row r="64" spans="1:22" s="25" customFormat="1" ht="20.100000000000001" customHeight="1" x14ac:dyDescent="0.25">
      <c r="A64" s="377">
        <v>65871</v>
      </c>
      <c r="B64" s="351" t="s">
        <v>290</v>
      </c>
      <c r="C64" s="85">
        <f>PV!C64</f>
        <v>0.58499999999999996</v>
      </c>
      <c r="D64" s="44" t="str">
        <f t="shared" si="2"/>
        <v>h</v>
      </c>
      <c r="E64" s="43">
        <f>IF(D64="h",PV!E64,IF(D64="M",PV!G64,PV!I64))</f>
        <v>6.45</v>
      </c>
      <c r="F64" s="291">
        <v>57</v>
      </c>
      <c r="G64" s="291">
        <v>37</v>
      </c>
      <c r="H64" s="291"/>
      <c r="I64" s="291"/>
      <c r="J64" s="291"/>
      <c r="K64" s="373"/>
      <c r="L64" s="331"/>
      <c r="M64" s="332"/>
      <c r="N64" s="333"/>
      <c r="O64" s="333"/>
      <c r="P64" s="334"/>
      <c r="Q64" s="275">
        <f t="shared" si="7"/>
        <v>0</v>
      </c>
      <c r="R64" s="280">
        <f t="shared" si="8"/>
        <v>0</v>
      </c>
      <c r="U64" s="294">
        <f t="shared" si="4"/>
        <v>0</v>
      </c>
      <c r="V64" s="301"/>
    </row>
    <row r="65" spans="1:22" s="25" customFormat="1" ht="20.100000000000001" customHeight="1" x14ac:dyDescent="0.25">
      <c r="A65" s="377">
        <v>286631</v>
      </c>
      <c r="B65" s="351" t="s">
        <v>118</v>
      </c>
      <c r="C65" s="85">
        <f>PV!C65</f>
        <v>0.4</v>
      </c>
      <c r="D65" s="44" t="str">
        <f t="shared" si="2"/>
        <v>h</v>
      </c>
      <c r="E65" s="43">
        <f>IF(D65="h",PV!E65,IF(D65="M",PV!G65,PV!I65))</f>
        <v>4.75</v>
      </c>
      <c r="F65" s="291">
        <v>13</v>
      </c>
      <c r="G65" s="291">
        <v>5</v>
      </c>
      <c r="H65" s="291"/>
      <c r="I65" s="291"/>
      <c r="J65" s="291"/>
      <c r="K65" s="373"/>
      <c r="L65" s="331"/>
      <c r="M65" s="332"/>
      <c r="N65" s="333"/>
      <c r="O65" s="333"/>
      <c r="P65" s="334"/>
      <c r="Q65" s="275">
        <f t="shared" si="7"/>
        <v>0</v>
      </c>
      <c r="R65" s="280">
        <f t="shared" si="8"/>
        <v>0</v>
      </c>
      <c r="U65" s="294">
        <f t="shared" si="4"/>
        <v>0</v>
      </c>
      <c r="V65" s="301"/>
    </row>
    <row r="66" spans="1:22" s="25" customFormat="1" ht="20.100000000000001" customHeight="1" x14ac:dyDescent="0.25">
      <c r="A66" s="377">
        <v>306903</v>
      </c>
      <c r="B66" s="351" t="s">
        <v>52</v>
      </c>
      <c r="C66" s="85">
        <f>PV!C66</f>
        <v>0.6</v>
      </c>
      <c r="D66" s="44" t="str">
        <f t="shared" si="2"/>
        <v>h</v>
      </c>
      <c r="E66" s="43">
        <f>IF(D66="h",PV!E66,IF(D66="M",PV!G66,PV!I66))</f>
        <v>6.95</v>
      </c>
      <c r="F66" s="291">
        <v>0</v>
      </c>
      <c r="G66" s="291">
        <v>0</v>
      </c>
      <c r="H66" s="291"/>
      <c r="I66" s="291"/>
      <c r="J66" s="291"/>
      <c r="K66" s="373"/>
      <c r="L66" s="331"/>
      <c r="M66" s="332"/>
      <c r="N66" s="333"/>
      <c r="O66" s="333"/>
      <c r="P66" s="334"/>
      <c r="Q66" s="275">
        <f t="shared" si="7"/>
        <v>0</v>
      </c>
      <c r="R66" s="280">
        <f t="shared" si="8"/>
        <v>0</v>
      </c>
      <c r="U66" s="294">
        <f t="shared" si="4"/>
        <v>0</v>
      </c>
      <c r="V66" s="301"/>
    </row>
    <row r="67" spans="1:22" s="25" customFormat="1" ht="20.100000000000001" customHeight="1" x14ac:dyDescent="0.25">
      <c r="A67" s="377">
        <v>330142</v>
      </c>
      <c r="B67" s="351" t="s">
        <v>51</v>
      </c>
      <c r="C67" s="85">
        <f>PV!C67</f>
        <v>0.3</v>
      </c>
      <c r="D67" s="44" t="str">
        <f t="shared" si="2"/>
        <v>h</v>
      </c>
      <c r="E67" s="43">
        <f>IF(D67="h",PV!E67,IF(D67="M",PV!G67,PV!I67))</f>
        <v>4.5</v>
      </c>
      <c r="F67" s="291">
        <v>0</v>
      </c>
      <c r="G67" s="291">
        <v>0</v>
      </c>
      <c r="H67" s="291"/>
      <c r="I67" s="291"/>
      <c r="J67" s="291"/>
      <c r="K67" s="373"/>
      <c r="L67" s="331"/>
      <c r="M67" s="332"/>
      <c r="N67" s="333"/>
      <c r="O67" s="333"/>
      <c r="P67" s="334"/>
      <c r="Q67" s="275">
        <f t="shared" si="7"/>
        <v>0</v>
      </c>
      <c r="R67" s="280">
        <f t="shared" si="8"/>
        <v>0</v>
      </c>
      <c r="U67" s="294">
        <f t="shared" si="4"/>
        <v>0</v>
      </c>
      <c r="V67" s="301"/>
    </row>
    <row r="68" spans="1:22" s="25" customFormat="1" ht="20.100000000000001" customHeight="1" x14ac:dyDescent="0.25">
      <c r="A68" s="377">
        <v>65877</v>
      </c>
      <c r="B68" s="351" t="s">
        <v>48</v>
      </c>
      <c r="C68" s="85">
        <f>PV!C68</f>
        <v>0.7</v>
      </c>
      <c r="D68" s="44" t="str">
        <f t="shared" si="2"/>
        <v>h</v>
      </c>
      <c r="E68" s="43">
        <f>IF(D68="h",PV!E68,IF(D68="M",PV!G68,PV!I68))</f>
        <v>7.95</v>
      </c>
      <c r="F68" s="291">
        <v>28</v>
      </c>
      <c r="G68" s="291">
        <v>20</v>
      </c>
      <c r="H68" s="291"/>
      <c r="I68" s="291"/>
      <c r="J68" s="291"/>
      <c r="K68" s="373"/>
      <c r="L68" s="331"/>
      <c r="M68" s="332"/>
      <c r="N68" s="333"/>
      <c r="O68" s="333"/>
      <c r="P68" s="334"/>
      <c r="Q68" s="275">
        <f t="shared" si="7"/>
        <v>0</v>
      </c>
      <c r="R68" s="280">
        <f t="shared" si="8"/>
        <v>0</v>
      </c>
      <c r="U68" s="294">
        <f t="shared" si="4"/>
        <v>0</v>
      </c>
      <c r="V68" s="301"/>
    </row>
    <row r="69" spans="1:22" s="25" customFormat="1" ht="20.100000000000001" customHeight="1" x14ac:dyDescent="0.25">
      <c r="A69" s="377">
        <v>206123</v>
      </c>
      <c r="B69" s="351" t="s">
        <v>47</v>
      </c>
      <c r="C69" s="85">
        <f>PV!C69</f>
        <v>0.35</v>
      </c>
      <c r="D69" s="44" t="str">
        <f t="shared" ref="D69:D134" si="9">D68</f>
        <v>h</v>
      </c>
      <c r="E69" s="43">
        <f>IF(D69="h",PV!E69,IF(D69="M",PV!G69,PV!I69))</f>
        <v>4.95</v>
      </c>
      <c r="F69" s="291">
        <v>13</v>
      </c>
      <c r="G69" s="291">
        <v>10</v>
      </c>
      <c r="H69" s="291"/>
      <c r="I69" s="291"/>
      <c r="J69" s="291"/>
      <c r="K69" s="373"/>
      <c r="L69" s="331"/>
      <c r="M69" s="332"/>
      <c r="N69" s="333"/>
      <c r="O69" s="333"/>
      <c r="P69" s="334"/>
      <c r="Q69" s="275">
        <f t="shared" si="7"/>
        <v>0</v>
      </c>
      <c r="R69" s="280">
        <f t="shared" si="8"/>
        <v>0</v>
      </c>
      <c r="U69" s="294">
        <f t="shared" si="4"/>
        <v>0</v>
      </c>
      <c r="V69" s="301"/>
    </row>
    <row r="70" spans="1:22" s="25" customFormat="1" ht="20.100000000000001" customHeight="1" x14ac:dyDescent="0.25">
      <c r="A70" s="377">
        <v>830252</v>
      </c>
      <c r="B70" s="351" t="s">
        <v>119</v>
      </c>
      <c r="C70" s="85">
        <f>PV!C70</f>
        <v>0.36</v>
      </c>
      <c r="D70" s="44" t="str">
        <f t="shared" si="9"/>
        <v>h</v>
      </c>
      <c r="E70" s="43">
        <f>IF(D70="h",PV!E70,IF(D70="M",PV!G70,PV!I70))</f>
        <v>2.75</v>
      </c>
      <c r="F70" s="291">
        <v>14</v>
      </c>
      <c r="G70" s="291">
        <v>36</v>
      </c>
      <c r="H70" s="291"/>
      <c r="I70" s="291"/>
      <c r="J70" s="291"/>
      <c r="K70" s="373"/>
      <c r="L70" s="331"/>
      <c r="M70" s="332"/>
      <c r="N70" s="333"/>
      <c r="O70" s="333"/>
      <c r="P70" s="334"/>
      <c r="Q70" s="275">
        <f t="shared" si="7"/>
        <v>0</v>
      </c>
      <c r="R70" s="280">
        <f t="shared" si="8"/>
        <v>0</v>
      </c>
      <c r="U70" s="294">
        <f t="shared" ref="U70:U75" si="10">K70-L70</f>
        <v>0</v>
      </c>
      <c r="V70" s="301"/>
    </row>
    <row r="71" spans="1:22" s="25" customFormat="1" ht="20.100000000000001" customHeight="1" x14ac:dyDescent="0.25">
      <c r="A71" s="377">
        <v>425026</v>
      </c>
      <c r="B71" s="351" t="s">
        <v>50</v>
      </c>
      <c r="C71" s="85">
        <f>PV!C71</f>
        <v>0.72</v>
      </c>
      <c r="D71" s="44" t="str">
        <f t="shared" si="9"/>
        <v>h</v>
      </c>
      <c r="E71" s="43">
        <f>IF(D71="h",PV!E71,IF(D71="M",PV!G71,PV!I71))</f>
        <v>3.95</v>
      </c>
      <c r="F71" s="291">
        <v>0</v>
      </c>
      <c r="G71" s="291">
        <v>8</v>
      </c>
      <c r="H71" s="291"/>
      <c r="I71" s="291"/>
      <c r="J71" s="291"/>
      <c r="K71" s="373"/>
      <c r="L71" s="331"/>
      <c r="M71" s="332"/>
      <c r="N71" s="333"/>
      <c r="O71" s="333"/>
      <c r="P71" s="334"/>
      <c r="Q71" s="275">
        <f t="shared" si="7"/>
        <v>0</v>
      </c>
      <c r="R71" s="280">
        <f t="shared" si="8"/>
        <v>0</v>
      </c>
      <c r="U71" s="294">
        <f t="shared" si="10"/>
        <v>0</v>
      </c>
      <c r="V71" s="301"/>
    </row>
    <row r="72" spans="1:22" s="25" customFormat="1" ht="20.100000000000001" customHeight="1" x14ac:dyDescent="0.25">
      <c r="A72" s="377">
        <v>286632</v>
      </c>
      <c r="B72" s="351" t="s">
        <v>49</v>
      </c>
      <c r="C72" s="85">
        <f>PV!C72</f>
        <v>0.36</v>
      </c>
      <c r="D72" s="44" t="str">
        <f t="shared" si="9"/>
        <v>h</v>
      </c>
      <c r="E72" s="43">
        <f>IF(D72="h",PV!E72,IF(D72="M",PV!G72,PV!I72))</f>
        <v>1</v>
      </c>
      <c r="F72" s="291">
        <v>14</v>
      </c>
      <c r="G72" s="291">
        <v>6</v>
      </c>
      <c r="H72" s="291"/>
      <c r="I72" s="291"/>
      <c r="J72" s="291"/>
      <c r="K72" s="373"/>
      <c r="L72" s="331"/>
      <c r="M72" s="332"/>
      <c r="N72" s="333"/>
      <c r="O72" s="333"/>
      <c r="P72" s="334"/>
      <c r="Q72" s="275">
        <f t="shared" si="7"/>
        <v>0</v>
      </c>
      <c r="R72" s="280">
        <f t="shared" si="8"/>
        <v>0</v>
      </c>
      <c r="U72" s="294">
        <f t="shared" si="10"/>
        <v>0</v>
      </c>
      <c r="V72" s="301"/>
    </row>
    <row r="73" spans="1:22" s="25" customFormat="1" ht="20.100000000000001" customHeight="1" x14ac:dyDescent="0.25">
      <c r="A73" s="379">
        <v>1008121</v>
      </c>
      <c r="B73" s="351" t="s">
        <v>120</v>
      </c>
      <c r="C73" s="85">
        <f>PV!C73</f>
        <v>0.5</v>
      </c>
      <c r="D73" s="44" t="str">
        <f t="shared" si="9"/>
        <v>h</v>
      </c>
      <c r="E73" s="43">
        <f>IF(D73="h",PV!E73,IF(D73="M",PV!G73,PV!I73))</f>
        <v>3.95</v>
      </c>
      <c r="F73" s="291">
        <v>0</v>
      </c>
      <c r="G73" s="291">
        <v>0</v>
      </c>
      <c r="H73" s="291"/>
      <c r="I73" s="291"/>
      <c r="J73" s="291"/>
      <c r="K73" s="373"/>
      <c r="L73" s="331"/>
      <c r="M73" s="332"/>
      <c r="N73" s="333"/>
      <c r="O73" s="333"/>
      <c r="P73" s="334"/>
      <c r="Q73" s="275">
        <f t="shared" si="7"/>
        <v>0</v>
      </c>
      <c r="R73" s="280">
        <f t="shared" si="8"/>
        <v>0</v>
      </c>
      <c r="U73" s="294">
        <f t="shared" si="10"/>
        <v>0</v>
      </c>
      <c r="V73" s="301"/>
    </row>
    <row r="74" spans="1:22" ht="0.6" customHeight="1" x14ac:dyDescent="0.2">
      <c r="A74" s="382"/>
      <c r="B74" s="347"/>
      <c r="C74" s="85">
        <f>PV!C74</f>
        <v>0</v>
      </c>
      <c r="D74" s="44" t="str">
        <f t="shared" si="9"/>
        <v>h</v>
      </c>
      <c r="E74" s="43">
        <f>IF(D74="h",PV!E74,IF(D74="M",PV!G74,PV!I74))</f>
        <v>0</v>
      </c>
      <c r="F74" s="291">
        <v>0</v>
      </c>
      <c r="G74" s="291">
        <v>0</v>
      </c>
      <c r="H74" s="291"/>
      <c r="I74" s="291"/>
      <c r="J74" s="291"/>
      <c r="K74" s="373"/>
      <c r="L74" s="331"/>
      <c r="M74" s="332"/>
      <c r="N74" s="333"/>
      <c r="O74" s="333"/>
      <c r="P74" s="334"/>
      <c r="Q74" s="271"/>
      <c r="R74" s="282">
        <f>SUM(R59:R73)</f>
        <v>0</v>
      </c>
      <c r="U74" s="294">
        <f t="shared" si="10"/>
        <v>0</v>
      </c>
      <c r="V74" s="301"/>
    </row>
    <row r="75" spans="1:22" s="25" customFormat="1" ht="20.100000000000001" customHeight="1" x14ac:dyDescent="0.25">
      <c r="A75" s="377">
        <v>1263740</v>
      </c>
      <c r="B75" s="351" t="s">
        <v>267</v>
      </c>
      <c r="C75" s="85">
        <f>PV!C75</f>
        <v>0.8</v>
      </c>
      <c r="D75" s="44" t="str">
        <f t="shared" si="9"/>
        <v>h</v>
      </c>
      <c r="E75" s="43">
        <f>IF(D75="h",PV!E75,IF(D75="M",PV!G75,PV!I75))</f>
        <v>4.75</v>
      </c>
      <c r="F75" s="291">
        <v>18</v>
      </c>
      <c r="G75" s="291">
        <v>14</v>
      </c>
      <c r="H75" s="291"/>
      <c r="I75" s="291"/>
      <c r="J75" s="291"/>
      <c r="K75" s="373"/>
      <c r="L75" s="331"/>
      <c r="M75" s="332"/>
      <c r="N75" s="333"/>
      <c r="O75" s="333"/>
      <c r="P75" s="334"/>
      <c r="Q75" s="275">
        <f>(K75*E75)</f>
        <v>0</v>
      </c>
      <c r="R75" s="280">
        <f>K75*C75</f>
        <v>0</v>
      </c>
      <c r="U75" s="294">
        <f t="shared" si="10"/>
        <v>0</v>
      </c>
      <c r="V75" s="301"/>
    </row>
    <row r="76" spans="1:22" s="25" customFormat="1" ht="0.6" customHeight="1" x14ac:dyDescent="0.25">
      <c r="A76" s="376"/>
      <c r="B76" s="351"/>
      <c r="C76" s="85">
        <f>PV!C76</f>
        <v>0</v>
      </c>
      <c r="D76" s="44" t="str">
        <f t="shared" si="9"/>
        <v>h</v>
      </c>
      <c r="E76" s="43">
        <f>IF(D76="h",PV!E76,IF(D76="M",PV!G76,PV!I76))</f>
        <v>0</v>
      </c>
      <c r="F76" s="291">
        <v>0</v>
      </c>
      <c r="G76" s="291">
        <v>0</v>
      </c>
      <c r="H76" s="291"/>
      <c r="I76" s="291"/>
      <c r="J76" s="291"/>
      <c r="K76" s="373"/>
      <c r="L76" s="331"/>
      <c r="M76" s="332"/>
      <c r="N76" s="333"/>
      <c r="O76" s="333"/>
      <c r="P76" s="334"/>
      <c r="Q76" s="279"/>
      <c r="R76" s="281">
        <f>SUM(R75:R75)</f>
        <v>0</v>
      </c>
      <c r="U76" s="294"/>
      <c r="V76" s="301"/>
    </row>
    <row r="77" spans="1:22" s="25" customFormat="1" ht="20.100000000000001" customHeight="1" x14ac:dyDescent="0.25">
      <c r="A77" s="376">
        <v>364629</v>
      </c>
      <c r="B77" s="352" t="s">
        <v>134</v>
      </c>
      <c r="C77" s="85">
        <f>PV!C77</f>
        <v>0.36</v>
      </c>
      <c r="D77" s="44" t="str">
        <f t="shared" si="9"/>
        <v>h</v>
      </c>
      <c r="E77" s="43">
        <f>IF(D77="h",PV!E77,IF(D77="M",PV!G77,PV!I77))</f>
        <v>2.5</v>
      </c>
      <c r="F77" s="291">
        <v>10</v>
      </c>
      <c r="G77" s="291">
        <v>12</v>
      </c>
      <c r="H77" s="291"/>
      <c r="I77" s="291"/>
      <c r="J77" s="291"/>
      <c r="K77" s="373"/>
      <c r="L77" s="331"/>
      <c r="M77" s="332"/>
      <c r="N77" s="333"/>
      <c r="O77" s="333"/>
      <c r="P77" s="334"/>
      <c r="Q77" s="279">
        <f>(K77*E77)</f>
        <v>0</v>
      </c>
      <c r="R77" s="280">
        <f>K77*C77</f>
        <v>0</v>
      </c>
      <c r="U77" s="294">
        <f>K77-L77</f>
        <v>0</v>
      </c>
      <c r="V77" s="301"/>
    </row>
    <row r="78" spans="1:22" s="25" customFormat="1" ht="20.100000000000001" customHeight="1" x14ac:dyDescent="0.25">
      <c r="A78" s="377">
        <v>370600</v>
      </c>
      <c r="B78" s="352" t="s">
        <v>135</v>
      </c>
      <c r="C78" s="85">
        <f>PV!C78</f>
        <v>0.36</v>
      </c>
      <c r="D78" s="44" t="str">
        <f t="shared" si="9"/>
        <v>h</v>
      </c>
      <c r="E78" s="43">
        <f>IF(D78="h",PV!E78,IF(D78="M",PV!G78,PV!I78))</f>
        <v>2.5</v>
      </c>
      <c r="F78" s="291">
        <v>7</v>
      </c>
      <c r="G78" s="291">
        <v>13</v>
      </c>
      <c r="H78" s="291"/>
      <c r="I78" s="291"/>
      <c r="J78" s="291"/>
      <c r="K78" s="373"/>
      <c r="L78" s="331"/>
      <c r="M78" s="332"/>
      <c r="N78" s="333"/>
      <c r="O78" s="333"/>
      <c r="P78" s="334"/>
      <c r="Q78" s="275">
        <f>(K78*E78)</f>
        <v>0</v>
      </c>
      <c r="R78" s="280">
        <f>K78*C78</f>
        <v>0</v>
      </c>
      <c r="U78" s="294">
        <f>K78-L78</f>
        <v>0</v>
      </c>
      <c r="V78" s="301"/>
    </row>
    <row r="79" spans="1:22" s="25" customFormat="1" ht="0.6" customHeight="1" x14ac:dyDescent="0.25">
      <c r="A79" s="377"/>
      <c r="B79" s="352"/>
      <c r="C79" s="85"/>
      <c r="D79" s="44"/>
      <c r="E79" s="43"/>
      <c r="F79" s="291">
        <v>0</v>
      </c>
      <c r="G79" s="291">
        <v>0</v>
      </c>
      <c r="H79" s="291"/>
      <c r="I79" s="291"/>
      <c r="J79" s="291"/>
      <c r="K79" s="373"/>
      <c r="L79" s="331"/>
      <c r="M79" s="332"/>
      <c r="N79" s="333"/>
      <c r="O79" s="333"/>
      <c r="P79" s="334"/>
      <c r="Q79" s="275"/>
      <c r="R79" s="281">
        <f>SUM(R77:R78)</f>
        <v>0</v>
      </c>
      <c r="U79" s="294"/>
      <c r="V79" s="301"/>
    </row>
    <row r="80" spans="1:22" s="25" customFormat="1" ht="20.100000000000001" customHeight="1" x14ac:dyDescent="0.25">
      <c r="A80" s="377">
        <v>1263741</v>
      </c>
      <c r="B80" s="352" t="s">
        <v>268</v>
      </c>
      <c r="C80" s="85">
        <f>PV!C80</f>
        <v>0.8</v>
      </c>
      <c r="D80" s="44" t="str">
        <f>D78</f>
        <v>h</v>
      </c>
      <c r="E80" s="43">
        <f>IF(D80="h",PV!E80,IF(D80="M",PV!G80,PV!I80))</f>
        <v>5.75</v>
      </c>
      <c r="F80" s="291">
        <v>23</v>
      </c>
      <c r="G80" s="291">
        <v>17</v>
      </c>
      <c r="H80" s="291"/>
      <c r="I80" s="291"/>
      <c r="J80" s="291"/>
      <c r="K80" s="373"/>
      <c r="L80" s="331"/>
      <c r="M80" s="332"/>
      <c r="N80" s="333"/>
      <c r="O80" s="333"/>
      <c r="P80" s="334"/>
      <c r="Q80" s="275">
        <f t="shared" ref="Q80:Q86" si="11">(K80*E80)</f>
        <v>0</v>
      </c>
      <c r="R80" s="280">
        <f>K80*C80</f>
        <v>0</v>
      </c>
      <c r="U80" s="294">
        <f t="shared" ref="U80:U97" si="12">K80-L80</f>
        <v>0</v>
      </c>
      <c r="V80" s="301"/>
    </row>
    <row r="81" spans="1:22" s="25" customFormat="1" ht="20.100000000000001" customHeight="1" x14ac:dyDescent="0.25">
      <c r="A81" s="377">
        <v>1263742</v>
      </c>
      <c r="B81" s="352" t="s">
        <v>291</v>
      </c>
      <c r="C81" s="85">
        <f>PV!C81</f>
        <v>0.47</v>
      </c>
      <c r="D81" s="44" t="str">
        <f t="shared" si="9"/>
        <v>h</v>
      </c>
      <c r="E81" s="43">
        <f>IF(D81="h",PV!E81,IF(D81="M",PV!G81,PV!I81))</f>
        <v>3.6</v>
      </c>
      <c r="F81" s="291">
        <v>20</v>
      </c>
      <c r="G81" s="291">
        <v>21</v>
      </c>
      <c r="H81" s="291"/>
      <c r="I81" s="291"/>
      <c r="J81" s="291"/>
      <c r="K81" s="373"/>
      <c r="L81" s="331"/>
      <c r="M81" s="332"/>
      <c r="N81" s="333"/>
      <c r="O81" s="333"/>
      <c r="P81" s="334"/>
      <c r="Q81" s="275">
        <f t="shared" si="11"/>
        <v>0</v>
      </c>
      <c r="R81" s="280">
        <f>K81*C81</f>
        <v>0</v>
      </c>
      <c r="U81" s="294">
        <f t="shared" si="12"/>
        <v>0</v>
      </c>
      <c r="V81" s="301"/>
    </row>
    <row r="82" spans="1:22" s="25" customFormat="1" ht="20.100000000000001" customHeight="1" x14ac:dyDescent="0.25">
      <c r="A82" s="377">
        <v>1263743</v>
      </c>
      <c r="B82" s="352" t="s">
        <v>292</v>
      </c>
      <c r="C82" s="85">
        <f>PV!C82</f>
        <v>0.8</v>
      </c>
      <c r="D82" s="44" t="str">
        <f t="shared" si="9"/>
        <v>h</v>
      </c>
      <c r="E82" s="43">
        <f>IF(D82="h",PV!E82,IF(D82="M",PV!G82,PV!I82))</f>
        <v>5.75</v>
      </c>
      <c r="F82" s="291">
        <v>22</v>
      </c>
      <c r="G82" s="291">
        <v>25</v>
      </c>
      <c r="H82" s="291"/>
      <c r="I82" s="291"/>
      <c r="J82" s="291"/>
      <c r="K82" s="373"/>
      <c r="L82" s="331"/>
      <c r="M82" s="332"/>
      <c r="N82" s="333"/>
      <c r="O82" s="333"/>
      <c r="P82" s="334"/>
      <c r="Q82" s="275">
        <f t="shared" si="11"/>
        <v>0</v>
      </c>
      <c r="R82" s="280">
        <f>K82*C82</f>
        <v>0</v>
      </c>
      <c r="U82" s="294">
        <f t="shared" si="12"/>
        <v>0</v>
      </c>
      <c r="V82" s="301"/>
    </row>
    <row r="83" spans="1:22" s="25" customFormat="1" ht="22.5" x14ac:dyDescent="0.25">
      <c r="A83" s="381">
        <v>65862</v>
      </c>
      <c r="B83" s="346" t="s">
        <v>178</v>
      </c>
      <c r="C83" s="85">
        <f>PV!C83</f>
        <v>0.48</v>
      </c>
      <c r="D83" s="44" t="str">
        <f t="shared" si="9"/>
        <v>h</v>
      </c>
      <c r="E83" s="43">
        <f>IF(D83="h",PV!E83,IF(D83="M",PV!G83,PV!I83))</f>
        <v>3.95</v>
      </c>
      <c r="F83" s="291">
        <v>6</v>
      </c>
      <c r="G83" s="291">
        <v>9</v>
      </c>
      <c r="H83" s="291"/>
      <c r="I83" s="291"/>
      <c r="J83" s="291"/>
      <c r="K83" s="373"/>
      <c r="L83" s="331"/>
      <c r="M83" s="332"/>
      <c r="N83" s="333"/>
      <c r="O83" s="333"/>
      <c r="P83" s="334"/>
      <c r="Q83" s="275">
        <f t="shared" si="11"/>
        <v>0</v>
      </c>
      <c r="R83" s="285">
        <f>K83*C83</f>
        <v>0</v>
      </c>
      <c r="U83" s="294">
        <f t="shared" si="12"/>
        <v>0</v>
      </c>
      <c r="V83" s="301"/>
    </row>
    <row r="84" spans="1:22" s="25" customFormat="1" ht="0.6" customHeight="1" x14ac:dyDescent="0.25">
      <c r="A84" s="335"/>
      <c r="B84" s="353"/>
      <c r="C84" s="85">
        <f>PV!C84</f>
        <v>0</v>
      </c>
      <c r="D84" s="44" t="str">
        <f t="shared" si="9"/>
        <v>h</v>
      </c>
      <c r="E84" s="43">
        <f>IF(D84="h",PV!E84,IF(D84="M",PV!G84,PV!I84))</f>
        <v>0</v>
      </c>
      <c r="F84" s="291">
        <v>0</v>
      </c>
      <c r="G84" s="291">
        <v>0</v>
      </c>
      <c r="H84" s="291"/>
      <c r="I84" s="291"/>
      <c r="J84" s="291"/>
      <c r="K84" s="373"/>
      <c r="L84" s="331"/>
      <c r="M84" s="332"/>
      <c r="N84" s="333"/>
      <c r="O84" s="333"/>
      <c r="P84" s="334"/>
      <c r="Q84" s="275">
        <f t="shared" si="11"/>
        <v>0</v>
      </c>
      <c r="R84" s="281">
        <f>SUM(R80:R83)</f>
        <v>0</v>
      </c>
      <c r="U84" s="294">
        <f t="shared" si="12"/>
        <v>0</v>
      </c>
      <c r="V84" s="301"/>
    </row>
    <row r="85" spans="1:22" s="25" customFormat="1" ht="22.5" x14ac:dyDescent="0.25">
      <c r="A85" s="381">
        <v>1263732</v>
      </c>
      <c r="B85" s="346" t="s">
        <v>263</v>
      </c>
      <c r="C85" s="85">
        <f>PV!C85</f>
        <v>0.47</v>
      </c>
      <c r="D85" s="44" t="str">
        <f t="shared" si="9"/>
        <v>h</v>
      </c>
      <c r="E85" s="43">
        <f>IF(D85="h",PV!E85,IF(D85="M",PV!G85,PV!I85))</f>
        <v>2.75</v>
      </c>
      <c r="F85" s="291">
        <v>12</v>
      </c>
      <c r="G85" s="291">
        <v>1</v>
      </c>
      <c r="H85" s="291"/>
      <c r="I85" s="291"/>
      <c r="J85" s="291"/>
      <c r="K85" s="373"/>
      <c r="L85" s="331"/>
      <c r="M85" s="332"/>
      <c r="N85" s="333"/>
      <c r="O85" s="333"/>
      <c r="P85" s="334"/>
      <c r="Q85" s="275">
        <f t="shared" si="11"/>
        <v>0</v>
      </c>
      <c r="R85" s="280">
        <f>K85*C85</f>
        <v>0</v>
      </c>
      <c r="U85" s="294">
        <f t="shared" si="12"/>
        <v>0</v>
      </c>
      <c r="V85" s="301"/>
    </row>
    <row r="86" spans="1:22" s="25" customFormat="1" ht="22.5" x14ac:dyDescent="0.25">
      <c r="A86" s="381">
        <v>1263733</v>
      </c>
      <c r="B86" s="346" t="s">
        <v>264</v>
      </c>
      <c r="C86" s="85">
        <f>PV!C86</f>
        <v>0.8</v>
      </c>
      <c r="D86" s="44" t="str">
        <f t="shared" si="9"/>
        <v>h</v>
      </c>
      <c r="E86" s="43">
        <f>IF(D86="h",PV!E86,IF(D86="M",PV!G86,PV!I86))</f>
        <v>5.5</v>
      </c>
      <c r="F86" s="291">
        <v>14</v>
      </c>
      <c r="G86" s="291">
        <v>0</v>
      </c>
      <c r="H86" s="291"/>
      <c r="I86" s="291"/>
      <c r="J86" s="291"/>
      <c r="K86" s="373"/>
      <c r="L86" s="331"/>
      <c r="M86" s="332"/>
      <c r="N86" s="333"/>
      <c r="O86" s="333"/>
      <c r="P86" s="334"/>
      <c r="Q86" s="275">
        <f t="shared" si="11"/>
        <v>0</v>
      </c>
      <c r="R86" s="280">
        <f>K86*C86</f>
        <v>0</v>
      </c>
      <c r="U86" s="294">
        <f t="shared" si="12"/>
        <v>0</v>
      </c>
      <c r="V86" s="301"/>
    </row>
    <row r="87" spans="1:22" s="25" customFormat="1" ht="0.6" customHeight="1" x14ac:dyDescent="0.2">
      <c r="A87" s="382"/>
      <c r="B87" s="343"/>
      <c r="C87" s="85">
        <f>PV!C87</f>
        <v>0</v>
      </c>
      <c r="D87" s="44" t="str">
        <f t="shared" si="9"/>
        <v>h</v>
      </c>
      <c r="E87" s="43">
        <f>IF(D87="h",PV!E87,IF(D87="M",PV!G87,PV!I87))</f>
        <v>0</v>
      </c>
      <c r="F87" s="291">
        <v>0</v>
      </c>
      <c r="G87" s="291">
        <v>0</v>
      </c>
      <c r="H87" s="291"/>
      <c r="I87" s="291"/>
      <c r="J87" s="291"/>
      <c r="K87" s="373"/>
      <c r="L87" s="331"/>
      <c r="M87" s="332"/>
      <c r="N87" s="333"/>
      <c r="O87" s="333"/>
      <c r="P87" s="334"/>
      <c r="Q87" s="275"/>
      <c r="R87" s="281">
        <f>SUM(R85:R86)</f>
        <v>0</v>
      </c>
      <c r="U87" s="294">
        <f t="shared" si="12"/>
        <v>0</v>
      </c>
      <c r="V87" s="301"/>
    </row>
    <row r="88" spans="1:22" ht="22.5" x14ac:dyDescent="0.2">
      <c r="A88" s="379">
        <v>1095099</v>
      </c>
      <c r="B88" s="354" t="s">
        <v>161</v>
      </c>
      <c r="C88" s="85">
        <f>PV!C88</f>
        <v>0.15</v>
      </c>
      <c r="D88" s="44" t="str">
        <f t="shared" si="9"/>
        <v>h</v>
      </c>
      <c r="E88" s="43">
        <f>IF(D88="h",PV!E88,IF(D88="M",PV!G88,PV!I88))</f>
        <v>2.5</v>
      </c>
      <c r="F88" s="291">
        <v>0</v>
      </c>
      <c r="G88" s="291">
        <v>0</v>
      </c>
      <c r="H88" s="291"/>
      <c r="I88" s="291"/>
      <c r="J88" s="291"/>
      <c r="K88" s="373"/>
      <c r="L88" s="331"/>
      <c r="M88" s="332"/>
      <c r="N88" s="333"/>
      <c r="O88" s="333"/>
      <c r="P88" s="334"/>
      <c r="Q88" s="275">
        <f>(K88*E88)</f>
        <v>0</v>
      </c>
      <c r="R88" s="280">
        <f>K88*C88</f>
        <v>0</v>
      </c>
      <c r="U88" s="294">
        <f t="shared" si="12"/>
        <v>0</v>
      </c>
      <c r="V88" s="301"/>
    </row>
    <row r="89" spans="1:22" s="28" customFormat="1" ht="22.5" x14ac:dyDescent="0.2">
      <c r="A89" s="380">
        <v>1008120</v>
      </c>
      <c r="B89" s="355" t="s">
        <v>162</v>
      </c>
      <c r="C89" s="85">
        <f>PV!C89</f>
        <v>0.12</v>
      </c>
      <c r="D89" s="44" t="str">
        <f t="shared" si="9"/>
        <v>h</v>
      </c>
      <c r="E89" s="43">
        <f>IF(D89="h",PV!E89,IF(D89="M",PV!G89,PV!I89))</f>
        <v>2.5</v>
      </c>
      <c r="F89" s="291">
        <v>0</v>
      </c>
      <c r="G89" s="291">
        <v>0</v>
      </c>
      <c r="H89" s="291"/>
      <c r="I89" s="291"/>
      <c r="J89" s="291"/>
      <c r="K89" s="373"/>
      <c r="L89" s="331"/>
      <c r="M89" s="332"/>
      <c r="N89" s="333"/>
      <c r="O89" s="333"/>
      <c r="P89" s="334"/>
      <c r="Q89" s="275">
        <f>(K89*E89)</f>
        <v>0</v>
      </c>
      <c r="R89" s="280">
        <f>K89*C89</f>
        <v>0</v>
      </c>
      <c r="U89" s="294">
        <f t="shared" si="12"/>
        <v>0</v>
      </c>
      <c r="V89" s="303"/>
    </row>
    <row r="90" spans="1:22" s="25" customFormat="1" ht="22.5" x14ac:dyDescent="0.2">
      <c r="A90" s="379">
        <v>1263735</v>
      </c>
      <c r="B90" s="343" t="s">
        <v>272</v>
      </c>
      <c r="C90" s="85">
        <f>PV!C90</f>
        <v>0.7</v>
      </c>
      <c r="D90" s="44" t="str">
        <f t="shared" si="9"/>
        <v>h</v>
      </c>
      <c r="E90" s="43">
        <f>IF(D90="h",PV!E90,IF(D90="M",PV!G90,PV!I90))</f>
        <v>6.2</v>
      </c>
      <c r="F90" s="291">
        <v>32</v>
      </c>
      <c r="G90" s="291">
        <v>21</v>
      </c>
      <c r="H90" s="291"/>
      <c r="I90" s="291"/>
      <c r="J90" s="291"/>
      <c r="K90" s="373"/>
      <c r="L90" s="331"/>
      <c r="M90" s="332"/>
      <c r="N90" s="333"/>
      <c r="O90" s="333"/>
      <c r="P90" s="334"/>
      <c r="Q90" s="275">
        <f>(K90*E90)</f>
        <v>0</v>
      </c>
      <c r="R90" s="280">
        <f>K90*C90</f>
        <v>0</v>
      </c>
      <c r="U90" s="294">
        <f t="shared" si="12"/>
        <v>0</v>
      </c>
      <c r="V90" s="301"/>
    </row>
    <row r="91" spans="1:22" ht="22.5" x14ac:dyDescent="0.2">
      <c r="A91" s="379">
        <v>1008119</v>
      </c>
      <c r="B91" s="354" t="s">
        <v>158</v>
      </c>
      <c r="C91" s="85">
        <f>PV!C91</f>
        <v>0.3</v>
      </c>
      <c r="D91" s="44" t="str">
        <f t="shared" si="9"/>
        <v>h</v>
      </c>
      <c r="E91" s="43">
        <f>IF(D91="h",PV!E91,IF(D91="M",PV!G91,PV!I91))</f>
        <v>2.7</v>
      </c>
      <c r="F91" s="291">
        <v>0</v>
      </c>
      <c r="G91" s="291">
        <v>0</v>
      </c>
      <c r="H91" s="291"/>
      <c r="I91" s="291"/>
      <c r="J91" s="291"/>
      <c r="K91" s="373"/>
      <c r="L91" s="331"/>
      <c r="M91" s="332"/>
      <c r="N91" s="333"/>
      <c r="O91" s="333"/>
      <c r="P91" s="334"/>
      <c r="Q91" s="275">
        <f>(K91*E91)</f>
        <v>0</v>
      </c>
      <c r="R91" s="280">
        <f>K91*C91</f>
        <v>0</v>
      </c>
      <c r="U91" s="294">
        <f t="shared" si="12"/>
        <v>0</v>
      </c>
      <c r="V91" s="301"/>
    </row>
    <row r="92" spans="1:22" s="28" customFormat="1" ht="0.6" customHeight="1" x14ac:dyDescent="0.2">
      <c r="A92" s="380"/>
      <c r="B92" s="356"/>
      <c r="C92" s="85">
        <f>PV!C92</f>
        <v>0</v>
      </c>
      <c r="D92" s="44" t="str">
        <f t="shared" si="9"/>
        <v>h</v>
      </c>
      <c r="E92" s="43">
        <f>IF(D92="h",PV!E92,IF(D92="M",PV!G92,PV!I92))</f>
        <v>0</v>
      </c>
      <c r="F92" s="291">
        <v>0</v>
      </c>
      <c r="G92" s="291">
        <v>0</v>
      </c>
      <c r="H92" s="291"/>
      <c r="I92" s="291"/>
      <c r="J92" s="291"/>
      <c r="K92" s="373"/>
      <c r="L92" s="331"/>
      <c r="M92" s="332"/>
      <c r="N92" s="333"/>
      <c r="O92" s="333"/>
      <c r="P92" s="334"/>
      <c r="Q92" s="271"/>
      <c r="R92" s="281">
        <f>SUM(R88:R91)</f>
        <v>0</v>
      </c>
      <c r="U92" s="294">
        <f t="shared" si="12"/>
        <v>0</v>
      </c>
      <c r="V92" s="303"/>
    </row>
    <row r="93" spans="1:22" s="25" customFormat="1" ht="22.5" x14ac:dyDescent="0.25">
      <c r="A93" s="335">
        <v>401788</v>
      </c>
      <c r="B93" s="352" t="s">
        <v>138</v>
      </c>
      <c r="C93" s="85">
        <f>PV!C93</f>
        <v>0.2</v>
      </c>
      <c r="D93" s="44" t="str">
        <f t="shared" si="9"/>
        <v>h</v>
      </c>
      <c r="E93" s="43">
        <f>IF(D93="h",PV!E93,IF(D93="M",PV!G93,PV!I93))</f>
        <v>0.5</v>
      </c>
      <c r="F93" s="291">
        <v>249</v>
      </c>
      <c r="G93" s="291">
        <v>102</v>
      </c>
      <c r="H93" s="291"/>
      <c r="I93" s="291"/>
      <c r="J93" s="291"/>
      <c r="K93" s="373"/>
      <c r="L93" s="331"/>
      <c r="M93" s="332"/>
      <c r="N93" s="333"/>
      <c r="O93" s="333"/>
      <c r="P93" s="334"/>
      <c r="Q93" s="279">
        <f>(K93*E93)</f>
        <v>0</v>
      </c>
      <c r="R93" s="280">
        <f>K93*C93</f>
        <v>0</v>
      </c>
      <c r="U93" s="294">
        <f t="shared" si="12"/>
        <v>0</v>
      </c>
      <c r="V93" s="301"/>
    </row>
    <row r="94" spans="1:22" s="25" customFormat="1" ht="22.5" x14ac:dyDescent="0.25">
      <c r="A94" s="335">
        <v>391720</v>
      </c>
      <c r="B94" s="352" t="s">
        <v>139</v>
      </c>
      <c r="C94" s="85">
        <f>PV!C94</f>
        <v>0.84</v>
      </c>
      <c r="D94" s="44" t="str">
        <f t="shared" si="9"/>
        <v>h</v>
      </c>
      <c r="E94" s="43">
        <f>IF(D94="h",PV!E94,IF(D94="M",PV!G94,PV!I94))</f>
        <v>3.5</v>
      </c>
      <c r="F94" s="291">
        <v>0</v>
      </c>
      <c r="G94" s="291">
        <v>0</v>
      </c>
      <c r="H94" s="291"/>
      <c r="I94" s="291"/>
      <c r="J94" s="291"/>
      <c r="K94" s="373"/>
      <c r="L94" s="331"/>
      <c r="M94" s="332"/>
      <c r="N94" s="333"/>
      <c r="O94" s="333"/>
      <c r="P94" s="334"/>
      <c r="Q94" s="275">
        <f>(K94*E94)</f>
        <v>0</v>
      </c>
      <c r="R94" s="280">
        <f>K94*C94</f>
        <v>0</v>
      </c>
      <c r="U94" s="294">
        <f t="shared" si="12"/>
        <v>0</v>
      </c>
      <c r="V94" s="301"/>
    </row>
    <row r="95" spans="1:22" s="25" customFormat="1" ht="22.5" x14ac:dyDescent="0.25">
      <c r="A95" s="335">
        <v>438079</v>
      </c>
      <c r="B95" s="352" t="s">
        <v>293</v>
      </c>
      <c r="C95" s="85">
        <f>PV!C95</f>
        <v>0.3</v>
      </c>
      <c r="D95" s="44" t="str">
        <f t="shared" si="9"/>
        <v>h</v>
      </c>
      <c r="E95" s="43">
        <f>IF(D95="h",PV!E95,IF(D95="M",PV!G95,PV!I95))</f>
        <v>2.65</v>
      </c>
      <c r="F95" s="291">
        <v>0</v>
      </c>
      <c r="G95" s="291">
        <v>0</v>
      </c>
      <c r="H95" s="291"/>
      <c r="I95" s="291"/>
      <c r="J95" s="291"/>
      <c r="K95" s="373"/>
      <c r="L95" s="331"/>
      <c r="M95" s="332"/>
      <c r="N95" s="333"/>
      <c r="O95" s="333"/>
      <c r="P95" s="334"/>
      <c r="Q95" s="275">
        <f>(K95*E95)</f>
        <v>0</v>
      </c>
      <c r="R95" s="280">
        <f>K95*C95</f>
        <v>0</v>
      </c>
      <c r="U95" s="294">
        <f t="shared" si="12"/>
        <v>0</v>
      </c>
      <c r="V95" s="301"/>
    </row>
    <row r="96" spans="1:22" s="25" customFormat="1" ht="22.5" x14ac:dyDescent="0.25">
      <c r="A96" s="335">
        <v>391741</v>
      </c>
      <c r="B96" s="352" t="s">
        <v>41</v>
      </c>
      <c r="C96" s="85">
        <f>PV!C96</f>
        <v>1.2</v>
      </c>
      <c r="D96" s="44" t="str">
        <f t="shared" si="9"/>
        <v>h</v>
      </c>
      <c r="E96" s="43">
        <f>IF(D96="h",PV!E96,IF(D96="M",PV!G96,PV!I96))</f>
        <v>2.5</v>
      </c>
      <c r="F96" s="291">
        <v>63</v>
      </c>
      <c r="G96" s="291">
        <v>34</v>
      </c>
      <c r="H96" s="291"/>
      <c r="I96" s="291"/>
      <c r="J96" s="291"/>
      <c r="K96" s="373"/>
      <c r="L96" s="331"/>
      <c r="M96" s="332"/>
      <c r="N96" s="333"/>
      <c r="O96" s="333"/>
      <c r="P96" s="334"/>
      <c r="Q96" s="275">
        <f>(K96*E96)</f>
        <v>0</v>
      </c>
      <c r="R96" s="280">
        <f>K96*C96</f>
        <v>0</v>
      </c>
      <c r="U96" s="294">
        <f t="shared" si="12"/>
        <v>0</v>
      </c>
      <c r="V96" s="301"/>
    </row>
    <row r="97" spans="1:22" s="25" customFormat="1" ht="22.5" x14ac:dyDescent="0.25">
      <c r="A97" s="335">
        <v>391742</v>
      </c>
      <c r="B97" s="352" t="s">
        <v>141</v>
      </c>
      <c r="C97" s="85">
        <f>PV!C97</f>
        <v>0.6</v>
      </c>
      <c r="D97" s="44" t="str">
        <f t="shared" si="9"/>
        <v>h</v>
      </c>
      <c r="E97" s="43">
        <f>IF(D97="h",PV!E97,IF(D97="M",PV!G97,PV!I97))</f>
        <v>1.25</v>
      </c>
      <c r="F97" s="291">
        <v>0</v>
      </c>
      <c r="G97" s="291">
        <v>0</v>
      </c>
      <c r="H97" s="291"/>
      <c r="I97" s="291"/>
      <c r="J97" s="291"/>
      <c r="K97" s="373"/>
      <c r="L97" s="331"/>
      <c r="M97" s="332"/>
      <c r="N97" s="333"/>
      <c r="O97" s="333"/>
      <c r="P97" s="334"/>
      <c r="Q97" s="275">
        <f>(K97*E97)</f>
        <v>0</v>
      </c>
      <c r="R97" s="280">
        <f>K97*C97</f>
        <v>0</v>
      </c>
      <c r="U97" s="294">
        <f t="shared" si="12"/>
        <v>0</v>
      </c>
      <c r="V97" s="301"/>
    </row>
    <row r="98" spans="1:22" s="25" customFormat="1" ht="0.6" customHeight="1" x14ac:dyDescent="0.25">
      <c r="A98" s="335"/>
      <c r="B98" s="352"/>
      <c r="C98" s="85"/>
      <c r="D98" s="44"/>
      <c r="E98" s="43"/>
      <c r="F98" s="291">
        <v>0</v>
      </c>
      <c r="G98" s="291">
        <v>0</v>
      </c>
      <c r="H98" s="291"/>
      <c r="I98" s="291"/>
      <c r="J98" s="291"/>
      <c r="K98" s="373"/>
      <c r="L98" s="331"/>
      <c r="M98" s="332"/>
      <c r="N98" s="333"/>
      <c r="O98" s="333"/>
      <c r="P98" s="334"/>
      <c r="Q98" s="275"/>
      <c r="R98" s="282">
        <f>SUM(R93:R97)</f>
        <v>0</v>
      </c>
      <c r="U98" s="294"/>
      <c r="V98" s="301"/>
    </row>
    <row r="99" spans="1:22" s="25" customFormat="1" ht="22.5" x14ac:dyDescent="0.25">
      <c r="A99" s="335">
        <v>875635</v>
      </c>
      <c r="B99" s="352" t="s">
        <v>142</v>
      </c>
      <c r="C99" s="85">
        <f>PV!C99</f>
        <v>0.05</v>
      </c>
      <c r="D99" s="44" t="str">
        <f>D97</f>
        <v>h</v>
      </c>
      <c r="E99" s="43">
        <f>IF(D99="h",PV!E99,IF(D99="M",PV!G99,PV!I99))</f>
        <v>1.5</v>
      </c>
      <c r="F99" s="291">
        <v>0</v>
      </c>
      <c r="G99" s="291">
        <v>0</v>
      </c>
      <c r="H99" s="291"/>
      <c r="I99" s="291"/>
      <c r="J99" s="291"/>
      <c r="K99" s="373"/>
      <c r="L99" s="331"/>
      <c r="M99" s="332"/>
      <c r="N99" s="333"/>
      <c r="O99" s="333"/>
      <c r="P99" s="334"/>
      <c r="Q99" s="275">
        <f t="shared" ref="Q99:Q107" si="13">(K99*E99)</f>
        <v>0</v>
      </c>
      <c r="R99" s="280">
        <f t="shared" ref="R99:R104" si="14">K99*C99</f>
        <v>0</v>
      </c>
      <c r="U99" s="294">
        <f t="shared" ref="U99:U130" si="15">K99-L99</f>
        <v>0</v>
      </c>
      <c r="V99" s="301"/>
    </row>
    <row r="100" spans="1:22" s="48" customFormat="1" ht="22.5" x14ac:dyDescent="0.25">
      <c r="A100" s="335">
        <v>391727</v>
      </c>
      <c r="B100" s="352" t="s">
        <v>143</v>
      </c>
      <c r="C100" s="85">
        <f>PV!C100</f>
        <v>0.1</v>
      </c>
      <c r="D100" s="44" t="str">
        <f t="shared" si="9"/>
        <v>h</v>
      </c>
      <c r="E100" s="43">
        <f>IF(D100="h",PV!E100,IF(D100="M",PV!G100,PV!I100))</f>
        <v>5.75</v>
      </c>
      <c r="F100" s="291">
        <v>41</v>
      </c>
      <c r="G100" s="291">
        <v>53</v>
      </c>
      <c r="H100" s="291"/>
      <c r="I100" s="291"/>
      <c r="J100" s="291"/>
      <c r="K100" s="373"/>
      <c r="L100" s="331"/>
      <c r="M100" s="332"/>
      <c r="N100" s="333"/>
      <c r="O100" s="333"/>
      <c r="P100" s="334"/>
      <c r="Q100" s="275">
        <f t="shared" si="13"/>
        <v>0</v>
      </c>
      <c r="R100" s="280">
        <f t="shared" si="14"/>
        <v>0</v>
      </c>
      <c r="U100" s="294">
        <f t="shared" si="15"/>
        <v>0</v>
      </c>
      <c r="V100" s="302"/>
    </row>
    <row r="101" spans="1:22" s="48" customFormat="1" ht="22.5" x14ac:dyDescent="0.25">
      <c r="A101" s="379">
        <v>401769</v>
      </c>
      <c r="B101" s="352" t="s">
        <v>299</v>
      </c>
      <c r="C101" s="85">
        <f>PV!C101</f>
        <v>0.1</v>
      </c>
      <c r="D101" s="44" t="str">
        <f t="shared" si="9"/>
        <v>h</v>
      </c>
      <c r="E101" s="43">
        <f>IF(D101="h",PV!E101,IF(D101="M",PV!G101,PV!I101))</f>
        <v>4.75</v>
      </c>
      <c r="F101" s="291">
        <v>45</v>
      </c>
      <c r="G101" s="291">
        <v>26</v>
      </c>
      <c r="H101" s="291"/>
      <c r="I101" s="291"/>
      <c r="J101" s="291"/>
      <c r="K101" s="373"/>
      <c r="L101" s="331"/>
      <c r="M101" s="332"/>
      <c r="N101" s="333"/>
      <c r="O101" s="333"/>
      <c r="P101" s="334"/>
      <c r="Q101" s="275">
        <f t="shared" si="13"/>
        <v>0</v>
      </c>
      <c r="R101" s="280">
        <f t="shared" si="14"/>
        <v>0</v>
      </c>
      <c r="U101" s="294">
        <f t="shared" si="15"/>
        <v>0</v>
      </c>
      <c r="V101" s="302"/>
    </row>
    <row r="102" spans="1:22" s="25" customFormat="1" ht="22.5" x14ac:dyDescent="0.25">
      <c r="A102" s="379">
        <v>915518</v>
      </c>
      <c r="B102" s="352" t="s">
        <v>145</v>
      </c>
      <c r="C102" s="85">
        <f>PV!C102</f>
        <v>0.1</v>
      </c>
      <c r="D102" s="44" t="str">
        <f t="shared" si="9"/>
        <v>h</v>
      </c>
      <c r="E102" s="43">
        <f>IF(D102="h",PV!E102,IF(D102="M",PV!G102,PV!I102))</f>
        <v>5.75</v>
      </c>
      <c r="F102" s="291">
        <v>8</v>
      </c>
      <c r="G102" s="291">
        <v>0</v>
      </c>
      <c r="H102" s="291"/>
      <c r="I102" s="291"/>
      <c r="J102" s="291"/>
      <c r="K102" s="373"/>
      <c r="L102" s="331"/>
      <c r="M102" s="332"/>
      <c r="N102" s="333"/>
      <c r="O102" s="333"/>
      <c r="P102" s="334"/>
      <c r="Q102" s="275">
        <f t="shared" si="13"/>
        <v>0</v>
      </c>
      <c r="R102" s="280">
        <f t="shared" si="14"/>
        <v>0</v>
      </c>
      <c r="U102" s="294">
        <f t="shared" si="15"/>
        <v>0</v>
      </c>
      <c r="V102" s="301"/>
    </row>
    <row r="103" spans="1:22" ht="22.5" x14ac:dyDescent="0.2">
      <c r="A103" s="380">
        <v>915523</v>
      </c>
      <c r="B103" s="354" t="s">
        <v>146</v>
      </c>
      <c r="C103" s="85">
        <f>PV!C103</f>
        <v>0.1</v>
      </c>
      <c r="D103" s="44" t="str">
        <f t="shared" si="9"/>
        <v>h</v>
      </c>
      <c r="E103" s="43">
        <f>IF(D103="h",PV!E103,IF(D103="M",PV!G103,PV!I103))</f>
        <v>5.25</v>
      </c>
      <c r="F103" s="291">
        <v>0</v>
      </c>
      <c r="G103" s="291">
        <v>4</v>
      </c>
      <c r="H103" s="291"/>
      <c r="I103" s="291"/>
      <c r="J103" s="291"/>
      <c r="K103" s="373"/>
      <c r="L103" s="331"/>
      <c r="M103" s="332"/>
      <c r="N103" s="333"/>
      <c r="O103" s="333"/>
      <c r="P103" s="334"/>
      <c r="Q103" s="275">
        <f t="shared" si="13"/>
        <v>0</v>
      </c>
      <c r="R103" s="280">
        <f t="shared" si="14"/>
        <v>0</v>
      </c>
      <c r="U103" s="294">
        <f t="shared" si="15"/>
        <v>0</v>
      </c>
      <c r="V103" s="301"/>
    </row>
    <row r="104" spans="1:22" s="25" customFormat="1" ht="22.5" x14ac:dyDescent="0.25">
      <c r="A104" s="385">
        <v>391721</v>
      </c>
      <c r="B104" s="357" t="s">
        <v>147</v>
      </c>
      <c r="C104" s="85">
        <f>PV!C104</f>
        <v>0.1</v>
      </c>
      <c r="D104" s="44" t="str">
        <f t="shared" si="9"/>
        <v>h</v>
      </c>
      <c r="E104" s="43">
        <f>IF(D104="h",PV!E104,IF(D104="M",PV!G104,PV!I104))</f>
        <v>3.75</v>
      </c>
      <c r="F104" s="291">
        <v>73</v>
      </c>
      <c r="G104" s="291">
        <v>45</v>
      </c>
      <c r="H104" s="291"/>
      <c r="I104" s="291"/>
      <c r="J104" s="291"/>
      <c r="K104" s="373"/>
      <c r="L104" s="331"/>
      <c r="M104" s="332"/>
      <c r="N104" s="333"/>
      <c r="O104" s="333"/>
      <c r="P104" s="334"/>
      <c r="Q104" s="275">
        <f t="shared" si="13"/>
        <v>0</v>
      </c>
      <c r="R104" s="280">
        <f t="shared" si="14"/>
        <v>0</v>
      </c>
      <c r="U104" s="294">
        <f t="shared" si="15"/>
        <v>0</v>
      </c>
      <c r="V104" s="301"/>
    </row>
    <row r="105" spans="1:22" s="25" customFormat="1" ht="0.6" customHeight="1" x14ac:dyDescent="0.25">
      <c r="A105" s="382"/>
      <c r="B105" s="353"/>
      <c r="C105" s="85">
        <f>PV!C105</f>
        <v>0</v>
      </c>
      <c r="D105" s="44" t="str">
        <f t="shared" si="9"/>
        <v>h</v>
      </c>
      <c r="E105" s="43">
        <f>IF(D105="h",PV!E105,IF(D105="M",PV!G105,PV!I105))</f>
        <v>0</v>
      </c>
      <c r="F105" s="291">
        <v>0</v>
      </c>
      <c r="G105" s="291">
        <v>0</v>
      </c>
      <c r="H105" s="291"/>
      <c r="I105" s="291"/>
      <c r="J105" s="291"/>
      <c r="K105" s="373"/>
      <c r="L105" s="331"/>
      <c r="M105" s="332"/>
      <c r="N105" s="333"/>
      <c r="O105" s="333"/>
      <c r="P105" s="334"/>
      <c r="Q105" s="275">
        <f t="shared" si="13"/>
        <v>0</v>
      </c>
      <c r="R105" s="318">
        <f>SUM(R99:R104)</f>
        <v>0</v>
      </c>
      <c r="U105" s="294">
        <f t="shared" si="15"/>
        <v>0</v>
      </c>
      <c r="V105" s="301"/>
    </row>
    <row r="106" spans="1:22" ht="18.75" customHeight="1" x14ac:dyDescent="0.2">
      <c r="A106" s="381">
        <v>391717</v>
      </c>
      <c r="B106" s="338" t="s">
        <v>294</v>
      </c>
      <c r="C106" s="85">
        <f>PV!C106</f>
        <v>1.2</v>
      </c>
      <c r="D106" s="44" t="str">
        <f t="shared" si="9"/>
        <v>h</v>
      </c>
      <c r="E106" s="43">
        <f>IF(D106="h",PV!E106,IF(D106="M",PV!G106,PV!I106))</f>
        <v>4.25</v>
      </c>
      <c r="F106" s="291">
        <v>27</v>
      </c>
      <c r="G106" s="291">
        <v>41</v>
      </c>
      <c r="H106" s="291"/>
      <c r="I106" s="291"/>
      <c r="J106" s="291"/>
      <c r="K106" s="373"/>
      <c r="L106" s="331"/>
      <c r="M106" s="332"/>
      <c r="N106" s="333"/>
      <c r="O106" s="333"/>
      <c r="P106" s="334"/>
      <c r="Q106" s="275">
        <f t="shared" si="13"/>
        <v>0</v>
      </c>
      <c r="R106" s="280">
        <f>K106*C106</f>
        <v>0</v>
      </c>
      <c r="U106" s="294">
        <f t="shared" si="15"/>
        <v>0</v>
      </c>
      <c r="V106" s="301"/>
    </row>
    <row r="107" spans="1:22" ht="22.5" x14ac:dyDescent="0.2">
      <c r="A107" s="381">
        <v>438604</v>
      </c>
      <c r="B107" s="338" t="s">
        <v>295</v>
      </c>
      <c r="C107" s="85">
        <f>PV!C107</f>
        <v>0.6</v>
      </c>
      <c r="D107" s="44" t="str">
        <f t="shared" si="9"/>
        <v>h</v>
      </c>
      <c r="E107" s="43">
        <f>IF(D107="h",PV!E107,IF(D107="M",PV!G107,PV!I107))</f>
        <v>3.25</v>
      </c>
      <c r="F107" s="291">
        <v>0</v>
      </c>
      <c r="G107" s="291">
        <v>0</v>
      </c>
      <c r="H107" s="291"/>
      <c r="I107" s="291"/>
      <c r="J107" s="291"/>
      <c r="K107" s="373"/>
      <c r="L107" s="331"/>
      <c r="M107" s="332"/>
      <c r="N107" s="333"/>
      <c r="O107" s="333"/>
      <c r="P107" s="334"/>
      <c r="Q107" s="275">
        <f t="shared" si="13"/>
        <v>0</v>
      </c>
      <c r="R107" s="280">
        <f>K107*C107</f>
        <v>0</v>
      </c>
      <c r="U107" s="294">
        <f t="shared" si="15"/>
        <v>0</v>
      </c>
      <c r="V107" s="301"/>
    </row>
    <row r="108" spans="1:22" s="25" customFormat="1" ht="0.6" customHeight="1" x14ac:dyDescent="0.15">
      <c r="A108" s="335"/>
      <c r="B108" s="343"/>
      <c r="C108" s="85">
        <f>PV!C108</f>
        <v>0</v>
      </c>
      <c r="D108" s="44" t="str">
        <f t="shared" si="9"/>
        <v>h</v>
      </c>
      <c r="E108" s="43">
        <f>IF(D108="h",PV!E108,IF(D108="M",PV!G108,PV!I108))</f>
        <v>0</v>
      </c>
      <c r="F108" s="291">
        <v>0</v>
      </c>
      <c r="G108" s="291">
        <v>0</v>
      </c>
      <c r="H108" s="291"/>
      <c r="I108" s="291"/>
      <c r="J108" s="291"/>
      <c r="K108" s="373"/>
      <c r="L108" s="331"/>
      <c r="M108" s="332"/>
      <c r="N108" s="333"/>
      <c r="O108" s="333"/>
      <c r="P108" s="334"/>
      <c r="Q108" s="275"/>
      <c r="R108" s="281">
        <f>SUM(R106:R107)</f>
        <v>0</v>
      </c>
      <c r="U108" s="294">
        <f t="shared" si="15"/>
        <v>0</v>
      </c>
      <c r="V108" s="301"/>
    </row>
    <row r="109" spans="1:22" s="25" customFormat="1" ht="22.5" x14ac:dyDescent="0.25">
      <c r="A109" s="381">
        <v>1008122</v>
      </c>
      <c r="B109" s="346" t="s">
        <v>165</v>
      </c>
      <c r="C109" s="85">
        <f>PV!C109</f>
        <v>0.3</v>
      </c>
      <c r="D109" s="44" t="str">
        <f t="shared" si="9"/>
        <v>h</v>
      </c>
      <c r="E109" s="43">
        <f>IF(D109="h",PV!E109,IF(D109="M",PV!G109,PV!I109))</f>
        <v>4</v>
      </c>
      <c r="F109" s="291">
        <v>13</v>
      </c>
      <c r="G109" s="291">
        <v>0</v>
      </c>
      <c r="H109" s="291"/>
      <c r="I109" s="291"/>
      <c r="J109" s="291"/>
      <c r="K109" s="373"/>
      <c r="L109" s="331"/>
      <c r="M109" s="332"/>
      <c r="N109" s="333"/>
      <c r="O109" s="333"/>
      <c r="P109" s="334"/>
      <c r="Q109" s="275">
        <f>(K109*E109)</f>
        <v>0</v>
      </c>
      <c r="R109" s="280">
        <f>K109*C109</f>
        <v>0</v>
      </c>
      <c r="U109" s="294">
        <f t="shared" si="15"/>
        <v>0</v>
      </c>
      <c r="V109" s="301"/>
    </row>
    <row r="110" spans="1:22" s="25" customFormat="1" ht="22.5" x14ac:dyDescent="0.25">
      <c r="A110" s="381">
        <v>1008124</v>
      </c>
      <c r="B110" s="346" t="s">
        <v>166</v>
      </c>
      <c r="C110" s="85">
        <f>PV!C110</f>
        <v>0.3</v>
      </c>
      <c r="D110" s="44" t="str">
        <f t="shared" si="9"/>
        <v>h</v>
      </c>
      <c r="E110" s="43">
        <f>IF(D110="h",PV!E110,IF(D110="M",PV!G110,PV!I110))</f>
        <v>5</v>
      </c>
      <c r="F110" s="291">
        <v>47</v>
      </c>
      <c r="G110" s="291">
        <v>12</v>
      </c>
      <c r="H110" s="291"/>
      <c r="I110" s="291"/>
      <c r="J110" s="291"/>
      <c r="K110" s="373"/>
      <c r="L110" s="331"/>
      <c r="M110" s="332"/>
      <c r="N110" s="333"/>
      <c r="O110" s="333"/>
      <c r="P110" s="334"/>
      <c r="Q110" s="275">
        <f>(K110*E110)</f>
        <v>0</v>
      </c>
      <c r="R110" s="280">
        <f>K110*C110</f>
        <v>0</v>
      </c>
      <c r="U110" s="294">
        <f t="shared" si="15"/>
        <v>0</v>
      </c>
      <c r="V110" s="301"/>
    </row>
    <row r="111" spans="1:22" s="25" customFormat="1" ht="22.5" x14ac:dyDescent="0.25">
      <c r="A111" s="381">
        <v>1007683</v>
      </c>
      <c r="B111" s="346" t="s">
        <v>167</v>
      </c>
      <c r="C111" s="85">
        <f>PV!C111</f>
        <v>0.3</v>
      </c>
      <c r="D111" s="44" t="str">
        <f t="shared" si="9"/>
        <v>h</v>
      </c>
      <c r="E111" s="43">
        <f>IF(D111="h",PV!E111,IF(D111="M",PV!G111,PV!I111))</f>
        <v>1.5</v>
      </c>
      <c r="F111" s="291">
        <v>133</v>
      </c>
      <c r="G111" s="291">
        <v>294</v>
      </c>
      <c r="H111" s="291"/>
      <c r="I111" s="291"/>
      <c r="J111" s="291"/>
      <c r="K111" s="373"/>
      <c r="L111" s="331"/>
      <c r="M111" s="332"/>
      <c r="N111" s="333"/>
      <c r="O111" s="333"/>
      <c r="P111" s="334"/>
      <c r="Q111" s="275">
        <f>(K111*E111)</f>
        <v>0</v>
      </c>
      <c r="R111" s="280">
        <f>K111*C111</f>
        <v>0</v>
      </c>
      <c r="U111" s="294">
        <f t="shared" si="15"/>
        <v>0</v>
      </c>
      <c r="V111" s="301"/>
    </row>
    <row r="112" spans="1:22" s="25" customFormat="1" ht="22.5" x14ac:dyDescent="0.25">
      <c r="A112" s="381">
        <v>1008123</v>
      </c>
      <c r="B112" s="346" t="s">
        <v>168</v>
      </c>
      <c r="C112" s="85">
        <f>PV!C112</f>
        <v>0.3</v>
      </c>
      <c r="D112" s="44" t="str">
        <f t="shared" si="9"/>
        <v>h</v>
      </c>
      <c r="E112" s="43">
        <f>IF(D112="h",PV!E112,IF(D112="M",PV!G112,PV!I112))</f>
        <v>3</v>
      </c>
      <c r="F112" s="291">
        <v>18</v>
      </c>
      <c r="G112" s="291">
        <v>10</v>
      </c>
      <c r="H112" s="291"/>
      <c r="I112" s="291"/>
      <c r="J112" s="291"/>
      <c r="K112" s="373"/>
      <c r="L112" s="331"/>
      <c r="M112" s="332"/>
      <c r="N112" s="333"/>
      <c r="O112" s="333"/>
      <c r="P112" s="334"/>
      <c r="Q112" s="275">
        <f>(K112*E112)</f>
        <v>0</v>
      </c>
      <c r="R112" s="280">
        <f>K112*C112</f>
        <v>0</v>
      </c>
      <c r="U112" s="294">
        <f t="shared" si="15"/>
        <v>0</v>
      </c>
      <c r="V112" s="301"/>
    </row>
    <row r="113" spans="1:22" s="25" customFormat="1" ht="22.5" x14ac:dyDescent="0.2">
      <c r="A113" s="382"/>
      <c r="B113" s="343"/>
      <c r="C113" s="85">
        <f>PV!C113</f>
        <v>0</v>
      </c>
      <c r="D113" s="44" t="str">
        <f t="shared" si="9"/>
        <v>h</v>
      </c>
      <c r="E113" s="43">
        <f>IF(D113="h",PV!E113,IF(D113="M",PV!G113,PV!I113))</f>
        <v>0</v>
      </c>
      <c r="F113" s="291">
        <v>0</v>
      </c>
      <c r="G113" s="291">
        <v>0</v>
      </c>
      <c r="H113" s="291"/>
      <c r="I113" s="291"/>
      <c r="J113" s="291"/>
      <c r="K113" s="373"/>
      <c r="L113" s="331"/>
      <c r="M113" s="332"/>
      <c r="N113" s="333"/>
      <c r="O113" s="333"/>
      <c r="P113" s="334"/>
      <c r="Q113" s="275"/>
      <c r="R113" s="281">
        <f>SUM(R109:R112)</f>
        <v>0</v>
      </c>
      <c r="U113" s="294">
        <f t="shared" si="15"/>
        <v>0</v>
      </c>
      <c r="V113" s="301"/>
    </row>
    <row r="114" spans="1:22" ht="22.5" x14ac:dyDescent="0.25">
      <c r="A114" s="381">
        <v>949835</v>
      </c>
      <c r="B114" s="346" t="s">
        <v>179</v>
      </c>
      <c r="C114" s="85">
        <f>PV!C114</f>
        <v>0.24</v>
      </c>
      <c r="D114" s="44" t="str">
        <f t="shared" si="9"/>
        <v>h</v>
      </c>
      <c r="E114" s="43">
        <f>IF(D114="h",PV!E114,IF(D114="M",PV!G114,PV!I114))</f>
        <v>5.95</v>
      </c>
      <c r="F114" s="291">
        <v>0</v>
      </c>
      <c r="G114" s="291">
        <v>0</v>
      </c>
      <c r="H114" s="291"/>
      <c r="I114" s="291"/>
      <c r="J114" s="291"/>
      <c r="K114" s="373"/>
      <c r="L114" s="331"/>
      <c r="M114" s="332"/>
      <c r="N114" s="333"/>
      <c r="O114" s="333"/>
      <c r="P114" s="334"/>
      <c r="Q114" s="275">
        <f>(K114*E114)</f>
        <v>0</v>
      </c>
      <c r="R114" s="280">
        <f>K114*C114</f>
        <v>0</v>
      </c>
      <c r="U114" s="294">
        <f t="shared" si="15"/>
        <v>0</v>
      </c>
      <c r="V114" s="301"/>
    </row>
    <row r="115" spans="1:22" ht="22.5" x14ac:dyDescent="0.2">
      <c r="A115" s="380"/>
      <c r="B115" s="358"/>
      <c r="C115" s="85">
        <f>PV!C115</f>
        <v>0</v>
      </c>
      <c r="D115" s="44" t="str">
        <f t="shared" si="9"/>
        <v>h</v>
      </c>
      <c r="E115" s="43">
        <f>IF(D115="h",PV!E115,IF(D115="M",PV!G115,PV!I115))</f>
        <v>0</v>
      </c>
      <c r="F115" s="291">
        <v>0</v>
      </c>
      <c r="G115" s="291">
        <v>0</v>
      </c>
      <c r="H115" s="291"/>
      <c r="I115" s="291"/>
      <c r="J115" s="291"/>
      <c r="K115" s="373"/>
      <c r="L115" s="331"/>
      <c r="M115" s="332"/>
      <c r="N115" s="333"/>
      <c r="O115" s="333"/>
      <c r="P115" s="334"/>
      <c r="Q115" s="278"/>
      <c r="R115" s="281">
        <f>SUM(R114:R114)</f>
        <v>0</v>
      </c>
      <c r="U115" s="294">
        <f t="shared" si="15"/>
        <v>0</v>
      </c>
      <c r="V115" s="301"/>
    </row>
    <row r="116" spans="1:22" ht="22.5" x14ac:dyDescent="0.25">
      <c r="A116" s="381">
        <v>65916</v>
      </c>
      <c r="B116" s="359" t="s">
        <v>171</v>
      </c>
      <c r="C116" s="85">
        <f>PV!C116</f>
        <v>0.42</v>
      </c>
      <c r="D116" s="44" t="str">
        <f t="shared" si="9"/>
        <v>h</v>
      </c>
      <c r="E116" s="43">
        <f>IF(D116="h",PV!E116,IF(D116="M",PV!G116,PV!I116))</f>
        <v>11.95</v>
      </c>
      <c r="F116" s="291">
        <v>1</v>
      </c>
      <c r="G116" s="291">
        <v>2</v>
      </c>
      <c r="H116" s="291"/>
      <c r="I116" s="291"/>
      <c r="J116" s="291"/>
      <c r="K116" s="373"/>
      <c r="L116" s="331"/>
      <c r="M116" s="332"/>
      <c r="N116" s="333"/>
      <c r="O116" s="333"/>
      <c r="P116" s="334"/>
      <c r="Q116" s="275">
        <f>(K116*E116)</f>
        <v>0</v>
      </c>
      <c r="R116" s="280">
        <f>K116*C116</f>
        <v>0</v>
      </c>
      <c r="U116" s="294">
        <f t="shared" si="15"/>
        <v>0</v>
      </c>
      <c r="V116" s="301"/>
    </row>
    <row r="117" spans="1:22" s="25" customFormat="1" ht="22.5" x14ac:dyDescent="0.25">
      <c r="A117" s="381">
        <v>65898</v>
      </c>
      <c r="B117" s="359" t="s">
        <v>172</v>
      </c>
      <c r="C117" s="85">
        <f>PV!C117</f>
        <v>0.42</v>
      </c>
      <c r="D117" s="44" t="str">
        <f t="shared" si="9"/>
        <v>h</v>
      </c>
      <c r="E117" s="43">
        <f>IF(D117="h",PV!E117,IF(D117="M",PV!G117,PV!I117))</f>
        <v>12.95</v>
      </c>
      <c r="F117" s="291">
        <v>1</v>
      </c>
      <c r="G117" s="291">
        <v>0</v>
      </c>
      <c r="H117" s="291"/>
      <c r="I117" s="291"/>
      <c r="J117" s="291"/>
      <c r="K117" s="373"/>
      <c r="L117" s="331"/>
      <c r="M117" s="332"/>
      <c r="N117" s="333"/>
      <c r="O117" s="333"/>
      <c r="P117" s="334"/>
      <c r="Q117" s="275">
        <f>(K117*E117)</f>
        <v>0</v>
      </c>
      <c r="R117" s="280">
        <f>K117*C117</f>
        <v>0</v>
      </c>
      <c r="U117" s="294">
        <f t="shared" si="15"/>
        <v>0</v>
      </c>
      <c r="V117" s="301"/>
    </row>
    <row r="118" spans="1:22" s="25" customFormat="1" ht="22.5" x14ac:dyDescent="0.25">
      <c r="A118" s="381">
        <v>811956</v>
      </c>
      <c r="B118" s="359" t="s">
        <v>173</v>
      </c>
      <c r="C118" s="85">
        <f>PV!C118</f>
        <v>1.2</v>
      </c>
      <c r="D118" s="44" t="str">
        <f t="shared" si="9"/>
        <v>h</v>
      </c>
      <c r="E118" s="43">
        <f>IF(D118="h",PV!E118,IF(D118="M",PV!G118,PV!I118))</f>
        <v>29.75</v>
      </c>
      <c r="F118" s="291">
        <v>0</v>
      </c>
      <c r="G118" s="291">
        <v>0</v>
      </c>
      <c r="H118" s="291"/>
      <c r="I118" s="291"/>
      <c r="J118" s="291"/>
      <c r="K118" s="373"/>
      <c r="L118" s="331"/>
      <c r="M118" s="332"/>
      <c r="N118" s="333"/>
      <c r="O118" s="333"/>
      <c r="P118" s="334"/>
      <c r="Q118" s="275">
        <f>(K118*E118)</f>
        <v>0</v>
      </c>
      <c r="R118" s="280">
        <f>K118*C118</f>
        <v>0</v>
      </c>
      <c r="U118" s="294">
        <f t="shared" si="15"/>
        <v>0</v>
      </c>
      <c r="V118" s="301"/>
    </row>
    <row r="119" spans="1:22" s="25" customFormat="1" ht="22.5" x14ac:dyDescent="0.25">
      <c r="A119" s="381">
        <v>445249</v>
      </c>
      <c r="B119" s="359" t="s">
        <v>174</v>
      </c>
      <c r="C119" s="85">
        <f>PV!C119</f>
        <v>0.35</v>
      </c>
      <c r="D119" s="44" t="str">
        <f t="shared" si="9"/>
        <v>h</v>
      </c>
      <c r="E119" s="43">
        <f>IF(D119="h",PV!E119,IF(D119="M",PV!G119,PV!I119))</f>
        <v>8.9</v>
      </c>
      <c r="F119" s="291">
        <v>3</v>
      </c>
      <c r="G119" s="291">
        <v>3</v>
      </c>
      <c r="H119" s="291"/>
      <c r="I119" s="291"/>
      <c r="J119" s="291"/>
      <c r="K119" s="373"/>
      <c r="L119" s="331"/>
      <c r="M119" s="332"/>
      <c r="N119" s="333"/>
      <c r="O119" s="333"/>
      <c r="P119" s="334"/>
      <c r="Q119" s="275">
        <f>(K119*E119)</f>
        <v>0</v>
      </c>
      <c r="R119" s="280">
        <f>K119*C119</f>
        <v>0</v>
      </c>
      <c r="U119" s="294">
        <f t="shared" si="15"/>
        <v>0</v>
      </c>
      <c r="V119" s="301"/>
    </row>
    <row r="120" spans="1:22" ht="22.5" x14ac:dyDescent="0.25">
      <c r="A120" s="381">
        <v>65922</v>
      </c>
      <c r="B120" s="359" t="s">
        <v>74</v>
      </c>
      <c r="C120" s="85">
        <f>PV!C120</f>
        <v>0.35</v>
      </c>
      <c r="D120" s="44" t="str">
        <f t="shared" si="9"/>
        <v>h</v>
      </c>
      <c r="E120" s="43">
        <f>IF(D120="h",PV!E120,IF(D120="M",PV!G120,PV!I120))</f>
        <v>8.6999999999999993</v>
      </c>
      <c r="F120" s="291">
        <v>4</v>
      </c>
      <c r="G120" s="291">
        <v>3</v>
      </c>
      <c r="H120" s="291"/>
      <c r="I120" s="291"/>
      <c r="J120" s="291"/>
      <c r="K120" s="373"/>
      <c r="L120" s="331"/>
      <c r="M120" s="332"/>
      <c r="N120" s="333"/>
      <c r="O120" s="333"/>
      <c r="P120" s="334"/>
      <c r="Q120" s="275">
        <f>(K120*E120)</f>
        <v>0</v>
      </c>
      <c r="R120" s="280">
        <f>K120*C120</f>
        <v>0</v>
      </c>
      <c r="U120" s="294">
        <f t="shared" si="15"/>
        <v>0</v>
      </c>
      <c r="V120" s="301"/>
    </row>
    <row r="121" spans="1:22" ht="22.5" x14ac:dyDescent="0.2">
      <c r="A121" s="380"/>
      <c r="B121" s="358"/>
      <c r="C121" s="85">
        <f>PV!C121</f>
        <v>0</v>
      </c>
      <c r="D121" s="44" t="str">
        <f t="shared" si="9"/>
        <v>h</v>
      </c>
      <c r="E121" s="43">
        <f>IF(D121="h",PV!E121,IF(D121="M",PV!G121,PV!I121))</f>
        <v>0</v>
      </c>
      <c r="F121" s="291">
        <v>0</v>
      </c>
      <c r="G121" s="291">
        <v>0</v>
      </c>
      <c r="H121" s="291"/>
      <c r="I121" s="291"/>
      <c r="J121" s="291"/>
      <c r="K121" s="373"/>
      <c r="L121" s="331"/>
      <c r="M121" s="332"/>
      <c r="N121" s="333"/>
      <c r="O121" s="333"/>
      <c r="P121" s="334"/>
      <c r="Q121" s="278"/>
      <c r="R121" s="281">
        <f>SUM(R116:R120)</f>
        <v>0</v>
      </c>
      <c r="S121" s="21">
        <f>K122*10</f>
        <v>0</v>
      </c>
      <c r="T121" s="21" t="s">
        <v>189</v>
      </c>
      <c r="U121" s="294">
        <f t="shared" si="15"/>
        <v>0</v>
      </c>
      <c r="V121" s="301"/>
    </row>
    <row r="122" spans="1:22" ht="22.5" x14ac:dyDescent="0.2">
      <c r="A122" s="380">
        <v>1126414</v>
      </c>
      <c r="B122" s="358" t="s">
        <v>189</v>
      </c>
      <c r="C122" s="85">
        <f>PV!C122</f>
        <v>0.45</v>
      </c>
      <c r="D122" s="44" t="str">
        <f t="shared" si="9"/>
        <v>h</v>
      </c>
      <c r="E122" s="43">
        <f>IF(D122="h",PV!E122,IF(D122="M",PV!G122,PV!I122))</f>
        <v>11.25</v>
      </c>
      <c r="F122" s="291">
        <v>0</v>
      </c>
      <c r="G122" s="291">
        <v>1</v>
      </c>
      <c r="H122" s="291"/>
      <c r="I122" s="291"/>
      <c r="J122" s="291"/>
      <c r="K122" s="373"/>
      <c r="L122" s="331"/>
      <c r="M122" s="332"/>
      <c r="N122" s="333"/>
      <c r="O122" s="333"/>
      <c r="P122" s="334"/>
      <c r="Q122" s="275">
        <f t="shared" ref="Q122:Q152" si="16">(K122*E122)</f>
        <v>0</v>
      </c>
      <c r="R122" s="286">
        <f t="shared" ref="R122:R152" si="17">K122*C122</f>
        <v>0</v>
      </c>
      <c r="S122" s="21">
        <f>(K123*2)+(K124*5)+(K125*8)+(K138*4)+K137</f>
        <v>0</v>
      </c>
      <c r="T122" s="21" t="s">
        <v>99</v>
      </c>
      <c r="U122" s="294">
        <f t="shared" si="15"/>
        <v>0</v>
      </c>
      <c r="V122" s="301"/>
    </row>
    <row r="123" spans="1:22" s="25" customFormat="1" ht="20.100000000000001" customHeight="1" x14ac:dyDescent="0.25">
      <c r="A123" s="335">
        <v>65842</v>
      </c>
      <c r="B123" s="360" t="s">
        <v>55</v>
      </c>
      <c r="C123" s="85">
        <f>PV!C123</f>
        <v>0.16</v>
      </c>
      <c r="D123" s="44" t="str">
        <f t="shared" si="9"/>
        <v>h</v>
      </c>
      <c r="E123" s="43">
        <f>IF(D123="h",PV!E123,IF(D123="M",PV!G123,PV!I123))</f>
        <v>5.5</v>
      </c>
      <c r="F123" s="291">
        <v>26</v>
      </c>
      <c r="G123" s="291">
        <v>13</v>
      </c>
      <c r="H123" s="291"/>
      <c r="I123" s="291"/>
      <c r="J123" s="291"/>
      <c r="K123" s="373"/>
      <c r="L123" s="331"/>
      <c r="M123" s="332"/>
      <c r="N123" s="333"/>
      <c r="O123" s="333"/>
      <c r="P123" s="334"/>
      <c r="Q123" s="275">
        <f t="shared" si="16"/>
        <v>0</v>
      </c>
      <c r="R123" s="286">
        <f t="shared" si="17"/>
        <v>0</v>
      </c>
      <c r="S123" s="25">
        <f>(K127*2)+(K128*5)+(K129*8)+(K138*4)+K137</f>
        <v>0</v>
      </c>
      <c r="T123" s="25" t="s">
        <v>100</v>
      </c>
      <c r="U123" s="294">
        <f t="shared" si="15"/>
        <v>0</v>
      </c>
      <c r="V123" s="301"/>
    </row>
    <row r="124" spans="1:22" s="25" customFormat="1" ht="20.100000000000001" customHeight="1" x14ac:dyDescent="0.25">
      <c r="A124" s="335">
        <v>65902</v>
      </c>
      <c r="B124" s="360" t="s">
        <v>57</v>
      </c>
      <c r="C124" s="85">
        <f>PV!C124</f>
        <v>0.4</v>
      </c>
      <c r="D124" s="44" t="str">
        <f t="shared" si="9"/>
        <v>h</v>
      </c>
      <c r="E124" s="43">
        <f>IF(D124="h",PV!E124,IF(D124="M",PV!G124,PV!I124))</f>
        <v>10.5</v>
      </c>
      <c r="F124" s="291">
        <v>44</v>
      </c>
      <c r="G124" s="291">
        <v>0</v>
      </c>
      <c r="H124" s="291"/>
      <c r="I124" s="291"/>
      <c r="J124" s="291"/>
      <c r="K124" s="373"/>
      <c r="L124" s="331"/>
      <c r="M124" s="332"/>
      <c r="N124" s="333"/>
      <c r="O124" s="333"/>
      <c r="P124" s="334"/>
      <c r="Q124" s="275">
        <f t="shared" si="16"/>
        <v>0</v>
      </c>
      <c r="R124" s="286">
        <f t="shared" si="17"/>
        <v>0</v>
      </c>
      <c r="S124" s="25">
        <f>(K131*2)+(K132*5)+(K133*8)</f>
        <v>0</v>
      </c>
      <c r="T124" s="25" t="s">
        <v>101</v>
      </c>
      <c r="U124" s="294">
        <f t="shared" si="15"/>
        <v>0</v>
      </c>
      <c r="V124" s="301"/>
    </row>
    <row r="125" spans="1:22" s="25" customFormat="1" ht="20.100000000000001" customHeight="1" x14ac:dyDescent="0.25">
      <c r="A125" s="335">
        <v>905815</v>
      </c>
      <c r="B125" s="360" t="s">
        <v>182</v>
      </c>
      <c r="C125" s="85">
        <f>PV!C125</f>
        <v>0.64</v>
      </c>
      <c r="D125" s="44" t="str">
        <f t="shared" si="9"/>
        <v>h</v>
      </c>
      <c r="E125" s="43">
        <f>IF(D125="h",PV!E125,IF(D125="M",PV!G125,PV!I125))</f>
        <v>15.55</v>
      </c>
      <c r="F125" s="291">
        <v>20</v>
      </c>
      <c r="G125" s="291">
        <v>112</v>
      </c>
      <c r="H125" s="291"/>
      <c r="I125" s="291"/>
      <c r="J125" s="291"/>
      <c r="K125" s="373"/>
      <c r="L125" s="331"/>
      <c r="M125" s="332"/>
      <c r="N125" s="333"/>
      <c r="O125" s="333"/>
      <c r="P125" s="334"/>
      <c r="Q125" s="275">
        <f t="shared" si="16"/>
        <v>0</v>
      </c>
      <c r="R125" s="286">
        <f t="shared" si="17"/>
        <v>0</v>
      </c>
      <c r="S125" s="25">
        <f>(K134*2)+(K135*5)+(K136*8)</f>
        <v>0</v>
      </c>
      <c r="T125" s="25" t="s">
        <v>209</v>
      </c>
      <c r="U125" s="294">
        <f t="shared" si="15"/>
        <v>0</v>
      </c>
      <c r="V125" s="301"/>
    </row>
    <row r="126" spans="1:22" s="25" customFormat="1" ht="20.100000000000001" customHeight="1" x14ac:dyDescent="0.25">
      <c r="A126" s="335">
        <v>1126415</v>
      </c>
      <c r="B126" s="360" t="s">
        <v>296</v>
      </c>
      <c r="C126" s="85">
        <f>PV!C126</f>
        <v>0.45</v>
      </c>
      <c r="D126" s="44" t="str">
        <f t="shared" si="9"/>
        <v>h</v>
      </c>
      <c r="E126" s="43">
        <f>IF(D126="h",PV!E126,IF(D126="M",PV!G126,PV!I126))</f>
        <v>12.5</v>
      </c>
      <c r="F126" s="291">
        <v>0</v>
      </c>
      <c r="G126" s="291">
        <v>0</v>
      </c>
      <c r="H126" s="291"/>
      <c r="I126" s="291"/>
      <c r="J126" s="291"/>
      <c r="K126" s="373"/>
      <c r="L126" s="331"/>
      <c r="M126" s="332"/>
      <c r="N126" s="333"/>
      <c r="O126" s="333"/>
      <c r="P126" s="334"/>
      <c r="Q126" s="275">
        <f t="shared" si="16"/>
        <v>0</v>
      </c>
      <c r="R126" s="286">
        <f t="shared" si="17"/>
        <v>0</v>
      </c>
      <c r="S126" s="25">
        <f>(K126*10)</f>
        <v>0</v>
      </c>
      <c r="T126" s="25" t="s">
        <v>212</v>
      </c>
      <c r="U126" s="294">
        <f t="shared" si="15"/>
        <v>0</v>
      </c>
      <c r="V126" s="301"/>
    </row>
    <row r="127" spans="1:22" s="25" customFormat="1" ht="20.100000000000001" customHeight="1" x14ac:dyDescent="0.25">
      <c r="A127" s="335">
        <v>65907</v>
      </c>
      <c r="B127" s="360" t="s">
        <v>261</v>
      </c>
      <c r="C127" s="85">
        <f>PV!C127</f>
        <v>0.16</v>
      </c>
      <c r="D127" s="44" t="str">
        <f t="shared" si="9"/>
        <v>h</v>
      </c>
      <c r="E127" s="43">
        <f>IF(D127="h",PV!E127,IF(D127="M",PV!G127,PV!I127))</f>
        <v>6.25</v>
      </c>
      <c r="F127" s="291">
        <v>25</v>
      </c>
      <c r="G127" s="291">
        <v>14</v>
      </c>
      <c r="H127" s="291"/>
      <c r="I127" s="291"/>
      <c r="J127" s="291"/>
      <c r="K127" s="373"/>
      <c r="L127" s="331"/>
      <c r="M127" s="332"/>
      <c r="N127" s="333"/>
      <c r="O127" s="333"/>
      <c r="P127" s="334"/>
      <c r="Q127" s="275">
        <f t="shared" si="16"/>
        <v>0</v>
      </c>
      <c r="R127" s="286">
        <f t="shared" si="17"/>
        <v>0</v>
      </c>
      <c r="S127" s="25">
        <f>(K130*10)</f>
        <v>0</v>
      </c>
      <c r="T127" s="25" t="s">
        <v>213</v>
      </c>
      <c r="U127" s="294">
        <f t="shared" si="15"/>
        <v>0</v>
      </c>
      <c r="V127" s="301"/>
    </row>
    <row r="128" spans="1:22" s="25" customFormat="1" ht="20.100000000000001" customHeight="1" x14ac:dyDescent="0.25">
      <c r="A128" s="335">
        <v>65909</v>
      </c>
      <c r="B128" s="360" t="s">
        <v>262</v>
      </c>
      <c r="C128" s="85">
        <f>PV!C128</f>
        <v>0.4</v>
      </c>
      <c r="D128" s="44" t="str">
        <f t="shared" si="9"/>
        <v>h</v>
      </c>
      <c r="E128" s="43">
        <f>IF(D128="h",PV!E128,IF(D128="M",PV!G128,PV!I128))</f>
        <v>11.75</v>
      </c>
      <c r="F128" s="291">
        <v>17</v>
      </c>
      <c r="G128" s="291">
        <v>0</v>
      </c>
      <c r="H128" s="291"/>
      <c r="I128" s="291"/>
      <c r="J128" s="291"/>
      <c r="K128" s="373"/>
      <c r="L128" s="331"/>
      <c r="M128" s="332"/>
      <c r="N128" s="333"/>
      <c r="O128" s="333"/>
      <c r="P128" s="334"/>
      <c r="Q128" s="275">
        <f t="shared" si="16"/>
        <v>0</v>
      </c>
      <c r="R128" s="286">
        <f t="shared" si="17"/>
        <v>0</v>
      </c>
      <c r="S128" s="25">
        <f>K139*10</f>
        <v>0</v>
      </c>
      <c r="T128" s="25" t="s">
        <v>214</v>
      </c>
      <c r="U128" s="294">
        <f t="shared" si="15"/>
        <v>0</v>
      </c>
      <c r="V128" s="301"/>
    </row>
    <row r="129" spans="1:22" s="25" customFormat="1" ht="20.100000000000001" customHeight="1" x14ac:dyDescent="0.25">
      <c r="A129" s="335">
        <v>905816</v>
      </c>
      <c r="B129" s="360" t="s">
        <v>184</v>
      </c>
      <c r="C129" s="85">
        <f>PV!C129</f>
        <v>0.64</v>
      </c>
      <c r="D129" s="44" t="str">
        <f t="shared" si="9"/>
        <v>h</v>
      </c>
      <c r="E129" s="43">
        <f>IF(D129="h",PV!E129,IF(D129="M",PV!G129,PV!I129))</f>
        <v>15.85</v>
      </c>
      <c r="F129" s="291">
        <v>173</v>
      </c>
      <c r="G129" s="291">
        <v>24</v>
      </c>
      <c r="H129" s="291"/>
      <c r="I129" s="291"/>
      <c r="J129" s="291"/>
      <c r="K129" s="373"/>
      <c r="L129" s="331"/>
      <c r="M129" s="332"/>
      <c r="N129" s="333"/>
      <c r="O129" s="333"/>
      <c r="P129" s="334"/>
      <c r="Q129" s="275">
        <f t="shared" si="16"/>
        <v>0</v>
      </c>
      <c r="R129" s="286">
        <f t="shared" si="17"/>
        <v>0</v>
      </c>
      <c r="S129" s="25">
        <f>(K148*2)+(K149*4)</f>
        <v>0</v>
      </c>
      <c r="T129" s="25" t="s">
        <v>219</v>
      </c>
      <c r="U129" s="294">
        <f t="shared" si="15"/>
        <v>0</v>
      </c>
      <c r="V129" s="301"/>
    </row>
    <row r="130" spans="1:22" s="25" customFormat="1" ht="20.100000000000001" customHeight="1" x14ac:dyDescent="0.25">
      <c r="A130" s="335">
        <v>1126416</v>
      </c>
      <c r="B130" s="360" t="s">
        <v>188</v>
      </c>
      <c r="C130" s="85">
        <f>PV!C130</f>
        <v>0.45</v>
      </c>
      <c r="D130" s="44" t="str">
        <f t="shared" si="9"/>
        <v>h</v>
      </c>
      <c r="E130" s="43">
        <f>IF(D130="h",PV!E130,IF(D130="M",PV!G130,PV!I130))</f>
        <v>12.5</v>
      </c>
      <c r="F130" s="291">
        <v>0</v>
      </c>
      <c r="G130" s="291">
        <v>0</v>
      </c>
      <c r="H130" s="291"/>
      <c r="I130" s="291"/>
      <c r="J130" s="291"/>
      <c r="K130" s="373"/>
      <c r="L130" s="331"/>
      <c r="M130" s="332"/>
      <c r="N130" s="333"/>
      <c r="O130" s="333"/>
      <c r="P130" s="334"/>
      <c r="Q130" s="275">
        <f t="shared" si="16"/>
        <v>0</v>
      </c>
      <c r="R130" s="286">
        <f t="shared" si="17"/>
        <v>0</v>
      </c>
      <c r="T130" s="25" t="s">
        <v>215</v>
      </c>
      <c r="U130" s="294">
        <f t="shared" si="15"/>
        <v>0</v>
      </c>
      <c r="V130" s="301"/>
    </row>
    <row r="131" spans="1:22" s="25" customFormat="1" ht="20.100000000000001" customHeight="1" x14ac:dyDescent="0.25">
      <c r="A131" s="335">
        <v>65920</v>
      </c>
      <c r="B131" s="360" t="s">
        <v>60</v>
      </c>
      <c r="C131" s="85">
        <f>PV!C131</f>
        <v>0.16</v>
      </c>
      <c r="D131" s="44" t="str">
        <f t="shared" si="9"/>
        <v>h</v>
      </c>
      <c r="E131" s="43">
        <f>IF(D131="h",PV!E131,IF(D131="M",PV!G131,PV!I131))</f>
        <v>6.75</v>
      </c>
      <c r="F131" s="291">
        <v>31</v>
      </c>
      <c r="G131" s="291">
        <v>15</v>
      </c>
      <c r="H131" s="291"/>
      <c r="I131" s="291"/>
      <c r="J131" s="291"/>
      <c r="K131" s="373"/>
      <c r="L131" s="331"/>
      <c r="M131" s="332"/>
      <c r="N131" s="333"/>
      <c r="O131" s="333"/>
      <c r="P131" s="334"/>
      <c r="Q131" s="275">
        <f t="shared" si="16"/>
        <v>0</v>
      </c>
      <c r="R131" s="286">
        <f t="shared" si="17"/>
        <v>0</v>
      </c>
      <c r="S131" s="25">
        <f>K152</f>
        <v>0</v>
      </c>
      <c r="T131" s="25" t="s">
        <v>216</v>
      </c>
      <c r="U131" s="294">
        <f t="shared" ref="U131:U153" si="18">K131-L131</f>
        <v>0</v>
      </c>
      <c r="V131" s="301"/>
    </row>
    <row r="132" spans="1:22" s="25" customFormat="1" ht="19.5" customHeight="1" x14ac:dyDescent="0.25">
      <c r="A132" s="335">
        <v>65921</v>
      </c>
      <c r="B132" s="360" t="s">
        <v>61</v>
      </c>
      <c r="C132" s="85">
        <f>PV!C132</f>
        <v>0.4</v>
      </c>
      <c r="D132" s="44" t="str">
        <f t="shared" si="9"/>
        <v>h</v>
      </c>
      <c r="E132" s="43">
        <f>IF(D132="h",PV!E132,IF(D132="M",PV!G132,PV!I132))</f>
        <v>12.75</v>
      </c>
      <c r="F132" s="291">
        <v>49</v>
      </c>
      <c r="G132" s="291">
        <v>0</v>
      </c>
      <c r="H132" s="291"/>
      <c r="I132" s="291"/>
      <c r="J132" s="291"/>
      <c r="K132" s="373"/>
      <c r="L132" s="331"/>
      <c r="M132" s="332"/>
      <c r="N132" s="333"/>
      <c r="O132" s="333"/>
      <c r="P132" s="334"/>
      <c r="Q132" s="275">
        <f t="shared" si="16"/>
        <v>0</v>
      </c>
      <c r="R132" s="286">
        <f t="shared" si="17"/>
        <v>0</v>
      </c>
      <c r="S132" s="25" t="e">
        <f>#REF!</f>
        <v>#REF!</v>
      </c>
      <c r="T132" s="25" t="s">
        <v>217</v>
      </c>
      <c r="U132" s="294">
        <f t="shared" si="18"/>
        <v>0</v>
      </c>
      <c r="V132" s="301"/>
    </row>
    <row r="133" spans="1:22" s="25" customFormat="1" ht="19.5" customHeight="1" x14ac:dyDescent="0.25">
      <c r="A133" s="335">
        <v>905817</v>
      </c>
      <c r="B133" s="360" t="s">
        <v>185</v>
      </c>
      <c r="C133" s="85">
        <f>PV!C133</f>
        <v>0.64</v>
      </c>
      <c r="D133" s="44" t="str">
        <f t="shared" si="9"/>
        <v>h</v>
      </c>
      <c r="E133" s="43">
        <f>IF(D133="h",PV!E133,IF(D133="M",PV!G133,PV!I133))</f>
        <v>17.95</v>
      </c>
      <c r="F133" s="291">
        <v>23</v>
      </c>
      <c r="G133" s="291">
        <v>15</v>
      </c>
      <c r="H133" s="291"/>
      <c r="I133" s="291"/>
      <c r="J133" s="291"/>
      <c r="K133" s="373"/>
      <c r="L133" s="331"/>
      <c r="M133" s="332"/>
      <c r="N133" s="333"/>
      <c r="O133" s="333"/>
      <c r="P133" s="334"/>
      <c r="Q133" s="275">
        <f t="shared" si="16"/>
        <v>0</v>
      </c>
      <c r="R133" s="286">
        <f t="shared" si="17"/>
        <v>0</v>
      </c>
      <c r="S133" s="25" t="e">
        <f>#REF!</f>
        <v>#REF!</v>
      </c>
      <c r="T133" s="25" t="s">
        <v>218</v>
      </c>
      <c r="U133" s="294">
        <f t="shared" si="18"/>
        <v>0</v>
      </c>
      <c r="V133" s="301"/>
    </row>
    <row r="134" spans="1:22" s="25" customFormat="1" ht="20.100000000000001" customHeight="1" x14ac:dyDescent="0.25">
      <c r="A134" s="335">
        <v>65918</v>
      </c>
      <c r="B134" s="360" t="s">
        <v>62</v>
      </c>
      <c r="C134" s="85">
        <f>PV!C134</f>
        <v>0.16</v>
      </c>
      <c r="D134" s="44" t="str">
        <f t="shared" si="9"/>
        <v>h</v>
      </c>
      <c r="E134" s="43">
        <f>IF(D134="h",PV!E134,IF(D134="M",PV!G134,PV!I134))</f>
        <v>5.95</v>
      </c>
      <c r="F134" s="291">
        <v>14</v>
      </c>
      <c r="G134" s="291">
        <v>13</v>
      </c>
      <c r="H134" s="291"/>
      <c r="I134" s="291"/>
      <c r="J134" s="291"/>
      <c r="K134" s="373"/>
      <c r="L134" s="331"/>
      <c r="M134" s="332"/>
      <c r="N134" s="333"/>
      <c r="O134" s="333"/>
      <c r="P134" s="334"/>
      <c r="Q134" s="275">
        <f t="shared" si="16"/>
        <v>0</v>
      </c>
      <c r="R134" s="286">
        <f t="shared" si="17"/>
        <v>0</v>
      </c>
      <c r="S134" s="25">
        <f>(K144*2)+(K145*5)</f>
        <v>0</v>
      </c>
      <c r="T134" s="25" t="s">
        <v>220</v>
      </c>
      <c r="U134" s="294">
        <f t="shared" si="18"/>
        <v>0</v>
      </c>
      <c r="V134" s="301"/>
    </row>
    <row r="135" spans="1:22" s="25" customFormat="1" ht="20.100000000000001" customHeight="1" x14ac:dyDescent="0.25">
      <c r="A135" s="335">
        <v>65919</v>
      </c>
      <c r="B135" s="360" t="s">
        <v>63</v>
      </c>
      <c r="C135" s="85">
        <f>PV!C135</f>
        <v>0.64</v>
      </c>
      <c r="D135" s="44" t="str">
        <f t="shared" ref="D135:D152" si="19">D134</f>
        <v>h</v>
      </c>
      <c r="E135" s="43">
        <f>IF(D135="h",PV!E135,IF(D135="M",PV!G135,PV!I135))</f>
        <v>10.65</v>
      </c>
      <c r="F135" s="291">
        <v>8</v>
      </c>
      <c r="G135" s="291">
        <v>0</v>
      </c>
      <c r="H135" s="291"/>
      <c r="I135" s="291"/>
      <c r="J135" s="291"/>
      <c r="K135" s="373"/>
      <c r="L135" s="331"/>
      <c r="M135" s="332"/>
      <c r="N135" s="333"/>
      <c r="O135" s="333"/>
      <c r="P135" s="334"/>
      <c r="Q135" s="275">
        <f t="shared" si="16"/>
        <v>0</v>
      </c>
      <c r="R135" s="286">
        <f t="shared" si="17"/>
        <v>0</v>
      </c>
      <c r="S135" s="25">
        <f>(K146*2)+(K147*5)</f>
        <v>0</v>
      </c>
      <c r="T135" s="25" t="s">
        <v>222</v>
      </c>
      <c r="U135" s="294">
        <f t="shared" si="18"/>
        <v>0</v>
      </c>
      <c r="V135" s="301"/>
    </row>
    <row r="136" spans="1:22" s="25" customFormat="1" ht="20.100000000000001" customHeight="1" x14ac:dyDescent="0.25">
      <c r="A136" s="335">
        <v>905818</v>
      </c>
      <c r="B136" s="360" t="s">
        <v>186</v>
      </c>
      <c r="C136" s="85">
        <f>PV!C136</f>
        <v>0.64</v>
      </c>
      <c r="D136" s="44" t="str">
        <f t="shared" si="19"/>
        <v>h</v>
      </c>
      <c r="E136" s="43">
        <f>IF(D136="h",PV!E136,IF(D136="M",PV!G136,PV!I136))</f>
        <v>15.9</v>
      </c>
      <c r="F136" s="291">
        <v>3</v>
      </c>
      <c r="G136" s="291">
        <v>6</v>
      </c>
      <c r="H136" s="291"/>
      <c r="I136" s="291"/>
      <c r="J136" s="291"/>
      <c r="K136" s="373"/>
      <c r="L136" s="331"/>
      <c r="M136" s="332"/>
      <c r="N136" s="333"/>
      <c r="O136" s="333"/>
      <c r="P136" s="334"/>
      <c r="Q136" s="275">
        <f t="shared" si="16"/>
        <v>0</v>
      </c>
      <c r="R136" s="286">
        <f t="shared" si="17"/>
        <v>0</v>
      </c>
      <c r="S136" s="25">
        <f>(K140*2)+(K141*4)</f>
        <v>0</v>
      </c>
      <c r="T136" s="25" t="s">
        <v>221</v>
      </c>
      <c r="U136" s="294">
        <f t="shared" si="18"/>
        <v>0</v>
      </c>
      <c r="V136" s="301"/>
    </row>
    <row r="137" spans="1:22" s="25" customFormat="1" ht="20.100000000000001" customHeight="1" x14ac:dyDescent="0.25">
      <c r="A137" s="335">
        <v>970195</v>
      </c>
      <c r="B137" s="360" t="s">
        <v>298</v>
      </c>
      <c r="C137" s="85">
        <f>PV!C137</f>
        <v>0.16</v>
      </c>
      <c r="D137" s="44" t="str">
        <f t="shared" si="19"/>
        <v>h</v>
      </c>
      <c r="E137" s="43">
        <f>IF(D137="h",PV!E137,IF(D137="M",PV!G137,PV!I137))</f>
        <v>5.75</v>
      </c>
      <c r="F137" s="291">
        <v>0</v>
      </c>
      <c r="G137" s="291">
        <v>0</v>
      </c>
      <c r="H137" s="291"/>
      <c r="I137" s="291"/>
      <c r="J137" s="291"/>
      <c r="K137" s="373"/>
      <c r="L137" s="331"/>
      <c r="M137" s="332"/>
      <c r="N137" s="333"/>
      <c r="O137" s="333"/>
      <c r="P137" s="334"/>
      <c r="Q137" s="275">
        <f t="shared" si="16"/>
        <v>0</v>
      </c>
      <c r="R137" s="286">
        <f t="shared" si="17"/>
        <v>0</v>
      </c>
      <c r="S137" s="25">
        <f>K119*5</f>
        <v>0</v>
      </c>
      <c r="T137" s="25" t="s">
        <v>174</v>
      </c>
      <c r="U137" s="294">
        <f t="shared" si="18"/>
        <v>0</v>
      </c>
      <c r="V137" s="301"/>
    </row>
    <row r="138" spans="1:22" s="25" customFormat="1" ht="20.100000000000001" customHeight="1" x14ac:dyDescent="0.25">
      <c r="A138" s="335">
        <v>905820</v>
      </c>
      <c r="B138" s="360" t="s">
        <v>297</v>
      </c>
      <c r="C138" s="85">
        <f>PV!C138</f>
        <v>0.64</v>
      </c>
      <c r="D138" s="44" t="str">
        <f t="shared" si="19"/>
        <v>h</v>
      </c>
      <c r="E138" s="43">
        <f>IF(D138="h",PV!E138,IF(D138="M",PV!G138,PV!I138))</f>
        <v>15.55</v>
      </c>
      <c r="F138" s="291">
        <v>0</v>
      </c>
      <c r="G138" s="291">
        <v>0</v>
      </c>
      <c r="H138" s="291"/>
      <c r="I138" s="291"/>
      <c r="J138" s="291"/>
      <c r="K138" s="373"/>
      <c r="L138" s="331"/>
      <c r="M138" s="332"/>
      <c r="N138" s="333"/>
      <c r="O138" s="333"/>
      <c r="P138" s="334"/>
      <c r="Q138" s="275">
        <f t="shared" si="16"/>
        <v>0</v>
      </c>
      <c r="R138" s="286">
        <f t="shared" si="17"/>
        <v>0</v>
      </c>
      <c r="S138" s="25">
        <f>K120*5</f>
        <v>0</v>
      </c>
      <c r="T138" s="25" t="s">
        <v>74</v>
      </c>
      <c r="U138" s="294">
        <f t="shared" si="18"/>
        <v>0</v>
      </c>
      <c r="V138" s="301"/>
    </row>
    <row r="139" spans="1:22" s="25" customFormat="1" ht="19.5" customHeight="1" x14ac:dyDescent="0.25">
      <c r="A139" s="335">
        <v>1126417</v>
      </c>
      <c r="B139" s="360" t="s">
        <v>187</v>
      </c>
      <c r="C139" s="85">
        <f>PV!C139</f>
        <v>0.45</v>
      </c>
      <c r="D139" s="44" t="str">
        <f t="shared" si="19"/>
        <v>h</v>
      </c>
      <c r="E139" s="43">
        <f>IF(D139="h",PV!E139,IF(D139="M",PV!G139,PV!I139))</f>
        <v>9.9499999999999993</v>
      </c>
      <c r="F139" s="291">
        <v>1</v>
      </c>
      <c r="G139" s="291">
        <v>0</v>
      </c>
      <c r="H139" s="291"/>
      <c r="I139" s="291"/>
      <c r="J139" s="291"/>
      <c r="K139" s="373"/>
      <c r="L139" s="331"/>
      <c r="M139" s="332"/>
      <c r="N139" s="333"/>
      <c r="O139" s="333"/>
      <c r="P139" s="334"/>
      <c r="Q139" s="275">
        <f t="shared" si="16"/>
        <v>0</v>
      </c>
      <c r="R139" s="286">
        <f t="shared" si="17"/>
        <v>0</v>
      </c>
      <c r="U139" s="294">
        <f t="shared" si="18"/>
        <v>0</v>
      </c>
      <c r="V139" s="301"/>
    </row>
    <row r="140" spans="1:22" s="25" customFormat="1" ht="20.100000000000001" customHeight="1" x14ac:dyDescent="0.25">
      <c r="A140" s="335">
        <v>67493</v>
      </c>
      <c r="B140" s="360" t="s">
        <v>64</v>
      </c>
      <c r="C140" s="85">
        <f>PV!C140</f>
        <v>0.16</v>
      </c>
      <c r="D140" s="44" t="str">
        <f t="shared" si="19"/>
        <v>h</v>
      </c>
      <c r="E140" s="43">
        <f>IF(D140="h",PV!E140,IF(D140="M",PV!G140,PV!I140))</f>
        <v>6.75</v>
      </c>
      <c r="F140" s="291">
        <v>10</v>
      </c>
      <c r="G140" s="291">
        <v>6</v>
      </c>
      <c r="H140" s="291"/>
      <c r="I140" s="291"/>
      <c r="J140" s="291"/>
      <c r="K140" s="373"/>
      <c r="L140" s="331"/>
      <c r="M140" s="332"/>
      <c r="N140" s="333"/>
      <c r="O140" s="333"/>
      <c r="P140" s="334"/>
      <c r="Q140" s="275">
        <f t="shared" si="16"/>
        <v>0</v>
      </c>
      <c r="R140" s="286">
        <f t="shared" si="17"/>
        <v>0</v>
      </c>
      <c r="U140" s="294">
        <f t="shared" si="18"/>
        <v>0</v>
      </c>
      <c r="V140" s="301"/>
    </row>
    <row r="141" spans="1:22" s="25" customFormat="1" ht="18.75" customHeight="1" x14ac:dyDescent="0.25">
      <c r="A141" s="335">
        <v>65906</v>
      </c>
      <c r="B141" s="360" t="s">
        <v>65</v>
      </c>
      <c r="C141" s="85">
        <f>PV!C141</f>
        <v>0.24</v>
      </c>
      <c r="D141" s="44" t="str">
        <f t="shared" si="19"/>
        <v>h</v>
      </c>
      <c r="E141" s="43">
        <f>IF(D141="h",PV!E141,IF(D141="M",PV!G141,PV!I141))</f>
        <v>12.5</v>
      </c>
      <c r="F141" s="291">
        <v>12</v>
      </c>
      <c r="G141" s="291">
        <v>12</v>
      </c>
      <c r="H141" s="291"/>
      <c r="I141" s="291"/>
      <c r="J141" s="291"/>
      <c r="K141" s="373"/>
      <c r="L141" s="331"/>
      <c r="M141" s="332"/>
      <c r="N141" s="333"/>
      <c r="O141" s="333"/>
      <c r="P141" s="334"/>
      <c r="Q141" s="275">
        <f t="shared" si="16"/>
        <v>0</v>
      </c>
      <c r="R141" s="286">
        <f t="shared" si="17"/>
        <v>0</v>
      </c>
      <c r="U141" s="294">
        <f t="shared" si="18"/>
        <v>0</v>
      </c>
      <c r="V141" s="301"/>
    </row>
    <row r="142" spans="1:22" s="25" customFormat="1" ht="19.5" customHeight="1" x14ac:dyDescent="0.25">
      <c r="A142" s="335">
        <v>270422</v>
      </c>
      <c r="B142" s="360" t="s">
        <v>66</v>
      </c>
      <c r="C142" s="85">
        <f>PV!C142</f>
        <v>0.24</v>
      </c>
      <c r="D142" s="44" t="str">
        <f t="shared" si="19"/>
        <v>h</v>
      </c>
      <c r="E142" s="43">
        <f>IF(D142="h",PV!E142,IF(D142="M",PV!G142,PV!I142))</f>
        <v>5.95</v>
      </c>
      <c r="F142" s="291">
        <v>11</v>
      </c>
      <c r="G142" s="291">
        <v>6</v>
      </c>
      <c r="H142" s="291"/>
      <c r="I142" s="291"/>
      <c r="J142" s="291"/>
      <c r="K142" s="373"/>
      <c r="L142" s="331"/>
      <c r="M142" s="332"/>
      <c r="N142" s="333"/>
      <c r="O142" s="333"/>
      <c r="P142" s="334"/>
      <c r="Q142" s="275">
        <f t="shared" si="16"/>
        <v>0</v>
      </c>
      <c r="R142" s="286">
        <f t="shared" si="17"/>
        <v>0</v>
      </c>
      <c r="U142" s="294">
        <f t="shared" si="18"/>
        <v>0</v>
      </c>
      <c r="V142" s="301"/>
    </row>
    <row r="143" spans="1:22" s="25" customFormat="1" ht="20.100000000000001" customHeight="1" x14ac:dyDescent="0.25">
      <c r="A143" s="335">
        <v>67778</v>
      </c>
      <c r="B143" s="360" t="s">
        <v>67</v>
      </c>
      <c r="C143" s="85">
        <f>PV!C143</f>
        <v>0.6</v>
      </c>
      <c r="D143" s="44" t="str">
        <f t="shared" si="19"/>
        <v>h</v>
      </c>
      <c r="E143" s="43">
        <f>IF(D143="h",PV!E143,IF(D143="M",PV!G143,PV!I143))</f>
        <v>10.95</v>
      </c>
      <c r="F143" s="291">
        <v>13</v>
      </c>
      <c r="G143" s="291">
        <v>0</v>
      </c>
      <c r="H143" s="291"/>
      <c r="I143" s="291"/>
      <c r="J143" s="291"/>
      <c r="K143" s="373"/>
      <c r="L143" s="331"/>
      <c r="M143" s="332"/>
      <c r="N143" s="333"/>
      <c r="O143" s="333"/>
      <c r="P143" s="334"/>
      <c r="Q143" s="275">
        <f t="shared" si="16"/>
        <v>0</v>
      </c>
      <c r="R143" s="286">
        <f t="shared" si="17"/>
        <v>0</v>
      </c>
      <c r="U143" s="294">
        <f t="shared" si="18"/>
        <v>0</v>
      </c>
      <c r="V143" s="301"/>
    </row>
    <row r="144" spans="1:22" s="25" customFormat="1" ht="20.100000000000001" customHeight="1" x14ac:dyDescent="0.25">
      <c r="A144" s="335">
        <v>1039726</v>
      </c>
      <c r="B144" s="360" t="s">
        <v>193</v>
      </c>
      <c r="C144" s="85">
        <f>PV!C144</f>
        <v>0.24</v>
      </c>
      <c r="D144" s="44" t="str">
        <f t="shared" si="19"/>
        <v>h</v>
      </c>
      <c r="E144" s="43">
        <f>IF(D144="h",PV!E144,IF(D144="M",PV!G144,PV!I144))</f>
        <v>5.95</v>
      </c>
      <c r="F144" s="291">
        <v>3</v>
      </c>
      <c r="G144" s="291">
        <v>0</v>
      </c>
      <c r="H144" s="291"/>
      <c r="I144" s="291"/>
      <c r="J144" s="291"/>
      <c r="K144" s="373"/>
      <c r="L144" s="331"/>
      <c r="M144" s="332"/>
      <c r="N144" s="333"/>
      <c r="O144" s="333"/>
      <c r="P144" s="334"/>
      <c r="Q144" s="275">
        <f t="shared" si="16"/>
        <v>0</v>
      </c>
      <c r="R144" s="286">
        <f t="shared" si="17"/>
        <v>0</v>
      </c>
      <c r="U144" s="294">
        <f t="shared" si="18"/>
        <v>0</v>
      </c>
      <c r="V144" s="301"/>
    </row>
    <row r="145" spans="1:22" s="25" customFormat="1" ht="20.100000000000001" customHeight="1" x14ac:dyDescent="0.25">
      <c r="A145" s="335">
        <v>1039725</v>
      </c>
      <c r="B145" s="360" t="s">
        <v>194</v>
      </c>
      <c r="C145" s="85">
        <f>PV!C145</f>
        <v>0.6</v>
      </c>
      <c r="D145" s="44" t="str">
        <f t="shared" si="19"/>
        <v>h</v>
      </c>
      <c r="E145" s="43">
        <f>IF(D145="h",PV!E145,IF(D145="M",PV!G145,PV!I145))</f>
        <v>10.95</v>
      </c>
      <c r="F145" s="291">
        <v>1</v>
      </c>
      <c r="G145" s="291">
        <v>0</v>
      </c>
      <c r="H145" s="291"/>
      <c r="I145" s="291"/>
      <c r="J145" s="291"/>
      <c r="K145" s="373"/>
      <c r="L145" s="331"/>
      <c r="M145" s="332"/>
      <c r="N145" s="333"/>
      <c r="O145" s="333"/>
      <c r="P145" s="334"/>
      <c r="Q145" s="275">
        <f t="shared" si="16"/>
        <v>0</v>
      </c>
      <c r="R145" s="286">
        <f t="shared" si="17"/>
        <v>0</v>
      </c>
      <c r="U145" s="294">
        <f t="shared" si="18"/>
        <v>0</v>
      </c>
      <c r="V145" s="301"/>
    </row>
    <row r="146" spans="1:22" s="25" customFormat="1" ht="20.100000000000001" customHeight="1" x14ac:dyDescent="0.25">
      <c r="A146" s="335">
        <v>270418</v>
      </c>
      <c r="B146" s="360" t="s">
        <v>68</v>
      </c>
      <c r="C146" s="85">
        <f>PV!C146</f>
        <v>0.24</v>
      </c>
      <c r="D146" s="44" t="str">
        <f t="shared" si="19"/>
        <v>h</v>
      </c>
      <c r="E146" s="43">
        <f>IF(D146="h",PV!E146,IF(D146="M",PV!G146,PV!I146))</f>
        <v>6.25</v>
      </c>
      <c r="F146" s="291">
        <v>12</v>
      </c>
      <c r="G146" s="291">
        <v>5</v>
      </c>
      <c r="H146" s="291"/>
      <c r="I146" s="291"/>
      <c r="J146" s="291"/>
      <c r="K146" s="373"/>
      <c r="L146" s="331"/>
      <c r="M146" s="332"/>
      <c r="N146" s="333"/>
      <c r="O146" s="333"/>
      <c r="P146" s="334"/>
      <c r="Q146" s="275">
        <f t="shared" si="16"/>
        <v>0</v>
      </c>
      <c r="R146" s="286">
        <f t="shared" si="17"/>
        <v>0</v>
      </c>
      <c r="U146" s="294">
        <f t="shared" si="18"/>
        <v>0</v>
      </c>
      <c r="V146" s="301"/>
    </row>
    <row r="147" spans="1:22" s="25" customFormat="1" ht="20.100000000000001" customHeight="1" x14ac:dyDescent="0.25">
      <c r="A147" s="335">
        <v>65912</v>
      </c>
      <c r="B147" s="360" t="s">
        <v>69</v>
      </c>
      <c r="C147" s="85">
        <f>PV!C147</f>
        <v>0.6</v>
      </c>
      <c r="D147" s="44" t="str">
        <f t="shared" si="19"/>
        <v>h</v>
      </c>
      <c r="E147" s="43">
        <f>IF(D147="h",PV!E147,IF(D147="M",PV!G147,PV!I147))</f>
        <v>11.45</v>
      </c>
      <c r="F147" s="291">
        <v>15</v>
      </c>
      <c r="G147" s="291">
        <v>0</v>
      </c>
      <c r="H147" s="291"/>
      <c r="I147" s="291"/>
      <c r="J147" s="291"/>
      <c r="K147" s="373"/>
      <c r="L147" s="331"/>
      <c r="M147" s="332"/>
      <c r="N147" s="333"/>
      <c r="O147" s="333"/>
      <c r="P147" s="334"/>
      <c r="Q147" s="275">
        <f t="shared" si="16"/>
        <v>0</v>
      </c>
      <c r="R147" s="286">
        <f t="shared" si="17"/>
        <v>0</v>
      </c>
      <c r="U147" s="294">
        <f t="shared" si="18"/>
        <v>0</v>
      </c>
      <c r="V147" s="301"/>
    </row>
    <row r="148" spans="1:22" s="25" customFormat="1" ht="20.100000000000001" customHeight="1" x14ac:dyDescent="0.25">
      <c r="A148" s="335">
        <v>425024</v>
      </c>
      <c r="B148" s="360" t="s">
        <v>70</v>
      </c>
      <c r="C148" s="85">
        <f>PV!C148</f>
        <v>0.24</v>
      </c>
      <c r="D148" s="44" t="str">
        <f t="shared" si="19"/>
        <v>h</v>
      </c>
      <c r="E148" s="43">
        <f>IF(D148="h",PV!E148,IF(D148="M",PV!G148,PV!I148))</f>
        <v>9.4499999999999993</v>
      </c>
      <c r="F148" s="291">
        <v>6</v>
      </c>
      <c r="G148" s="291">
        <v>5</v>
      </c>
      <c r="H148" s="291"/>
      <c r="I148" s="291"/>
      <c r="J148" s="291"/>
      <c r="K148" s="373"/>
      <c r="L148" s="331"/>
      <c r="M148" s="332"/>
      <c r="N148" s="333"/>
      <c r="O148" s="333"/>
      <c r="P148" s="334"/>
      <c r="Q148" s="275">
        <f t="shared" si="16"/>
        <v>0</v>
      </c>
      <c r="R148" s="286">
        <f t="shared" si="17"/>
        <v>0</v>
      </c>
      <c r="U148" s="294">
        <f t="shared" si="18"/>
        <v>0</v>
      </c>
      <c r="V148" s="301"/>
    </row>
    <row r="149" spans="1:22" s="25" customFormat="1" ht="20.100000000000001" customHeight="1" x14ac:dyDescent="0.25">
      <c r="A149" s="335">
        <v>294817</v>
      </c>
      <c r="B149" s="360" t="s">
        <v>71</v>
      </c>
      <c r="C149" s="85">
        <f>PV!C149</f>
        <v>0.6</v>
      </c>
      <c r="D149" s="44" t="str">
        <f t="shared" si="19"/>
        <v>h</v>
      </c>
      <c r="E149" s="43">
        <f>IF(D149="h",PV!E149,IF(D149="M",PV!G149,PV!I149))</f>
        <v>14.95</v>
      </c>
      <c r="F149" s="291">
        <v>8</v>
      </c>
      <c r="G149" s="291">
        <v>7</v>
      </c>
      <c r="H149" s="291"/>
      <c r="I149" s="291"/>
      <c r="J149" s="291"/>
      <c r="K149" s="373"/>
      <c r="L149" s="331"/>
      <c r="M149" s="332"/>
      <c r="N149" s="333"/>
      <c r="O149" s="333"/>
      <c r="P149" s="334"/>
      <c r="Q149" s="275">
        <f t="shared" si="16"/>
        <v>0</v>
      </c>
      <c r="R149" s="286">
        <f t="shared" si="17"/>
        <v>0</v>
      </c>
      <c r="U149" s="294">
        <f t="shared" si="18"/>
        <v>0</v>
      </c>
      <c r="V149" s="301"/>
    </row>
    <row r="150" spans="1:22" s="25" customFormat="1" ht="20.100000000000001" customHeight="1" x14ac:dyDescent="0.25">
      <c r="A150" s="335">
        <v>441991</v>
      </c>
      <c r="B150" s="360" t="s">
        <v>72</v>
      </c>
      <c r="C150" s="85">
        <f>PV!C150</f>
        <v>0.16</v>
      </c>
      <c r="D150" s="44" t="str">
        <f t="shared" si="19"/>
        <v>h</v>
      </c>
      <c r="E150" s="43">
        <f>IF(D150="h",PV!E150,IF(D150="M",PV!G150,PV!I150))</f>
        <v>4.75</v>
      </c>
      <c r="F150" s="291">
        <v>8</v>
      </c>
      <c r="G150" s="291">
        <v>10</v>
      </c>
      <c r="H150" s="291"/>
      <c r="I150" s="291"/>
      <c r="J150" s="291"/>
      <c r="K150" s="373"/>
      <c r="L150" s="331"/>
      <c r="M150" s="332"/>
      <c r="N150" s="333"/>
      <c r="O150" s="333"/>
      <c r="P150" s="334"/>
      <c r="Q150" s="275">
        <f t="shared" si="16"/>
        <v>0</v>
      </c>
      <c r="R150" s="286">
        <f t="shared" si="17"/>
        <v>0</v>
      </c>
      <c r="U150" s="294">
        <f t="shared" si="18"/>
        <v>0</v>
      </c>
      <c r="V150" s="301"/>
    </row>
    <row r="151" spans="1:22" s="25" customFormat="1" ht="20.100000000000001" customHeight="1" x14ac:dyDescent="0.25">
      <c r="A151" s="335">
        <v>65899</v>
      </c>
      <c r="B151" s="360" t="s">
        <v>73</v>
      </c>
      <c r="C151" s="85">
        <f>PV!C151</f>
        <v>0.32</v>
      </c>
      <c r="D151" s="44" t="str">
        <f t="shared" si="19"/>
        <v>h</v>
      </c>
      <c r="E151" s="43">
        <f>IF(D151="h",PV!E151,IF(D151="M",PV!G151,PV!I151))</f>
        <v>9.75</v>
      </c>
      <c r="F151" s="291">
        <v>14</v>
      </c>
      <c r="G151" s="291">
        <v>9</v>
      </c>
      <c r="H151" s="291"/>
      <c r="I151" s="291"/>
      <c r="J151" s="291"/>
      <c r="K151" s="373"/>
      <c r="L151" s="331"/>
      <c r="M151" s="332"/>
      <c r="N151" s="333"/>
      <c r="O151" s="333"/>
      <c r="P151" s="334"/>
      <c r="Q151" s="275">
        <f t="shared" si="16"/>
        <v>0</v>
      </c>
      <c r="R151" s="286">
        <f t="shared" si="17"/>
        <v>0</v>
      </c>
      <c r="U151" s="294">
        <f t="shared" si="18"/>
        <v>0</v>
      </c>
      <c r="V151" s="301"/>
    </row>
    <row r="152" spans="1:22" s="25" customFormat="1" ht="20.100000000000001" customHeight="1" x14ac:dyDescent="0.25">
      <c r="A152" s="335">
        <v>65925</v>
      </c>
      <c r="B152" s="360" t="s">
        <v>75</v>
      </c>
      <c r="C152" s="85">
        <f>PV!C152</f>
        <v>0.72</v>
      </c>
      <c r="D152" s="44" t="str">
        <f t="shared" si="19"/>
        <v>h</v>
      </c>
      <c r="E152" s="43">
        <f>IF(D152="h",PV!E152,IF(D152="M",PV!G152,PV!I152))</f>
        <v>14.95</v>
      </c>
      <c r="F152" s="291">
        <v>4</v>
      </c>
      <c r="G152" s="291">
        <v>1</v>
      </c>
      <c r="H152" s="291"/>
      <c r="I152" s="291"/>
      <c r="J152" s="291"/>
      <c r="K152" s="373"/>
      <c r="L152" s="331"/>
      <c r="M152" s="332"/>
      <c r="N152" s="333"/>
      <c r="O152" s="333"/>
      <c r="P152" s="334"/>
      <c r="Q152" s="275">
        <f t="shared" si="16"/>
        <v>0</v>
      </c>
      <c r="R152" s="286">
        <f t="shared" si="17"/>
        <v>0</v>
      </c>
      <c r="U152" s="294">
        <f t="shared" si="18"/>
        <v>0</v>
      </c>
      <c r="V152" s="301"/>
    </row>
    <row r="153" spans="1:22" s="25" customFormat="1" ht="20.100000000000001" customHeight="1" x14ac:dyDescent="0.25">
      <c r="A153" s="335"/>
      <c r="B153" s="360"/>
      <c r="C153" s="85"/>
      <c r="D153" s="44"/>
      <c r="E153" s="43"/>
      <c r="F153" s="291"/>
      <c r="G153" s="291"/>
      <c r="H153" s="291"/>
      <c r="I153" s="291"/>
      <c r="J153" s="291"/>
      <c r="K153" s="45"/>
      <c r="L153" s="331"/>
      <c r="M153" s="332"/>
      <c r="N153" s="333"/>
      <c r="O153" s="333"/>
      <c r="P153" s="334"/>
      <c r="Q153" s="278"/>
      <c r="R153" s="287">
        <f>SUM(R122:R152)</f>
        <v>0</v>
      </c>
      <c r="U153" s="294">
        <f t="shared" si="18"/>
        <v>0</v>
      </c>
      <c r="V153" s="301"/>
    </row>
    <row r="154" spans="1:22" ht="11.25" customHeight="1" x14ac:dyDescent="0.2">
      <c r="A154" s="416"/>
      <c r="B154" s="416"/>
      <c r="C154" s="33"/>
      <c r="D154" s="47"/>
      <c r="E154" s="46"/>
      <c r="F154" s="292"/>
    </row>
    <row r="155" spans="1:22" ht="15" customHeight="1" x14ac:dyDescent="0.2">
      <c r="A155" s="416"/>
      <c r="B155" s="416"/>
      <c r="C155" s="33"/>
      <c r="D155" s="47"/>
      <c r="E155" s="46"/>
      <c r="F155" s="292"/>
    </row>
    <row r="156" spans="1:22" ht="15.75" customHeight="1" x14ac:dyDescent="0.2">
      <c r="A156" s="416"/>
      <c r="B156" s="416"/>
      <c r="C156" s="33"/>
      <c r="D156" s="47"/>
      <c r="E156" s="46"/>
      <c r="F156" s="292"/>
    </row>
    <row r="157" spans="1:22" ht="13.5" customHeight="1" x14ac:dyDescent="0.2">
      <c r="A157" s="416"/>
      <c r="B157" s="416"/>
      <c r="C157" s="33"/>
      <c r="D157" s="47"/>
      <c r="E157" s="46"/>
      <c r="F157" s="292"/>
    </row>
    <row r="158" spans="1:22" ht="15" customHeight="1" x14ac:dyDescent="0.2">
      <c r="A158" s="416"/>
      <c r="B158" s="416"/>
      <c r="C158" s="33"/>
      <c r="D158" s="47"/>
      <c r="E158" s="46"/>
      <c r="F158" s="292"/>
    </row>
    <row r="159" spans="1:22" ht="19.5" customHeight="1" x14ac:dyDescent="0.2">
      <c r="A159" s="375"/>
      <c r="B159" s="361"/>
      <c r="C159" s="33"/>
      <c r="D159" s="47"/>
      <c r="E159" s="46"/>
      <c r="F159" s="292"/>
    </row>
    <row r="160" spans="1:22" ht="21.75" customHeight="1" x14ac:dyDescent="0.2">
      <c r="A160" s="375"/>
      <c r="B160" s="361"/>
      <c r="C160" s="33"/>
      <c r="D160" s="47"/>
      <c r="E160" s="46"/>
      <c r="F160" s="292"/>
    </row>
    <row r="161" spans="1:18" ht="19.5" customHeight="1" x14ac:dyDescent="0.2">
      <c r="A161" s="375"/>
      <c r="B161" s="361"/>
      <c r="C161" s="33"/>
      <c r="D161" s="47"/>
      <c r="E161" s="46"/>
      <c r="F161" s="292"/>
    </row>
    <row r="162" spans="1:18" ht="19.5" x14ac:dyDescent="0.2">
      <c r="A162" s="375"/>
      <c r="B162" s="361"/>
      <c r="C162" s="33"/>
      <c r="D162" s="47"/>
      <c r="E162" s="46"/>
      <c r="F162" s="292"/>
    </row>
    <row r="163" spans="1:18" ht="11.25" customHeight="1" x14ac:dyDescent="0.2">
      <c r="A163" s="375"/>
      <c r="B163" s="362"/>
      <c r="C163" s="33"/>
      <c r="D163" s="33"/>
      <c r="E163" s="33"/>
      <c r="F163" s="292"/>
      <c r="Q163" s="49"/>
      <c r="R163" s="50"/>
    </row>
    <row r="164" spans="1:18" ht="15.75" customHeight="1" x14ac:dyDescent="0.2">
      <c r="A164" s="375"/>
      <c r="B164" s="362"/>
      <c r="C164" s="33"/>
      <c r="D164" s="33"/>
      <c r="E164" s="33"/>
      <c r="F164" s="292"/>
    </row>
  </sheetData>
  <sheetProtection password="C71F" sheet="1" objects="1" scenarios="1" formatCells="0"/>
  <mergeCells count="20">
    <mergeCell ref="A154:B154"/>
    <mergeCell ref="A155:B155"/>
    <mergeCell ref="A156:B156"/>
    <mergeCell ref="A157:B157"/>
    <mergeCell ref="A158:B158"/>
    <mergeCell ref="L1:P1"/>
    <mergeCell ref="B2:B3"/>
    <mergeCell ref="C2:C3"/>
    <mergeCell ref="D2:D3"/>
    <mergeCell ref="E2:E3"/>
    <mergeCell ref="F2:F3"/>
    <mergeCell ref="G2:G3"/>
    <mergeCell ref="K2:K3"/>
    <mergeCell ref="L2:L3"/>
    <mergeCell ref="Q2:Q3"/>
    <mergeCell ref="R2:R3"/>
    <mergeCell ref="M2:M3"/>
    <mergeCell ref="N2:N3"/>
    <mergeCell ref="O2:O3"/>
    <mergeCell ref="P2:P3"/>
  </mergeCells>
  <conditionalFormatting sqref="L4:P153">
    <cfRule type="cellIs" dxfId="2" priority="1" operator="lessThan">
      <formula>1</formula>
    </cfRule>
  </conditionalFormatting>
  <printOptions horizontalCentered="1"/>
  <pageMargins left="0" right="0" top="0.39370078740157499" bottom="0.59055118110236204" header="0.15748031496063" footer="0.15748031496063"/>
  <pageSetup paperSize="9" scale="70" fitToHeight="5" orientation="portrait" r:id="rId1"/>
  <headerFooter alignWithMargins="0">
    <oddFooter>&amp;Lécole boulangerie&amp;CPage &amp;P</oddFooter>
  </headerFooter>
  <rowBreaks count="2" manualBreakCount="2">
    <brk id="57" max="15" man="1"/>
    <brk id="112" max="15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82"/>
  <sheetViews>
    <sheetView showGridLines="0" topLeftCell="A16" zoomScaleNormal="100" workbookViewId="0">
      <selection activeCell="A4" sqref="A4:E4"/>
    </sheetView>
  </sheetViews>
  <sheetFormatPr defaultColWidth="11.42578125" defaultRowHeight="12.75" x14ac:dyDescent="0.2"/>
  <cols>
    <col min="1" max="1" width="22.28515625" style="97" customWidth="1"/>
    <col min="2" max="2" width="12" style="97" bestFit="1" customWidth="1"/>
    <col min="3" max="3" width="4" style="97" bestFit="1" customWidth="1"/>
    <col min="4" max="4" width="3.85546875" style="97" customWidth="1"/>
    <col min="5" max="5" width="26.5703125" style="97" bestFit="1" customWidth="1"/>
    <col min="6" max="6" width="8.28515625" style="134" customWidth="1"/>
    <col min="7" max="7" width="10.42578125" style="135" customWidth="1"/>
    <col min="8" max="8" width="7" style="97" customWidth="1"/>
    <col min="9" max="9" width="4.28515625" style="97" customWidth="1"/>
    <col min="10" max="10" width="11.42578125" style="179"/>
    <col min="11" max="16384" width="11.42578125" style="97"/>
  </cols>
  <sheetData>
    <row r="1" spans="1:7" ht="15.75" x14ac:dyDescent="0.25">
      <c r="A1" s="51" t="str">
        <f>friday!G1</f>
        <v>Friday</v>
      </c>
      <c r="B1" s="52">
        <f>friday!K1</f>
        <v>42461</v>
      </c>
    </row>
    <row r="2" spans="1:7" ht="18" x14ac:dyDescent="0.25">
      <c r="A2" s="177" t="s">
        <v>86</v>
      </c>
    </row>
    <row r="3" spans="1:7" ht="6" customHeight="1" x14ac:dyDescent="0.25">
      <c r="A3" s="136"/>
    </row>
    <row r="4" spans="1:7" ht="15.75" x14ac:dyDescent="0.25">
      <c r="A4" s="418" t="s">
        <v>0</v>
      </c>
      <c r="B4" s="418"/>
      <c r="C4" s="418"/>
      <c r="D4" s="418"/>
      <c r="E4" s="418"/>
      <c r="F4" s="53">
        <f>friday!R24</f>
        <v>0</v>
      </c>
      <c r="G4" s="54" t="s">
        <v>87</v>
      </c>
    </row>
    <row r="5" spans="1:7" ht="13.5" customHeight="1" x14ac:dyDescent="0.25">
      <c r="A5" s="55" t="s">
        <v>88</v>
      </c>
      <c r="B5" s="137">
        <f>friday!F1</f>
        <v>50</v>
      </c>
      <c r="C5" s="56"/>
      <c r="D5" s="57"/>
    </row>
    <row r="6" spans="1:7" ht="15.75" x14ac:dyDescent="0.25">
      <c r="A6" s="138" t="s">
        <v>89</v>
      </c>
      <c r="B6" s="139">
        <f>ROUNDDOWN(A7/B5,0)</f>
        <v>0</v>
      </c>
      <c r="C6" s="56"/>
      <c r="D6" s="57"/>
      <c r="E6" s="58" t="s">
        <v>90</v>
      </c>
    </row>
    <row r="7" spans="1:7" x14ac:dyDescent="0.2">
      <c r="A7" s="289">
        <f>B13*farine</f>
        <v>0</v>
      </c>
      <c r="B7" s="417" t="s">
        <v>91</v>
      </c>
      <c r="C7" s="417"/>
      <c r="D7" s="298"/>
      <c r="F7" s="417" t="s">
        <v>91</v>
      </c>
      <c r="G7" s="417"/>
    </row>
    <row r="8" spans="1:7" x14ac:dyDescent="0.2">
      <c r="A8" s="2" t="s">
        <v>2</v>
      </c>
      <c r="B8" s="140">
        <f>B5</f>
        <v>50</v>
      </c>
      <c r="C8" s="141" t="s">
        <v>87</v>
      </c>
      <c r="D8" s="96"/>
      <c r="E8" s="2" t="s">
        <v>2</v>
      </c>
      <c r="F8" s="72">
        <f>ROUNDUP(A7-(B6*B5),0)</f>
        <v>0</v>
      </c>
      <c r="G8" s="141" t="s">
        <v>87</v>
      </c>
    </row>
    <row r="9" spans="1:7" x14ac:dyDescent="0.2">
      <c r="A9" s="5" t="s">
        <v>3</v>
      </c>
      <c r="B9" s="142">
        <f>recipe!C5*P.Friday!B8</f>
        <v>30.5</v>
      </c>
      <c r="C9" s="143" t="s">
        <v>92</v>
      </c>
      <c r="D9" s="131"/>
      <c r="E9" s="5" t="s">
        <v>3</v>
      </c>
      <c r="F9" s="144">
        <f>recipe!C5*P.Friday!F8</f>
        <v>0</v>
      </c>
      <c r="G9" s="143" t="s">
        <v>92</v>
      </c>
    </row>
    <row r="10" spans="1:7" x14ac:dyDescent="0.2">
      <c r="A10" s="5" t="s">
        <v>4</v>
      </c>
      <c r="B10" s="145">
        <f>recipe!C6*P.Friday!B8</f>
        <v>1</v>
      </c>
      <c r="C10" s="146" t="s">
        <v>87</v>
      </c>
      <c r="D10" s="131"/>
      <c r="E10" s="5" t="s">
        <v>4</v>
      </c>
      <c r="F10" s="142">
        <f>ROUND(recipe!C6*P.Friday!F9,2)*1000</f>
        <v>0</v>
      </c>
      <c r="G10" s="146" t="s">
        <v>93</v>
      </c>
    </row>
    <row r="11" spans="1:7" x14ac:dyDescent="0.2">
      <c r="A11" s="5" t="s">
        <v>5</v>
      </c>
      <c r="B11" s="145">
        <f>recipe!C7*P.Friday!B8</f>
        <v>0.5</v>
      </c>
      <c r="C11" s="146" t="s">
        <v>87</v>
      </c>
      <c r="D11" s="131"/>
      <c r="E11" s="5" t="s">
        <v>5</v>
      </c>
      <c r="F11" s="142">
        <f>ROUND(recipe!C7*P.Friday!F8,2)*1000</f>
        <v>0</v>
      </c>
      <c r="G11" s="146" t="s">
        <v>93</v>
      </c>
    </row>
    <row r="12" spans="1:7" x14ac:dyDescent="0.2">
      <c r="A12" s="5" t="s">
        <v>6</v>
      </c>
      <c r="B12" s="142">
        <f>(recipe!C8*P.Friday!B8)*1000</f>
        <v>500</v>
      </c>
      <c r="C12" s="146" t="s">
        <v>94</v>
      </c>
      <c r="D12" s="131"/>
      <c r="E12" s="5" t="s">
        <v>6</v>
      </c>
      <c r="F12" s="142">
        <f>ROUND(recipe!C8*P.Friday!F8,2)*1000</f>
        <v>0</v>
      </c>
      <c r="G12" s="146" t="s">
        <v>94</v>
      </c>
    </row>
    <row r="13" spans="1:7" hidden="1" x14ac:dyDescent="0.2">
      <c r="A13" s="147"/>
      <c r="B13" s="134">
        <f>F4/recipe!B9</f>
        <v>0</v>
      </c>
      <c r="C13" s="135"/>
      <c r="D13" s="96"/>
    </row>
    <row r="14" spans="1:7" x14ac:dyDescent="0.2">
      <c r="A14" s="59"/>
      <c r="B14" s="60"/>
      <c r="C14" s="61"/>
      <c r="D14" s="96"/>
    </row>
    <row r="15" spans="1:7" ht="15.75" x14ac:dyDescent="0.25">
      <c r="A15" s="240" t="s">
        <v>1</v>
      </c>
      <c r="B15" s="53">
        <f>friday!R42</f>
        <v>0</v>
      </c>
      <c r="C15" s="54" t="s">
        <v>87</v>
      </c>
      <c r="D15" s="96"/>
      <c r="E15" s="176" t="s">
        <v>232</v>
      </c>
      <c r="F15" s="67">
        <f>friday!K38</f>
        <v>0</v>
      </c>
      <c r="G15" s="54" t="s">
        <v>233</v>
      </c>
    </row>
    <row r="16" spans="1:7" x14ac:dyDescent="0.2">
      <c r="B16" s="417" t="s">
        <v>91</v>
      </c>
      <c r="C16" s="417"/>
      <c r="D16" s="96"/>
      <c r="F16" s="417" t="s">
        <v>91</v>
      </c>
      <c r="G16" s="417"/>
    </row>
    <row r="17" spans="1:7" x14ac:dyDescent="0.2">
      <c r="A17" s="2" t="s">
        <v>2</v>
      </c>
      <c r="B17" s="149">
        <f>ROUND(ftf*P.Friday!B23,0)</f>
        <v>0</v>
      </c>
      <c r="C17" s="141" t="s">
        <v>87</v>
      </c>
      <c r="D17" s="96"/>
      <c r="E17" s="8" t="s">
        <v>234</v>
      </c>
      <c r="F17" s="250">
        <f>ROUND(F15*recipe!B136,1)</f>
        <v>0</v>
      </c>
      <c r="G17" s="70" t="s">
        <v>87</v>
      </c>
    </row>
    <row r="18" spans="1:7" x14ac:dyDescent="0.2">
      <c r="A18" s="5" t="s">
        <v>3</v>
      </c>
      <c r="B18" s="145">
        <f>ROUND(recipe!G5*P.Friday!B17,1)</f>
        <v>0</v>
      </c>
      <c r="C18" s="143" t="s">
        <v>92</v>
      </c>
      <c r="D18" s="96"/>
      <c r="E18" s="62" t="s">
        <v>200</v>
      </c>
      <c r="F18" s="251">
        <f>ROUND(F15*recipe!B137,1)*1000</f>
        <v>0</v>
      </c>
      <c r="G18" s="163" t="s">
        <v>94</v>
      </c>
    </row>
    <row r="19" spans="1:7" x14ac:dyDescent="0.2">
      <c r="A19" s="5" t="s">
        <v>4</v>
      </c>
      <c r="B19" s="142">
        <f>ROUND(recipe!G6*P.Friday!B17,2)*1000</f>
        <v>0</v>
      </c>
      <c r="C19" s="146" t="s">
        <v>94</v>
      </c>
      <c r="D19" s="96"/>
      <c r="F19" s="172"/>
      <c r="G19" s="148"/>
    </row>
    <row r="20" spans="1:7" x14ac:dyDescent="0.2">
      <c r="A20" s="5" t="s">
        <v>5</v>
      </c>
      <c r="B20" s="142">
        <f>ROUND(recipe!G7*P.Friday!B17,2)*1000</f>
        <v>0</v>
      </c>
      <c r="C20" s="146" t="s">
        <v>94</v>
      </c>
      <c r="D20" s="96"/>
    </row>
    <row r="21" spans="1:7" x14ac:dyDescent="0.2">
      <c r="A21" s="5" t="s">
        <v>195</v>
      </c>
      <c r="B21" s="95">
        <f>ROUND(recipe!G8*P.Friday!B17,1)</f>
        <v>0</v>
      </c>
      <c r="C21" s="150" t="s">
        <v>87</v>
      </c>
      <c r="D21" s="96"/>
    </row>
    <row r="22" spans="1:7" x14ac:dyDescent="0.2">
      <c r="A22" s="5"/>
      <c r="B22" s="151"/>
      <c r="C22" s="150"/>
      <c r="D22" s="96"/>
    </row>
    <row r="23" spans="1:7" hidden="1" x14ac:dyDescent="0.2">
      <c r="B23" s="134">
        <f>B15/recipe!F9</f>
        <v>0</v>
      </c>
      <c r="C23" s="148"/>
      <c r="D23" s="96"/>
    </row>
    <row r="24" spans="1:7" x14ac:dyDescent="0.2">
      <c r="A24" s="147"/>
      <c r="B24" s="134"/>
      <c r="C24" s="135"/>
      <c r="D24" s="96"/>
    </row>
    <row r="25" spans="1:7" ht="15.75" x14ac:dyDescent="0.25">
      <c r="A25" s="240" t="s">
        <v>159</v>
      </c>
      <c r="B25" s="53">
        <f>friday!R121</f>
        <v>0</v>
      </c>
      <c r="C25" s="54" t="s">
        <v>87</v>
      </c>
      <c r="E25" s="176" t="s">
        <v>96</v>
      </c>
      <c r="F25" s="66">
        <f>friday!R117+friday!R119</f>
        <v>0</v>
      </c>
      <c r="G25" s="54" t="s">
        <v>87</v>
      </c>
    </row>
    <row r="26" spans="1:7" x14ac:dyDescent="0.2">
      <c r="B26" s="417" t="s">
        <v>91</v>
      </c>
      <c r="C26" s="417"/>
      <c r="F26" s="417" t="s">
        <v>91</v>
      </c>
      <c r="G26" s="417"/>
    </row>
    <row r="27" spans="1:7" x14ac:dyDescent="0.2">
      <c r="A27" s="2" t="s">
        <v>10</v>
      </c>
      <c r="B27" s="149">
        <f>ROUND(flr*P.Friday!B36,1)</f>
        <v>0</v>
      </c>
      <c r="C27" s="141" t="s">
        <v>87</v>
      </c>
      <c r="E27" s="8" t="s">
        <v>224</v>
      </c>
      <c r="F27" s="252">
        <f>F25*recipe!F145/recipe!F147</f>
        <v>0</v>
      </c>
      <c r="G27" s="154" t="s">
        <v>87</v>
      </c>
    </row>
    <row r="28" spans="1:7" x14ac:dyDescent="0.2">
      <c r="A28" s="5" t="s">
        <v>3</v>
      </c>
      <c r="B28" s="145">
        <f>ROUND(recipe!G17*P.Friday!B27,1)</f>
        <v>0</v>
      </c>
      <c r="C28" s="143" t="s">
        <v>87</v>
      </c>
      <c r="E28" s="62" t="s">
        <v>225</v>
      </c>
      <c r="F28" s="252">
        <f>F25*recipe!F146/recipe!F147</f>
        <v>0</v>
      </c>
      <c r="G28" s="100" t="s">
        <v>87</v>
      </c>
    </row>
    <row r="29" spans="1:7" x14ac:dyDescent="0.2">
      <c r="A29" s="5" t="s">
        <v>176</v>
      </c>
      <c r="B29" s="145">
        <f>ROUND(recipe!G18*P.Friday!B27,1)</f>
        <v>0</v>
      </c>
      <c r="C29" s="143" t="s">
        <v>92</v>
      </c>
      <c r="E29" s="63"/>
      <c r="F29" s="97"/>
      <c r="G29" s="148"/>
    </row>
    <row r="30" spans="1:7" x14ac:dyDescent="0.2">
      <c r="A30" s="5" t="s">
        <v>12</v>
      </c>
      <c r="B30" s="145">
        <f>ROUND(recipe!G19*P.Friday!B27,1)</f>
        <v>0</v>
      </c>
      <c r="C30" s="146" t="s">
        <v>94</v>
      </c>
    </row>
    <row r="31" spans="1:7" x14ac:dyDescent="0.2">
      <c r="A31" s="5" t="s">
        <v>4</v>
      </c>
      <c r="B31" s="142">
        <f>ROUND(recipe!G20*P.Friday!B27,1)*1000</f>
        <v>0</v>
      </c>
      <c r="C31" s="146" t="s">
        <v>94</v>
      </c>
    </row>
    <row r="32" spans="1:7" x14ac:dyDescent="0.2">
      <c r="A32" s="5" t="s">
        <v>6</v>
      </c>
      <c r="B32" s="142">
        <f>ROUND(recipe!G21*P.Friday!B27,2)*1000</f>
        <v>0</v>
      </c>
      <c r="C32" s="146" t="s">
        <v>94</v>
      </c>
    </row>
    <row r="33" spans="1:7" x14ac:dyDescent="0.2">
      <c r="A33" s="5" t="s">
        <v>5</v>
      </c>
      <c r="B33" s="142">
        <f>ROUND(recipe!G22*P.Friday!B27,1)*1000</f>
        <v>0</v>
      </c>
      <c r="C33" s="146" t="s">
        <v>94</v>
      </c>
    </row>
    <row r="34" spans="1:7" x14ac:dyDescent="0.2">
      <c r="A34" s="5" t="s">
        <v>177</v>
      </c>
      <c r="B34" s="142">
        <f>ROUND(recipe!G23*P.Friday!B27,2)*1000</f>
        <v>0</v>
      </c>
      <c r="C34" s="146" t="s">
        <v>94</v>
      </c>
      <c r="F34" s="97"/>
      <c r="G34" s="97"/>
    </row>
    <row r="35" spans="1:7" x14ac:dyDescent="0.2">
      <c r="A35" s="3" t="s">
        <v>16</v>
      </c>
      <c r="B35" s="153">
        <f>ROUND(recipe!G24*P.Friday!B27,2)</f>
        <v>0</v>
      </c>
      <c r="C35" s="150" t="s">
        <v>87</v>
      </c>
      <c r="F35" s="97"/>
      <c r="G35" s="97"/>
    </row>
    <row r="36" spans="1:7" hidden="1" x14ac:dyDescent="0.2">
      <c r="B36" s="134">
        <f>B25/recipe!F25</f>
        <v>0</v>
      </c>
      <c r="C36" s="148"/>
      <c r="F36" s="166">
        <f>F25/recipe!F147</f>
        <v>0</v>
      </c>
      <c r="G36" s="97"/>
    </row>
    <row r="37" spans="1:7" x14ac:dyDescent="0.2">
      <c r="B37" s="134"/>
      <c r="C37" s="135"/>
      <c r="D37" s="101"/>
      <c r="F37" s="97"/>
      <c r="G37" s="97"/>
    </row>
    <row r="38" spans="1:7" ht="15.75" x14ac:dyDescent="0.25">
      <c r="A38" s="240" t="s">
        <v>7</v>
      </c>
      <c r="B38" s="53">
        <f>friday!R58</f>
        <v>0</v>
      </c>
      <c r="C38" s="54" t="s">
        <v>87</v>
      </c>
      <c r="D38" s="57"/>
      <c r="E38" s="176" t="s">
        <v>229</v>
      </c>
      <c r="F38" s="67">
        <f>friday!K57</f>
        <v>0</v>
      </c>
      <c r="G38" s="54" t="s">
        <v>235</v>
      </c>
    </row>
    <row r="39" spans="1:7" x14ac:dyDescent="0.2">
      <c r="B39" s="417" t="s">
        <v>91</v>
      </c>
      <c r="C39" s="417"/>
      <c r="D39" s="80"/>
      <c r="F39" s="417" t="s">
        <v>91</v>
      </c>
      <c r="G39" s="417"/>
    </row>
    <row r="40" spans="1:7" x14ac:dyDescent="0.2">
      <c r="A40" s="8" t="s">
        <v>9</v>
      </c>
      <c r="B40" s="267">
        <f>ROUNDUP(fcr*P.Friday!B44,0)</f>
        <v>0</v>
      </c>
      <c r="C40" s="141" t="s">
        <v>87</v>
      </c>
      <c r="D40" s="101"/>
      <c r="E40" s="8" t="s">
        <v>199</v>
      </c>
      <c r="F40" s="266">
        <f>ROUND(F38*recipe!B128,1)</f>
        <v>0</v>
      </c>
      <c r="G40" s="70" t="s">
        <v>87</v>
      </c>
    </row>
    <row r="41" spans="1:7" x14ac:dyDescent="0.2">
      <c r="A41" s="9" t="s">
        <v>197</v>
      </c>
      <c r="B41" s="268">
        <f>ROUND(recipe!C17*P.Friday!B40,1)</f>
        <v>0</v>
      </c>
      <c r="C41" s="143" t="s">
        <v>87</v>
      </c>
      <c r="D41" s="101"/>
      <c r="E41" s="62" t="s">
        <v>230</v>
      </c>
      <c r="F41" s="251">
        <f>ROUND(F38*recipe!B129,1)*1000</f>
        <v>0</v>
      </c>
      <c r="G41" s="163" t="s">
        <v>94</v>
      </c>
    </row>
    <row r="42" spans="1:7" x14ac:dyDescent="0.2">
      <c r="A42" s="9" t="s">
        <v>11</v>
      </c>
      <c r="B42" s="269">
        <f>ROUND(recipe!C18*P.Friday!B40,1)</f>
        <v>0</v>
      </c>
      <c r="C42" s="143" t="s">
        <v>92</v>
      </c>
      <c r="D42" s="101"/>
      <c r="E42" s="62" t="s">
        <v>236</v>
      </c>
      <c r="F42" s="251">
        <f>ROUND(F38*recipe!B130,1)*1000</f>
        <v>0</v>
      </c>
      <c r="G42" s="163" t="s">
        <v>94</v>
      </c>
    </row>
    <row r="43" spans="1:7" x14ac:dyDescent="0.2">
      <c r="A43" s="9" t="s">
        <v>5</v>
      </c>
      <c r="B43" s="270">
        <f>ROUND(recipe!C19*P.Friday!B40,2)*1000</f>
        <v>0</v>
      </c>
      <c r="C43" s="146" t="s">
        <v>94</v>
      </c>
      <c r="D43" s="101"/>
      <c r="F43" s="97"/>
      <c r="G43" s="97"/>
    </row>
    <row r="44" spans="1:7" hidden="1" x14ac:dyDescent="0.2">
      <c r="B44" s="134">
        <f>B38/recipe!B25</f>
        <v>0</v>
      </c>
      <c r="C44" s="135"/>
      <c r="D44" s="101"/>
      <c r="G44" s="148"/>
    </row>
    <row r="45" spans="1:7" x14ac:dyDescent="0.2">
      <c r="B45" s="134"/>
      <c r="C45" s="135"/>
      <c r="D45" s="101"/>
      <c r="G45" s="148"/>
    </row>
    <row r="46" spans="1:7" ht="15.75" x14ac:dyDescent="0.25">
      <c r="A46" s="176" t="s">
        <v>226</v>
      </c>
      <c r="B46" s="67">
        <f>friday!K54</f>
        <v>0</v>
      </c>
      <c r="C46" s="54" t="s">
        <v>235</v>
      </c>
      <c r="D46" s="132"/>
      <c r="E46" s="227"/>
      <c r="F46" s="228"/>
      <c r="G46" s="229"/>
    </row>
    <row r="47" spans="1:7" x14ac:dyDescent="0.2">
      <c r="B47" s="417" t="s">
        <v>91</v>
      </c>
      <c r="C47" s="417"/>
      <c r="D47" s="80"/>
      <c r="E47" s="230"/>
      <c r="F47" s="419"/>
      <c r="G47" s="419"/>
    </row>
    <row r="48" spans="1:7" x14ac:dyDescent="0.2">
      <c r="A48" s="8" t="s">
        <v>199</v>
      </c>
      <c r="B48" s="250">
        <f>ROUND(B46*recipe!F119,1)</f>
        <v>0</v>
      </c>
      <c r="C48" s="70" t="s">
        <v>87</v>
      </c>
      <c r="D48" s="101"/>
      <c r="E48" s="231"/>
      <c r="F48" s="232"/>
      <c r="G48" s="239"/>
    </row>
    <row r="49" spans="1:8" x14ac:dyDescent="0.2">
      <c r="A49" s="62" t="s">
        <v>231</v>
      </c>
      <c r="B49" s="261">
        <f>ROUND(B46*recipe!F120,2)*1000</f>
        <v>0</v>
      </c>
      <c r="C49" s="163" t="s">
        <v>94</v>
      </c>
      <c r="D49" s="101"/>
      <c r="E49" s="231"/>
      <c r="F49" s="232"/>
      <c r="G49" s="239"/>
    </row>
    <row r="50" spans="1:8" hidden="1" x14ac:dyDescent="0.2">
      <c r="B50" s="134">
        <f>B46/recipe!F121</f>
        <v>0</v>
      </c>
      <c r="C50" s="135"/>
      <c r="D50" s="101"/>
      <c r="E50" s="230"/>
      <c r="F50" s="237"/>
      <c r="G50" s="234"/>
    </row>
    <row r="51" spans="1:8" ht="4.5" customHeight="1" x14ac:dyDescent="0.2">
      <c r="B51" s="134"/>
      <c r="C51" s="135"/>
      <c r="G51" s="160"/>
    </row>
    <row r="52" spans="1:8" ht="15.75" x14ac:dyDescent="0.25">
      <c r="A52" s="176" t="s">
        <v>227</v>
      </c>
      <c r="B52" s="67">
        <f>friday!K56</f>
        <v>0</v>
      </c>
      <c r="C52" s="54" t="s">
        <v>235</v>
      </c>
      <c r="D52" s="132"/>
      <c r="E52" s="176" t="s">
        <v>228</v>
      </c>
      <c r="F52" s="67">
        <f>friday!K52</f>
        <v>0</v>
      </c>
      <c r="G52" s="54" t="s">
        <v>235</v>
      </c>
    </row>
    <row r="53" spans="1:8" x14ac:dyDescent="0.2">
      <c r="B53" s="417" t="s">
        <v>91</v>
      </c>
      <c r="C53" s="417"/>
      <c r="D53" s="80"/>
      <c r="F53" s="417" t="s">
        <v>91</v>
      </c>
      <c r="G53" s="417"/>
    </row>
    <row r="54" spans="1:8" x14ac:dyDescent="0.2">
      <c r="A54" s="8" t="s">
        <v>199</v>
      </c>
      <c r="B54" s="250">
        <f>ROUND(B52*recipe!B119,1)</f>
        <v>0</v>
      </c>
      <c r="C54" s="70" t="s">
        <v>87</v>
      </c>
      <c r="D54" s="101"/>
      <c r="E54" s="8" t="s">
        <v>199</v>
      </c>
      <c r="F54" s="266">
        <f>ROUND(F52*recipe!F128,1)</f>
        <v>0</v>
      </c>
      <c r="G54" s="70" t="s">
        <v>87</v>
      </c>
    </row>
    <row r="55" spans="1:8" x14ac:dyDescent="0.2">
      <c r="A55" s="62" t="s">
        <v>230</v>
      </c>
      <c r="B55" s="265">
        <f>ROUND(B52*recipe!B120,2)*1000</f>
        <v>0</v>
      </c>
      <c r="C55" s="163" t="s">
        <v>94</v>
      </c>
      <c r="D55" s="101"/>
      <c r="E55" s="62" t="s">
        <v>22</v>
      </c>
      <c r="F55" s="261">
        <f>ROUND(F52*recipe!F129,2)*1000</f>
        <v>0</v>
      </c>
      <c r="G55" s="163" t="s">
        <v>94</v>
      </c>
    </row>
    <row r="56" spans="1:8" hidden="1" x14ac:dyDescent="0.2">
      <c r="B56" s="134">
        <f>B52/recipe!B121</f>
        <v>0</v>
      </c>
      <c r="C56" s="135"/>
      <c r="D56" s="101"/>
      <c r="F56" s="134">
        <f>F52/recipe!F130</f>
        <v>0</v>
      </c>
      <c r="G56" s="148"/>
    </row>
    <row r="57" spans="1:8" ht="4.5" customHeight="1" x14ac:dyDescent="0.2">
      <c r="B57" s="134"/>
      <c r="C57" s="135"/>
      <c r="G57" s="160"/>
    </row>
    <row r="58" spans="1:8" ht="15.75" x14ac:dyDescent="0.25">
      <c r="D58" s="132"/>
      <c r="F58" s="97"/>
      <c r="G58" s="97"/>
    </row>
    <row r="59" spans="1:8" ht="15.75" x14ac:dyDescent="0.25">
      <c r="A59" s="176" t="s">
        <v>21</v>
      </c>
      <c r="B59" s="53">
        <f>friday!R74</f>
        <v>0</v>
      </c>
      <c r="C59" s="54" t="s">
        <v>87</v>
      </c>
      <c r="D59" s="101"/>
      <c r="E59" s="176" t="s">
        <v>17</v>
      </c>
      <c r="F59" s="53">
        <f>friday!R44</f>
        <v>0</v>
      </c>
      <c r="G59" s="54" t="s">
        <v>87</v>
      </c>
    </row>
    <row r="60" spans="1:8" x14ac:dyDescent="0.2">
      <c r="B60" s="417" t="s">
        <v>91</v>
      </c>
      <c r="C60" s="417"/>
      <c r="D60" s="101"/>
      <c r="F60" s="417" t="s">
        <v>91</v>
      </c>
      <c r="G60" s="417"/>
    </row>
    <row r="61" spans="1:8" x14ac:dyDescent="0.2">
      <c r="A61" s="2" t="s">
        <v>10</v>
      </c>
      <c r="B61" s="69">
        <f>ROUND(B68*fvr,1)</f>
        <v>0</v>
      </c>
      <c r="C61" s="70" t="s">
        <v>87</v>
      </c>
      <c r="E61" s="2" t="s">
        <v>10</v>
      </c>
      <c r="F61" s="149">
        <f>ROUND(fbr*P.Friday!F68,1)</f>
        <v>0</v>
      </c>
      <c r="G61" s="70" t="s">
        <v>87</v>
      </c>
    </row>
    <row r="62" spans="1:8" x14ac:dyDescent="0.2">
      <c r="A62" s="5" t="s">
        <v>3</v>
      </c>
      <c r="B62" s="69">
        <f>ROUND(B68*recipe!B80,1)</f>
        <v>0</v>
      </c>
      <c r="C62" s="146" t="s">
        <v>92</v>
      </c>
      <c r="E62" s="5" t="s">
        <v>3</v>
      </c>
      <c r="F62" s="145">
        <f>ROUND(recipe!C56*P.Friday!F61,1)</f>
        <v>0</v>
      </c>
      <c r="G62" s="146" t="s">
        <v>92</v>
      </c>
      <c r="H62" s="115"/>
    </row>
    <row r="63" spans="1:8" x14ac:dyDescent="0.2">
      <c r="A63" s="5" t="s">
        <v>4</v>
      </c>
      <c r="B63" s="72">
        <f>ROUND(B68*recipe!B81,2)*1000</f>
        <v>0</v>
      </c>
      <c r="C63" s="146" t="s">
        <v>94</v>
      </c>
      <c r="E63" s="5" t="s">
        <v>5</v>
      </c>
      <c r="F63" s="142">
        <f>ROUND(recipe!C57*P.Friday!F61,2)*1000</f>
        <v>0</v>
      </c>
      <c r="G63" s="146" t="s">
        <v>94</v>
      </c>
      <c r="H63" s="115"/>
    </row>
    <row r="64" spans="1:8" x14ac:dyDescent="0.2">
      <c r="A64" s="5" t="s">
        <v>5</v>
      </c>
      <c r="B64" s="72">
        <f>ROUND(B68*recipe!B82,2)*1000</f>
        <v>0</v>
      </c>
      <c r="C64" s="146" t="s">
        <v>94</v>
      </c>
      <c r="D64" s="115"/>
      <c r="E64" s="5" t="s">
        <v>196</v>
      </c>
      <c r="F64" s="142">
        <f>ROUND(recipe!C58*P.Friday!F61,2)*1000</f>
        <v>0</v>
      </c>
      <c r="G64" s="146" t="s">
        <v>94</v>
      </c>
    </row>
    <row r="65" spans="1:7" x14ac:dyDescent="0.2">
      <c r="A65" s="5" t="s">
        <v>6</v>
      </c>
      <c r="B65" s="72">
        <f>ROUND(B68*recipe!B83,2)*1000</f>
        <v>0</v>
      </c>
      <c r="C65" s="146" t="s">
        <v>94</v>
      </c>
      <c r="E65" s="5" t="s">
        <v>133</v>
      </c>
      <c r="F65" s="142">
        <f>ROUND(recipe!C58*P.Friday!F62,1)*1000</f>
        <v>0</v>
      </c>
      <c r="G65" s="146" t="s">
        <v>87</v>
      </c>
    </row>
    <row r="66" spans="1:7" x14ac:dyDescent="0.2">
      <c r="A66" s="5" t="s">
        <v>12</v>
      </c>
      <c r="B66" s="69">
        <f>ROUND(B68*recipe!B84,1)</f>
        <v>0</v>
      </c>
      <c r="C66" s="146" t="s">
        <v>87</v>
      </c>
      <c r="E66" s="3" t="s">
        <v>4</v>
      </c>
      <c r="F66" s="142">
        <f>ROUND(recipe!C60*P.Friday!F61,2)*1000</f>
        <v>0</v>
      </c>
      <c r="G66" s="100" t="s">
        <v>94</v>
      </c>
    </row>
    <row r="67" spans="1:7" x14ac:dyDescent="0.2">
      <c r="A67" s="5" t="s">
        <v>205</v>
      </c>
      <c r="B67" s="69">
        <f>ROUND(B68*recipe!B85,1)</f>
        <v>0</v>
      </c>
      <c r="C67" s="146" t="s">
        <v>87</v>
      </c>
      <c r="F67" s="97"/>
    </row>
    <row r="68" spans="1:7" hidden="1" x14ac:dyDescent="0.2">
      <c r="A68" s="59"/>
      <c r="B68" s="60">
        <f>B59/recipe!B86</f>
        <v>0</v>
      </c>
      <c r="C68" s="135"/>
      <c r="D68" s="101"/>
      <c r="E68" s="231"/>
      <c r="F68" s="134">
        <f>F59/recipe!B61</f>
        <v>0</v>
      </c>
      <c r="G68" s="238"/>
    </row>
    <row r="69" spans="1:7" x14ac:dyDescent="0.2">
      <c r="A69" s="230"/>
      <c r="B69" s="237"/>
      <c r="C69" s="233"/>
      <c r="D69" s="101"/>
      <c r="E69" s="231"/>
      <c r="F69" s="235"/>
      <c r="G69" s="238"/>
    </row>
    <row r="70" spans="1:7" ht="15.75" x14ac:dyDescent="0.25">
      <c r="A70" s="176" t="s">
        <v>169</v>
      </c>
      <c r="B70" s="67">
        <f>friday!R113</f>
        <v>0</v>
      </c>
      <c r="C70" s="54" t="s">
        <v>87</v>
      </c>
      <c r="E70" s="176" t="s">
        <v>211</v>
      </c>
      <c r="F70" s="64">
        <f>friday!R84</f>
        <v>0</v>
      </c>
      <c r="G70" s="54" t="s">
        <v>87</v>
      </c>
    </row>
    <row r="71" spans="1:7" x14ac:dyDescent="0.2">
      <c r="B71" s="417" t="s">
        <v>91</v>
      </c>
      <c r="C71" s="417"/>
      <c r="F71" s="417" t="s">
        <v>91</v>
      </c>
      <c r="G71" s="417"/>
    </row>
    <row r="72" spans="1:7" x14ac:dyDescent="0.2">
      <c r="A72" s="8" t="s">
        <v>10</v>
      </c>
      <c r="B72" s="250">
        <f>ROUND(prnr*P.Friday!B76,1)</f>
        <v>0</v>
      </c>
      <c r="C72" s="154" t="s">
        <v>87</v>
      </c>
      <c r="E72" s="2" t="s">
        <v>284</v>
      </c>
      <c r="F72" s="164">
        <f>ROUND(fpbr*P.Friday!F76,1)</f>
        <v>0</v>
      </c>
      <c r="G72" s="154" t="s">
        <v>87</v>
      </c>
    </row>
    <row r="73" spans="1:7" x14ac:dyDescent="0.2">
      <c r="A73" s="9" t="s">
        <v>3</v>
      </c>
      <c r="B73" s="250">
        <f>ROUND(B72*recipe!G137,1)</f>
        <v>0</v>
      </c>
      <c r="C73" s="155" t="s">
        <v>87</v>
      </c>
      <c r="E73" s="5" t="s">
        <v>246</v>
      </c>
      <c r="F73" s="158">
        <f>ROUND(recipe!G33*P.Friday!F72,1)</f>
        <v>0</v>
      </c>
      <c r="G73" s="155" t="s">
        <v>87</v>
      </c>
    </row>
    <row r="74" spans="1:7" x14ac:dyDescent="0.2">
      <c r="A74" s="62" t="s">
        <v>4</v>
      </c>
      <c r="B74" s="251">
        <f>ROUND(B72*recipe!G138,2)*1000</f>
        <v>0</v>
      </c>
      <c r="C74" s="100" t="s">
        <v>94</v>
      </c>
      <c r="E74" s="5" t="s">
        <v>3</v>
      </c>
      <c r="F74" s="158">
        <f>ROUND(recipe!G34*P.Friday!F72,1)</f>
        <v>0</v>
      </c>
      <c r="G74" s="155" t="s">
        <v>92</v>
      </c>
    </row>
    <row r="75" spans="1:7" x14ac:dyDescent="0.2">
      <c r="A75" s="249" t="s">
        <v>5</v>
      </c>
      <c r="B75" s="251">
        <f>ROUND(B72*recipe!G139,2)*1000</f>
        <v>0</v>
      </c>
      <c r="C75" s="100" t="s">
        <v>94</v>
      </c>
      <c r="E75" s="5" t="s">
        <v>5</v>
      </c>
      <c r="F75" s="157">
        <f>ROUND(recipe!G35*P.Friday!F72,2)*1000</f>
        <v>0</v>
      </c>
      <c r="G75" s="155" t="s">
        <v>94</v>
      </c>
    </row>
    <row r="76" spans="1:7" hidden="1" x14ac:dyDescent="0.2">
      <c r="B76" s="97">
        <f>B70/recipe!F140</f>
        <v>0</v>
      </c>
      <c r="C76" s="135"/>
      <c r="D76" s="101"/>
      <c r="F76" s="134">
        <f>F70/recipe!F39</f>
        <v>0</v>
      </c>
      <c r="G76" s="148"/>
    </row>
    <row r="77" spans="1:7" x14ac:dyDescent="0.2">
      <c r="C77" s="135"/>
      <c r="D77" s="101"/>
      <c r="G77" s="148"/>
    </row>
    <row r="78" spans="1:7" ht="15.75" x14ac:dyDescent="0.25">
      <c r="A78" s="227"/>
      <c r="B78" s="236"/>
      <c r="C78" s="324"/>
      <c r="E78" s="176" t="s">
        <v>285</v>
      </c>
      <c r="F78" s="64">
        <f>friday!R79</f>
        <v>0</v>
      </c>
      <c r="G78" s="54" t="s">
        <v>87</v>
      </c>
    </row>
    <row r="79" spans="1:7" ht="15.75" x14ac:dyDescent="0.25">
      <c r="A79" s="227"/>
      <c r="B79" s="236"/>
      <c r="C79" s="324"/>
      <c r="F79" s="417" t="s">
        <v>91</v>
      </c>
      <c r="G79" s="417"/>
    </row>
    <row r="80" spans="1:7" ht="15.75" x14ac:dyDescent="0.25">
      <c r="A80" s="227"/>
      <c r="B80" s="236"/>
      <c r="C80" s="324"/>
      <c r="E80" s="2" t="s">
        <v>10</v>
      </c>
      <c r="F80" s="164">
        <f>ROUND(fpbr*P.Friday!F87,1)</f>
        <v>0</v>
      </c>
      <c r="G80" s="154" t="s">
        <v>87</v>
      </c>
    </row>
    <row r="81" spans="1:7" ht="15.75" x14ac:dyDescent="0.25">
      <c r="A81" s="227"/>
      <c r="B81" s="236"/>
      <c r="C81" s="324"/>
      <c r="E81" s="5" t="s">
        <v>282</v>
      </c>
      <c r="F81" s="158">
        <f>ROUND(recipe!G168*P.Friday!F80,1)</f>
        <v>0</v>
      </c>
      <c r="G81" s="155" t="s">
        <v>87</v>
      </c>
    </row>
    <row r="82" spans="1:7" ht="15.75" x14ac:dyDescent="0.25">
      <c r="A82" s="227"/>
      <c r="B82" s="236"/>
      <c r="C82" s="324"/>
      <c r="E82" s="3" t="s">
        <v>3</v>
      </c>
      <c r="F82" s="158">
        <f>ROUND(recipe!G169*P.Friday!F80,1)</f>
        <v>0</v>
      </c>
      <c r="G82" s="155" t="s">
        <v>92</v>
      </c>
    </row>
    <row r="83" spans="1:7" ht="15.75" x14ac:dyDescent="0.25">
      <c r="A83" s="227"/>
      <c r="B83" s="236"/>
      <c r="C83" s="324"/>
      <c r="E83" s="5" t="s">
        <v>4</v>
      </c>
      <c r="F83" s="157">
        <f>ROUND(recipe!G170*P.Friday!F80,2)*1000</f>
        <v>0</v>
      </c>
      <c r="G83" s="155" t="s">
        <v>94</v>
      </c>
    </row>
    <row r="84" spans="1:7" ht="15.75" x14ac:dyDescent="0.25">
      <c r="A84" s="227"/>
      <c r="B84" s="236"/>
      <c r="C84" s="324"/>
      <c r="E84" s="5" t="s">
        <v>6</v>
      </c>
      <c r="F84" s="157">
        <f>ROUND(recipe!G171*P.Friday!F80,2)*1000</f>
        <v>0</v>
      </c>
      <c r="G84" s="155" t="s">
        <v>94</v>
      </c>
    </row>
    <row r="85" spans="1:7" ht="15.75" x14ac:dyDescent="0.25">
      <c r="A85" s="227"/>
      <c r="B85" s="236"/>
      <c r="C85" s="324"/>
      <c r="D85" s="101"/>
      <c r="E85" s="14" t="s">
        <v>205</v>
      </c>
      <c r="F85" s="157">
        <f>ROUND(recipe!G172*P.Friday!F80,2)*1000</f>
        <v>0</v>
      </c>
      <c r="G85" s="155" t="s">
        <v>94</v>
      </c>
    </row>
    <row r="86" spans="1:7" x14ac:dyDescent="0.2">
      <c r="A86" s="231"/>
      <c r="B86" s="236"/>
      <c r="C86" s="324"/>
      <c r="D86" s="101"/>
      <c r="E86" s="5" t="s">
        <v>283</v>
      </c>
      <c r="F86" s="157">
        <f>ROUND(recipe!G173*P.Friday!F80,2)*1000</f>
        <v>0</v>
      </c>
      <c r="G86" s="155" t="s">
        <v>94</v>
      </c>
    </row>
    <row r="87" spans="1:7" hidden="1" x14ac:dyDescent="0.2">
      <c r="A87" s="323"/>
      <c r="B87" s="323"/>
      <c r="C87" s="325"/>
      <c r="D87" s="101"/>
      <c r="F87" s="134">
        <f>F78/recipe!F174</f>
        <v>0</v>
      </c>
      <c r="G87" s="148"/>
    </row>
    <row r="88" spans="1:7" x14ac:dyDescent="0.2">
      <c r="A88" s="323"/>
      <c r="B88" s="323"/>
      <c r="C88" s="325"/>
      <c r="D88" s="101"/>
      <c r="G88" s="148"/>
    </row>
    <row r="89" spans="1:7" ht="14.25" customHeight="1" x14ac:dyDescent="0.25">
      <c r="A89" s="176" t="s">
        <v>95</v>
      </c>
      <c r="B89" s="53">
        <f>friday!R30</f>
        <v>0</v>
      </c>
      <c r="C89" s="54" t="s">
        <v>87</v>
      </c>
      <c r="D89" s="179" t="s">
        <v>198</v>
      </c>
      <c r="E89" s="176" t="s">
        <v>95</v>
      </c>
      <c r="F89" s="53">
        <f>friday!R30</f>
        <v>0</v>
      </c>
      <c r="G89" s="54" t="s">
        <v>87</v>
      </c>
    </row>
    <row r="90" spans="1:7" ht="14.25" customHeight="1" x14ac:dyDescent="0.2">
      <c r="B90" s="297" t="s">
        <v>91</v>
      </c>
      <c r="C90" s="297"/>
      <c r="F90" s="297" t="s">
        <v>91</v>
      </c>
      <c r="G90" s="297"/>
    </row>
    <row r="91" spans="1:7" ht="14.25" customHeight="1" x14ac:dyDescent="0.2">
      <c r="A91" s="8" t="s">
        <v>9</v>
      </c>
      <c r="B91" s="252">
        <f>ROUND(fpcr*P.Friday!B97,0)</f>
        <v>0</v>
      </c>
      <c r="C91" s="154" t="s">
        <v>87</v>
      </c>
      <c r="E91" s="8" t="s">
        <v>199</v>
      </c>
      <c r="F91" s="255">
        <f>ROUND(F97*recipe!F44,1)</f>
        <v>0</v>
      </c>
      <c r="G91" s="154" t="s">
        <v>87</v>
      </c>
    </row>
    <row r="92" spans="1:7" ht="14.25" customHeight="1" x14ac:dyDescent="0.2">
      <c r="A92" s="9" t="s">
        <v>197</v>
      </c>
      <c r="B92" s="253">
        <f>ROUND(recipe!C45*P.Friday!B97,1)</f>
        <v>0</v>
      </c>
      <c r="C92" s="155" t="s">
        <v>92</v>
      </c>
      <c r="E92" s="9" t="s">
        <v>200</v>
      </c>
      <c r="F92" s="252">
        <f>ROUND(F97*recipe!F45,1)</f>
        <v>0</v>
      </c>
      <c r="G92" s="155" t="s">
        <v>87</v>
      </c>
    </row>
    <row r="93" spans="1:7" ht="14.25" customHeight="1" x14ac:dyDescent="0.2">
      <c r="A93" s="9" t="s">
        <v>11</v>
      </c>
      <c r="B93" s="253">
        <f>ROUND(recipe!C46*P.Friday!B91,1)</f>
        <v>0</v>
      </c>
      <c r="C93" s="155" t="s">
        <v>94</v>
      </c>
      <c r="E93" s="9" t="s">
        <v>201</v>
      </c>
      <c r="F93" s="256">
        <f>ROUND(F97*recipe!F46,1)*1000</f>
        <v>0</v>
      </c>
      <c r="G93" s="155" t="s">
        <v>94</v>
      </c>
    </row>
    <row r="94" spans="1:7" ht="14.25" customHeight="1" x14ac:dyDescent="0.2">
      <c r="A94" s="9" t="s">
        <v>5</v>
      </c>
      <c r="B94" s="254">
        <f>ROUND(recipe!C47*P.Friday!B91,1)*1000</f>
        <v>0</v>
      </c>
      <c r="C94" s="155" t="s">
        <v>94</v>
      </c>
      <c r="E94" s="84"/>
      <c r="F94" s="159"/>
      <c r="G94" s="257"/>
    </row>
    <row r="95" spans="1:7" ht="14.25" customHeight="1" x14ac:dyDescent="0.2">
      <c r="A95" s="65" t="s">
        <v>200</v>
      </c>
      <c r="B95" s="253">
        <f>ROUND(recipe!C48*P.Friday!B91,1)</f>
        <v>0</v>
      </c>
      <c r="C95" s="155" t="s">
        <v>87</v>
      </c>
      <c r="E95" s="231"/>
      <c r="F95" s="184"/>
      <c r="G95" s="148"/>
    </row>
    <row r="96" spans="1:7" ht="14.25" customHeight="1" x14ac:dyDescent="0.2">
      <c r="A96" s="9" t="s">
        <v>201</v>
      </c>
      <c r="B96" s="254">
        <f>ROUND(recipe!C49*P.Friday!B91,1)*1000</f>
        <v>0</v>
      </c>
      <c r="C96" s="163" t="s">
        <v>94</v>
      </c>
      <c r="E96" s="63"/>
      <c r="F96" s="181"/>
      <c r="G96" s="165"/>
    </row>
    <row r="97" spans="1:7" ht="14.25" hidden="1" customHeight="1" x14ac:dyDescent="0.2">
      <c r="B97" s="180">
        <f>B89/recipe!B50</f>
        <v>0</v>
      </c>
      <c r="C97" s="148"/>
      <c r="F97" s="134">
        <f>F89/recipe!F50</f>
        <v>0</v>
      </c>
      <c r="G97" s="148"/>
    </row>
    <row r="98" spans="1:7" x14ac:dyDescent="0.2">
      <c r="B98" s="134"/>
      <c r="C98" s="160"/>
    </row>
    <row r="99" spans="1:7" ht="15.75" x14ac:dyDescent="0.25">
      <c r="A99" s="176" t="s">
        <v>18</v>
      </c>
      <c r="B99" s="64">
        <f>friday!R31</f>
        <v>0</v>
      </c>
      <c r="C99" s="54" t="s">
        <v>87</v>
      </c>
      <c r="D99" s="57"/>
      <c r="E99" s="176" t="s">
        <v>151</v>
      </c>
      <c r="F99" s="64">
        <f>friday!R37</f>
        <v>0</v>
      </c>
      <c r="G99" s="54" t="s">
        <v>87</v>
      </c>
    </row>
    <row r="100" spans="1:7" x14ac:dyDescent="0.2">
      <c r="B100" s="417" t="s">
        <v>91</v>
      </c>
      <c r="C100" s="417"/>
      <c r="D100" s="80"/>
      <c r="F100" s="417" t="s">
        <v>91</v>
      </c>
      <c r="G100" s="417"/>
    </row>
    <row r="101" spans="1:7" x14ac:dyDescent="0.2">
      <c r="A101" s="2" t="s">
        <v>204</v>
      </c>
      <c r="B101" s="69">
        <f>ROUND(psr*P.Friday!B106,1)</f>
        <v>0</v>
      </c>
      <c r="C101" s="70" t="s">
        <v>87</v>
      </c>
      <c r="D101" s="101"/>
      <c r="E101" s="8" t="s">
        <v>152</v>
      </c>
      <c r="F101" s="263">
        <f>ROUND(fcre*P.Friday!F106,1)</f>
        <v>0</v>
      </c>
      <c r="G101" s="70" t="s">
        <v>87</v>
      </c>
    </row>
    <row r="102" spans="1:7" x14ac:dyDescent="0.2">
      <c r="A102" s="5" t="s">
        <v>19</v>
      </c>
      <c r="B102" s="69">
        <f>ROUND(recipe!C69*P.Friday!B101,1)</f>
        <v>0</v>
      </c>
      <c r="C102" s="146" t="s">
        <v>87</v>
      </c>
      <c r="D102" s="101"/>
      <c r="E102" s="9" t="s">
        <v>10</v>
      </c>
      <c r="F102" s="263">
        <f>ROUND(recipe!G69*P.Friday!F101,1)</f>
        <v>0</v>
      </c>
      <c r="G102" s="146" t="s">
        <v>87</v>
      </c>
    </row>
    <row r="103" spans="1:7" x14ac:dyDescent="0.2">
      <c r="A103" s="5" t="s">
        <v>252</v>
      </c>
      <c r="B103" s="69">
        <f>ROUND(recipe!C70*P.Friday!B101,1)</f>
        <v>0</v>
      </c>
      <c r="C103" s="146" t="s">
        <v>87</v>
      </c>
      <c r="D103" s="101"/>
      <c r="E103" s="84" t="s">
        <v>5</v>
      </c>
      <c r="F103" s="263">
        <f>ROUND(recipe!G70*P.Friday!F101,1)</f>
        <v>0</v>
      </c>
      <c r="G103" s="167" t="s">
        <v>94</v>
      </c>
    </row>
    <row r="104" spans="1:7" x14ac:dyDescent="0.2">
      <c r="A104" s="5" t="s">
        <v>3</v>
      </c>
      <c r="B104" s="97">
        <f>ROUND(recipe!C71*P.Friday!B101,1)</f>
        <v>0</v>
      </c>
      <c r="C104" s="163" t="s">
        <v>87</v>
      </c>
      <c r="D104" s="101"/>
      <c r="E104" s="62" t="s">
        <v>3</v>
      </c>
      <c r="F104" s="264">
        <f>ROUND(recipe!G71*P.Friday!F101,1)</f>
        <v>0</v>
      </c>
      <c r="G104" s="163" t="s">
        <v>92</v>
      </c>
    </row>
    <row r="105" spans="1:7" x14ac:dyDescent="0.2">
      <c r="A105" s="5" t="s">
        <v>5</v>
      </c>
      <c r="B105" s="168">
        <f>ROUND(recipe!C72*P.Friday!B101,2)*1000</f>
        <v>0</v>
      </c>
      <c r="C105" s="163" t="s">
        <v>94</v>
      </c>
      <c r="D105" s="101"/>
      <c r="E105" s="244" t="s">
        <v>4</v>
      </c>
      <c r="F105" s="256">
        <f>ROUND(recipe!G72*P.Friday!F101,2)*1000</f>
        <v>0</v>
      </c>
      <c r="G105" s="246" t="s">
        <v>94</v>
      </c>
    </row>
    <row r="106" spans="1:7" hidden="1" x14ac:dyDescent="0.2">
      <c r="B106" s="134">
        <f>B99/recipe!B73</f>
        <v>0</v>
      </c>
      <c r="C106" s="135"/>
      <c r="D106" s="101"/>
      <c r="F106" s="134">
        <f>F99/recipe!F73</f>
        <v>0</v>
      </c>
      <c r="G106" s="148"/>
    </row>
    <row r="107" spans="1:7" x14ac:dyDescent="0.2">
      <c r="B107" s="134"/>
      <c r="C107" s="135"/>
      <c r="G107" s="160"/>
    </row>
    <row r="108" spans="1:7" ht="4.5" customHeight="1" x14ac:dyDescent="0.2">
      <c r="B108" s="134"/>
      <c r="C108" s="135"/>
      <c r="G108" s="160"/>
    </row>
    <row r="109" spans="1:7" ht="15.75" x14ac:dyDescent="0.25">
      <c r="A109" s="176" t="s">
        <v>20</v>
      </c>
      <c r="B109" s="53">
        <f>friday!R108</f>
        <v>0</v>
      </c>
      <c r="C109" s="54" t="s">
        <v>87</v>
      </c>
      <c r="D109" s="132"/>
      <c r="E109" s="176" t="s">
        <v>8</v>
      </c>
      <c r="F109" s="53">
        <f>friday!R98</f>
        <v>0</v>
      </c>
      <c r="G109" s="54" t="s">
        <v>87</v>
      </c>
    </row>
    <row r="110" spans="1:7" x14ac:dyDescent="0.2">
      <c r="B110" s="417" t="s">
        <v>91</v>
      </c>
      <c r="C110" s="417"/>
      <c r="D110" s="80"/>
      <c r="F110" s="417" t="s">
        <v>91</v>
      </c>
      <c r="G110" s="417"/>
    </row>
    <row r="111" spans="1:7" x14ac:dyDescent="0.2">
      <c r="A111" s="2" t="s">
        <v>206</v>
      </c>
      <c r="B111" s="161">
        <f>ROUND(fasr*P.Friday!B118,0)</f>
        <v>0</v>
      </c>
      <c r="C111" s="70" t="s">
        <v>87</v>
      </c>
      <c r="D111" s="101"/>
      <c r="E111" s="2" t="s">
        <v>10</v>
      </c>
      <c r="F111" s="161">
        <f>ROUND(fpsfgr*P.Friday!F118,0)</f>
        <v>0</v>
      </c>
      <c r="G111" s="154" t="s">
        <v>87</v>
      </c>
    </row>
    <row r="112" spans="1:7" x14ac:dyDescent="0.2">
      <c r="A112" s="5" t="s">
        <v>207</v>
      </c>
      <c r="B112" s="169">
        <f>ROUND(recipe!G56*P.Friday!B111,1)</f>
        <v>0</v>
      </c>
      <c r="C112" s="146" t="s">
        <v>87</v>
      </c>
      <c r="D112" s="101"/>
      <c r="E112" s="5" t="s">
        <v>3</v>
      </c>
      <c r="F112" s="169">
        <f>ROUND(recipe!G80*P.Friday!F111,1)</f>
        <v>0</v>
      </c>
      <c r="G112" s="155" t="s">
        <v>92</v>
      </c>
    </row>
    <row r="113" spans="1:7" x14ac:dyDescent="0.2">
      <c r="A113" s="5" t="s">
        <v>3</v>
      </c>
      <c r="B113" s="169">
        <f>ROUND(recipe!G57*P.Friday!B111,1)</f>
        <v>0</v>
      </c>
      <c r="C113" s="146" t="s">
        <v>92</v>
      </c>
      <c r="D113" s="101"/>
      <c r="E113" s="5" t="s">
        <v>205</v>
      </c>
      <c r="F113" s="169">
        <f>ROUND(recipe!G81*P.Friday!F111,1)</f>
        <v>0</v>
      </c>
      <c r="G113" s="155" t="s">
        <v>87</v>
      </c>
    </row>
    <row r="114" spans="1:7" x14ac:dyDescent="0.2">
      <c r="A114" s="5" t="s">
        <v>4</v>
      </c>
      <c r="B114" s="157">
        <f>ROUND(recipe!G58*P.Friday!B111,2)*1000</f>
        <v>0</v>
      </c>
      <c r="C114" s="146" t="s">
        <v>94</v>
      </c>
      <c r="D114" s="101"/>
      <c r="E114" s="5" t="s">
        <v>4</v>
      </c>
      <c r="F114" s="157">
        <f>ROUND(recipe!G82*P.Friday!F111,2)*1000</f>
        <v>0</v>
      </c>
      <c r="G114" s="155" t="s">
        <v>94</v>
      </c>
    </row>
    <row r="115" spans="1:7" x14ac:dyDescent="0.2">
      <c r="A115" s="5" t="s">
        <v>5</v>
      </c>
      <c r="B115" s="157">
        <f>ROUND(recipe!G59*P.Friday!B111,2)*1000</f>
        <v>0</v>
      </c>
      <c r="C115" s="146" t="s">
        <v>94</v>
      </c>
      <c r="D115" s="101"/>
      <c r="E115" s="5" t="s">
        <v>5</v>
      </c>
      <c r="F115" s="157">
        <f>ROUND(recipe!G83*P.Friday!F111,2)*1000</f>
        <v>0</v>
      </c>
      <c r="G115" s="155" t="s">
        <v>94</v>
      </c>
    </row>
    <row r="116" spans="1:7" x14ac:dyDescent="0.2">
      <c r="A116" s="3" t="s">
        <v>208</v>
      </c>
      <c r="B116" s="171">
        <f>ROUND(recipe!G60*P.Friday!B111,1)</f>
        <v>0</v>
      </c>
      <c r="C116" s="100" t="s">
        <v>87</v>
      </c>
      <c r="D116" s="101"/>
      <c r="E116" s="5" t="s">
        <v>6</v>
      </c>
      <c r="F116" s="157">
        <f>ROUND(recipe!G84*P.Friday!F111,2)*1000</f>
        <v>0</v>
      </c>
      <c r="G116" s="155" t="s">
        <v>94</v>
      </c>
    </row>
    <row r="117" spans="1:7" x14ac:dyDescent="0.2">
      <c r="C117" s="148"/>
      <c r="D117" s="101"/>
      <c r="E117" s="3" t="s">
        <v>12</v>
      </c>
      <c r="F117" s="157">
        <f>ROUND(recipe!G85*P.Friday!F111,1)*1000</f>
        <v>0</v>
      </c>
      <c r="G117" s="155" t="s">
        <v>94</v>
      </c>
    </row>
    <row r="118" spans="1:7" x14ac:dyDescent="0.2">
      <c r="B118" s="134">
        <f>B109/recipe!F61</f>
        <v>0</v>
      </c>
      <c r="D118" s="101"/>
      <c r="F118" s="134">
        <f>F109/recipe!F86</f>
        <v>0</v>
      </c>
      <c r="G118" s="148"/>
    </row>
    <row r="119" spans="1:7" x14ac:dyDescent="0.2">
      <c r="A119" s="59"/>
      <c r="B119" s="60"/>
      <c r="C119" s="135"/>
      <c r="D119" s="101"/>
      <c r="F119" s="97"/>
      <c r="G119" s="97"/>
    </row>
    <row r="120" spans="1:7" x14ac:dyDescent="0.2">
      <c r="B120" s="134"/>
      <c r="C120" s="135"/>
      <c r="G120" s="160"/>
    </row>
    <row r="121" spans="1:7" ht="15.75" x14ac:dyDescent="0.25">
      <c r="A121" s="176" t="s">
        <v>180</v>
      </c>
      <c r="B121" s="67">
        <f>friday!R115</f>
        <v>0</v>
      </c>
      <c r="C121" s="54" t="s">
        <v>87</v>
      </c>
      <c r="D121" s="132"/>
      <c r="E121" s="176" t="s">
        <v>160</v>
      </c>
      <c r="F121" s="67">
        <f>friday!R92</f>
        <v>0</v>
      </c>
      <c r="G121" s="54" t="s">
        <v>87</v>
      </c>
    </row>
    <row r="122" spans="1:7" x14ac:dyDescent="0.2">
      <c r="B122" s="420" t="s">
        <v>91</v>
      </c>
      <c r="C122" s="420"/>
      <c r="D122" s="80"/>
      <c r="F122" s="417" t="s">
        <v>91</v>
      </c>
      <c r="G122" s="417"/>
    </row>
    <row r="123" spans="1:7" x14ac:dyDescent="0.2">
      <c r="A123" s="244" t="s">
        <v>10</v>
      </c>
      <c r="B123" s="247">
        <f>ROUND(recipe!B93*P.Friday!B131,1)</f>
        <v>0</v>
      </c>
      <c r="C123" s="245" t="s">
        <v>87</v>
      </c>
      <c r="D123" s="80"/>
      <c r="E123" s="8" t="s">
        <v>247</v>
      </c>
      <c r="F123" s="267">
        <f>ROUND(fmnp*P.Friday!F131,1)</f>
        <v>0</v>
      </c>
      <c r="G123" s="70" t="s">
        <v>87</v>
      </c>
    </row>
    <row r="124" spans="1:7" x14ac:dyDescent="0.2">
      <c r="A124" s="244" t="s">
        <v>237</v>
      </c>
      <c r="B124" s="247">
        <f>ROUND(recipe!C94*P.Friday!B123,2)</f>
        <v>0</v>
      </c>
      <c r="C124" s="245" t="s">
        <v>92</v>
      </c>
      <c r="D124" s="80"/>
      <c r="E124" s="9" t="s">
        <v>246</v>
      </c>
      <c r="F124" s="258">
        <f>ROUND(recipe!G94*P.Friday!F123,2)</f>
        <v>0</v>
      </c>
      <c r="G124" s="146" t="s">
        <v>87</v>
      </c>
    </row>
    <row r="125" spans="1:7" x14ac:dyDescent="0.2">
      <c r="A125" s="244" t="s">
        <v>238</v>
      </c>
      <c r="B125" s="247">
        <f>ROUND(recipe!C95*P.Friday!B123,2)</f>
        <v>0</v>
      </c>
      <c r="C125" s="245" t="s">
        <v>92</v>
      </c>
      <c r="D125" s="80"/>
      <c r="E125" s="9" t="s">
        <v>3</v>
      </c>
      <c r="F125" s="259">
        <f>ROUND(recipe!G95*P.Friday!F123,2)</f>
        <v>0</v>
      </c>
      <c r="G125" s="146" t="s">
        <v>92</v>
      </c>
    </row>
    <row r="126" spans="1:7" x14ac:dyDescent="0.2">
      <c r="A126" s="244" t="s">
        <v>16</v>
      </c>
      <c r="B126" s="247">
        <f>ROUND(recipe!C96*P.Friday!B123,2)</f>
        <v>0</v>
      </c>
      <c r="C126" s="245" t="s">
        <v>87</v>
      </c>
      <c r="D126" s="80"/>
      <c r="E126" s="9" t="s">
        <v>5</v>
      </c>
      <c r="F126" s="260">
        <f>ROUND(recipe!G96*P.Friday!F123,2)*1000</f>
        <v>0</v>
      </c>
      <c r="G126" s="146" t="s">
        <v>94</v>
      </c>
    </row>
    <row r="127" spans="1:7" x14ac:dyDescent="0.2">
      <c r="A127" s="244" t="s">
        <v>12</v>
      </c>
      <c r="B127" s="248">
        <f>ROUND(recipe!C97*P.Friday!B123,2)*1000</f>
        <v>0</v>
      </c>
      <c r="C127" s="245" t="s">
        <v>94</v>
      </c>
      <c r="D127" s="80"/>
      <c r="E127" s="9"/>
      <c r="F127" s="260">
        <f>ROUND(recipe!G97*P.Friday!F123,2)*1000</f>
        <v>0</v>
      </c>
      <c r="G127" s="146" t="s">
        <v>94</v>
      </c>
    </row>
    <row r="128" spans="1:7" x14ac:dyDescent="0.2">
      <c r="A128" s="244" t="s">
        <v>5</v>
      </c>
      <c r="B128" s="248">
        <f>ROUND(recipe!C98*P.Friday!B123,2)*1000</f>
        <v>0</v>
      </c>
      <c r="C128" s="245" t="s">
        <v>94</v>
      </c>
      <c r="D128" s="80"/>
      <c r="E128" s="9"/>
      <c r="F128" s="260">
        <f>ROUND(recipe!G98*P.Friday!F123,2)*1000</f>
        <v>0</v>
      </c>
      <c r="G128" s="146" t="s">
        <v>94</v>
      </c>
    </row>
    <row r="129" spans="1:7" x14ac:dyDescent="0.2">
      <c r="A129" s="244" t="s">
        <v>4</v>
      </c>
      <c r="B129" s="248">
        <f>ROUND(recipe!C99*P.Friday!B123,2)*1000</f>
        <v>0</v>
      </c>
      <c r="C129" s="246" t="s">
        <v>94</v>
      </c>
      <c r="D129" s="101"/>
      <c r="E129" s="9"/>
      <c r="F129" s="260">
        <f>ROUND(recipe!G99*P.Friday!F123,2)*1000</f>
        <v>0</v>
      </c>
      <c r="G129" s="146" t="s">
        <v>94</v>
      </c>
    </row>
    <row r="130" spans="1:7" x14ac:dyDescent="0.2">
      <c r="A130" s="244" t="s">
        <v>6</v>
      </c>
      <c r="B130" s="248">
        <f>ROUND(recipe!C100*P.Friday!B123,2)*1000</f>
        <v>0</v>
      </c>
      <c r="C130" s="246" t="s">
        <v>94</v>
      </c>
      <c r="D130" s="101"/>
      <c r="E130" s="9"/>
      <c r="F130" s="260">
        <f>ROUND(recipe!G100*P.Friday!F123,2)*1000</f>
        <v>0</v>
      </c>
      <c r="G130" s="146" t="s">
        <v>94</v>
      </c>
    </row>
    <row r="131" spans="1:7" hidden="1" x14ac:dyDescent="0.2">
      <c r="B131" s="172">
        <f>B121/recipe!B101</f>
        <v>0</v>
      </c>
      <c r="C131" s="173"/>
      <c r="D131" s="101"/>
      <c r="E131" s="59"/>
      <c r="F131" s="60">
        <f>F121/recipe!F101</f>
        <v>0</v>
      </c>
      <c r="G131" s="148"/>
    </row>
    <row r="132" spans="1:7" x14ac:dyDescent="0.2">
      <c r="B132" s="134"/>
      <c r="C132" s="135"/>
      <c r="G132" s="160"/>
    </row>
    <row r="133" spans="1:7" ht="15.75" x14ac:dyDescent="0.25">
      <c r="A133" s="176" t="s">
        <v>250</v>
      </c>
      <c r="B133" s="67">
        <f>friday!R76</f>
        <v>0</v>
      </c>
      <c r="C133" s="54" t="s">
        <v>87</v>
      </c>
      <c r="D133" s="132"/>
      <c r="E133" s="176" t="s">
        <v>265</v>
      </c>
      <c r="F133" s="67"/>
      <c r="G133" s="54" t="s">
        <v>87</v>
      </c>
    </row>
    <row r="134" spans="1:7" x14ac:dyDescent="0.2">
      <c r="B134" s="417" t="s">
        <v>91</v>
      </c>
      <c r="C134" s="417"/>
      <c r="D134" s="80"/>
      <c r="F134" s="417" t="s">
        <v>91</v>
      </c>
      <c r="G134" s="417"/>
    </row>
    <row r="135" spans="1:7" x14ac:dyDescent="0.2">
      <c r="A135" s="2" t="s">
        <v>266</v>
      </c>
      <c r="B135" s="69">
        <f>ROUND(recipe!B155*P.Friday!B139,1)</f>
        <v>0</v>
      </c>
      <c r="C135" s="70" t="s">
        <v>87</v>
      </c>
      <c r="D135" s="101"/>
      <c r="E135" s="2" t="s">
        <v>248</v>
      </c>
      <c r="F135" s="69">
        <f>ROUND(recipe!B145*P.Friday!F139,1)</f>
        <v>0</v>
      </c>
      <c r="G135" s="70" t="s">
        <v>87</v>
      </c>
    </row>
    <row r="136" spans="1:7" x14ac:dyDescent="0.2">
      <c r="A136" s="5" t="s">
        <v>3</v>
      </c>
      <c r="B136" s="69">
        <f>ROUND(recipe!C156*P.Friday!B135,1)</f>
        <v>0</v>
      </c>
      <c r="C136" s="71" t="s">
        <v>92</v>
      </c>
      <c r="D136" s="101"/>
      <c r="E136" s="5" t="s">
        <v>3</v>
      </c>
      <c r="F136" s="69">
        <f>ROUND(recipe!C146*P.Friday!F135,1)</f>
        <v>0</v>
      </c>
      <c r="G136" s="71" t="s">
        <v>92</v>
      </c>
    </row>
    <row r="137" spans="1:7" x14ac:dyDescent="0.2">
      <c r="A137" s="5" t="s">
        <v>5</v>
      </c>
      <c r="B137" s="72">
        <f>ROUND(recipe!C157*P.Friday!B135,2)*1000</f>
        <v>0</v>
      </c>
      <c r="C137" s="146" t="s">
        <v>94</v>
      </c>
      <c r="D137" s="101"/>
      <c r="E137" s="5" t="s">
        <v>5</v>
      </c>
      <c r="F137" s="72">
        <f>ROUND(recipe!C147*P.Friday!F135,2)*1000</f>
        <v>0</v>
      </c>
      <c r="G137" s="146" t="s">
        <v>94</v>
      </c>
    </row>
    <row r="138" spans="1:7" x14ac:dyDescent="0.2">
      <c r="A138" s="63" t="s">
        <v>246</v>
      </c>
      <c r="B138" s="166">
        <f>ROUND(recipe!C158*P.Friday!B135,1)</f>
        <v>0</v>
      </c>
      <c r="C138" s="165" t="s">
        <v>87</v>
      </c>
      <c r="D138" s="101"/>
      <c r="E138" s="63" t="s">
        <v>246</v>
      </c>
      <c r="F138" s="166">
        <f>ROUND(recipe!C148*P.Friday!F135,1)</f>
        <v>0</v>
      </c>
      <c r="G138" s="165" t="s">
        <v>87</v>
      </c>
    </row>
    <row r="139" spans="1:7" hidden="1" x14ac:dyDescent="0.2">
      <c r="B139" s="166">
        <f>B133/recipe!B159</f>
        <v>0</v>
      </c>
      <c r="C139" s="148"/>
      <c r="D139" s="101"/>
      <c r="F139" s="166">
        <f>F133/recipe!B149</f>
        <v>0</v>
      </c>
      <c r="G139" s="148"/>
    </row>
    <row r="140" spans="1:7" x14ac:dyDescent="0.2">
      <c r="B140" s="134"/>
      <c r="C140" s="135"/>
      <c r="G140" s="160"/>
    </row>
    <row r="141" spans="1:7" ht="15.75" x14ac:dyDescent="0.25">
      <c r="A141" s="176" t="s">
        <v>156</v>
      </c>
      <c r="B141" s="68">
        <f>friday!R48</f>
        <v>0</v>
      </c>
      <c r="C141" s="54" t="s">
        <v>87</v>
      </c>
      <c r="D141" s="132"/>
      <c r="E141" s="176" t="s">
        <v>164</v>
      </c>
      <c r="F141" s="67">
        <f>friday!R33</f>
        <v>0</v>
      </c>
      <c r="G141" s="54" t="s">
        <v>87</v>
      </c>
    </row>
    <row r="142" spans="1:7" x14ac:dyDescent="0.2">
      <c r="B142" s="417" t="s">
        <v>91</v>
      </c>
      <c r="C142" s="417"/>
      <c r="D142" s="80"/>
      <c r="F142" s="417" t="s">
        <v>91</v>
      </c>
      <c r="G142" s="417"/>
    </row>
    <row r="143" spans="1:7" x14ac:dyDescent="0.2">
      <c r="A143" s="2" t="s">
        <v>251</v>
      </c>
      <c r="B143" s="69">
        <f>ROUND(fbpp*P.Friday!B147,1)</f>
        <v>0</v>
      </c>
      <c r="C143" s="70" t="s">
        <v>87</v>
      </c>
      <c r="D143" s="101"/>
      <c r="E143" s="8" t="s">
        <v>10</v>
      </c>
      <c r="F143" s="250">
        <f>ROUND(pssp*P.Friday!F147,1)</f>
        <v>0</v>
      </c>
      <c r="G143" s="154" t="s">
        <v>87</v>
      </c>
    </row>
    <row r="144" spans="1:7" x14ac:dyDescent="0.2">
      <c r="A144" s="5" t="s">
        <v>3</v>
      </c>
      <c r="B144" s="162">
        <f>ROUND(recipe!C109*P.Friday!B143,1)</f>
        <v>0</v>
      </c>
      <c r="C144" s="146" t="s">
        <v>92</v>
      </c>
      <c r="D144" s="101"/>
      <c r="E144" s="8" t="s">
        <v>170</v>
      </c>
      <c r="F144" s="262">
        <f>ROUND(recipe!G109*P.Friday!F143,1)</f>
        <v>0</v>
      </c>
      <c r="G144" s="100" t="s">
        <v>87</v>
      </c>
    </row>
    <row r="145" spans="1:8" x14ac:dyDescent="0.2">
      <c r="A145" s="5" t="s">
        <v>5</v>
      </c>
      <c r="B145" s="142">
        <f>ROUND(recipe!C110*P.Friday!B143,2)*1000</f>
        <v>0</v>
      </c>
      <c r="C145" s="146" t="s">
        <v>94</v>
      </c>
      <c r="D145" s="101"/>
      <c r="E145" s="8" t="s">
        <v>3</v>
      </c>
      <c r="F145" s="250">
        <f>ROUND(recipe!G110*P.Friday!F143,1)</f>
        <v>0</v>
      </c>
      <c r="G145" s="154" t="s">
        <v>87</v>
      </c>
    </row>
    <row r="146" spans="1:8" x14ac:dyDescent="0.2">
      <c r="A146" s="3" t="s">
        <v>246</v>
      </c>
      <c r="B146" s="151">
        <f>ROUND(recipe!C111*P.Friday!B143,1)</f>
        <v>0</v>
      </c>
      <c r="C146" s="163" t="s">
        <v>87</v>
      </c>
      <c r="D146" s="101"/>
      <c r="E146" s="8" t="s">
        <v>5</v>
      </c>
      <c r="F146" s="261">
        <f>ROUND(recipe!G111*P.Friday!F143,2)*1000</f>
        <v>0</v>
      </c>
      <c r="G146" s="100" t="s">
        <v>94</v>
      </c>
    </row>
    <row r="147" spans="1:8" hidden="1" x14ac:dyDescent="0.2">
      <c r="B147" s="134">
        <f>B141/recipe!B113</f>
        <v>0</v>
      </c>
      <c r="C147" s="135"/>
      <c r="F147" s="170">
        <f>F141/recipe!F114</f>
        <v>0</v>
      </c>
      <c r="G147" s="148"/>
    </row>
    <row r="148" spans="1:8" x14ac:dyDescent="0.2">
      <c r="B148" s="134"/>
      <c r="C148" s="135"/>
      <c r="F148" s="166"/>
      <c r="G148" s="148"/>
    </row>
    <row r="149" spans="1:8" ht="15.75" x14ac:dyDescent="0.25">
      <c r="A149" s="176" t="s">
        <v>281</v>
      </c>
      <c r="B149" s="53">
        <f>friday!R105</f>
        <v>0</v>
      </c>
      <c r="C149" s="54" t="s">
        <v>87</v>
      </c>
      <c r="D149" s="132"/>
      <c r="E149" s="176" t="s">
        <v>13</v>
      </c>
      <c r="F149" s="64">
        <f>friday!R153</f>
        <v>0</v>
      </c>
      <c r="G149" s="54" t="s">
        <v>87</v>
      </c>
      <c r="H149" s="57"/>
    </row>
    <row r="150" spans="1:8" x14ac:dyDescent="0.2">
      <c r="B150" s="417" t="s">
        <v>91</v>
      </c>
      <c r="C150" s="417"/>
      <c r="D150" s="80"/>
      <c r="F150" s="417" t="s">
        <v>91</v>
      </c>
      <c r="G150" s="417"/>
      <c r="H150" s="80"/>
    </row>
    <row r="151" spans="1:8" x14ac:dyDescent="0.2">
      <c r="A151" s="2" t="s">
        <v>10</v>
      </c>
      <c r="B151" s="161">
        <f>ROUND(fpsfgr*P.Friday!B158,0)</f>
        <v>0</v>
      </c>
      <c r="C151" s="154" t="s">
        <v>87</v>
      </c>
      <c r="D151" s="101"/>
      <c r="E151" s="2" t="s">
        <v>15</v>
      </c>
      <c r="F151" s="152">
        <f>ROUND(frr*P.Friday!F158,1)</f>
        <v>0</v>
      </c>
      <c r="G151" s="141" t="s">
        <v>87</v>
      </c>
      <c r="H151" s="101"/>
    </row>
    <row r="152" spans="1:8" x14ac:dyDescent="0.2">
      <c r="A152" s="5" t="s">
        <v>3</v>
      </c>
      <c r="B152" s="169">
        <f>ROUND(recipe!G156*P.Friday!B151,1)</f>
        <v>0</v>
      </c>
      <c r="C152" s="155" t="s">
        <v>92</v>
      </c>
      <c r="D152" s="101"/>
      <c r="E152" s="5" t="s">
        <v>3</v>
      </c>
      <c r="F152" s="144">
        <f>ROUND(recipe!C33*P.Friday!F151,1)</f>
        <v>0</v>
      </c>
      <c r="G152" s="143" t="s">
        <v>92</v>
      </c>
      <c r="H152" s="101"/>
    </row>
    <row r="153" spans="1:8" x14ac:dyDescent="0.2">
      <c r="A153" s="5" t="s">
        <v>205</v>
      </c>
      <c r="B153" s="169">
        <f>ROUND(recipe!G157*P.Friday!B151,1)</f>
        <v>0</v>
      </c>
      <c r="C153" s="155" t="s">
        <v>87</v>
      </c>
      <c r="D153" s="101"/>
      <c r="E153" s="5" t="s">
        <v>5</v>
      </c>
      <c r="F153" s="145">
        <f>ROUND(recipe!C34*P.Friday!F151,2)</f>
        <v>0</v>
      </c>
      <c r="G153" s="146" t="s">
        <v>87</v>
      </c>
      <c r="H153" s="101"/>
    </row>
    <row r="154" spans="1:8" x14ac:dyDescent="0.2">
      <c r="A154" s="5" t="s">
        <v>4</v>
      </c>
      <c r="B154" s="157">
        <f>ROUND(recipe!G158*P.Friday!B151,2)*1000</f>
        <v>0</v>
      </c>
      <c r="C154" s="155" t="s">
        <v>94</v>
      </c>
      <c r="D154" s="101"/>
      <c r="E154" s="5" t="s">
        <v>16</v>
      </c>
      <c r="F154" s="145">
        <f>ROUND(recipe!C35*P.Friday!F151,1)</f>
        <v>0</v>
      </c>
      <c r="G154" s="146" t="s">
        <v>87</v>
      </c>
      <c r="H154" s="101"/>
    </row>
    <row r="155" spans="1:8" ht="12.75" customHeight="1" x14ac:dyDescent="0.2">
      <c r="A155" s="5" t="s">
        <v>5</v>
      </c>
      <c r="B155" s="157">
        <f>ROUND(recipe!G159*P.Friday!B151,2)*1000</f>
        <v>0</v>
      </c>
      <c r="C155" s="155" t="s">
        <v>94</v>
      </c>
      <c r="D155" s="101"/>
      <c r="E155" s="65"/>
      <c r="F155" s="97"/>
      <c r="G155" s="143"/>
      <c r="H155" s="101"/>
    </row>
    <row r="156" spans="1:8" x14ac:dyDescent="0.2">
      <c r="A156" s="5" t="s">
        <v>6</v>
      </c>
      <c r="B156" s="157">
        <f>ROUND(recipe!G160*P.Friday!B151,2)*1000</f>
        <v>0</v>
      </c>
      <c r="C156" s="155" t="s">
        <v>94</v>
      </c>
      <c r="D156" s="101"/>
      <c r="E156" s="231"/>
      <c r="G156" s="156"/>
      <c r="H156" s="101"/>
    </row>
    <row r="157" spans="1:8" x14ac:dyDescent="0.2">
      <c r="A157" s="3" t="s">
        <v>12</v>
      </c>
      <c r="B157" s="157">
        <f>ROUND(recipe!G161*P.Friday!B151,1)*1000</f>
        <v>0</v>
      </c>
      <c r="C157" s="155" t="s">
        <v>94</v>
      </c>
      <c r="D157" s="101"/>
      <c r="E157" s="231"/>
      <c r="G157" s="156"/>
      <c r="H157" s="101"/>
    </row>
    <row r="158" spans="1:8" ht="25.9" hidden="1" customHeight="1" x14ac:dyDescent="0.2">
      <c r="B158" s="134">
        <f>B149/recipe!F162</f>
        <v>0</v>
      </c>
      <c r="C158" s="148"/>
      <c r="F158" s="134">
        <f>F149/recipe!B39</f>
        <v>0</v>
      </c>
      <c r="G158" s="160"/>
    </row>
    <row r="159" spans="1:8" ht="18" x14ac:dyDescent="0.25">
      <c r="A159" s="422" t="s">
        <v>97</v>
      </c>
      <c r="B159" s="365"/>
      <c r="C159" s="365"/>
      <c r="D159" s="366"/>
      <c r="E159" s="367"/>
      <c r="G159" s="160"/>
      <c r="H159" s="108"/>
    </row>
    <row r="160" spans="1:8" ht="18" x14ac:dyDescent="0.25">
      <c r="A160" s="422"/>
      <c r="B160" s="368"/>
      <c r="C160" s="368"/>
      <c r="D160" s="369"/>
      <c r="E160" s="370" t="s">
        <v>98</v>
      </c>
      <c r="G160" s="174"/>
      <c r="H160" s="103"/>
    </row>
    <row r="161" spans="1:10" ht="15.75" x14ac:dyDescent="0.2">
      <c r="A161" s="73"/>
      <c r="B161" s="175"/>
      <c r="C161" s="175"/>
      <c r="D161" s="103"/>
      <c r="E161" s="74"/>
      <c r="G161" s="174"/>
      <c r="H161" s="103"/>
    </row>
    <row r="162" spans="1:10" s="78" customFormat="1" ht="30" customHeight="1" x14ac:dyDescent="0.45">
      <c r="A162" s="423" t="s">
        <v>99</v>
      </c>
      <c r="B162" s="423"/>
      <c r="C162" s="423"/>
      <c r="D162" s="423"/>
      <c r="E162" s="371">
        <f>friday!S122/15</f>
        <v>0</v>
      </c>
      <c r="F162" s="75"/>
      <c r="G162" s="76"/>
      <c r="H162" s="77"/>
      <c r="J162" s="179"/>
    </row>
    <row r="163" spans="1:10" s="78" customFormat="1" ht="30" customHeight="1" x14ac:dyDescent="0.45">
      <c r="A163" s="421" t="s">
        <v>100</v>
      </c>
      <c r="B163" s="421"/>
      <c r="C163" s="421"/>
      <c r="D163" s="421"/>
      <c r="E163" s="371">
        <f>friday!S123/15</f>
        <v>0</v>
      </c>
      <c r="F163" s="75"/>
      <c r="G163" s="76"/>
      <c r="H163" s="77"/>
      <c r="J163" s="179"/>
    </row>
    <row r="164" spans="1:10" s="78" customFormat="1" ht="30" customHeight="1" x14ac:dyDescent="0.45">
      <c r="A164" s="421" t="s">
        <v>101</v>
      </c>
      <c r="B164" s="421"/>
      <c r="C164" s="421"/>
      <c r="D164" s="421"/>
      <c r="E164" s="371">
        <f>friday!S124/15</f>
        <v>0</v>
      </c>
      <c r="F164" s="75"/>
      <c r="G164" s="76"/>
      <c r="H164" s="77"/>
      <c r="J164" s="179"/>
    </row>
    <row r="165" spans="1:10" s="78" customFormat="1" ht="30" customHeight="1" x14ac:dyDescent="0.45">
      <c r="A165" s="421" t="s">
        <v>209</v>
      </c>
      <c r="B165" s="421"/>
      <c r="C165" s="421"/>
      <c r="D165" s="421"/>
      <c r="E165" s="371">
        <f>friday!S125/15</f>
        <v>0</v>
      </c>
      <c r="F165" s="75"/>
      <c r="G165" s="76"/>
      <c r="H165" s="77"/>
      <c r="J165" s="179"/>
    </row>
    <row r="166" spans="1:10" s="78" customFormat="1" ht="30" customHeight="1" x14ac:dyDescent="0.45">
      <c r="A166" s="421" t="s">
        <v>210</v>
      </c>
      <c r="B166" s="421"/>
      <c r="C166" s="421"/>
      <c r="D166" s="421"/>
      <c r="E166" s="371">
        <f>friday!S121/30</f>
        <v>0</v>
      </c>
      <c r="F166" s="75"/>
      <c r="G166" s="79"/>
      <c r="J166" s="179"/>
    </row>
    <row r="167" spans="1:10" s="78" customFormat="1" ht="30" customHeight="1" x14ac:dyDescent="0.45">
      <c r="A167" s="421" t="s">
        <v>212</v>
      </c>
      <c r="B167" s="421"/>
      <c r="C167" s="421"/>
      <c r="D167" s="421"/>
      <c r="E167" s="371">
        <f>friday!S126/30</f>
        <v>0</v>
      </c>
      <c r="F167" s="75"/>
      <c r="G167" s="79"/>
      <c r="J167" s="179"/>
    </row>
    <row r="168" spans="1:10" s="78" customFormat="1" ht="30" customHeight="1" x14ac:dyDescent="0.45">
      <c r="A168" s="421" t="s">
        <v>213</v>
      </c>
      <c r="B168" s="421"/>
      <c r="C168" s="421"/>
      <c r="D168" s="421"/>
      <c r="E168" s="371">
        <f>friday!S127/30</f>
        <v>0</v>
      </c>
      <c r="F168" s="75"/>
      <c r="G168" s="79"/>
      <c r="J168" s="179"/>
    </row>
    <row r="169" spans="1:10" s="78" customFormat="1" ht="30" customHeight="1" x14ac:dyDescent="0.45">
      <c r="A169" s="363" t="s">
        <v>214</v>
      </c>
      <c r="B169" s="363"/>
      <c r="C169" s="363"/>
      <c r="D169" s="363"/>
      <c r="E169" s="371">
        <f>friday!S128/30</f>
        <v>0</v>
      </c>
      <c r="F169" s="75"/>
      <c r="G169" s="79"/>
      <c r="J169" s="179"/>
    </row>
    <row r="170" spans="1:10" s="78" customFormat="1" ht="30" customHeight="1" x14ac:dyDescent="0.45">
      <c r="A170" s="363" t="s">
        <v>219</v>
      </c>
      <c r="B170" s="363"/>
      <c r="C170" s="363"/>
      <c r="D170" s="363"/>
      <c r="E170" s="371">
        <f>friday!S129/12</f>
        <v>0</v>
      </c>
      <c r="F170" s="75"/>
      <c r="G170" s="79"/>
      <c r="J170" s="179"/>
    </row>
    <row r="171" spans="1:10" s="78" customFormat="1" ht="30" customHeight="1" x14ac:dyDescent="0.45">
      <c r="A171" s="363" t="s">
        <v>216</v>
      </c>
      <c r="B171" s="363"/>
      <c r="C171" s="363"/>
      <c r="D171" s="363"/>
      <c r="E171" s="372">
        <f>friday!S131</f>
        <v>0</v>
      </c>
      <c r="F171" s="75"/>
      <c r="G171" s="79"/>
      <c r="J171" s="179"/>
    </row>
    <row r="172" spans="1:10" s="78" customFormat="1" ht="30" customHeight="1" x14ac:dyDescent="0.45">
      <c r="A172" s="364" t="s">
        <v>220</v>
      </c>
      <c r="B172" s="364"/>
      <c r="C172" s="364"/>
      <c r="D172" s="364"/>
      <c r="E172" s="371">
        <f>friday!S134/15</f>
        <v>0</v>
      </c>
      <c r="F172" s="75"/>
      <c r="G172" s="79"/>
      <c r="J172" s="179"/>
    </row>
    <row r="173" spans="1:10" s="78" customFormat="1" ht="30" customHeight="1" x14ac:dyDescent="0.45">
      <c r="A173" s="364" t="s">
        <v>222</v>
      </c>
      <c r="B173" s="364"/>
      <c r="C173" s="364"/>
      <c r="D173" s="364"/>
      <c r="E173" s="371">
        <f>friday!S135/12</f>
        <v>0</v>
      </c>
      <c r="F173" s="75"/>
      <c r="G173" s="79"/>
      <c r="J173" s="179"/>
    </row>
    <row r="174" spans="1:10" s="78" customFormat="1" ht="30" customHeight="1" x14ac:dyDescent="0.45">
      <c r="A174" s="363" t="s">
        <v>221</v>
      </c>
      <c r="B174" s="363"/>
      <c r="C174" s="363"/>
      <c r="D174" s="363"/>
      <c r="E174" s="371">
        <f>friday!S136/15</f>
        <v>0</v>
      </c>
      <c r="F174" s="75"/>
      <c r="G174" s="79"/>
      <c r="J174" s="179"/>
    </row>
    <row r="175" spans="1:10" s="78" customFormat="1" ht="30" customHeight="1" x14ac:dyDescent="0.45">
      <c r="A175" s="363" t="s">
        <v>277</v>
      </c>
      <c r="B175" s="363"/>
      <c r="C175" s="363"/>
      <c r="D175" s="363"/>
      <c r="E175" s="371">
        <f>friday!S137/15</f>
        <v>0</v>
      </c>
      <c r="F175" s="75"/>
      <c r="G175" s="79"/>
      <c r="J175" s="179"/>
    </row>
    <row r="176" spans="1:10" s="78" customFormat="1" ht="34.5" x14ac:dyDescent="0.45">
      <c r="A176" s="364" t="s">
        <v>278</v>
      </c>
      <c r="B176" s="364"/>
      <c r="C176" s="364"/>
      <c r="D176" s="364"/>
      <c r="E176" s="371">
        <f>friday!S138/15</f>
        <v>0</v>
      </c>
      <c r="F176" s="75"/>
      <c r="G176" s="79"/>
      <c r="J176" s="179"/>
    </row>
    <row r="182" spans="2:2" x14ac:dyDescent="0.2">
      <c r="B182" s="97" t="s">
        <v>102</v>
      </c>
    </row>
  </sheetData>
  <sheetProtection password="C71F" sheet="1" objects="1" scenarios="1"/>
  <mergeCells count="38">
    <mergeCell ref="A165:D165"/>
    <mergeCell ref="A166:D166"/>
    <mergeCell ref="A167:D167"/>
    <mergeCell ref="A168:D168"/>
    <mergeCell ref="B150:C150"/>
    <mergeCell ref="F150:G150"/>
    <mergeCell ref="A159:A160"/>
    <mergeCell ref="A162:D162"/>
    <mergeCell ref="A163:D163"/>
    <mergeCell ref="A164:D164"/>
    <mergeCell ref="B142:C142"/>
    <mergeCell ref="F142:G142"/>
    <mergeCell ref="B60:C60"/>
    <mergeCell ref="F60:G60"/>
    <mergeCell ref="B71:C71"/>
    <mergeCell ref="F71:G71"/>
    <mergeCell ref="B100:C100"/>
    <mergeCell ref="F100:G100"/>
    <mergeCell ref="B110:C110"/>
    <mergeCell ref="F110:G110"/>
    <mergeCell ref="B122:C122"/>
    <mergeCell ref="F122:G122"/>
    <mergeCell ref="F134:G134"/>
    <mergeCell ref="B26:C26"/>
    <mergeCell ref="F26:G26"/>
    <mergeCell ref="B134:C134"/>
    <mergeCell ref="A4:E4"/>
    <mergeCell ref="B7:C7"/>
    <mergeCell ref="F7:G7"/>
    <mergeCell ref="B16:C16"/>
    <mergeCell ref="F16:G16"/>
    <mergeCell ref="B39:C39"/>
    <mergeCell ref="F39:G39"/>
    <mergeCell ref="B47:C47"/>
    <mergeCell ref="F47:G47"/>
    <mergeCell ref="B53:C53"/>
    <mergeCell ref="F53:G53"/>
    <mergeCell ref="F79:G79"/>
  </mergeCells>
  <printOptions horizontalCentered="1"/>
  <pageMargins left="0.196850393700787" right="0.196850393700787" top="0.39370078740157499" bottom="0.196850393700787" header="0.31496062992126" footer="0.31496062992126"/>
  <pageSetup paperSize="9" scale="78" orientation="portrait" r:id="rId1"/>
  <headerFooter alignWithMargins="0">
    <oddFooter>&amp;Lécole boulangerie&amp;CPage &amp;P</oddFooter>
  </headerFooter>
  <rowBreaks count="1" manualBreakCount="1">
    <brk id="158" max="6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C00000"/>
  </sheetPr>
  <dimension ref="A1:V164"/>
  <sheetViews>
    <sheetView showGridLines="0" view="pageBreakPreview" zoomScale="80" zoomScaleNormal="70" zoomScaleSheetLayoutView="80" workbookViewId="0">
      <pane xSplit="3" ySplit="3" topLeftCell="F4" activePane="bottomRight" state="frozen"/>
      <selection activeCell="A4" sqref="A4:E4"/>
      <selection pane="topRight" activeCell="A4" sqref="A4:E4"/>
      <selection pane="bottomLeft" activeCell="A4" sqref="A4:E4"/>
      <selection pane="bottomRight" activeCell="A4" sqref="A4:E4"/>
    </sheetView>
  </sheetViews>
  <sheetFormatPr defaultColWidth="11.42578125" defaultRowHeight="15" customHeight="1" x14ac:dyDescent="0.2"/>
  <cols>
    <col min="1" max="1" width="9.140625" style="374" bestFit="1" customWidth="1"/>
    <col min="2" max="2" width="52.85546875" style="340" bestFit="1" customWidth="1"/>
    <col min="3" max="3" width="6.5703125" style="19" hidden="1" customWidth="1"/>
    <col min="4" max="4" width="5.7109375" style="19" hidden="1" customWidth="1"/>
    <col min="5" max="5" width="6.140625" style="19" hidden="1" customWidth="1"/>
    <col min="6" max="6" width="11" style="290" customWidth="1"/>
    <col min="7" max="7" width="13.42578125" style="290" customWidth="1"/>
    <col min="8" max="10" width="13.42578125" style="290" hidden="1" customWidth="1"/>
    <col min="11" max="11" width="12.7109375" style="293" customWidth="1"/>
    <col min="12" max="12" width="9.28515625" style="299" bestFit="1" customWidth="1"/>
    <col min="13" max="13" width="7.5703125" style="300" customWidth="1"/>
    <col min="14" max="15" width="7.7109375" style="300" customWidth="1"/>
    <col min="16" max="16" width="7.7109375" style="300" hidden="1" customWidth="1"/>
    <col min="17" max="17" width="8" style="21" hidden="1" customWidth="1"/>
    <col min="18" max="18" width="9.7109375" style="21" hidden="1" customWidth="1"/>
    <col min="19" max="19" width="11.42578125" style="21" hidden="1" customWidth="1"/>
    <col min="20" max="20" width="25.140625" style="21" hidden="1" customWidth="1"/>
    <col min="21" max="21" width="11.42578125" style="21" hidden="1" customWidth="1"/>
    <col min="22" max="22" width="0" style="21" hidden="1" customWidth="1"/>
    <col min="23" max="16384" width="11.42578125" style="21"/>
  </cols>
  <sheetData>
    <row r="1" spans="1:22" ht="21" customHeight="1" x14ac:dyDescent="0.2">
      <c r="B1" s="340" t="s">
        <v>76</v>
      </c>
      <c r="F1" s="40">
        <v>50</v>
      </c>
      <c r="G1" s="295" t="s">
        <v>245</v>
      </c>
      <c r="H1" s="295"/>
      <c r="I1" s="295"/>
      <c r="J1" s="295"/>
      <c r="K1" s="296">
        <f>friday!K1+1</f>
        <v>42462</v>
      </c>
      <c r="L1" s="401" t="s">
        <v>274</v>
      </c>
      <c r="M1" s="402"/>
      <c r="N1" s="402"/>
      <c r="O1" s="402"/>
      <c r="P1" s="402"/>
      <c r="Q1" s="41"/>
    </row>
    <row r="2" spans="1:22" ht="13.15" customHeight="1" x14ac:dyDescent="0.2">
      <c r="B2" s="403" t="s">
        <v>23</v>
      </c>
      <c r="C2" s="404" t="s">
        <v>78</v>
      </c>
      <c r="D2" s="404" t="s">
        <v>79</v>
      </c>
      <c r="E2" s="405" t="s">
        <v>80</v>
      </c>
      <c r="F2" s="407" t="s">
        <v>183</v>
      </c>
      <c r="G2" s="408" t="s">
        <v>81</v>
      </c>
      <c r="H2" s="319"/>
      <c r="I2" s="319"/>
      <c r="J2" s="319"/>
      <c r="K2" s="410" t="s">
        <v>82</v>
      </c>
      <c r="L2" s="411" t="s">
        <v>243</v>
      </c>
      <c r="M2" s="411" t="s">
        <v>275</v>
      </c>
      <c r="N2" s="411" t="s">
        <v>306</v>
      </c>
      <c r="O2" s="411" t="s">
        <v>307</v>
      </c>
      <c r="P2" s="411" t="s">
        <v>276</v>
      </c>
      <c r="Q2" s="413" t="s">
        <v>83</v>
      </c>
      <c r="R2" s="415" t="s">
        <v>84</v>
      </c>
    </row>
    <row r="3" spans="1:22" s="28" customFormat="1" ht="17.45" customHeight="1" thickBot="1" x14ac:dyDescent="0.25">
      <c r="A3" s="375"/>
      <c r="B3" s="403"/>
      <c r="C3" s="404"/>
      <c r="D3" s="404"/>
      <c r="E3" s="406"/>
      <c r="F3" s="407"/>
      <c r="G3" s="409"/>
      <c r="H3" s="320"/>
      <c r="I3" s="320"/>
      <c r="J3" s="320"/>
      <c r="K3" s="410"/>
      <c r="L3" s="412"/>
      <c r="M3" s="412"/>
      <c r="N3" s="412"/>
      <c r="O3" s="412"/>
      <c r="P3" s="412"/>
      <c r="Q3" s="414"/>
      <c r="R3" s="415"/>
    </row>
    <row r="4" spans="1:22" s="25" customFormat="1" ht="20.100000000000001" customHeight="1" x14ac:dyDescent="0.15">
      <c r="A4" s="376">
        <v>755730</v>
      </c>
      <c r="B4" s="341" t="s">
        <v>103</v>
      </c>
      <c r="C4" s="85">
        <f>PV!C4</f>
        <v>0.17499999999999999</v>
      </c>
      <c r="D4" s="42" t="s">
        <v>85</v>
      </c>
      <c r="E4" s="43">
        <f>IF(D4="h",PV!E4,IF(D4="M",PV!G4,PV!I4))</f>
        <v>1.1000000000000001</v>
      </c>
      <c r="F4" s="291">
        <v>16</v>
      </c>
      <c r="G4" s="291">
        <v>24</v>
      </c>
      <c r="H4" s="291"/>
      <c r="I4" s="291"/>
      <c r="J4" s="291"/>
      <c r="K4" s="373"/>
      <c r="L4" s="327"/>
      <c r="M4" s="328"/>
      <c r="N4" s="329"/>
      <c r="O4" s="329"/>
      <c r="P4" s="330"/>
      <c r="Q4" s="275">
        <f t="shared" ref="Q4:Q23" si="0">(K4*E4)</f>
        <v>0</v>
      </c>
      <c r="R4" s="280">
        <f t="shared" ref="R4:R23" si="1">K4*C4</f>
        <v>0</v>
      </c>
      <c r="U4" s="294">
        <f>K4-L4</f>
        <v>0</v>
      </c>
      <c r="V4" s="301"/>
    </row>
    <row r="5" spans="1:22" s="25" customFormat="1" ht="20.100000000000001" customHeight="1" x14ac:dyDescent="0.15">
      <c r="A5" s="376">
        <v>65846</v>
      </c>
      <c r="B5" s="341" t="s">
        <v>104</v>
      </c>
      <c r="C5" s="85">
        <f>PV!C5</f>
        <v>0.35</v>
      </c>
      <c r="D5" s="44" t="str">
        <f t="shared" ref="D5:D68" si="2">D4</f>
        <v>h</v>
      </c>
      <c r="E5" s="43">
        <f>IF(D5="h",PV!E5,IF(D5="M",PV!G5,PV!I5))</f>
        <v>1.8</v>
      </c>
      <c r="F5" s="291">
        <v>0</v>
      </c>
      <c r="G5" s="291">
        <v>14</v>
      </c>
      <c r="H5" s="291"/>
      <c r="I5" s="291"/>
      <c r="J5" s="291"/>
      <c r="K5" s="373"/>
      <c r="L5" s="331"/>
      <c r="M5" s="332"/>
      <c r="N5" s="333"/>
      <c r="O5" s="333"/>
      <c r="P5" s="334"/>
      <c r="Q5" s="275">
        <f t="shared" si="0"/>
        <v>0</v>
      </c>
      <c r="R5" s="280">
        <f t="shared" si="1"/>
        <v>0</v>
      </c>
      <c r="U5" s="294"/>
      <c r="V5" s="301"/>
    </row>
    <row r="6" spans="1:22" s="25" customFormat="1" ht="20.100000000000001" customHeight="1" x14ac:dyDescent="0.15">
      <c r="A6" s="377">
        <v>358700</v>
      </c>
      <c r="B6" s="341" t="s">
        <v>35</v>
      </c>
      <c r="C6" s="85">
        <f>PV!C6</f>
        <v>0.35</v>
      </c>
      <c r="D6" s="44" t="str">
        <f t="shared" si="2"/>
        <v>h</v>
      </c>
      <c r="E6" s="43">
        <f>IF(D6="h",PV!E6,IF(D6="M",PV!G6,PV!I6))</f>
        <v>3.45</v>
      </c>
      <c r="F6" s="291">
        <v>0</v>
      </c>
      <c r="G6" s="291">
        <v>1</v>
      </c>
      <c r="H6" s="291"/>
      <c r="I6" s="291"/>
      <c r="J6" s="291"/>
      <c r="K6" s="373"/>
      <c r="L6" s="331"/>
      <c r="M6" s="332"/>
      <c r="N6" s="333"/>
      <c r="O6" s="333"/>
      <c r="P6" s="334"/>
      <c r="Q6" s="275">
        <f t="shared" si="0"/>
        <v>0</v>
      </c>
      <c r="R6" s="280">
        <f t="shared" si="1"/>
        <v>0</v>
      </c>
      <c r="U6" s="294">
        <f t="shared" ref="U6:U37" si="3">K6-L6</f>
        <v>0</v>
      </c>
      <c r="V6" s="301"/>
    </row>
    <row r="7" spans="1:22" s="25" customFormat="1" ht="20.100000000000001" customHeight="1" x14ac:dyDescent="0.15">
      <c r="A7" s="377">
        <v>348164</v>
      </c>
      <c r="B7" s="341" t="s">
        <v>105</v>
      </c>
      <c r="C7" s="85">
        <f>PV!C7</f>
        <v>0.35</v>
      </c>
      <c r="D7" s="44" t="str">
        <f t="shared" si="2"/>
        <v>h</v>
      </c>
      <c r="E7" s="43">
        <f>IF(D7="h",PV!E7,IF(D7="M",PV!G7,PV!I7))</f>
        <v>5.95</v>
      </c>
      <c r="F7" s="291">
        <v>74</v>
      </c>
      <c r="G7" s="291">
        <v>0</v>
      </c>
      <c r="H7" s="291"/>
      <c r="I7" s="291"/>
      <c r="J7" s="291"/>
      <c r="K7" s="373"/>
      <c r="L7" s="331"/>
      <c r="M7" s="332"/>
      <c r="N7" s="333"/>
      <c r="O7" s="333"/>
      <c r="P7" s="334"/>
      <c r="Q7" s="275">
        <f t="shared" si="0"/>
        <v>0</v>
      </c>
      <c r="R7" s="280">
        <f t="shared" si="1"/>
        <v>0</v>
      </c>
      <c r="U7" s="294">
        <f t="shared" si="3"/>
        <v>0</v>
      </c>
      <c r="V7" s="301"/>
    </row>
    <row r="8" spans="1:22" s="25" customFormat="1" ht="20.100000000000001" customHeight="1" x14ac:dyDescent="0.15">
      <c r="A8" s="377">
        <v>358194</v>
      </c>
      <c r="B8" s="341" t="s">
        <v>106</v>
      </c>
      <c r="C8" s="85">
        <f>PV!C8</f>
        <v>0.35</v>
      </c>
      <c r="D8" s="44" t="str">
        <f t="shared" si="2"/>
        <v>h</v>
      </c>
      <c r="E8" s="43">
        <f>IF(D8="h",PV!E8,IF(D8="M",PV!G8,PV!I8))</f>
        <v>5.5</v>
      </c>
      <c r="F8" s="291">
        <v>6</v>
      </c>
      <c r="G8" s="291">
        <v>7</v>
      </c>
      <c r="H8" s="291"/>
      <c r="I8" s="291"/>
      <c r="J8" s="291"/>
      <c r="K8" s="373"/>
      <c r="L8" s="331"/>
      <c r="M8" s="332"/>
      <c r="N8" s="333"/>
      <c r="O8" s="333"/>
      <c r="P8" s="334"/>
      <c r="Q8" s="275">
        <f t="shared" si="0"/>
        <v>0</v>
      </c>
      <c r="R8" s="280">
        <f t="shared" si="1"/>
        <v>0</v>
      </c>
      <c r="U8" s="294">
        <f t="shared" si="3"/>
        <v>0</v>
      </c>
      <c r="V8" s="301"/>
    </row>
    <row r="9" spans="1:22" s="25" customFormat="1" ht="20.100000000000001" customHeight="1" x14ac:dyDescent="0.15">
      <c r="A9" s="377">
        <v>65888</v>
      </c>
      <c r="B9" s="336" t="s">
        <v>305</v>
      </c>
      <c r="C9" s="85">
        <f>PV!C9</f>
        <v>0.35</v>
      </c>
      <c r="D9" s="44" t="str">
        <f t="shared" si="2"/>
        <v>h</v>
      </c>
      <c r="E9" s="43">
        <f>IF(D9="h",PV!E9,IF(D9="M",PV!G9,PV!I9))</f>
        <v>5.5</v>
      </c>
      <c r="F9" s="291">
        <v>0</v>
      </c>
      <c r="G9" s="291">
        <v>8</v>
      </c>
      <c r="H9" s="291"/>
      <c r="I9" s="291"/>
      <c r="J9" s="291"/>
      <c r="K9" s="373"/>
      <c r="L9" s="331"/>
      <c r="M9" s="332"/>
      <c r="N9" s="333"/>
      <c r="O9" s="333"/>
      <c r="P9" s="334"/>
      <c r="Q9" s="275">
        <f t="shared" si="0"/>
        <v>0</v>
      </c>
      <c r="R9" s="280">
        <f t="shared" si="1"/>
        <v>0</v>
      </c>
      <c r="U9" s="294">
        <f t="shared" si="3"/>
        <v>0</v>
      </c>
      <c r="V9" s="301"/>
    </row>
    <row r="10" spans="1:22" s="25" customFormat="1" ht="20.100000000000001" customHeight="1" x14ac:dyDescent="0.15">
      <c r="A10" s="377">
        <v>65850</v>
      </c>
      <c r="B10" s="341" t="s">
        <v>108</v>
      </c>
      <c r="C10" s="85">
        <f>PV!C10</f>
        <v>0.35</v>
      </c>
      <c r="D10" s="44" t="str">
        <f t="shared" si="2"/>
        <v>h</v>
      </c>
      <c r="E10" s="43">
        <f>IF(D10="h",PV!E10,IF(D10="M",PV!G10,PV!I10))</f>
        <v>3.45</v>
      </c>
      <c r="F10" s="291">
        <v>5</v>
      </c>
      <c r="G10" s="291">
        <v>5</v>
      </c>
      <c r="H10" s="291"/>
      <c r="I10" s="291"/>
      <c r="J10" s="291"/>
      <c r="K10" s="373"/>
      <c r="L10" s="331"/>
      <c r="M10" s="332"/>
      <c r="N10" s="333"/>
      <c r="O10" s="333"/>
      <c r="P10" s="334"/>
      <c r="Q10" s="275">
        <f t="shared" si="0"/>
        <v>0</v>
      </c>
      <c r="R10" s="280">
        <f t="shared" si="1"/>
        <v>0</v>
      </c>
      <c r="U10" s="294">
        <f t="shared" si="3"/>
        <v>0</v>
      </c>
      <c r="V10" s="301"/>
    </row>
    <row r="11" spans="1:22" s="25" customFormat="1" ht="20.100000000000001" customHeight="1" x14ac:dyDescent="0.15">
      <c r="A11" s="377">
        <v>65852</v>
      </c>
      <c r="B11" s="341" t="s">
        <v>109</v>
      </c>
      <c r="C11" s="85">
        <f>PV!C11</f>
        <v>0.35</v>
      </c>
      <c r="D11" s="44" t="str">
        <f t="shared" si="2"/>
        <v>h</v>
      </c>
      <c r="E11" s="43">
        <f>IF(D11="h",PV!E11,IF(D11="M",PV!G11,PV!I11))</f>
        <v>1.95</v>
      </c>
      <c r="F11" s="291">
        <v>287</v>
      </c>
      <c r="G11" s="291">
        <v>263</v>
      </c>
      <c r="H11" s="291"/>
      <c r="I11" s="291"/>
      <c r="J11" s="291"/>
      <c r="K11" s="373"/>
      <c r="L11" s="331"/>
      <c r="M11" s="332"/>
      <c r="N11" s="333"/>
      <c r="O11" s="333"/>
      <c r="P11" s="334"/>
      <c r="Q11" s="275">
        <f t="shared" si="0"/>
        <v>0</v>
      </c>
      <c r="R11" s="280">
        <f t="shared" si="1"/>
        <v>0</v>
      </c>
      <c r="U11" s="294">
        <f t="shared" si="3"/>
        <v>0</v>
      </c>
      <c r="V11" s="301"/>
    </row>
    <row r="12" spans="1:22" s="25" customFormat="1" ht="20.100000000000001" customHeight="1" x14ac:dyDescent="0.15">
      <c r="A12" s="377">
        <v>303831</v>
      </c>
      <c r="B12" s="336" t="s">
        <v>110</v>
      </c>
      <c r="C12" s="85">
        <f>PV!C12</f>
        <v>0.35</v>
      </c>
      <c r="D12" s="44" t="str">
        <f t="shared" si="2"/>
        <v>h</v>
      </c>
      <c r="E12" s="43">
        <f>IF(D12="h",PV!E12,IF(D12="M",PV!G12,PV!I12))</f>
        <v>2.5</v>
      </c>
      <c r="F12" s="291">
        <v>4</v>
      </c>
      <c r="G12" s="291">
        <v>6</v>
      </c>
      <c r="H12" s="291"/>
      <c r="I12" s="291"/>
      <c r="J12" s="291"/>
      <c r="K12" s="373"/>
      <c r="L12" s="331"/>
      <c r="M12" s="332"/>
      <c r="N12" s="333"/>
      <c r="O12" s="333"/>
      <c r="P12" s="334"/>
      <c r="Q12" s="275">
        <f t="shared" si="0"/>
        <v>0</v>
      </c>
      <c r="R12" s="280">
        <f t="shared" si="1"/>
        <v>0</v>
      </c>
      <c r="U12" s="294">
        <f t="shared" si="3"/>
        <v>0</v>
      </c>
      <c r="V12" s="301"/>
    </row>
    <row r="13" spans="1:22" s="25" customFormat="1" ht="20.100000000000001" customHeight="1" x14ac:dyDescent="0.15">
      <c r="A13" s="377">
        <v>292745</v>
      </c>
      <c r="B13" s="341" t="s">
        <v>111</v>
      </c>
      <c r="C13" s="85">
        <f>PV!C13</f>
        <v>0.48</v>
      </c>
      <c r="D13" s="44" t="str">
        <f t="shared" si="2"/>
        <v>h</v>
      </c>
      <c r="E13" s="43">
        <f>IF(D13="h",PV!E13,IF(D13="M",PV!G13,PV!I13))</f>
        <v>2.95</v>
      </c>
      <c r="F13" s="291">
        <v>70</v>
      </c>
      <c r="G13" s="291">
        <v>72</v>
      </c>
      <c r="H13" s="291"/>
      <c r="I13" s="291"/>
      <c r="J13" s="291"/>
      <c r="K13" s="373"/>
      <c r="L13" s="331"/>
      <c r="M13" s="332"/>
      <c r="N13" s="333"/>
      <c r="O13" s="333"/>
      <c r="P13" s="334"/>
      <c r="Q13" s="275">
        <f t="shared" si="0"/>
        <v>0</v>
      </c>
      <c r="R13" s="280">
        <f t="shared" si="1"/>
        <v>0</v>
      </c>
      <c r="U13" s="294">
        <f t="shared" si="3"/>
        <v>0</v>
      </c>
      <c r="V13" s="301"/>
    </row>
    <row r="14" spans="1:22" s="25" customFormat="1" ht="20.100000000000001" customHeight="1" x14ac:dyDescent="0.15">
      <c r="A14" s="377">
        <v>65890</v>
      </c>
      <c r="B14" s="341" t="s">
        <v>30</v>
      </c>
      <c r="C14" s="85">
        <f>PV!C14</f>
        <v>1.165</v>
      </c>
      <c r="D14" s="44" t="str">
        <f t="shared" si="2"/>
        <v>h</v>
      </c>
      <c r="E14" s="43">
        <f>IF(D14="h",PV!E14,IF(D14="M",PV!G14,PV!I14))</f>
        <v>8.4499999999999993</v>
      </c>
      <c r="F14" s="291">
        <v>60</v>
      </c>
      <c r="G14" s="291">
        <v>60</v>
      </c>
      <c r="H14" s="291"/>
      <c r="I14" s="291"/>
      <c r="J14" s="291"/>
      <c r="K14" s="373"/>
      <c r="L14" s="331"/>
      <c r="M14" s="332"/>
      <c r="N14" s="333"/>
      <c r="O14" s="333"/>
      <c r="P14" s="334"/>
      <c r="Q14" s="275">
        <f t="shared" si="0"/>
        <v>0</v>
      </c>
      <c r="R14" s="280">
        <f t="shared" si="1"/>
        <v>0</v>
      </c>
      <c r="U14" s="294">
        <f t="shared" si="3"/>
        <v>0</v>
      </c>
      <c r="V14" s="301"/>
    </row>
    <row r="15" spans="1:22" s="25" customFormat="1" ht="20.100000000000001" customHeight="1" x14ac:dyDescent="0.15">
      <c r="A15" s="377">
        <v>65892</v>
      </c>
      <c r="B15" s="341" t="s">
        <v>29</v>
      </c>
      <c r="C15" s="85">
        <f>PV!C15</f>
        <v>0.58499999999999996</v>
      </c>
      <c r="D15" s="44" t="str">
        <f t="shared" si="2"/>
        <v>h</v>
      </c>
      <c r="E15" s="43">
        <f>IF(D15="h",PV!E15,IF(D15="M",PV!G15,PV!I15))</f>
        <v>5.5</v>
      </c>
      <c r="F15" s="291">
        <v>32</v>
      </c>
      <c r="G15" s="291">
        <v>13</v>
      </c>
      <c r="H15" s="291"/>
      <c r="I15" s="291"/>
      <c r="J15" s="291"/>
      <c r="K15" s="373"/>
      <c r="L15" s="331"/>
      <c r="M15" s="332"/>
      <c r="N15" s="333"/>
      <c r="O15" s="333"/>
      <c r="P15" s="334"/>
      <c r="Q15" s="275">
        <f t="shared" si="0"/>
        <v>0</v>
      </c>
      <c r="R15" s="280">
        <f t="shared" si="1"/>
        <v>0</v>
      </c>
      <c r="U15" s="294">
        <f t="shared" si="3"/>
        <v>0</v>
      </c>
      <c r="V15" s="301"/>
    </row>
    <row r="16" spans="1:22" s="25" customFormat="1" ht="20.100000000000001" customHeight="1" x14ac:dyDescent="0.15">
      <c r="A16" s="377">
        <v>886852</v>
      </c>
      <c r="B16" s="336" t="s">
        <v>303</v>
      </c>
      <c r="C16" s="85">
        <f>PV!C16</f>
        <v>1.165</v>
      </c>
      <c r="D16" s="44" t="str">
        <f t="shared" si="2"/>
        <v>h</v>
      </c>
      <c r="E16" s="43">
        <f>IF(D16="h",PV!E16,IF(D16="M",PV!G16,PV!I16))</f>
        <v>8.4499999999999993</v>
      </c>
      <c r="F16" s="291">
        <v>1</v>
      </c>
      <c r="G16" s="291">
        <v>0</v>
      </c>
      <c r="H16" s="291"/>
      <c r="I16" s="291"/>
      <c r="J16" s="291"/>
      <c r="K16" s="373"/>
      <c r="L16" s="331"/>
      <c r="M16" s="332"/>
      <c r="N16" s="333"/>
      <c r="O16" s="333"/>
      <c r="P16" s="334"/>
      <c r="Q16" s="275">
        <f t="shared" si="0"/>
        <v>0</v>
      </c>
      <c r="R16" s="280">
        <f t="shared" si="1"/>
        <v>0</v>
      </c>
      <c r="U16" s="294">
        <f t="shared" si="3"/>
        <v>0</v>
      </c>
      <c r="V16" s="301"/>
    </row>
    <row r="17" spans="1:22" s="25" customFormat="1" ht="20.100000000000001" customHeight="1" x14ac:dyDescent="0.15">
      <c r="A17" s="377">
        <v>886849</v>
      </c>
      <c r="B17" s="341" t="s">
        <v>304</v>
      </c>
      <c r="C17" s="85">
        <f>PV!C17</f>
        <v>0.58499999999999996</v>
      </c>
      <c r="D17" s="44" t="str">
        <f t="shared" si="2"/>
        <v>h</v>
      </c>
      <c r="E17" s="43">
        <f>IF(D17="h",PV!E17,IF(D17="M",PV!G17,PV!I17))</f>
        <v>5.5</v>
      </c>
      <c r="F17" s="291">
        <v>2</v>
      </c>
      <c r="G17" s="291">
        <v>1</v>
      </c>
      <c r="H17" s="291"/>
      <c r="I17" s="291"/>
      <c r="J17" s="291"/>
      <c r="K17" s="373"/>
      <c r="L17" s="331"/>
      <c r="M17" s="332"/>
      <c r="N17" s="333"/>
      <c r="O17" s="333"/>
      <c r="P17" s="334"/>
      <c r="Q17" s="275">
        <f t="shared" si="0"/>
        <v>0</v>
      </c>
      <c r="R17" s="280">
        <f t="shared" si="1"/>
        <v>0</v>
      </c>
      <c r="U17" s="294">
        <f t="shared" si="3"/>
        <v>0</v>
      </c>
      <c r="V17" s="301"/>
    </row>
    <row r="18" spans="1:22" s="25" customFormat="1" ht="20.100000000000001" customHeight="1" x14ac:dyDescent="0.15">
      <c r="A18" s="377">
        <v>65897</v>
      </c>
      <c r="B18" s="341" t="s">
        <v>36</v>
      </c>
      <c r="C18" s="85">
        <f>PV!C18</f>
        <v>0.24</v>
      </c>
      <c r="D18" s="44" t="str">
        <f t="shared" si="2"/>
        <v>h</v>
      </c>
      <c r="E18" s="43">
        <f>IF(D18="h",PV!E18,IF(D18="M",PV!G18,PV!I18))</f>
        <v>3</v>
      </c>
      <c r="F18" s="291">
        <v>28</v>
      </c>
      <c r="G18" s="291">
        <v>20</v>
      </c>
      <c r="H18" s="291"/>
      <c r="I18" s="291"/>
      <c r="J18" s="291"/>
      <c r="K18" s="373"/>
      <c r="L18" s="331"/>
      <c r="M18" s="332"/>
      <c r="N18" s="333"/>
      <c r="O18" s="333"/>
      <c r="P18" s="334"/>
      <c r="Q18" s="275">
        <f t="shared" si="0"/>
        <v>0</v>
      </c>
      <c r="R18" s="280">
        <f t="shared" si="1"/>
        <v>0</v>
      </c>
      <c r="U18" s="294">
        <f t="shared" si="3"/>
        <v>0</v>
      </c>
      <c r="V18" s="301"/>
    </row>
    <row r="19" spans="1:22" s="25" customFormat="1" ht="20.100000000000001" customHeight="1" x14ac:dyDescent="0.15">
      <c r="A19" s="377">
        <v>403773</v>
      </c>
      <c r="B19" s="341" t="s">
        <v>112</v>
      </c>
      <c r="C19" s="85">
        <f>PV!C19</f>
        <v>0.24</v>
      </c>
      <c r="D19" s="44" t="str">
        <f t="shared" si="2"/>
        <v>h</v>
      </c>
      <c r="E19" s="43">
        <f>IF(D19="h",PV!E19,IF(D19="M",PV!G19,PV!I19))</f>
        <v>3.75</v>
      </c>
      <c r="F19" s="291">
        <v>0</v>
      </c>
      <c r="G19" s="291">
        <v>0</v>
      </c>
      <c r="H19" s="291"/>
      <c r="I19" s="291"/>
      <c r="J19" s="291"/>
      <c r="K19" s="373"/>
      <c r="L19" s="331"/>
      <c r="M19" s="332"/>
      <c r="N19" s="333"/>
      <c r="O19" s="333"/>
      <c r="P19" s="334"/>
      <c r="Q19" s="275">
        <f t="shared" si="0"/>
        <v>0</v>
      </c>
      <c r="R19" s="280">
        <f t="shared" si="1"/>
        <v>0</v>
      </c>
      <c r="U19" s="294">
        <f t="shared" si="3"/>
        <v>0</v>
      </c>
      <c r="V19" s="301"/>
    </row>
    <row r="20" spans="1:22" s="25" customFormat="1" ht="20.100000000000001" customHeight="1" x14ac:dyDescent="0.15">
      <c r="A20" s="377">
        <v>886858</v>
      </c>
      <c r="B20" s="336" t="s">
        <v>113</v>
      </c>
      <c r="C20" s="85">
        <f>PV!C20</f>
        <v>0.7</v>
      </c>
      <c r="D20" s="44" t="str">
        <f t="shared" si="2"/>
        <v>h</v>
      </c>
      <c r="E20" s="43">
        <f>IF(D20="h",PV!E20,IF(D20="M",PV!G20,PV!I20))</f>
        <v>6.45</v>
      </c>
      <c r="F20" s="291">
        <v>3</v>
      </c>
      <c r="G20" s="291">
        <v>2</v>
      </c>
      <c r="H20" s="291"/>
      <c r="I20" s="291"/>
      <c r="J20" s="291"/>
      <c r="K20" s="373"/>
      <c r="L20" s="331"/>
      <c r="M20" s="332"/>
      <c r="N20" s="333"/>
      <c r="O20" s="333"/>
      <c r="P20" s="334"/>
      <c r="Q20" s="275">
        <f t="shared" si="0"/>
        <v>0</v>
      </c>
      <c r="R20" s="280">
        <f t="shared" si="1"/>
        <v>0</v>
      </c>
      <c r="U20" s="294">
        <f t="shared" si="3"/>
        <v>0</v>
      </c>
      <c r="V20" s="301"/>
    </row>
    <row r="21" spans="1:22" s="25" customFormat="1" ht="20.100000000000001" customHeight="1" x14ac:dyDescent="0.15">
      <c r="A21" s="377">
        <v>886854</v>
      </c>
      <c r="B21" s="341" t="s">
        <v>114</v>
      </c>
      <c r="C21" s="85">
        <f>PV!C21</f>
        <v>0.35</v>
      </c>
      <c r="D21" s="44" t="str">
        <f t="shared" si="2"/>
        <v>h</v>
      </c>
      <c r="E21" s="43">
        <f>IF(D21="h",PV!E21,IF(D21="M",PV!G21,PV!I21))</f>
        <v>3.75</v>
      </c>
      <c r="F21" s="291">
        <v>2</v>
      </c>
      <c r="G21" s="291">
        <v>4</v>
      </c>
      <c r="H21" s="291"/>
      <c r="I21" s="291"/>
      <c r="J21" s="291"/>
      <c r="K21" s="373"/>
      <c r="L21" s="331"/>
      <c r="M21" s="332"/>
      <c r="N21" s="333"/>
      <c r="O21" s="333"/>
      <c r="P21" s="334"/>
      <c r="Q21" s="275">
        <f t="shared" si="0"/>
        <v>0</v>
      </c>
      <c r="R21" s="280">
        <f t="shared" si="1"/>
        <v>0</v>
      </c>
      <c r="U21" s="294">
        <f t="shared" si="3"/>
        <v>0</v>
      </c>
      <c r="V21" s="301"/>
    </row>
    <row r="22" spans="1:22" s="25" customFormat="1" ht="20.100000000000001" customHeight="1" x14ac:dyDescent="0.15">
      <c r="A22" s="377">
        <v>65929</v>
      </c>
      <c r="B22" s="341" t="s">
        <v>32</v>
      </c>
      <c r="C22" s="85">
        <f>PV!C22</f>
        <v>0.7</v>
      </c>
      <c r="D22" s="44" t="str">
        <f t="shared" si="2"/>
        <v>h</v>
      </c>
      <c r="E22" s="43">
        <f>IF(D22="h",PV!E22,IF(D22="M",PV!G22,PV!I22))</f>
        <v>6.45</v>
      </c>
      <c r="F22" s="291">
        <v>30</v>
      </c>
      <c r="G22" s="291">
        <v>39</v>
      </c>
      <c r="H22" s="291"/>
      <c r="I22" s="291"/>
      <c r="J22" s="291"/>
      <c r="K22" s="373"/>
      <c r="L22" s="331"/>
      <c r="M22" s="332"/>
      <c r="N22" s="333"/>
      <c r="O22" s="333"/>
      <c r="P22" s="334"/>
      <c r="Q22" s="275">
        <f t="shared" si="0"/>
        <v>0</v>
      </c>
      <c r="R22" s="280">
        <f t="shared" si="1"/>
        <v>0</v>
      </c>
      <c r="U22" s="294">
        <f t="shared" si="3"/>
        <v>0</v>
      </c>
      <c r="V22" s="301"/>
    </row>
    <row r="23" spans="1:22" s="25" customFormat="1" ht="18.75" customHeight="1" x14ac:dyDescent="0.15">
      <c r="A23" s="335">
        <v>65926</v>
      </c>
      <c r="B23" s="341" t="s">
        <v>31</v>
      </c>
      <c r="C23" s="85">
        <f>PV!C23</f>
        <v>0.35</v>
      </c>
      <c r="D23" s="44" t="str">
        <f t="shared" si="2"/>
        <v>h</v>
      </c>
      <c r="E23" s="43">
        <f>IF(D23="h",PV!E23,IF(D23="M",PV!G23,PV!I23))</f>
        <v>3.75</v>
      </c>
      <c r="F23" s="291">
        <v>21</v>
      </c>
      <c r="G23" s="291">
        <v>11</v>
      </c>
      <c r="H23" s="291"/>
      <c r="I23" s="291"/>
      <c r="J23" s="291"/>
      <c r="K23" s="373"/>
      <c r="L23" s="331"/>
      <c r="M23" s="332"/>
      <c r="N23" s="333"/>
      <c r="O23" s="333"/>
      <c r="P23" s="334"/>
      <c r="Q23" s="275">
        <f t="shared" si="0"/>
        <v>0</v>
      </c>
      <c r="R23" s="280">
        <f t="shared" si="1"/>
        <v>0</v>
      </c>
      <c r="U23" s="294">
        <f t="shared" si="3"/>
        <v>0</v>
      </c>
      <c r="V23" s="301"/>
    </row>
    <row r="24" spans="1:22" s="25" customFormat="1" ht="9.75" customHeight="1" x14ac:dyDescent="0.2">
      <c r="A24" s="378"/>
      <c r="B24" s="342"/>
      <c r="C24" s="85">
        <f>PV!C24</f>
        <v>0</v>
      </c>
      <c r="D24" s="44" t="str">
        <f t="shared" si="2"/>
        <v>h</v>
      </c>
      <c r="E24" s="43">
        <f>IF(D24="h",PV!E24,IF(D24="M",PV!G24,PV!I24))</f>
        <v>0</v>
      </c>
      <c r="F24" s="291">
        <v>0</v>
      </c>
      <c r="G24" s="291">
        <v>0</v>
      </c>
      <c r="H24" s="291"/>
      <c r="I24" s="291"/>
      <c r="J24" s="291"/>
      <c r="K24" s="373"/>
      <c r="L24" s="331"/>
      <c r="M24" s="332"/>
      <c r="N24" s="333"/>
      <c r="O24" s="333"/>
      <c r="P24" s="334"/>
      <c r="Q24" s="276"/>
      <c r="R24" s="281">
        <f>SUM(R4:R23)</f>
        <v>0</v>
      </c>
      <c r="U24" s="294">
        <f t="shared" si="3"/>
        <v>0</v>
      </c>
      <c r="V24" s="301"/>
    </row>
    <row r="25" spans="1:22" s="25" customFormat="1" ht="16.149999999999999" customHeight="1" x14ac:dyDescent="0.2">
      <c r="A25" s="379">
        <v>206112</v>
      </c>
      <c r="B25" s="343" t="s">
        <v>301</v>
      </c>
      <c r="C25" s="85">
        <f>PV!C25</f>
        <v>0.72</v>
      </c>
      <c r="D25" s="44" t="str">
        <f t="shared" si="2"/>
        <v>h</v>
      </c>
      <c r="E25" s="43">
        <f>IF(D25="h",PV!E25,IF(D25="M",PV!G25,PV!I25))</f>
        <v>7.95</v>
      </c>
      <c r="F25" s="291">
        <v>0</v>
      </c>
      <c r="G25" s="291">
        <v>0</v>
      </c>
      <c r="H25" s="291"/>
      <c r="I25" s="291"/>
      <c r="J25" s="291"/>
      <c r="K25" s="373"/>
      <c r="L25" s="331"/>
      <c r="M25" s="332"/>
      <c r="N25" s="333"/>
      <c r="O25" s="333"/>
      <c r="P25" s="334"/>
      <c r="Q25" s="275">
        <f>(K25*E25)</f>
        <v>0</v>
      </c>
      <c r="R25" s="280">
        <f>K25*C25</f>
        <v>0</v>
      </c>
      <c r="U25" s="294">
        <f t="shared" si="3"/>
        <v>0</v>
      </c>
      <c r="V25" s="301"/>
    </row>
    <row r="26" spans="1:22" s="25" customFormat="1" ht="18.75" customHeight="1" x14ac:dyDescent="0.2">
      <c r="A26" s="379">
        <v>206120</v>
      </c>
      <c r="B26" s="343" t="s">
        <v>302</v>
      </c>
      <c r="C26" s="85">
        <f>PV!C26</f>
        <v>0.36</v>
      </c>
      <c r="D26" s="44" t="str">
        <f t="shared" si="2"/>
        <v>h</v>
      </c>
      <c r="E26" s="43">
        <f>IF(D26="h",PV!E26,IF(D26="M",PV!G26,PV!I26))</f>
        <v>4.95</v>
      </c>
      <c r="F26" s="291">
        <v>7</v>
      </c>
      <c r="G26" s="291">
        <v>4</v>
      </c>
      <c r="H26" s="291"/>
      <c r="I26" s="291"/>
      <c r="J26" s="291"/>
      <c r="K26" s="373"/>
      <c r="L26" s="331"/>
      <c r="M26" s="332"/>
      <c r="N26" s="333"/>
      <c r="O26" s="333"/>
      <c r="P26" s="334"/>
      <c r="Q26" s="275">
        <f>(K26*E26)</f>
        <v>0</v>
      </c>
      <c r="R26" s="280">
        <f>K26*C26</f>
        <v>0</v>
      </c>
      <c r="U26" s="294">
        <f t="shared" si="3"/>
        <v>0</v>
      </c>
      <c r="V26" s="301"/>
    </row>
    <row r="27" spans="1:22" s="25" customFormat="1" ht="18.75" customHeight="1" x14ac:dyDescent="0.2">
      <c r="A27" s="379">
        <v>65864</v>
      </c>
      <c r="B27" s="343" t="s">
        <v>136</v>
      </c>
      <c r="C27" s="85">
        <f>PV!C27</f>
        <v>0.48</v>
      </c>
      <c r="D27" s="44" t="str">
        <f t="shared" si="2"/>
        <v>h</v>
      </c>
      <c r="E27" s="43">
        <f>IF(D27="h",PV!E27,IF(D27="M",PV!G27,PV!I27))</f>
        <v>5.5</v>
      </c>
      <c r="F27" s="291">
        <v>9</v>
      </c>
      <c r="G27" s="291">
        <v>10</v>
      </c>
      <c r="H27" s="291"/>
      <c r="I27" s="291"/>
      <c r="J27" s="291"/>
      <c r="K27" s="373"/>
      <c r="L27" s="331"/>
      <c r="M27" s="332"/>
      <c r="N27" s="333"/>
      <c r="O27" s="333"/>
      <c r="P27" s="334"/>
      <c r="Q27" s="275">
        <f>(K27*E27)</f>
        <v>0</v>
      </c>
      <c r="R27" s="280">
        <f>K27*C27</f>
        <v>0</v>
      </c>
      <c r="U27" s="294">
        <f t="shared" si="3"/>
        <v>0</v>
      </c>
      <c r="V27" s="301"/>
    </row>
    <row r="28" spans="1:22" s="25" customFormat="1" ht="18.75" customHeight="1" x14ac:dyDescent="0.2">
      <c r="A28" s="379">
        <v>1263736</v>
      </c>
      <c r="B28" s="343" t="s">
        <v>273</v>
      </c>
      <c r="C28" s="85">
        <f>PV!C28</f>
        <v>0.47499999999999998</v>
      </c>
      <c r="D28" s="44" t="str">
        <f t="shared" si="2"/>
        <v>h</v>
      </c>
      <c r="E28" s="43">
        <f>IF(D28="h",PV!E28,IF(D28="M",PV!G28,PV!I28))</f>
        <v>5.5</v>
      </c>
      <c r="F28" s="291">
        <v>13</v>
      </c>
      <c r="G28" s="291">
        <v>9</v>
      </c>
      <c r="H28" s="291"/>
      <c r="I28" s="291"/>
      <c r="J28" s="291"/>
      <c r="K28" s="373"/>
      <c r="L28" s="331"/>
      <c r="M28" s="332"/>
      <c r="N28" s="333"/>
      <c r="O28" s="333"/>
      <c r="P28" s="334"/>
      <c r="Q28" s="275">
        <f>(K28*E28)</f>
        <v>0</v>
      </c>
      <c r="R28" s="280">
        <f>K28*C28</f>
        <v>0</v>
      </c>
      <c r="U28" s="294">
        <f t="shared" si="3"/>
        <v>0</v>
      </c>
      <c r="V28" s="301"/>
    </row>
    <row r="29" spans="1:22" s="36" customFormat="1" ht="18.600000000000001" customHeight="1" x14ac:dyDescent="0.2">
      <c r="A29" s="380">
        <v>68789</v>
      </c>
      <c r="B29" s="344" t="s">
        <v>137</v>
      </c>
      <c r="C29" s="85">
        <f>PV!C29</f>
        <v>0.35</v>
      </c>
      <c r="D29" s="44" t="str">
        <f t="shared" si="2"/>
        <v>h</v>
      </c>
      <c r="E29" s="43">
        <f>IF(D29="h",PV!E29,IF(D29="M",PV!G29,PV!I29))</f>
        <v>3.5</v>
      </c>
      <c r="F29" s="291">
        <v>21</v>
      </c>
      <c r="G29" s="291">
        <v>12</v>
      </c>
      <c r="H29" s="291"/>
      <c r="I29" s="291"/>
      <c r="J29" s="291"/>
      <c r="K29" s="373"/>
      <c r="L29" s="331"/>
      <c r="M29" s="332"/>
      <c r="N29" s="333"/>
      <c r="O29" s="333"/>
      <c r="P29" s="334"/>
      <c r="Q29" s="275">
        <f>(K29*E29)</f>
        <v>0</v>
      </c>
      <c r="R29" s="280">
        <f>K29*C29</f>
        <v>0</v>
      </c>
      <c r="U29" s="294">
        <f t="shared" si="3"/>
        <v>0</v>
      </c>
      <c r="V29" s="302"/>
    </row>
    <row r="30" spans="1:22" s="25" customFormat="1" ht="0.6" customHeight="1" x14ac:dyDescent="0.15">
      <c r="A30" s="376"/>
      <c r="B30" s="345"/>
      <c r="C30" s="85">
        <f>PV!C30</f>
        <v>0</v>
      </c>
      <c r="D30" s="44" t="str">
        <f t="shared" si="2"/>
        <v>h</v>
      </c>
      <c r="E30" s="43">
        <f>IF(D30="h",PV!E30,IF(D30="M",PV!G30,PV!I30))</f>
        <v>0</v>
      </c>
      <c r="F30" s="291">
        <v>0</v>
      </c>
      <c r="G30" s="291">
        <v>0</v>
      </c>
      <c r="H30" s="291"/>
      <c r="I30" s="291"/>
      <c r="J30" s="291"/>
      <c r="K30" s="373"/>
      <c r="L30" s="331"/>
      <c r="M30" s="332"/>
      <c r="N30" s="333"/>
      <c r="O30" s="333"/>
      <c r="P30" s="334"/>
      <c r="Q30" s="277"/>
      <c r="R30" s="281">
        <f>SUM(R25:R29)</f>
        <v>0</v>
      </c>
      <c r="U30" s="294">
        <f t="shared" si="3"/>
        <v>0</v>
      </c>
      <c r="V30" s="301"/>
    </row>
    <row r="31" spans="1:22" s="25" customFormat="1" ht="20.100000000000001" customHeight="1" x14ac:dyDescent="0.15">
      <c r="A31" s="377">
        <v>445146</v>
      </c>
      <c r="B31" s="341" t="s">
        <v>132</v>
      </c>
      <c r="C31" s="85">
        <f>PV!C31</f>
        <v>0.48</v>
      </c>
      <c r="D31" s="44" t="str">
        <f t="shared" si="2"/>
        <v>h</v>
      </c>
      <c r="E31" s="43">
        <f>IF(D31="h",PV!E31,IF(D31="M",PV!G31,PV!I31))</f>
        <v>5.95</v>
      </c>
      <c r="F31" s="291">
        <v>5</v>
      </c>
      <c r="G31" s="291">
        <v>5</v>
      </c>
      <c r="H31" s="291"/>
      <c r="I31" s="291"/>
      <c r="J31" s="291"/>
      <c r="K31" s="373"/>
      <c r="L31" s="331"/>
      <c r="M31" s="332"/>
      <c r="N31" s="333"/>
      <c r="O31" s="333"/>
      <c r="P31" s="334"/>
      <c r="Q31" s="275">
        <f>(K31*E31)</f>
        <v>0</v>
      </c>
      <c r="R31" s="280">
        <f>K31*C31</f>
        <v>0</v>
      </c>
      <c r="U31" s="294">
        <f t="shared" si="3"/>
        <v>0</v>
      </c>
      <c r="V31" s="301"/>
    </row>
    <row r="32" spans="1:22" s="25" customFormat="1" ht="0.6" customHeight="1" x14ac:dyDescent="0.15">
      <c r="A32" s="377"/>
      <c r="B32" s="341"/>
      <c r="C32" s="85">
        <f>PV!C32</f>
        <v>0</v>
      </c>
      <c r="D32" s="44" t="str">
        <f t="shared" si="2"/>
        <v>h</v>
      </c>
      <c r="E32" s="43">
        <f>IF(D32="h",PV!E32,IF(D32="M",PV!G32,PV!I32))</f>
        <v>0</v>
      </c>
      <c r="F32" s="291">
        <v>0</v>
      </c>
      <c r="G32" s="291">
        <v>0</v>
      </c>
      <c r="H32" s="291"/>
      <c r="I32" s="291"/>
      <c r="J32" s="291"/>
      <c r="K32" s="373"/>
      <c r="L32" s="331"/>
      <c r="M32" s="332"/>
      <c r="N32" s="333"/>
      <c r="O32" s="333"/>
      <c r="P32" s="334"/>
      <c r="Q32" s="275"/>
      <c r="R32" s="280"/>
      <c r="U32" s="294">
        <f t="shared" si="3"/>
        <v>0</v>
      </c>
      <c r="V32" s="301"/>
    </row>
    <row r="33" spans="1:22" s="25" customFormat="1" ht="22.5" x14ac:dyDescent="0.25">
      <c r="A33" s="381">
        <v>951452</v>
      </c>
      <c r="B33" s="346" t="s">
        <v>163</v>
      </c>
      <c r="C33" s="85">
        <f>PV!C33</f>
        <v>0.45</v>
      </c>
      <c r="D33" s="44" t="str">
        <f t="shared" si="2"/>
        <v>h</v>
      </c>
      <c r="E33" s="43">
        <f>IF(D33="h",PV!E33,IF(D33="M",PV!G33,PV!I33))</f>
        <v>4.95</v>
      </c>
      <c r="F33" s="291">
        <v>0</v>
      </c>
      <c r="G33" s="291">
        <v>0</v>
      </c>
      <c r="H33" s="291"/>
      <c r="I33" s="291"/>
      <c r="J33" s="291"/>
      <c r="K33" s="373"/>
      <c r="L33" s="331"/>
      <c r="M33" s="332"/>
      <c r="N33" s="333"/>
      <c r="O33" s="333"/>
      <c r="P33" s="334"/>
      <c r="Q33" s="275">
        <f>(K33*E33)</f>
        <v>0</v>
      </c>
      <c r="R33" s="281">
        <f>K33*C33</f>
        <v>0</v>
      </c>
      <c r="U33" s="294">
        <f t="shared" si="3"/>
        <v>0</v>
      </c>
      <c r="V33" s="301"/>
    </row>
    <row r="34" spans="1:22" s="25" customFormat="1" ht="0.6" customHeight="1" x14ac:dyDescent="0.2">
      <c r="A34" s="382"/>
      <c r="B34" s="343"/>
      <c r="C34" s="85">
        <f>PV!C34</f>
        <v>0</v>
      </c>
      <c r="D34" s="44" t="str">
        <f t="shared" si="2"/>
        <v>h</v>
      </c>
      <c r="E34" s="43">
        <f>IF(D34="h",PV!E34,IF(D34="M",PV!G34,PV!I34))</f>
        <v>0</v>
      </c>
      <c r="F34" s="291">
        <v>0</v>
      </c>
      <c r="G34" s="291">
        <v>0</v>
      </c>
      <c r="H34" s="291"/>
      <c r="I34" s="291"/>
      <c r="J34" s="291"/>
      <c r="K34" s="373"/>
      <c r="L34" s="331"/>
      <c r="M34" s="332"/>
      <c r="N34" s="333"/>
      <c r="O34" s="333"/>
      <c r="P34" s="334"/>
      <c r="Q34" s="278"/>
      <c r="R34" s="280">
        <f>K34*C34</f>
        <v>0</v>
      </c>
      <c r="U34" s="294">
        <f t="shared" si="3"/>
        <v>0</v>
      </c>
      <c r="V34" s="301"/>
    </row>
    <row r="35" spans="1:22" s="25" customFormat="1" ht="20.100000000000001" customHeight="1" x14ac:dyDescent="0.2">
      <c r="A35" s="379">
        <v>1263737</v>
      </c>
      <c r="B35" s="343" t="s">
        <v>271</v>
      </c>
      <c r="C35" s="85">
        <f>PV!C35</f>
        <v>0.5</v>
      </c>
      <c r="D35" s="44" t="str">
        <f t="shared" si="2"/>
        <v>h</v>
      </c>
      <c r="E35" s="43">
        <f>IF(D35="h",PV!E35,IF(D35="M",PV!G35,PV!I35))</f>
        <v>6.5</v>
      </c>
      <c r="F35" s="291">
        <v>6</v>
      </c>
      <c r="G35" s="291">
        <v>7</v>
      </c>
      <c r="H35" s="291"/>
      <c r="I35" s="291"/>
      <c r="J35" s="291"/>
      <c r="K35" s="373"/>
      <c r="L35" s="331"/>
      <c r="M35" s="332"/>
      <c r="N35" s="333"/>
      <c r="O35" s="333"/>
      <c r="P35" s="334"/>
      <c r="Q35" s="275">
        <f>(K35*E35)</f>
        <v>0</v>
      </c>
      <c r="R35" s="280">
        <f>K35*C35</f>
        <v>0</v>
      </c>
      <c r="U35" s="294">
        <f t="shared" si="3"/>
        <v>0</v>
      </c>
      <c r="V35" s="301"/>
    </row>
    <row r="36" spans="1:22" s="25" customFormat="1" ht="20.100000000000001" customHeight="1" x14ac:dyDescent="0.2">
      <c r="A36" s="379">
        <v>1098038</v>
      </c>
      <c r="B36" s="343" t="s">
        <v>150</v>
      </c>
      <c r="C36" s="85">
        <f>PV!C36</f>
        <v>0.7</v>
      </c>
      <c r="D36" s="44" t="str">
        <f t="shared" si="2"/>
        <v>h</v>
      </c>
      <c r="E36" s="43">
        <f>IF(D36="h",PV!E36,IF(D36="M",PV!G36,PV!I36))</f>
        <v>8.9499999999999993</v>
      </c>
      <c r="F36" s="291">
        <v>0</v>
      </c>
      <c r="G36" s="291">
        <v>0</v>
      </c>
      <c r="H36" s="291"/>
      <c r="I36" s="291"/>
      <c r="J36" s="291"/>
      <c r="K36" s="373"/>
      <c r="L36" s="331"/>
      <c r="M36" s="332"/>
      <c r="N36" s="333"/>
      <c r="O36" s="333"/>
      <c r="P36" s="334"/>
      <c r="Q36" s="275">
        <f>(K36*E36)</f>
        <v>0</v>
      </c>
      <c r="R36" s="280">
        <f>K36*C36</f>
        <v>0</v>
      </c>
      <c r="U36" s="294">
        <f t="shared" si="3"/>
        <v>0</v>
      </c>
      <c r="V36" s="301"/>
    </row>
    <row r="37" spans="1:22" ht="0.6" customHeight="1" x14ac:dyDescent="0.2">
      <c r="A37" s="382"/>
      <c r="B37" s="347"/>
      <c r="C37" s="85">
        <f>PV!C37</f>
        <v>0</v>
      </c>
      <c r="D37" s="44" t="str">
        <f t="shared" si="2"/>
        <v>h</v>
      </c>
      <c r="E37" s="43">
        <f>IF(D37="h",PV!E37,IF(D37="M",PV!G37,PV!I37))</f>
        <v>0</v>
      </c>
      <c r="F37" s="291">
        <v>0</v>
      </c>
      <c r="G37" s="291">
        <v>0</v>
      </c>
      <c r="H37" s="291"/>
      <c r="I37" s="291"/>
      <c r="J37" s="291"/>
      <c r="K37" s="373"/>
      <c r="L37" s="331"/>
      <c r="M37" s="332"/>
      <c r="N37" s="333"/>
      <c r="O37" s="333"/>
      <c r="P37" s="334"/>
      <c r="Q37" s="275"/>
      <c r="R37" s="282">
        <f>SUM(R35:R36)</f>
        <v>0</v>
      </c>
      <c r="U37" s="294">
        <f t="shared" si="3"/>
        <v>0</v>
      </c>
      <c r="V37" s="301"/>
    </row>
    <row r="38" spans="1:22" s="25" customFormat="1" ht="20.100000000000001" customHeight="1" x14ac:dyDescent="0.15">
      <c r="A38" s="335">
        <v>1079156</v>
      </c>
      <c r="B38" s="343" t="s">
        <v>121</v>
      </c>
      <c r="C38" s="85">
        <f>PV!C38</f>
        <v>0.45</v>
      </c>
      <c r="D38" s="44" t="str">
        <f t="shared" si="2"/>
        <v>h</v>
      </c>
      <c r="E38" s="43">
        <f>IF(D38="h",PV!E38,IF(D38="M",PV!G38,PV!I38))</f>
        <v>6.5</v>
      </c>
      <c r="F38" s="291">
        <v>0</v>
      </c>
      <c r="G38" s="291">
        <v>0</v>
      </c>
      <c r="H38" s="291"/>
      <c r="I38" s="291"/>
      <c r="J38" s="291"/>
      <c r="K38" s="373"/>
      <c r="L38" s="331"/>
      <c r="M38" s="332"/>
      <c r="N38" s="333"/>
      <c r="O38" s="333"/>
      <c r="P38" s="334"/>
      <c r="Q38" s="275">
        <f>(K38*E38)</f>
        <v>0</v>
      </c>
      <c r="R38" s="280">
        <f>K38*C38</f>
        <v>0</v>
      </c>
      <c r="U38" s="294">
        <f t="shared" ref="U38:U69" si="4">K38-L38</f>
        <v>0</v>
      </c>
      <c r="V38" s="301"/>
    </row>
    <row r="39" spans="1:22" s="25" customFormat="1" ht="20.100000000000001" customHeight="1" x14ac:dyDescent="0.15">
      <c r="A39" s="383">
        <v>65857</v>
      </c>
      <c r="B39" s="348" t="s">
        <v>122</v>
      </c>
      <c r="C39" s="85">
        <f>PV!C39</f>
        <v>0.5</v>
      </c>
      <c r="D39" s="44" t="str">
        <f t="shared" si="2"/>
        <v>h</v>
      </c>
      <c r="E39" s="43">
        <f>IF(D39="h",PV!E39,IF(D39="M",PV!G39,PV!I39))</f>
        <v>3.15</v>
      </c>
      <c r="F39" s="291">
        <v>53</v>
      </c>
      <c r="G39" s="291">
        <v>43</v>
      </c>
      <c r="H39" s="291"/>
      <c r="I39" s="291"/>
      <c r="J39" s="291"/>
      <c r="K39" s="373"/>
      <c r="L39" s="331"/>
      <c r="M39" s="332"/>
      <c r="N39" s="333"/>
      <c r="O39" s="333"/>
      <c r="P39" s="334"/>
      <c r="Q39" s="275">
        <f>(K39*E39)</f>
        <v>0</v>
      </c>
      <c r="R39" s="280">
        <f>K39*C39</f>
        <v>0</v>
      </c>
      <c r="U39" s="294">
        <f t="shared" si="4"/>
        <v>0</v>
      </c>
      <c r="V39" s="301"/>
    </row>
    <row r="40" spans="1:22" s="25" customFormat="1" ht="20.100000000000001" customHeight="1" x14ac:dyDescent="0.2">
      <c r="A40" s="379">
        <v>645788</v>
      </c>
      <c r="B40" s="343" t="s">
        <v>123</v>
      </c>
      <c r="C40" s="85">
        <f>PV!C40</f>
        <v>0.5</v>
      </c>
      <c r="D40" s="44" t="str">
        <f t="shared" si="2"/>
        <v>h</v>
      </c>
      <c r="E40" s="43">
        <f>IF(D40="h",PV!E40,IF(D40="M",PV!G40,PV!I40))</f>
        <v>5.95</v>
      </c>
      <c r="F40" s="291">
        <v>8</v>
      </c>
      <c r="G40" s="291">
        <v>6</v>
      </c>
      <c r="H40" s="291"/>
      <c r="I40" s="291"/>
      <c r="J40" s="291"/>
      <c r="K40" s="373"/>
      <c r="L40" s="331"/>
      <c r="M40" s="332"/>
      <c r="N40" s="333"/>
      <c r="O40" s="333"/>
      <c r="P40" s="334"/>
      <c r="Q40" s="275">
        <f>(K40*E40)</f>
        <v>0</v>
      </c>
      <c r="R40" s="280">
        <f>K40*C40</f>
        <v>0</v>
      </c>
      <c r="U40" s="294">
        <f t="shared" si="4"/>
        <v>0</v>
      </c>
      <c r="V40" s="301"/>
    </row>
    <row r="41" spans="1:22" s="25" customFormat="1" ht="20.100000000000001" customHeight="1" x14ac:dyDescent="0.2">
      <c r="A41" s="379">
        <v>95901</v>
      </c>
      <c r="B41" s="337" t="s">
        <v>300</v>
      </c>
      <c r="C41" s="85">
        <f>PV!C41</f>
        <v>0.11</v>
      </c>
      <c r="D41" s="44" t="str">
        <f t="shared" si="2"/>
        <v>h</v>
      </c>
      <c r="E41" s="43">
        <f>IF(D41="h",PV!E41,IF(D41="M",PV!G41,PV!I41))</f>
        <v>1.5</v>
      </c>
      <c r="F41" s="291">
        <v>176</v>
      </c>
      <c r="G41" s="291">
        <v>279</v>
      </c>
      <c r="H41" s="291"/>
      <c r="I41" s="291"/>
      <c r="J41" s="291"/>
      <c r="K41" s="373"/>
      <c r="L41" s="331"/>
      <c r="M41" s="332"/>
      <c r="N41" s="333"/>
      <c r="O41" s="333"/>
      <c r="P41" s="334"/>
      <c r="Q41" s="275">
        <f>(K41*E41)</f>
        <v>0</v>
      </c>
      <c r="R41" s="280">
        <f>K41*C41</f>
        <v>0</v>
      </c>
      <c r="U41" s="294">
        <f t="shared" si="4"/>
        <v>0</v>
      </c>
      <c r="V41" s="301"/>
    </row>
    <row r="42" spans="1:22" ht="0.6" customHeight="1" x14ac:dyDescent="0.2">
      <c r="A42" s="384"/>
      <c r="B42" s="349"/>
      <c r="C42" s="85">
        <f>PV!C42</f>
        <v>0</v>
      </c>
      <c r="D42" s="44" t="str">
        <f t="shared" si="2"/>
        <v>h</v>
      </c>
      <c r="E42" s="43">
        <f>IF(D42="h",PV!E42,IF(D42="M",PV!G42,PV!I42))</f>
        <v>0</v>
      </c>
      <c r="F42" s="291">
        <v>0</v>
      </c>
      <c r="G42" s="291">
        <v>0</v>
      </c>
      <c r="H42" s="291"/>
      <c r="I42" s="291"/>
      <c r="J42" s="291"/>
      <c r="K42" s="373"/>
      <c r="L42" s="331"/>
      <c r="M42" s="332"/>
      <c r="N42" s="333"/>
      <c r="O42" s="333"/>
      <c r="P42" s="334"/>
      <c r="Q42" s="271"/>
      <c r="R42" s="283">
        <f>SUM(R38:R41)</f>
        <v>0</v>
      </c>
      <c r="U42" s="294">
        <f t="shared" si="4"/>
        <v>0</v>
      </c>
      <c r="V42" s="301"/>
    </row>
    <row r="43" spans="1:22" s="25" customFormat="1" ht="20.100000000000001" customHeight="1" x14ac:dyDescent="0.25">
      <c r="A43" s="381">
        <v>65882</v>
      </c>
      <c r="B43" s="346" t="s">
        <v>157</v>
      </c>
      <c r="C43" s="85">
        <f>PV!C43</f>
        <v>0.72</v>
      </c>
      <c r="D43" s="44" t="str">
        <f t="shared" si="2"/>
        <v>h</v>
      </c>
      <c r="E43" s="43">
        <f>IF(D43="h",PV!E43,IF(D43="M",PV!G43,PV!I43))</f>
        <v>6.5</v>
      </c>
      <c r="F43" s="291">
        <v>17</v>
      </c>
      <c r="G43" s="291">
        <v>15</v>
      </c>
      <c r="H43" s="291"/>
      <c r="I43" s="291"/>
      <c r="J43" s="291"/>
      <c r="K43" s="373"/>
      <c r="L43" s="331"/>
      <c r="M43" s="332"/>
      <c r="N43" s="333"/>
      <c r="O43" s="333"/>
      <c r="P43" s="334"/>
      <c r="Q43" s="275">
        <f>(K43*E43)</f>
        <v>0</v>
      </c>
      <c r="R43" s="280">
        <f>K43*C43</f>
        <v>0</v>
      </c>
      <c r="U43" s="294">
        <f t="shared" si="4"/>
        <v>0</v>
      </c>
      <c r="V43" s="301"/>
    </row>
    <row r="44" spans="1:22" ht="0.6" customHeight="1" x14ac:dyDescent="0.2">
      <c r="A44" s="380"/>
      <c r="B44" s="347"/>
      <c r="C44" s="85">
        <f>PV!C44</f>
        <v>0</v>
      </c>
      <c r="D44" s="44" t="str">
        <f t="shared" si="2"/>
        <v>h</v>
      </c>
      <c r="E44" s="43">
        <f>IF(D44="h",PV!E44,IF(D44="M",PV!G44,PV!I44))</f>
        <v>0</v>
      </c>
      <c r="F44" s="291">
        <v>0</v>
      </c>
      <c r="G44" s="291">
        <v>0</v>
      </c>
      <c r="H44" s="291"/>
      <c r="I44" s="291"/>
      <c r="J44" s="291"/>
      <c r="K44" s="373"/>
      <c r="L44" s="331"/>
      <c r="M44" s="332"/>
      <c r="N44" s="333"/>
      <c r="O44" s="333"/>
      <c r="P44" s="334"/>
      <c r="Q44" s="271"/>
      <c r="R44" s="283">
        <f>SUM(R43:R43)</f>
        <v>0</v>
      </c>
      <c r="U44" s="294">
        <f t="shared" si="4"/>
        <v>0</v>
      </c>
      <c r="V44" s="301"/>
    </row>
    <row r="45" spans="1:22" ht="22.5" x14ac:dyDescent="0.2">
      <c r="A45" s="380">
        <v>951448</v>
      </c>
      <c r="B45" s="347" t="s">
        <v>153</v>
      </c>
      <c r="C45" s="85">
        <f>PV!C45</f>
        <v>0.06</v>
      </c>
      <c r="D45" s="44" t="str">
        <f t="shared" si="2"/>
        <v>h</v>
      </c>
      <c r="E45" s="43">
        <f>IF(D45="h",PV!E45,IF(D45="M",PV!G45,PV!I45))</f>
        <v>0.5</v>
      </c>
      <c r="F45" s="291">
        <v>0</v>
      </c>
      <c r="G45" s="291">
        <v>0</v>
      </c>
      <c r="H45" s="291"/>
      <c r="I45" s="291"/>
      <c r="J45" s="291"/>
      <c r="K45" s="373"/>
      <c r="L45" s="331"/>
      <c r="M45" s="332"/>
      <c r="N45" s="333"/>
      <c r="O45" s="333"/>
      <c r="P45" s="334"/>
      <c r="Q45" s="275">
        <f>(K45*E45)</f>
        <v>0</v>
      </c>
      <c r="R45" s="280">
        <f>K45*C45</f>
        <v>0</v>
      </c>
      <c r="U45" s="294">
        <f t="shared" si="4"/>
        <v>0</v>
      </c>
      <c r="V45" s="301"/>
    </row>
    <row r="46" spans="1:22" s="25" customFormat="1" ht="20.100000000000001" customHeight="1" x14ac:dyDescent="0.15">
      <c r="A46" s="335">
        <v>1037864</v>
      </c>
      <c r="B46" s="343" t="s">
        <v>154</v>
      </c>
      <c r="C46" s="85">
        <f>PV!C46</f>
        <v>0.36</v>
      </c>
      <c r="D46" s="44" t="str">
        <f t="shared" si="2"/>
        <v>h</v>
      </c>
      <c r="E46" s="43">
        <f>IF(D46="h",PV!E46,IF(D46="M",PV!G46,PV!I46))</f>
        <v>3</v>
      </c>
      <c r="F46" s="291">
        <v>0</v>
      </c>
      <c r="G46" s="291">
        <v>0</v>
      </c>
      <c r="H46" s="291"/>
      <c r="I46" s="291"/>
      <c r="J46" s="291"/>
      <c r="K46" s="373"/>
      <c r="L46" s="331"/>
      <c r="M46" s="332"/>
      <c r="N46" s="333"/>
      <c r="O46" s="333"/>
      <c r="P46" s="334"/>
      <c r="Q46" s="275">
        <f>(K46*E46)</f>
        <v>0</v>
      </c>
      <c r="R46" s="280">
        <f>K46*C46</f>
        <v>0</v>
      </c>
      <c r="U46" s="294">
        <f t="shared" si="4"/>
        <v>0</v>
      </c>
      <c r="V46" s="301"/>
    </row>
    <row r="47" spans="1:22" s="25" customFormat="1" ht="20.100000000000001" customHeight="1" x14ac:dyDescent="0.2">
      <c r="A47" s="379">
        <v>1022414</v>
      </c>
      <c r="B47" s="343" t="s">
        <v>155</v>
      </c>
      <c r="C47" s="85">
        <f>PV!C47</f>
        <v>0.6</v>
      </c>
      <c r="D47" s="44" t="str">
        <f t="shared" si="2"/>
        <v>h</v>
      </c>
      <c r="E47" s="43">
        <f>IF(D47="h",PV!E47,IF(D47="M",PV!G47,PV!I47))</f>
        <v>5</v>
      </c>
      <c r="F47" s="291">
        <v>0</v>
      </c>
      <c r="G47" s="291">
        <v>0</v>
      </c>
      <c r="H47" s="291"/>
      <c r="I47" s="291"/>
      <c r="J47" s="291"/>
      <c r="K47" s="373"/>
      <c r="L47" s="331"/>
      <c r="M47" s="332"/>
      <c r="N47" s="333"/>
      <c r="O47" s="333"/>
      <c r="P47" s="334"/>
      <c r="Q47" s="275">
        <f>(K47*E47)</f>
        <v>0</v>
      </c>
      <c r="R47" s="280">
        <f>K47*C47</f>
        <v>0</v>
      </c>
      <c r="U47" s="294">
        <f t="shared" si="4"/>
        <v>0</v>
      </c>
      <c r="V47" s="301"/>
    </row>
    <row r="48" spans="1:22" s="25" customFormat="1" ht="0.6" customHeight="1" x14ac:dyDescent="0.2">
      <c r="A48" s="382"/>
      <c r="B48" s="343"/>
      <c r="C48" s="85">
        <f>PV!C48</f>
        <v>0</v>
      </c>
      <c r="D48" s="44" t="str">
        <f t="shared" si="2"/>
        <v>h</v>
      </c>
      <c r="E48" s="43">
        <f>IF(D48="h",PV!E48,IF(D48="M",PV!G48,PV!I48))</f>
        <v>0</v>
      </c>
      <c r="F48" s="291">
        <v>0</v>
      </c>
      <c r="G48" s="291">
        <v>0</v>
      </c>
      <c r="H48" s="291"/>
      <c r="I48" s="291"/>
      <c r="J48" s="291"/>
      <c r="K48" s="373"/>
      <c r="L48" s="331"/>
      <c r="M48" s="332"/>
      <c r="N48" s="333"/>
      <c r="O48" s="333"/>
      <c r="P48" s="334"/>
      <c r="Q48" s="271"/>
      <c r="R48" s="281">
        <f>SUM(R45:R47)</f>
        <v>0</v>
      </c>
      <c r="U48" s="294">
        <f t="shared" si="4"/>
        <v>0</v>
      </c>
      <c r="V48" s="301"/>
    </row>
    <row r="49" spans="1:22" s="25" customFormat="1" ht="20.100000000000001" customHeight="1" x14ac:dyDescent="0.15">
      <c r="A49" s="377">
        <v>65860</v>
      </c>
      <c r="B49" s="350" t="s">
        <v>286</v>
      </c>
      <c r="C49" s="85">
        <f>PV!C49</f>
        <v>0.48</v>
      </c>
      <c r="D49" s="44" t="str">
        <f t="shared" si="2"/>
        <v>h</v>
      </c>
      <c r="E49" s="43">
        <f>IF(D49="h",PV!E49,IF(D49="M",PV!G49,PV!I49))</f>
        <v>6.45</v>
      </c>
      <c r="F49" s="291">
        <v>10</v>
      </c>
      <c r="G49" s="291">
        <v>11</v>
      </c>
      <c r="H49" s="291"/>
      <c r="I49" s="291"/>
      <c r="J49" s="291"/>
      <c r="K49" s="373"/>
      <c r="L49" s="331"/>
      <c r="M49" s="332"/>
      <c r="N49" s="333"/>
      <c r="O49" s="333"/>
      <c r="P49" s="334"/>
      <c r="Q49" s="275">
        <f t="shared" ref="Q49:Q57" si="5">(K49*E49)</f>
        <v>0</v>
      </c>
      <c r="R49" s="280">
        <f t="shared" ref="R49:R57" si="6">K49*C49</f>
        <v>0</v>
      </c>
      <c r="U49" s="294">
        <f t="shared" si="4"/>
        <v>0</v>
      </c>
      <c r="V49" s="301"/>
    </row>
    <row r="50" spans="1:22" s="25" customFormat="1" ht="20.100000000000001" customHeight="1" x14ac:dyDescent="0.15">
      <c r="A50" s="377">
        <v>65859</v>
      </c>
      <c r="B50" s="350" t="s">
        <v>287</v>
      </c>
      <c r="C50" s="85">
        <f>PV!C50</f>
        <v>0.96</v>
      </c>
      <c r="D50" s="44" t="str">
        <f t="shared" si="2"/>
        <v>h</v>
      </c>
      <c r="E50" s="43">
        <f>IF(D50="h",PV!E50,IF(D50="M",PV!G50,PV!I50))</f>
        <v>10.75</v>
      </c>
      <c r="F50" s="291">
        <v>2</v>
      </c>
      <c r="G50" s="291">
        <v>1</v>
      </c>
      <c r="H50" s="291"/>
      <c r="I50" s="291"/>
      <c r="J50" s="291"/>
      <c r="K50" s="373"/>
      <c r="L50" s="331"/>
      <c r="M50" s="332"/>
      <c r="N50" s="333"/>
      <c r="O50" s="333"/>
      <c r="P50" s="334"/>
      <c r="Q50" s="275">
        <f t="shared" si="5"/>
        <v>0</v>
      </c>
      <c r="R50" s="280">
        <f t="shared" si="6"/>
        <v>0</v>
      </c>
      <c r="U50" s="294">
        <f t="shared" si="4"/>
        <v>0</v>
      </c>
      <c r="V50" s="301"/>
    </row>
    <row r="51" spans="1:22" s="25" customFormat="1" ht="20.100000000000001" customHeight="1" x14ac:dyDescent="0.15">
      <c r="A51" s="377">
        <v>270450</v>
      </c>
      <c r="B51" s="350" t="s">
        <v>125</v>
      </c>
      <c r="C51" s="85">
        <f>PV!C51</f>
        <v>0.35</v>
      </c>
      <c r="D51" s="44" t="str">
        <f t="shared" si="2"/>
        <v>h</v>
      </c>
      <c r="E51" s="43">
        <f>IF(D51="h",PV!E51,IF(D51="M",PV!G51,PV!I51))</f>
        <v>3.95</v>
      </c>
      <c r="F51" s="291">
        <v>0</v>
      </c>
      <c r="G51" s="291">
        <v>0</v>
      </c>
      <c r="H51" s="291"/>
      <c r="I51" s="291"/>
      <c r="J51" s="291"/>
      <c r="K51" s="373"/>
      <c r="L51" s="331"/>
      <c r="M51" s="332"/>
      <c r="N51" s="333"/>
      <c r="O51" s="333"/>
      <c r="P51" s="334"/>
      <c r="Q51" s="275">
        <f t="shared" si="5"/>
        <v>0</v>
      </c>
      <c r="R51" s="280">
        <f t="shared" si="6"/>
        <v>0</v>
      </c>
      <c r="U51" s="294">
        <f t="shared" si="4"/>
        <v>0</v>
      </c>
      <c r="V51" s="301"/>
    </row>
    <row r="52" spans="1:22" s="25" customFormat="1" ht="20.100000000000001" customHeight="1" x14ac:dyDescent="0.15">
      <c r="A52" s="377">
        <v>270462</v>
      </c>
      <c r="B52" s="339" t="s">
        <v>288</v>
      </c>
      <c r="C52" s="85">
        <f>PV!C52</f>
        <v>0.43636364</v>
      </c>
      <c r="D52" s="44" t="str">
        <f t="shared" si="2"/>
        <v>h</v>
      </c>
      <c r="E52" s="43">
        <f>IF(D52="h",PV!E52,IF(D52="M",PV!G52,PV!I52))</f>
        <v>7.5</v>
      </c>
      <c r="F52" s="291">
        <v>5</v>
      </c>
      <c r="G52" s="291">
        <v>5</v>
      </c>
      <c r="H52" s="291"/>
      <c r="I52" s="291"/>
      <c r="J52" s="291"/>
      <c r="K52" s="373"/>
      <c r="L52" s="331"/>
      <c r="M52" s="332"/>
      <c r="N52" s="333"/>
      <c r="O52" s="333"/>
      <c r="P52" s="334"/>
      <c r="Q52" s="275">
        <f t="shared" si="5"/>
        <v>0</v>
      </c>
      <c r="R52" s="280">
        <f t="shared" si="6"/>
        <v>0</v>
      </c>
      <c r="U52" s="294">
        <f t="shared" si="4"/>
        <v>0</v>
      </c>
      <c r="V52" s="301"/>
    </row>
    <row r="53" spans="1:22" s="25" customFormat="1" ht="20.100000000000001" customHeight="1" x14ac:dyDescent="0.15">
      <c r="A53" s="377">
        <v>305568</v>
      </c>
      <c r="B53" s="350" t="s">
        <v>127</v>
      </c>
      <c r="C53" s="85">
        <f>PV!C53</f>
        <v>1</v>
      </c>
      <c r="D53" s="44" t="str">
        <f t="shared" si="2"/>
        <v>h</v>
      </c>
      <c r="E53" s="43">
        <f>IF(D53="h",PV!E53,IF(D53="M",PV!G53,PV!I53))</f>
        <v>13.5</v>
      </c>
      <c r="F53" s="291">
        <v>4.5030000000000001</v>
      </c>
      <c r="G53" s="291">
        <v>3.879</v>
      </c>
      <c r="H53" s="291"/>
      <c r="I53" s="291"/>
      <c r="J53" s="291"/>
      <c r="K53" s="373"/>
      <c r="L53" s="331"/>
      <c r="M53" s="332"/>
      <c r="N53" s="333"/>
      <c r="O53" s="333"/>
      <c r="P53" s="334"/>
      <c r="Q53" s="275">
        <f t="shared" si="5"/>
        <v>0</v>
      </c>
      <c r="R53" s="280">
        <f t="shared" si="6"/>
        <v>0</v>
      </c>
      <c r="U53" s="294">
        <f t="shared" si="4"/>
        <v>0</v>
      </c>
      <c r="V53" s="301"/>
    </row>
    <row r="54" spans="1:22" s="25" customFormat="1" ht="20.100000000000001" customHeight="1" x14ac:dyDescent="0.15">
      <c r="A54" s="377">
        <v>65865</v>
      </c>
      <c r="B54" s="339" t="s">
        <v>128</v>
      </c>
      <c r="C54" s="85">
        <f>PV!C54</f>
        <v>0.43636364</v>
      </c>
      <c r="D54" s="44" t="str">
        <f t="shared" si="2"/>
        <v>h</v>
      </c>
      <c r="E54" s="43">
        <f>IF(D54="h",PV!E54,IF(D54="M",PV!G54,PV!I54))</f>
        <v>7.95</v>
      </c>
      <c r="F54" s="291">
        <v>6</v>
      </c>
      <c r="G54" s="291">
        <v>6</v>
      </c>
      <c r="H54" s="291"/>
      <c r="I54" s="291"/>
      <c r="J54" s="291"/>
      <c r="K54" s="373"/>
      <c r="L54" s="331"/>
      <c r="M54" s="332"/>
      <c r="N54" s="333"/>
      <c r="O54" s="333"/>
      <c r="P54" s="334"/>
      <c r="Q54" s="275">
        <f t="shared" si="5"/>
        <v>0</v>
      </c>
      <c r="R54" s="280">
        <f t="shared" si="6"/>
        <v>0</v>
      </c>
      <c r="U54" s="294">
        <f t="shared" si="4"/>
        <v>0</v>
      </c>
      <c r="V54" s="301"/>
    </row>
    <row r="55" spans="1:22" s="25" customFormat="1" ht="20.100000000000001" customHeight="1" x14ac:dyDescent="0.15">
      <c r="A55" s="377">
        <v>308648</v>
      </c>
      <c r="B55" s="350" t="s">
        <v>129</v>
      </c>
      <c r="C55" s="85">
        <f>PV!C55</f>
        <v>0.58499999999999996</v>
      </c>
      <c r="D55" s="44" t="str">
        <f t="shared" si="2"/>
        <v>h</v>
      </c>
      <c r="E55" s="43">
        <f>IF(D55="h",PV!E55,IF(D55="M",PV!G55,PV!I55))</f>
        <v>5.75</v>
      </c>
      <c r="F55" s="291">
        <v>5</v>
      </c>
      <c r="G55" s="291">
        <v>5</v>
      </c>
      <c r="H55" s="291"/>
      <c r="I55" s="291"/>
      <c r="J55" s="291"/>
      <c r="K55" s="373"/>
      <c r="L55" s="331"/>
      <c r="M55" s="332"/>
      <c r="N55" s="333"/>
      <c r="O55" s="333"/>
      <c r="P55" s="334"/>
      <c r="Q55" s="275">
        <f t="shared" si="5"/>
        <v>0</v>
      </c>
      <c r="R55" s="280">
        <f t="shared" si="6"/>
        <v>0</v>
      </c>
      <c r="U55" s="294">
        <f t="shared" si="4"/>
        <v>0</v>
      </c>
      <c r="V55" s="301"/>
    </row>
    <row r="56" spans="1:22" s="25" customFormat="1" ht="20.100000000000001" customHeight="1" x14ac:dyDescent="0.15">
      <c r="A56" s="377">
        <v>270459</v>
      </c>
      <c r="B56" s="341" t="s">
        <v>130</v>
      </c>
      <c r="C56" s="85">
        <f>PV!C56</f>
        <v>0.43636364</v>
      </c>
      <c r="D56" s="44" t="str">
        <f t="shared" si="2"/>
        <v>h</v>
      </c>
      <c r="E56" s="43">
        <f>IF(D56="h",PV!E56,IF(D56="M",PV!G56,PV!I56))</f>
        <v>7.95</v>
      </c>
      <c r="F56" s="291">
        <v>7</v>
      </c>
      <c r="G56" s="291">
        <v>5</v>
      </c>
      <c r="H56" s="291"/>
      <c r="I56" s="291"/>
      <c r="J56" s="291"/>
      <c r="K56" s="373"/>
      <c r="L56" s="331"/>
      <c r="M56" s="332"/>
      <c r="N56" s="333"/>
      <c r="O56" s="333"/>
      <c r="P56" s="334"/>
      <c r="Q56" s="275">
        <f t="shared" si="5"/>
        <v>0</v>
      </c>
      <c r="R56" s="280">
        <f t="shared" si="6"/>
        <v>0</v>
      </c>
      <c r="U56" s="294">
        <f t="shared" si="4"/>
        <v>0</v>
      </c>
      <c r="V56" s="301"/>
    </row>
    <row r="57" spans="1:22" s="25" customFormat="1" ht="20.100000000000001" customHeight="1" x14ac:dyDescent="0.15">
      <c r="A57" s="377">
        <v>65855</v>
      </c>
      <c r="B57" s="341" t="s">
        <v>289</v>
      </c>
      <c r="C57" s="85">
        <f>PV!C57</f>
        <v>0.63600000000000001</v>
      </c>
      <c r="D57" s="44" t="str">
        <f t="shared" si="2"/>
        <v>h</v>
      </c>
      <c r="E57" s="43">
        <f>IF(D57="h",PV!E57,IF(D57="M",PV!G57,PV!I57))</f>
        <v>6.75</v>
      </c>
      <c r="F57" s="291">
        <v>0</v>
      </c>
      <c r="G57" s="291">
        <v>0</v>
      </c>
      <c r="H57" s="291"/>
      <c r="I57" s="291"/>
      <c r="J57" s="291"/>
      <c r="K57" s="373"/>
      <c r="L57" s="331"/>
      <c r="M57" s="332"/>
      <c r="N57" s="333"/>
      <c r="O57" s="333"/>
      <c r="P57" s="334"/>
      <c r="Q57" s="275">
        <f t="shared" si="5"/>
        <v>0</v>
      </c>
      <c r="R57" s="280">
        <f t="shared" si="6"/>
        <v>0</v>
      </c>
      <c r="U57" s="294">
        <f t="shared" si="4"/>
        <v>0</v>
      </c>
      <c r="V57" s="301"/>
    </row>
    <row r="58" spans="1:22" ht="0.6" customHeight="1" x14ac:dyDescent="0.2">
      <c r="A58" s="384"/>
      <c r="B58" s="347"/>
      <c r="C58" s="85">
        <f>PV!C58</f>
        <v>0</v>
      </c>
      <c r="D58" s="44" t="str">
        <f t="shared" si="2"/>
        <v>h</v>
      </c>
      <c r="E58" s="43">
        <f>IF(D58="h",PV!E58,IF(D58="M",PV!G58,PV!I58))</f>
        <v>0</v>
      </c>
      <c r="F58" s="291">
        <v>0</v>
      </c>
      <c r="G58" s="291">
        <v>0</v>
      </c>
      <c r="H58" s="291"/>
      <c r="I58" s="291"/>
      <c r="J58" s="291"/>
      <c r="K58" s="373"/>
      <c r="L58" s="331"/>
      <c r="M58" s="332"/>
      <c r="N58" s="333"/>
      <c r="O58" s="333"/>
      <c r="P58" s="334"/>
      <c r="Q58" s="271"/>
      <c r="R58" s="284">
        <f>SUM(R49:R57)</f>
        <v>0</v>
      </c>
      <c r="U58" s="294">
        <f t="shared" si="4"/>
        <v>0</v>
      </c>
      <c r="V58" s="301"/>
    </row>
    <row r="59" spans="1:22" s="25" customFormat="1" ht="20.100000000000001" customHeight="1" x14ac:dyDescent="0.25">
      <c r="A59" s="377">
        <v>65928</v>
      </c>
      <c r="B59" s="351" t="s">
        <v>43</v>
      </c>
      <c r="C59" s="85">
        <f>PV!C59</f>
        <v>0.36</v>
      </c>
      <c r="D59" s="44" t="str">
        <f t="shared" si="2"/>
        <v>h</v>
      </c>
      <c r="E59" s="43">
        <f>IF(D59="h",PV!E59,IF(D59="M",PV!G59,PV!I59))</f>
        <v>3.5</v>
      </c>
      <c r="F59" s="291">
        <v>7</v>
      </c>
      <c r="G59" s="291">
        <v>7</v>
      </c>
      <c r="H59" s="291"/>
      <c r="I59" s="291"/>
      <c r="J59" s="291"/>
      <c r="K59" s="373"/>
      <c r="L59" s="331"/>
      <c r="M59" s="332"/>
      <c r="N59" s="333"/>
      <c r="O59" s="333"/>
      <c r="P59" s="334"/>
      <c r="Q59" s="275">
        <f t="shared" ref="Q59:Q73" si="7">(K59*E59)</f>
        <v>0</v>
      </c>
      <c r="R59" s="280">
        <f t="shared" ref="R59:R73" si="8">K59*C59</f>
        <v>0</v>
      </c>
      <c r="U59" s="294">
        <f t="shared" si="4"/>
        <v>0</v>
      </c>
      <c r="V59" s="301"/>
    </row>
    <row r="60" spans="1:22" s="25" customFormat="1" ht="20.100000000000001" customHeight="1" x14ac:dyDescent="0.25">
      <c r="A60" s="377">
        <v>65894</v>
      </c>
      <c r="B60" s="351" t="s">
        <v>45</v>
      </c>
      <c r="C60" s="85">
        <f>PV!C60</f>
        <v>0.36</v>
      </c>
      <c r="D60" s="44" t="str">
        <f t="shared" si="2"/>
        <v>h</v>
      </c>
      <c r="E60" s="43">
        <f>IF(D60="h",PV!E60,IF(D60="M",PV!G60,PV!I60))</f>
        <v>2.25</v>
      </c>
      <c r="F60" s="291">
        <v>27</v>
      </c>
      <c r="G60" s="291">
        <v>28</v>
      </c>
      <c r="H60" s="291"/>
      <c r="I60" s="291"/>
      <c r="J60" s="291"/>
      <c r="K60" s="373"/>
      <c r="L60" s="331"/>
      <c r="M60" s="332"/>
      <c r="N60" s="333"/>
      <c r="O60" s="333"/>
      <c r="P60" s="334"/>
      <c r="Q60" s="275">
        <f t="shared" si="7"/>
        <v>0</v>
      </c>
      <c r="R60" s="280">
        <f t="shared" si="8"/>
        <v>0</v>
      </c>
      <c r="U60" s="294">
        <f t="shared" si="4"/>
        <v>0</v>
      </c>
      <c r="V60" s="301"/>
    </row>
    <row r="61" spans="1:22" s="25" customFormat="1" ht="20.100000000000001" customHeight="1" x14ac:dyDescent="0.25">
      <c r="A61" s="377">
        <v>65927</v>
      </c>
      <c r="B61" s="351" t="s">
        <v>46</v>
      </c>
      <c r="C61" s="85">
        <f>PV!C61</f>
        <v>0.36</v>
      </c>
      <c r="D61" s="44" t="str">
        <f t="shared" si="2"/>
        <v>h</v>
      </c>
      <c r="E61" s="43">
        <f>IF(D61="h",PV!E61,IF(D61="M",PV!G61,PV!I61))</f>
        <v>2.95</v>
      </c>
      <c r="F61" s="291">
        <v>33</v>
      </c>
      <c r="G61" s="291">
        <v>40</v>
      </c>
      <c r="H61" s="291"/>
      <c r="I61" s="291"/>
      <c r="J61" s="291"/>
      <c r="K61" s="373"/>
      <c r="L61" s="331"/>
      <c r="M61" s="332"/>
      <c r="N61" s="333"/>
      <c r="O61" s="333"/>
      <c r="P61" s="334"/>
      <c r="Q61" s="275">
        <f t="shared" si="7"/>
        <v>0</v>
      </c>
      <c r="R61" s="280">
        <f t="shared" si="8"/>
        <v>0</v>
      </c>
      <c r="U61" s="294">
        <f t="shared" si="4"/>
        <v>0</v>
      </c>
      <c r="V61" s="301"/>
    </row>
    <row r="62" spans="1:22" s="25" customFormat="1" ht="20.100000000000001" customHeight="1" x14ac:dyDescent="0.25">
      <c r="A62" s="377">
        <v>425032</v>
      </c>
      <c r="B62" s="351" t="s">
        <v>115</v>
      </c>
      <c r="C62" s="85">
        <f>PV!C62</f>
        <v>0.36</v>
      </c>
      <c r="D62" s="44" t="str">
        <f t="shared" si="2"/>
        <v>h</v>
      </c>
      <c r="E62" s="43">
        <f>IF(D62="h",PV!E62,IF(D62="M",PV!G62,PV!I62))</f>
        <v>2.75</v>
      </c>
      <c r="F62" s="291">
        <v>5</v>
      </c>
      <c r="G62" s="291">
        <v>0</v>
      </c>
      <c r="H62" s="291"/>
      <c r="I62" s="291"/>
      <c r="J62" s="291"/>
      <c r="K62" s="373"/>
      <c r="L62" s="331"/>
      <c r="M62" s="332"/>
      <c r="N62" s="333"/>
      <c r="O62" s="333"/>
      <c r="P62" s="334"/>
      <c r="Q62" s="275">
        <f t="shared" si="7"/>
        <v>0</v>
      </c>
      <c r="R62" s="280">
        <f t="shared" si="8"/>
        <v>0</v>
      </c>
      <c r="U62" s="294">
        <f t="shared" si="4"/>
        <v>0</v>
      </c>
      <c r="V62" s="301"/>
    </row>
    <row r="63" spans="1:22" s="25" customFormat="1" ht="20.100000000000001" customHeight="1" x14ac:dyDescent="0.25">
      <c r="A63" s="377">
        <v>270448</v>
      </c>
      <c r="B63" s="351" t="s">
        <v>116</v>
      </c>
      <c r="C63" s="85">
        <f>PV!C63</f>
        <v>0.35</v>
      </c>
      <c r="D63" s="44" t="str">
        <f t="shared" si="2"/>
        <v>h</v>
      </c>
      <c r="E63" s="43">
        <f>IF(D63="h",PV!E63,IF(D63="M",PV!G63,PV!I63))</f>
        <v>2.95</v>
      </c>
      <c r="F63" s="291">
        <v>1</v>
      </c>
      <c r="G63" s="291">
        <v>4</v>
      </c>
      <c r="H63" s="291"/>
      <c r="I63" s="291"/>
      <c r="J63" s="291"/>
      <c r="K63" s="373"/>
      <c r="L63" s="331"/>
      <c r="M63" s="332"/>
      <c r="N63" s="333"/>
      <c r="O63" s="333"/>
      <c r="P63" s="334"/>
      <c r="Q63" s="275">
        <f t="shared" si="7"/>
        <v>0</v>
      </c>
      <c r="R63" s="280">
        <f t="shared" si="8"/>
        <v>0</v>
      </c>
      <c r="U63" s="294">
        <f t="shared" si="4"/>
        <v>0</v>
      </c>
      <c r="V63" s="301"/>
    </row>
    <row r="64" spans="1:22" s="25" customFormat="1" ht="20.100000000000001" customHeight="1" x14ac:dyDescent="0.25">
      <c r="A64" s="377">
        <v>65871</v>
      </c>
      <c r="B64" s="351" t="s">
        <v>290</v>
      </c>
      <c r="C64" s="85">
        <f>PV!C64</f>
        <v>0.58499999999999996</v>
      </c>
      <c r="D64" s="44" t="str">
        <f t="shared" si="2"/>
        <v>h</v>
      </c>
      <c r="E64" s="43">
        <f>IF(D64="h",PV!E64,IF(D64="M",PV!G64,PV!I64))</f>
        <v>6.45</v>
      </c>
      <c r="F64" s="291">
        <v>54</v>
      </c>
      <c r="G64" s="291">
        <v>35</v>
      </c>
      <c r="H64" s="291"/>
      <c r="I64" s="291"/>
      <c r="J64" s="291"/>
      <c r="K64" s="373"/>
      <c r="L64" s="331"/>
      <c r="M64" s="332"/>
      <c r="N64" s="333"/>
      <c r="O64" s="333"/>
      <c r="P64" s="334"/>
      <c r="Q64" s="275">
        <f t="shared" si="7"/>
        <v>0</v>
      </c>
      <c r="R64" s="280">
        <f t="shared" si="8"/>
        <v>0</v>
      </c>
      <c r="U64" s="294">
        <f t="shared" si="4"/>
        <v>0</v>
      </c>
      <c r="V64" s="301"/>
    </row>
    <row r="65" spans="1:22" s="25" customFormat="1" ht="20.100000000000001" customHeight="1" x14ac:dyDescent="0.25">
      <c r="A65" s="377">
        <v>286631</v>
      </c>
      <c r="B65" s="351" t="s">
        <v>118</v>
      </c>
      <c r="C65" s="85">
        <f>PV!C65</f>
        <v>0.4</v>
      </c>
      <c r="D65" s="44" t="str">
        <f t="shared" si="2"/>
        <v>h</v>
      </c>
      <c r="E65" s="43">
        <f>IF(D65="h",PV!E65,IF(D65="M",PV!G65,PV!I65))</f>
        <v>4.75</v>
      </c>
      <c r="F65" s="291">
        <v>7</v>
      </c>
      <c r="G65" s="291">
        <v>10</v>
      </c>
      <c r="H65" s="291"/>
      <c r="I65" s="291"/>
      <c r="J65" s="291"/>
      <c r="K65" s="373"/>
      <c r="L65" s="331"/>
      <c r="M65" s="332"/>
      <c r="N65" s="333"/>
      <c r="O65" s="333"/>
      <c r="P65" s="334"/>
      <c r="Q65" s="275">
        <f t="shared" si="7"/>
        <v>0</v>
      </c>
      <c r="R65" s="280">
        <f t="shared" si="8"/>
        <v>0</v>
      </c>
      <c r="U65" s="294">
        <f t="shared" si="4"/>
        <v>0</v>
      </c>
      <c r="V65" s="301"/>
    </row>
    <row r="66" spans="1:22" s="25" customFormat="1" ht="20.100000000000001" customHeight="1" x14ac:dyDescent="0.25">
      <c r="A66" s="377">
        <v>306903</v>
      </c>
      <c r="B66" s="351" t="s">
        <v>52</v>
      </c>
      <c r="C66" s="85">
        <f>PV!C66</f>
        <v>0.6</v>
      </c>
      <c r="D66" s="44" t="str">
        <f t="shared" si="2"/>
        <v>h</v>
      </c>
      <c r="E66" s="43">
        <f>IF(D66="h",PV!E66,IF(D66="M",PV!G66,PV!I66))</f>
        <v>6.95</v>
      </c>
      <c r="F66" s="291">
        <v>0</v>
      </c>
      <c r="G66" s="291">
        <v>0</v>
      </c>
      <c r="H66" s="291"/>
      <c r="I66" s="291"/>
      <c r="J66" s="291"/>
      <c r="K66" s="373"/>
      <c r="L66" s="331"/>
      <c r="M66" s="332"/>
      <c r="N66" s="333"/>
      <c r="O66" s="333"/>
      <c r="P66" s="334"/>
      <c r="Q66" s="275">
        <f t="shared" si="7"/>
        <v>0</v>
      </c>
      <c r="R66" s="280">
        <f t="shared" si="8"/>
        <v>0</v>
      </c>
      <c r="U66" s="294">
        <f t="shared" si="4"/>
        <v>0</v>
      </c>
      <c r="V66" s="301"/>
    </row>
    <row r="67" spans="1:22" s="25" customFormat="1" ht="20.100000000000001" customHeight="1" x14ac:dyDescent="0.25">
      <c r="A67" s="377">
        <v>330142</v>
      </c>
      <c r="B67" s="351" t="s">
        <v>51</v>
      </c>
      <c r="C67" s="85">
        <f>PV!C67</f>
        <v>0.3</v>
      </c>
      <c r="D67" s="44" t="str">
        <f t="shared" si="2"/>
        <v>h</v>
      </c>
      <c r="E67" s="43">
        <f>IF(D67="h",PV!E67,IF(D67="M",PV!G67,PV!I67))</f>
        <v>4.5</v>
      </c>
      <c r="F67" s="291">
        <v>0</v>
      </c>
      <c r="G67" s="291">
        <v>0</v>
      </c>
      <c r="H67" s="291"/>
      <c r="I67" s="291"/>
      <c r="J67" s="291"/>
      <c r="K67" s="373"/>
      <c r="L67" s="331"/>
      <c r="M67" s="332"/>
      <c r="N67" s="333"/>
      <c r="O67" s="333"/>
      <c r="P67" s="334"/>
      <c r="Q67" s="275">
        <f t="shared" si="7"/>
        <v>0</v>
      </c>
      <c r="R67" s="280">
        <f t="shared" si="8"/>
        <v>0</v>
      </c>
      <c r="U67" s="294">
        <f t="shared" si="4"/>
        <v>0</v>
      </c>
      <c r="V67" s="301"/>
    </row>
    <row r="68" spans="1:22" s="25" customFormat="1" ht="20.100000000000001" customHeight="1" x14ac:dyDescent="0.25">
      <c r="A68" s="377">
        <v>65877</v>
      </c>
      <c r="B68" s="351" t="s">
        <v>48</v>
      </c>
      <c r="C68" s="85">
        <f>PV!C68</f>
        <v>0.7</v>
      </c>
      <c r="D68" s="44" t="str">
        <f t="shared" si="2"/>
        <v>h</v>
      </c>
      <c r="E68" s="43">
        <f>IF(D68="h",PV!E68,IF(D68="M",PV!G68,PV!I68))</f>
        <v>7.95</v>
      </c>
      <c r="F68" s="291">
        <v>9</v>
      </c>
      <c r="G68" s="291">
        <v>19</v>
      </c>
      <c r="H68" s="291"/>
      <c r="I68" s="291"/>
      <c r="J68" s="291"/>
      <c r="K68" s="373"/>
      <c r="L68" s="331"/>
      <c r="M68" s="332"/>
      <c r="N68" s="333"/>
      <c r="O68" s="333"/>
      <c r="P68" s="334"/>
      <c r="Q68" s="275">
        <f t="shared" si="7"/>
        <v>0</v>
      </c>
      <c r="R68" s="280">
        <f t="shared" si="8"/>
        <v>0</v>
      </c>
      <c r="U68" s="294">
        <f t="shared" si="4"/>
        <v>0</v>
      </c>
      <c r="V68" s="301"/>
    </row>
    <row r="69" spans="1:22" s="25" customFormat="1" ht="20.100000000000001" customHeight="1" x14ac:dyDescent="0.25">
      <c r="A69" s="377">
        <v>206123</v>
      </c>
      <c r="B69" s="351" t="s">
        <v>47</v>
      </c>
      <c r="C69" s="85">
        <f>PV!C69</f>
        <v>0.35</v>
      </c>
      <c r="D69" s="44" t="str">
        <f t="shared" ref="D69:D134" si="9">D68</f>
        <v>h</v>
      </c>
      <c r="E69" s="43">
        <f>IF(D69="h",PV!E69,IF(D69="M",PV!G69,PV!I69))</f>
        <v>4.95</v>
      </c>
      <c r="F69" s="291">
        <v>12</v>
      </c>
      <c r="G69" s="291">
        <v>9</v>
      </c>
      <c r="H69" s="291"/>
      <c r="I69" s="291"/>
      <c r="J69" s="291"/>
      <c r="K69" s="373"/>
      <c r="L69" s="331"/>
      <c r="M69" s="332"/>
      <c r="N69" s="333"/>
      <c r="O69" s="333"/>
      <c r="P69" s="334"/>
      <c r="Q69" s="275">
        <f t="shared" si="7"/>
        <v>0</v>
      </c>
      <c r="R69" s="280">
        <f t="shared" si="8"/>
        <v>0</v>
      </c>
      <c r="U69" s="294">
        <f t="shared" si="4"/>
        <v>0</v>
      </c>
      <c r="V69" s="301"/>
    </row>
    <row r="70" spans="1:22" s="25" customFormat="1" ht="20.100000000000001" customHeight="1" x14ac:dyDescent="0.25">
      <c r="A70" s="377">
        <v>830252</v>
      </c>
      <c r="B70" s="351" t="s">
        <v>119</v>
      </c>
      <c r="C70" s="85">
        <f>PV!C70</f>
        <v>0.36</v>
      </c>
      <c r="D70" s="44" t="str">
        <f t="shared" si="9"/>
        <v>h</v>
      </c>
      <c r="E70" s="43">
        <f>IF(D70="h",PV!E70,IF(D70="M",PV!G70,PV!I70))</f>
        <v>2.75</v>
      </c>
      <c r="F70" s="291">
        <v>62</v>
      </c>
      <c r="G70" s="291">
        <v>29</v>
      </c>
      <c r="H70" s="291"/>
      <c r="I70" s="291"/>
      <c r="J70" s="291"/>
      <c r="K70" s="373"/>
      <c r="L70" s="331"/>
      <c r="M70" s="332"/>
      <c r="N70" s="333"/>
      <c r="O70" s="333"/>
      <c r="P70" s="334"/>
      <c r="Q70" s="275">
        <f t="shared" si="7"/>
        <v>0</v>
      </c>
      <c r="R70" s="280">
        <f t="shared" si="8"/>
        <v>0</v>
      </c>
      <c r="U70" s="294">
        <f t="shared" ref="U70:U75" si="10">K70-L70</f>
        <v>0</v>
      </c>
      <c r="V70" s="301"/>
    </row>
    <row r="71" spans="1:22" s="25" customFormat="1" ht="20.100000000000001" customHeight="1" x14ac:dyDescent="0.25">
      <c r="A71" s="377">
        <v>425026</v>
      </c>
      <c r="B71" s="351" t="s">
        <v>50</v>
      </c>
      <c r="C71" s="85">
        <f>PV!C71</f>
        <v>0.72</v>
      </c>
      <c r="D71" s="44" t="str">
        <f t="shared" si="9"/>
        <v>h</v>
      </c>
      <c r="E71" s="43">
        <f>IF(D71="h",PV!E71,IF(D71="M",PV!G71,PV!I71))</f>
        <v>3.95</v>
      </c>
      <c r="F71" s="291">
        <v>3</v>
      </c>
      <c r="G71" s="291">
        <v>7</v>
      </c>
      <c r="H71" s="291"/>
      <c r="I71" s="291"/>
      <c r="J71" s="291"/>
      <c r="K71" s="373"/>
      <c r="L71" s="331"/>
      <c r="M71" s="332"/>
      <c r="N71" s="333"/>
      <c r="O71" s="333"/>
      <c r="P71" s="334"/>
      <c r="Q71" s="275">
        <f t="shared" si="7"/>
        <v>0</v>
      </c>
      <c r="R71" s="280">
        <f t="shared" si="8"/>
        <v>0</v>
      </c>
      <c r="U71" s="294">
        <f t="shared" si="10"/>
        <v>0</v>
      </c>
      <c r="V71" s="301"/>
    </row>
    <row r="72" spans="1:22" s="25" customFormat="1" ht="20.100000000000001" customHeight="1" x14ac:dyDescent="0.25">
      <c r="A72" s="377">
        <v>286632</v>
      </c>
      <c r="B72" s="351" t="s">
        <v>49</v>
      </c>
      <c r="C72" s="85">
        <f>PV!C72</f>
        <v>0.36</v>
      </c>
      <c r="D72" s="44" t="str">
        <f t="shared" si="9"/>
        <v>h</v>
      </c>
      <c r="E72" s="43">
        <f>IF(D72="h",PV!E72,IF(D72="M",PV!G72,PV!I72))</f>
        <v>1</v>
      </c>
      <c r="F72" s="291">
        <v>13</v>
      </c>
      <c r="G72" s="291">
        <v>8</v>
      </c>
      <c r="H72" s="291"/>
      <c r="I72" s="291"/>
      <c r="J72" s="291"/>
      <c r="K72" s="373"/>
      <c r="L72" s="331"/>
      <c r="M72" s="332"/>
      <c r="N72" s="333"/>
      <c r="O72" s="333"/>
      <c r="P72" s="334"/>
      <c r="Q72" s="275">
        <f t="shared" si="7"/>
        <v>0</v>
      </c>
      <c r="R72" s="280">
        <f t="shared" si="8"/>
        <v>0</v>
      </c>
      <c r="U72" s="294">
        <f t="shared" si="10"/>
        <v>0</v>
      </c>
      <c r="V72" s="301"/>
    </row>
    <row r="73" spans="1:22" s="25" customFormat="1" ht="20.100000000000001" customHeight="1" x14ac:dyDescent="0.25">
      <c r="A73" s="379">
        <v>1008121</v>
      </c>
      <c r="B73" s="351" t="s">
        <v>120</v>
      </c>
      <c r="C73" s="85">
        <f>PV!C73</f>
        <v>0.5</v>
      </c>
      <c r="D73" s="44" t="str">
        <f t="shared" si="9"/>
        <v>h</v>
      </c>
      <c r="E73" s="43">
        <f>IF(D73="h",PV!E73,IF(D73="M",PV!G73,PV!I73))</f>
        <v>3.95</v>
      </c>
      <c r="F73" s="291">
        <v>0</v>
      </c>
      <c r="G73" s="291">
        <v>0</v>
      </c>
      <c r="H73" s="291"/>
      <c r="I73" s="291"/>
      <c r="J73" s="291"/>
      <c r="K73" s="373"/>
      <c r="L73" s="331"/>
      <c r="M73" s="332"/>
      <c r="N73" s="333"/>
      <c r="O73" s="333"/>
      <c r="P73" s="334"/>
      <c r="Q73" s="275">
        <f t="shared" si="7"/>
        <v>0</v>
      </c>
      <c r="R73" s="280">
        <f t="shared" si="8"/>
        <v>0</v>
      </c>
      <c r="U73" s="294">
        <f t="shared" si="10"/>
        <v>0</v>
      </c>
      <c r="V73" s="301"/>
    </row>
    <row r="74" spans="1:22" ht="0.6" customHeight="1" x14ac:dyDescent="0.2">
      <c r="A74" s="382"/>
      <c r="B74" s="347"/>
      <c r="C74" s="85">
        <f>PV!C74</f>
        <v>0</v>
      </c>
      <c r="D74" s="44" t="str">
        <f t="shared" si="9"/>
        <v>h</v>
      </c>
      <c r="E74" s="43">
        <f>IF(D74="h",PV!E74,IF(D74="M",PV!G74,PV!I74))</f>
        <v>0</v>
      </c>
      <c r="F74" s="291">
        <v>0</v>
      </c>
      <c r="G74" s="291">
        <v>0</v>
      </c>
      <c r="H74" s="291"/>
      <c r="I74" s="291"/>
      <c r="J74" s="291"/>
      <c r="K74" s="373"/>
      <c r="L74" s="331"/>
      <c r="M74" s="332"/>
      <c r="N74" s="333"/>
      <c r="O74" s="333"/>
      <c r="P74" s="334"/>
      <c r="Q74" s="271"/>
      <c r="R74" s="282">
        <f>SUM(R59:R73)</f>
        <v>0</v>
      </c>
      <c r="U74" s="294">
        <f t="shared" si="10"/>
        <v>0</v>
      </c>
      <c r="V74" s="301"/>
    </row>
    <row r="75" spans="1:22" s="25" customFormat="1" ht="20.100000000000001" customHeight="1" x14ac:dyDescent="0.25">
      <c r="A75" s="377">
        <v>1263740</v>
      </c>
      <c r="B75" s="351" t="s">
        <v>267</v>
      </c>
      <c r="C75" s="85">
        <f>PV!C75</f>
        <v>0.8</v>
      </c>
      <c r="D75" s="44" t="str">
        <f t="shared" si="9"/>
        <v>h</v>
      </c>
      <c r="E75" s="43">
        <f>IF(D75="h",PV!E75,IF(D75="M",PV!G75,PV!I75))</f>
        <v>4.75</v>
      </c>
      <c r="F75" s="291">
        <v>22</v>
      </c>
      <c r="G75" s="291">
        <v>19</v>
      </c>
      <c r="H75" s="291"/>
      <c r="I75" s="291"/>
      <c r="J75" s="291"/>
      <c r="K75" s="373"/>
      <c r="L75" s="331"/>
      <c r="M75" s="332"/>
      <c r="N75" s="333"/>
      <c r="O75" s="333"/>
      <c r="P75" s="334"/>
      <c r="Q75" s="275">
        <f>(K75*E75)</f>
        <v>0</v>
      </c>
      <c r="R75" s="280">
        <f>K75*C75</f>
        <v>0</v>
      </c>
      <c r="U75" s="294">
        <f t="shared" si="10"/>
        <v>0</v>
      </c>
      <c r="V75" s="301"/>
    </row>
    <row r="76" spans="1:22" s="25" customFormat="1" ht="0.6" customHeight="1" x14ac:dyDescent="0.25">
      <c r="A76" s="376"/>
      <c r="B76" s="351"/>
      <c r="C76" s="85">
        <f>PV!C76</f>
        <v>0</v>
      </c>
      <c r="D76" s="44" t="str">
        <f t="shared" si="9"/>
        <v>h</v>
      </c>
      <c r="E76" s="43">
        <f>IF(D76="h",PV!E76,IF(D76="M",PV!G76,PV!I76))</f>
        <v>0</v>
      </c>
      <c r="F76" s="291">
        <v>0</v>
      </c>
      <c r="G76" s="291">
        <v>0</v>
      </c>
      <c r="H76" s="291"/>
      <c r="I76" s="291"/>
      <c r="J76" s="291"/>
      <c r="K76" s="373"/>
      <c r="L76" s="331"/>
      <c r="M76" s="332"/>
      <c r="N76" s="333"/>
      <c r="O76" s="333"/>
      <c r="P76" s="334"/>
      <c r="Q76" s="279"/>
      <c r="R76" s="281">
        <f>SUM(R75:R75)</f>
        <v>0</v>
      </c>
      <c r="U76" s="294"/>
      <c r="V76" s="301"/>
    </row>
    <row r="77" spans="1:22" s="25" customFormat="1" ht="20.100000000000001" customHeight="1" x14ac:dyDescent="0.25">
      <c r="A77" s="376">
        <v>364629</v>
      </c>
      <c r="B77" s="352" t="s">
        <v>134</v>
      </c>
      <c r="C77" s="85">
        <f>PV!C77</f>
        <v>0.36</v>
      </c>
      <c r="D77" s="44" t="str">
        <f t="shared" si="9"/>
        <v>h</v>
      </c>
      <c r="E77" s="43">
        <f>IF(D77="h",PV!E77,IF(D77="M",PV!G77,PV!I77))</f>
        <v>2.5</v>
      </c>
      <c r="F77" s="291">
        <v>9</v>
      </c>
      <c r="G77" s="291">
        <v>10</v>
      </c>
      <c r="H77" s="291"/>
      <c r="I77" s="291"/>
      <c r="J77" s="291"/>
      <c r="K77" s="373"/>
      <c r="L77" s="331"/>
      <c r="M77" s="332"/>
      <c r="N77" s="333"/>
      <c r="O77" s="333"/>
      <c r="P77" s="334"/>
      <c r="Q77" s="279">
        <f>(K77*E77)</f>
        <v>0</v>
      </c>
      <c r="R77" s="280">
        <f>K77*C77</f>
        <v>0</v>
      </c>
      <c r="U77" s="294">
        <f>K77-L77</f>
        <v>0</v>
      </c>
      <c r="V77" s="301"/>
    </row>
    <row r="78" spans="1:22" s="25" customFormat="1" ht="20.100000000000001" customHeight="1" x14ac:dyDescent="0.25">
      <c r="A78" s="377">
        <v>370600</v>
      </c>
      <c r="B78" s="352" t="s">
        <v>135</v>
      </c>
      <c r="C78" s="85">
        <f>PV!C78</f>
        <v>0.36</v>
      </c>
      <c r="D78" s="44" t="str">
        <f t="shared" si="9"/>
        <v>h</v>
      </c>
      <c r="E78" s="43">
        <f>IF(D78="h",PV!E78,IF(D78="M",PV!G78,PV!I78))</f>
        <v>2.5</v>
      </c>
      <c r="F78" s="291">
        <v>23</v>
      </c>
      <c r="G78" s="291">
        <v>23</v>
      </c>
      <c r="H78" s="291"/>
      <c r="I78" s="291"/>
      <c r="J78" s="291"/>
      <c r="K78" s="373"/>
      <c r="L78" s="331"/>
      <c r="M78" s="332"/>
      <c r="N78" s="333"/>
      <c r="O78" s="333"/>
      <c r="P78" s="334"/>
      <c r="Q78" s="275">
        <f>(K78*E78)</f>
        <v>0</v>
      </c>
      <c r="R78" s="280">
        <f>K78*C78</f>
        <v>0</v>
      </c>
      <c r="U78" s="294">
        <f>K78-L78</f>
        <v>0</v>
      </c>
      <c r="V78" s="301"/>
    </row>
    <row r="79" spans="1:22" s="25" customFormat="1" ht="0.6" customHeight="1" x14ac:dyDescent="0.25">
      <c r="A79" s="377"/>
      <c r="B79" s="352"/>
      <c r="C79" s="85"/>
      <c r="D79" s="44"/>
      <c r="E79" s="43"/>
      <c r="F79" s="291">
        <v>0</v>
      </c>
      <c r="G79" s="291">
        <v>0</v>
      </c>
      <c r="H79" s="291"/>
      <c r="I79" s="291"/>
      <c r="J79" s="291"/>
      <c r="K79" s="373"/>
      <c r="L79" s="331"/>
      <c r="M79" s="332"/>
      <c r="N79" s="333"/>
      <c r="O79" s="333"/>
      <c r="P79" s="334"/>
      <c r="Q79" s="275"/>
      <c r="R79" s="281">
        <f>SUM(R77:R78)</f>
        <v>0</v>
      </c>
      <c r="U79" s="294"/>
      <c r="V79" s="301"/>
    </row>
    <row r="80" spans="1:22" s="25" customFormat="1" ht="20.100000000000001" customHeight="1" x14ac:dyDescent="0.25">
      <c r="A80" s="377">
        <v>1263741</v>
      </c>
      <c r="B80" s="352" t="s">
        <v>268</v>
      </c>
      <c r="C80" s="85">
        <f>PV!C80</f>
        <v>0.8</v>
      </c>
      <c r="D80" s="44" t="str">
        <f>D78</f>
        <v>h</v>
      </c>
      <c r="E80" s="43">
        <f>IF(D80="h",PV!E80,IF(D80="M",PV!G80,PV!I80))</f>
        <v>5.75</v>
      </c>
      <c r="F80" s="291">
        <v>50</v>
      </c>
      <c r="G80" s="291">
        <v>32</v>
      </c>
      <c r="H80" s="291"/>
      <c r="I80" s="291"/>
      <c r="J80" s="291"/>
      <c r="K80" s="373"/>
      <c r="L80" s="331"/>
      <c r="M80" s="332"/>
      <c r="N80" s="333"/>
      <c r="O80" s="333"/>
      <c r="P80" s="334"/>
      <c r="Q80" s="275">
        <f t="shared" ref="Q80:Q86" si="11">(K80*E80)</f>
        <v>0</v>
      </c>
      <c r="R80" s="280">
        <f>K80*C80</f>
        <v>0</v>
      </c>
      <c r="U80" s="294">
        <f t="shared" ref="U80:U97" si="12">K80-L80</f>
        <v>0</v>
      </c>
      <c r="V80" s="301"/>
    </row>
    <row r="81" spans="1:22" s="25" customFormat="1" ht="20.100000000000001" customHeight="1" x14ac:dyDescent="0.25">
      <c r="A81" s="377">
        <v>1263742</v>
      </c>
      <c r="B81" s="352" t="s">
        <v>291</v>
      </c>
      <c r="C81" s="85">
        <f>PV!C81</f>
        <v>0.47</v>
      </c>
      <c r="D81" s="44" t="str">
        <f t="shared" si="9"/>
        <v>h</v>
      </c>
      <c r="E81" s="43">
        <f>IF(D81="h",PV!E81,IF(D81="M",PV!G81,PV!I81))</f>
        <v>3.6</v>
      </c>
      <c r="F81" s="291">
        <v>31</v>
      </c>
      <c r="G81" s="291">
        <v>27</v>
      </c>
      <c r="H81" s="291"/>
      <c r="I81" s="291"/>
      <c r="J81" s="291"/>
      <c r="K81" s="373"/>
      <c r="L81" s="331"/>
      <c r="M81" s="332"/>
      <c r="N81" s="333"/>
      <c r="O81" s="333"/>
      <c r="P81" s="334"/>
      <c r="Q81" s="275">
        <f t="shared" si="11"/>
        <v>0</v>
      </c>
      <c r="R81" s="280">
        <f>K81*C81</f>
        <v>0</v>
      </c>
      <c r="U81" s="294">
        <f t="shared" si="12"/>
        <v>0</v>
      </c>
      <c r="V81" s="301"/>
    </row>
    <row r="82" spans="1:22" s="25" customFormat="1" ht="20.100000000000001" customHeight="1" x14ac:dyDescent="0.25">
      <c r="A82" s="377">
        <v>1263743</v>
      </c>
      <c r="B82" s="352" t="s">
        <v>292</v>
      </c>
      <c r="C82" s="85">
        <f>PV!C82</f>
        <v>0.8</v>
      </c>
      <c r="D82" s="44" t="str">
        <f t="shared" si="9"/>
        <v>h</v>
      </c>
      <c r="E82" s="43">
        <f>IF(D82="h",PV!E82,IF(D82="M",PV!G82,PV!I82))</f>
        <v>5.75</v>
      </c>
      <c r="F82" s="291">
        <v>26</v>
      </c>
      <c r="G82" s="291">
        <v>21</v>
      </c>
      <c r="H82" s="291"/>
      <c r="I82" s="291"/>
      <c r="J82" s="291"/>
      <c r="K82" s="373"/>
      <c r="L82" s="331"/>
      <c r="M82" s="332"/>
      <c r="N82" s="333"/>
      <c r="O82" s="333"/>
      <c r="P82" s="334"/>
      <c r="Q82" s="275">
        <f t="shared" si="11"/>
        <v>0</v>
      </c>
      <c r="R82" s="280">
        <f>K82*C82</f>
        <v>0</v>
      </c>
      <c r="U82" s="294">
        <f t="shared" si="12"/>
        <v>0</v>
      </c>
      <c r="V82" s="301"/>
    </row>
    <row r="83" spans="1:22" s="25" customFormat="1" ht="22.5" x14ac:dyDescent="0.25">
      <c r="A83" s="381">
        <v>65862</v>
      </c>
      <c r="B83" s="346" t="s">
        <v>178</v>
      </c>
      <c r="C83" s="85">
        <f>PV!C83</f>
        <v>0.48</v>
      </c>
      <c r="D83" s="44" t="str">
        <f t="shared" si="9"/>
        <v>h</v>
      </c>
      <c r="E83" s="43">
        <f>IF(D83="h",PV!E83,IF(D83="M",PV!G83,PV!I83))</f>
        <v>3.95</v>
      </c>
      <c r="F83" s="291">
        <v>4</v>
      </c>
      <c r="G83" s="291">
        <v>5</v>
      </c>
      <c r="H83" s="291"/>
      <c r="I83" s="291"/>
      <c r="J83" s="291"/>
      <c r="K83" s="373"/>
      <c r="L83" s="331"/>
      <c r="M83" s="332"/>
      <c r="N83" s="333"/>
      <c r="O83" s="333"/>
      <c r="P83" s="334"/>
      <c r="Q83" s="275">
        <f t="shared" si="11"/>
        <v>0</v>
      </c>
      <c r="R83" s="285">
        <f>K83*C83</f>
        <v>0</v>
      </c>
      <c r="U83" s="294">
        <f t="shared" si="12"/>
        <v>0</v>
      </c>
      <c r="V83" s="301"/>
    </row>
    <row r="84" spans="1:22" s="25" customFormat="1" ht="0.6" customHeight="1" x14ac:dyDescent="0.25">
      <c r="A84" s="335"/>
      <c r="B84" s="353"/>
      <c r="C84" s="85">
        <f>PV!C84</f>
        <v>0</v>
      </c>
      <c r="D84" s="44" t="str">
        <f t="shared" si="9"/>
        <v>h</v>
      </c>
      <c r="E84" s="43">
        <f>IF(D84="h",PV!E84,IF(D84="M",PV!G84,PV!I84))</f>
        <v>0</v>
      </c>
      <c r="F84" s="291">
        <v>0</v>
      </c>
      <c r="G84" s="291">
        <v>0</v>
      </c>
      <c r="H84" s="291"/>
      <c r="I84" s="291"/>
      <c r="J84" s="291"/>
      <c r="K84" s="373"/>
      <c r="L84" s="331"/>
      <c r="M84" s="332"/>
      <c r="N84" s="333"/>
      <c r="O84" s="333"/>
      <c r="P84" s="334"/>
      <c r="Q84" s="275">
        <f t="shared" si="11"/>
        <v>0</v>
      </c>
      <c r="R84" s="281">
        <f>SUM(R80:R83)</f>
        <v>0</v>
      </c>
      <c r="U84" s="294">
        <f t="shared" si="12"/>
        <v>0</v>
      </c>
      <c r="V84" s="301"/>
    </row>
    <row r="85" spans="1:22" s="25" customFormat="1" ht="22.5" x14ac:dyDescent="0.25">
      <c r="A85" s="381">
        <v>1263732</v>
      </c>
      <c r="B85" s="346" t="s">
        <v>263</v>
      </c>
      <c r="C85" s="85">
        <f>PV!C85</f>
        <v>0.47</v>
      </c>
      <c r="D85" s="44" t="str">
        <f t="shared" si="9"/>
        <v>h</v>
      </c>
      <c r="E85" s="43">
        <f>IF(D85="h",PV!E85,IF(D85="M",PV!G85,PV!I85))</f>
        <v>2.75</v>
      </c>
      <c r="F85" s="291">
        <v>17</v>
      </c>
      <c r="G85" s="291">
        <v>9</v>
      </c>
      <c r="H85" s="291"/>
      <c r="I85" s="291"/>
      <c r="J85" s="291"/>
      <c r="K85" s="373"/>
      <c r="L85" s="331"/>
      <c r="M85" s="332"/>
      <c r="N85" s="333"/>
      <c r="O85" s="333"/>
      <c r="P85" s="334"/>
      <c r="Q85" s="275">
        <f t="shared" si="11"/>
        <v>0</v>
      </c>
      <c r="R85" s="280">
        <f>K85*C85</f>
        <v>0</v>
      </c>
      <c r="U85" s="294">
        <f t="shared" si="12"/>
        <v>0</v>
      </c>
      <c r="V85" s="301"/>
    </row>
    <row r="86" spans="1:22" s="25" customFormat="1" ht="22.5" x14ac:dyDescent="0.25">
      <c r="A86" s="381">
        <v>1263733</v>
      </c>
      <c r="B86" s="346" t="s">
        <v>264</v>
      </c>
      <c r="C86" s="85">
        <f>PV!C86</f>
        <v>0.8</v>
      </c>
      <c r="D86" s="44" t="str">
        <f t="shared" si="9"/>
        <v>h</v>
      </c>
      <c r="E86" s="43">
        <f>IF(D86="h",PV!E86,IF(D86="M",PV!G86,PV!I86))</f>
        <v>5.5</v>
      </c>
      <c r="F86" s="291">
        <v>7</v>
      </c>
      <c r="G86" s="291">
        <v>0</v>
      </c>
      <c r="H86" s="291"/>
      <c r="I86" s="291"/>
      <c r="J86" s="291"/>
      <c r="K86" s="373"/>
      <c r="L86" s="331"/>
      <c r="M86" s="332"/>
      <c r="N86" s="333"/>
      <c r="O86" s="333"/>
      <c r="P86" s="334"/>
      <c r="Q86" s="275">
        <f t="shared" si="11"/>
        <v>0</v>
      </c>
      <c r="R86" s="280">
        <f>K86*C86</f>
        <v>0</v>
      </c>
      <c r="U86" s="294">
        <f t="shared" si="12"/>
        <v>0</v>
      </c>
      <c r="V86" s="301"/>
    </row>
    <row r="87" spans="1:22" s="25" customFormat="1" ht="0.6" customHeight="1" x14ac:dyDescent="0.2">
      <c r="A87" s="382"/>
      <c r="B87" s="343"/>
      <c r="C87" s="85">
        <f>PV!C87</f>
        <v>0</v>
      </c>
      <c r="D87" s="44" t="str">
        <f t="shared" si="9"/>
        <v>h</v>
      </c>
      <c r="E87" s="43">
        <f>IF(D87="h",PV!E87,IF(D87="M",PV!G87,PV!I87))</f>
        <v>0</v>
      </c>
      <c r="F87" s="291">
        <v>0</v>
      </c>
      <c r="G87" s="291">
        <v>0</v>
      </c>
      <c r="H87" s="291"/>
      <c r="I87" s="291"/>
      <c r="J87" s="291"/>
      <c r="K87" s="373"/>
      <c r="L87" s="331"/>
      <c r="M87" s="332"/>
      <c r="N87" s="333"/>
      <c r="O87" s="333"/>
      <c r="P87" s="334"/>
      <c r="Q87" s="275"/>
      <c r="R87" s="281">
        <f>SUM(R85:R86)</f>
        <v>0</v>
      </c>
      <c r="U87" s="294">
        <f t="shared" si="12"/>
        <v>0</v>
      </c>
      <c r="V87" s="301"/>
    </row>
    <row r="88" spans="1:22" ht="22.5" x14ac:dyDescent="0.2">
      <c r="A88" s="379">
        <v>1095099</v>
      </c>
      <c r="B88" s="354" t="s">
        <v>161</v>
      </c>
      <c r="C88" s="85">
        <f>PV!C88</f>
        <v>0.15</v>
      </c>
      <c r="D88" s="44" t="str">
        <f t="shared" si="9"/>
        <v>h</v>
      </c>
      <c r="E88" s="43">
        <f>IF(D88="h",PV!E88,IF(D88="M",PV!G88,PV!I88))</f>
        <v>2.5</v>
      </c>
      <c r="F88" s="291">
        <v>0</v>
      </c>
      <c r="G88" s="291">
        <v>0</v>
      </c>
      <c r="H88" s="291"/>
      <c r="I88" s="291"/>
      <c r="J88" s="291"/>
      <c r="K88" s="373"/>
      <c r="L88" s="331"/>
      <c r="M88" s="332"/>
      <c r="N88" s="333"/>
      <c r="O88" s="333"/>
      <c r="P88" s="334"/>
      <c r="Q88" s="275">
        <f>(K88*E88)</f>
        <v>0</v>
      </c>
      <c r="R88" s="280">
        <f>K88*C88</f>
        <v>0</v>
      </c>
      <c r="U88" s="294">
        <f t="shared" si="12"/>
        <v>0</v>
      </c>
      <c r="V88" s="301"/>
    </row>
    <row r="89" spans="1:22" s="28" customFormat="1" ht="22.5" x14ac:dyDescent="0.2">
      <c r="A89" s="380">
        <v>1008120</v>
      </c>
      <c r="B89" s="355" t="s">
        <v>162</v>
      </c>
      <c r="C89" s="85">
        <f>PV!C89</f>
        <v>0.12</v>
      </c>
      <c r="D89" s="44" t="str">
        <f t="shared" si="9"/>
        <v>h</v>
      </c>
      <c r="E89" s="43">
        <f>IF(D89="h",PV!E89,IF(D89="M",PV!G89,PV!I89))</f>
        <v>2.5</v>
      </c>
      <c r="F89" s="291">
        <v>0</v>
      </c>
      <c r="G89" s="291">
        <v>0</v>
      </c>
      <c r="H89" s="291"/>
      <c r="I89" s="291"/>
      <c r="J89" s="291"/>
      <c r="K89" s="373"/>
      <c r="L89" s="331"/>
      <c r="M89" s="332"/>
      <c r="N89" s="333"/>
      <c r="O89" s="333"/>
      <c r="P89" s="334"/>
      <c r="Q89" s="275">
        <f>(K89*E89)</f>
        <v>0</v>
      </c>
      <c r="R89" s="280">
        <f>K89*C89</f>
        <v>0</v>
      </c>
      <c r="U89" s="294">
        <f t="shared" si="12"/>
        <v>0</v>
      </c>
      <c r="V89" s="303"/>
    </row>
    <row r="90" spans="1:22" s="25" customFormat="1" ht="22.5" x14ac:dyDescent="0.2">
      <c r="A90" s="379">
        <v>1263735</v>
      </c>
      <c r="B90" s="343" t="s">
        <v>272</v>
      </c>
      <c r="C90" s="85">
        <f>PV!C90</f>
        <v>0.7</v>
      </c>
      <c r="D90" s="44" t="str">
        <f t="shared" si="9"/>
        <v>h</v>
      </c>
      <c r="E90" s="43">
        <f>IF(D90="h",PV!E90,IF(D90="M",PV!G90,PV!I90))</f>
        <v>6.2</v>
      </c>
      <c r="F90" s="291">
        <v>17</v>
      </c>
      <c r="G90" s="291">
        <v>37</v>
      </c>
      <c r="H90" s="291"/>
      <c r="I90" s="291"/>
      <c r="J90" s="291"/>
      <c r="K90" s="373"/>
      <c r="L90" s="331"/>
      <c r="M90" s="332"/>
      <c r="N90" s="333"/>
      <c r="O90" s="333"/>
      <c r="P90" s="334"/>
      <c r="Q90" s="275">
        <f>(K90*E90)</f>
        <v>0</v>
      </c>
      <c r="R90" s="280">
        <f>K90*C90</f>
        <v>0</v>
      </c>
      <c r="U90" s="294">
        <f t="shared" si="12"/>
        <v>0</v>
      </c>
      <c r="V90" s="301"/>
    </row>
    <row r="91" spans="1:22" ht="22.5" x14ac:dyDescent="0.2">
      <c r="A91" s="379">
        <v>1008119</v>
      </c>
      <c r="B91" s="354" t="s">
        <v>158</v>
      </c>
      <c r="C91" s="85">
        <f>PV!C91</f>
        <v>0.3</v>
      </c>
      <c r="D91" s="44" t="str">
        <f t="shared" si="9"/>
        <v>h</v>
      </c>
      <c r="E91" s="43">
        <f>IF(D91="h",PV!E91,IF(D91="M",PV!G91,PV!I91))</f>
        <v>2.7</v>
      </c>
      <c r="F91" s="291">
        <v>0</v>
      </c>
      <c r="G91" s="291">
        <v>0</v>
      </c>
      <c r="H91" s="291"/>
      <c r="I91" s="291"/>
      <c r="J91" s="291"/>
      <c r="K91" s="373"/>
      <c r="L91" s="331"/>
      <c r="M91" s="332"/>
      <c r="N91" s="333"/>
      <c r="O91" s="333"/>
      <c r="P91" s="334"/>
      <c r="Q91" s="275">
        <f>(K91*E91)</f>
        <v>0</v>
      </c>
      <c r="R91" s="280">
        <f>K91*C91</f>
        <v>0</v>
      </c>
      <c r="U91" s="294">
        <f t="shared" si="12"/>
        <v>0</v>
      </c>
      <c r="V91" s="301"/>
    </row>
    <row r="92" spans="1:22" s="28" customFormat="1" ht="0.6" customHeight="1" x14ac:dyDescent="0.2">
      <c r="A92" s="380"/>
      <c r="B92" s="356"/>
      <c r="C92" s="85">
        <f>PV!C92</f>
        <v>0</v>
      </c>
      <c r="D92" s="44" t="str">
        <f t="shared" si="9"/>
        <v>h</v>
      </c>
      <c r="E92" s="43">
        <f>IF(D92="h",PV!E92,IF(D92="M",PV!G92,PV!I92))</f>
        <v>0</v>
      </c>
      <c r="F92" s="291">
        <v>0</v>
      </c>
      <c r="G92" s="291">
        <v>0</v>
      </c>
      <c r="H92" s="291"/>
      <c r="I92" s="291"/>
      <c r="J92" s="291"/>
      <c r="K92" s="373"/>
      <c r="L92" s="331"/>
      <c r="M92" s="332"/>
      <c r="N92" s="333"/>
      <c r="O92" s="333"/>
      <c r="P92" s="334"/>
      <c r="Q92" s="271"/>
      <c r="R92" s="281">
        <f>SUM(R88:R91)</f>
        <v>0</v>
      </c>
      <c r="U92" s="294">
        <f t="shared" si="12"/>
        <v>0</v>
      </c>
      <c r="V92" s="303"/>
    </row>
    <row r="93" spans="1:22" s="25" customFormat="1" ht="22.5" x14ac:dyDescent="0.25">
      <c r="A93" s="335">
        <v>401788</v>
      </c>
      <c r="B93" s="352" t="s">
        <v>138</v>
      </c>
      <c r="C93" s="85">
        <f>PV!C93</f>
        <v>0.2</v>
      </c>
      <c r="D93" s="44" t="str">
        <f t="shared" si="9"/>
        <v>h</v>
      </c>
      <c r="E93" s="43">
        <f>IF(D93="h",PV!E93,IF(D93="M",PV!G93,PV!I93))</f>
        <v>0.5</v>
      </c>
      <c r="F93" s="291">
        <v>271</v>
      </c>
      <c r="G93" s="291">
        <v>58</v>
      </c>
      <c r="H93" s="291"/>
      <c r="I93" s="291"/>
      <c r="J93" s="291"/>
      <c r="K93" s="373"/>
      <c r="L93" s="331"/>
      <c r="M93" s="332"/>
      <c r="N93" s="333"/>
      <c r="O93" s="333"/>
      <c r="P93" s="334"/>
      <c r="Q93" s="279">
        <f>(K93*E93)</f>
        <v>0</v>
      </c>
      <c r="R93" s="280">
        <f>K93*C93</f>
        <v>0</v>
      </c>
      <c r="U93" s="294">
        <f t="shared" si="12"/>
        <v>0</v>
      </c>
      <c r="V93" s="301"/>
    </row>
    <row r="94" spans="1:22" s="25" customFormat="1" ht="22.5" x14ac:dyDescent="0.25">
      <c r="A94" s="335">
        <v>391720</v>
      </c>
      <c r="B94" s="352" t="s">
        <v>139</v>
      </c>
      <c r="C94" s="85">
        <f>PV!C94</f>
        <v>0.84</v>
      </c>
      <c r="D94" s="44" t="str">
        <f t="shared" si="9"/>
        <v>h</v>
      </c>
      <c r="E94" s="43">
        <f>IF(D94="h",PV!E94,IF(D94="M",PV!G94,PV!I94))</f>
        <v>3.5</v>
      </c>
      <c r="F94" s="291">
        <v>0</v>
      </c>
      <c r="G94" s="291">
        <v>0</v>
      </c>
      <c r="H94" s="291"/>
      <c r="I94" s="291"/>
      <c r="J94" s="291"/>
      <c r="K94" s="373"/>
      <c r="L94" s="331"/>
      <c r="M94" s="332"/>
      <c r="N94" s="333"/>
      <c r="O94" s="333"/>
      <c r="P94" s="334"/>
      <c r="Q94" s="275">
        <f>(K94*E94)</f>
        <v>0</v>
      </c>
      <c r="R94" s="280">
        <f>K94*C94</f>
        <v>0</v>
      </c>
      <c r="U94" s="294">
        <f t="shared" si="12"/>
        <v>0</v>
      </c>
      <c r="V94" s="301"/>
    </row>
    <row r="95" spans="1:22" s="25" customFormat="1" ht="22.5" x14ac:dyDescent="0.25">
      <c r="A95" s="335">
        <v>438079</v>
      </c>
      <c r="B95" s="352" t="s">
        <v>293</v>
      </c>
      <c r="C95" s="85">
        <f>PV!C95</f>
        <v>0.3</v>
      </c>
      <c r="D95" s="44" t="str">
        <f t="shared" si="9"/>
        <v>h</v>
      </c>
      <c r="E95" s="43">
        <f>IF(D95="h",PV!E95,IF(D95="M",PV!G95,PV!I95))</f>
        <v>2.65</v>
      </c>
      <c r="F95" s="291">
        <v>0</v>
      </c>
      <c r="G95" s="291">
        <v>0</v>
      </c>
      <c r="H95" s="291"/>
      <c r="I95" s="291"/>
      <c r="J95" s="291"/>
      <c r="K95" s="373"/>
      <c r="L95" s="331"/>
      <c r="M95" s="332"/>
      <c r="N95" s="333"/>
      <c r="O95" s="333"/>
      <c r="P95" s="334"/>
      <c r="Q95" s="275">
        <f>(K95*E95)</f>
        <v>0</v>
      </c>
      <c r="R95" s="280">
        <f>K95*C95</f>
        <v>0</v>
      </c>
      <c r="U95" s="294">
        <f t="shared" si="12"/>
        <v>0</v>
      </c>
      <c r="V95" s="301"/>
    </row>
    <row r="96" spans="1:22" s="25" customFormat="1" ht="22.5" x14ac:dyDescent="0.25">
      <c r="A96" s="335">
        <v>391741</v>
      </c>
      <c r="B96" s="352" t="s">
        <v>41</v>
      </c>
      <c r="C96" s="85">
        <f>PV!C96</f>
        <v>1.2</v>
      </c>
      <c r="D96" s="44" t="str">
        <f t="shared" si="9"/>
        <v>h</v>
      </c>
      <c r="E96" s="43">
        <f>IF(D96="h",PV!E96,IF(D96="M",PV!G96,PV!I96))</f>
        <v>2.5</v>
      </c>
      <c r="F96" s="291">
        <v>64</v>
      </c>
      <c r="G96" s="291">
        <v>52</v>
      </c>
      <c r="H96" s="291"/>
      <c r="I96" s="291"/>
      <c r="J96" s="291"/>
      <c r="K96" s="373"/>
      <c r="L96" s="331"/>
      <c r="M96" s="332"/>
      <c r="N96" s="333"/>
      <c r="O96" s="333"/>
      <c r="P96" s="334"/>
      <c r="Q96" s="275">
        <f>(K96*E96)</f>
        <v>0</v>
      </c>
      <c r="R96" s="280">
        <f>K96*C96</f>
        <v>0</v>
      </c>
      <c r="U96" s="294">
        <f t="shared" si="12"/>
        <v>0</v>
      </c>
      <c r="V96" s="301"/>
    </row>
    <row r="97" spans="1:22" s="25" customFormat="1" ht="22.5" x14ac:dyDescent="0.25">
      <c r="A97" s="335">
        <v>391742</v>
      </c>
      <c r="B97" s="352" t="s">
        <v>141</v>
      </c>
      <c r="C97" s="85">
        <f>PV!C97</f>
        <v>0.6</v>
      </c>
      <c r="D97" s="44" t="str">
        <f t="shared" si="9"/>
        <v>h</v>
      </c>
      <c r="E97" s="43">
        <f>IF(D97="h",PV!E97,IF(D97="M",PV!G97,PV!I97))</f>
        <v>1.25</v>
      </c>
      <c r="F97" s="291">
        <v>0</v>
      </c>
      <c r="G97" s="291">
        <v>0</v>
      </c>
      <c r="H97" s="291"/>
      <c r="I97" s="291"/>
      <c r="J97" s="291"/>
      <c r="K97" s="373"/>
      <c r="L97" s="331"/>
      <c r="M97" s="332"/>
      <c r="N97" s="333"/>
      <c r="O97" s="333"/>
      <c r="P97" s="334"/>
      <c r="Q97" s="275">
        <f>(K97*E97)</f>
        <v>0</v>
      </c>
      <c r="R97" s="280">
        <f>K97*C97</f>
        <v>0</v>
      </c>
      <c r="U97" s="294">
        <f t="shared" si="12"/>
        <v>0</v>
      </c>
      <c r="V97" s="301"/>
    </row>
    <row r="98" spans="1:22" s="25" customFormat="1" ht="0.6" customHeight="1" x14ac:dyDescent="0.25">
      <c r="A98" s="335"/>
      <c r="B98" s="352"/>
      <c r="C98" s="85"/>
      <c r="D98" s="44"/>
      <c r="E98" s="43"/>
      <c r="F98" s="291">
        <v>0</v>
      </c>
      <c r="G98" s="291">
        <v>0</v>
      </c>
      <c r="H98" s="291"/>
      <c r="I98" s="291"/>
      <c r="J98" s="291"/>
      <c r="K98" s="373"/>
      <c r="L98" s="331"/>
      <c r="M98" s="332"/>
      <c r="N98" s="333"/>
      <c r="O98" s="333"/>
      <c r="P98" s="334"/>
      <c r="Q98" s="275"/>
      <c r="R98" s="282">
        <f>SUM(R93:R97)</f>
        <v>0</v>
      </c>
      <c r="U98" s="294"/>
      <c r="V98" s="301"/>
    </row>
    <row r="99" spans="1:22" s="25" customFormat="1" ht="22.5" x14ac:dyDescent="0.25">
      <c r="A99" s="335">
        <v>875635</v>
      </c>
      <c r="B99" s="352" t="s">
        <v>142</v>
      </c>
      <c r="C99" s="85">
        <f>PV!C99</f>
        <v>0.05</v>
      </c>
      <c r="D99" s="44" t="str">
        <f>D97</f>
        <v>h</v>
      </c>
      <c r="E99" s="43">
        <f>IF(D99="h",PV!E99,IF(D99="M",PV!G99,PV!I99))</f>
        <v>1.5</v>
      </c>
      <c r="F99" s="291">
        <v>0</v>
      </c>
      <c r="G99" s="291">
        <v>0</v>
      </c>
      <c r="H99" s="291"/>
      <c r="I99" s="291"/>
      <c r="J99" s="291"/>
      <c r="K99" s="373"/>
      <c r="L99" s="331"/>
      <c r="M99" s="332"/>
      <c r="N99" s="333"/>
      <c r="O99" s="333"/>
      <c r="P99" s="334"/>
      <c r="Q99" s="275">
        <f t="shared" ref="Q99:Q107" si="13">(K99*E99)</f>
        <v>0</v>
      </c>
      <c r="R99" s="280">
        <f t="shared" ref="R99:R104" si="14">K99*C99</f>
        <v>0</v>
      </c>
      <c r="U99" s="294">
        <f t="shared" ref="U99:U130" si="15">K99-L99</f>
        <v>0</v>
      </c>
      <c r="V99" s="301"/>
    </row>
    <row r="100" spans="1:22" s="48" customFormat="1" ht="22.5" x14ac:dyDescent="0.25">
      <c r="A100" s="335">
        <v>391727</v>
      </c>
      <c r="B100" s="352" t="s">
        <v>143</v>
      </c>
      <c r="C100" s="85">
        <f>PV!C100</f>
        <v>0.1</v>
      </c>
      <c r="D100" s="44" t="str">
        <f t="shared" si="9"/>
        <v>h</v>
      </c>
      <c r="E100" s="43">
        <f>IF(D100="h",PV!E100,IF(D100="M",PV!G100,PV!I100))</f>
        <v>5.75</v>
      </c>
      <c r="F100" s="291">
        <v>36</v>
      </c>
      <c r="G100" s="291">
        <v>112</v>
      </c>
      <c r="H100" s="291"/>
      <c r="I100" s="291"/>
      <c r="J100" s="291"/>
      <c r="K100" s="373"/>
      <c r="L100" s="331"/>
      <c r="M100" s="332"/>
      <c r="N100" s="333"/>
      <c r="O100" s="333"/>
      <c r="P100" s="334"/>
      <c r="Q100" s="275">
        <f t="shared" si="13"/>
        <v>0</v>
      </c>
      <c r="R100" s="280">
        <f t="shared" si="14"/>
        <v>0</v>
      </c>
      <c r="U100" s="294">
        <f t="shared" si="15"/>
        <v>0</v>
      </c>
      <c r="V100" s="302"/>
    </row>
    <row r="101" spans="1:22" s="48" customFormat="1" ht="22.5" x14ac:dyDescent="0.25">
      <c r="A101" s="379">
        <v>401769</v>
      </c>
      <c r="B101" s="352" t="s">
        <v>299</v>
      </c>
      <c r="C101" s="85">
        <f>PV!C101</f>
        <v>0.1</v>
      </c>
      <c r="D101" s="44" t="str">
        <f t="shared" si="9"/>
        <v>h</v>
      </c>
      <c r="E101" s="43">
        <f>IF(D101="h",PV!E101,IF(D101="M",PV!G101,PV!I101))</f>
        <v>4.75</v>
      </c>
      <c r="F101" s="291">
        <v>40</v>
      </c>
      <c r="G101" s="291">
        <v>56</v>
      </c>
      <c r="H101" s="291"/>
      <c r="I101" s="291"/>
      <c r="J101" s="291"/>
      <c r="K101" s="373"/>
      <c r="L101" s="331"/>
      <c r="M101" s="332"/>
      <c r="N101" s="333"/>
      <c r="O101" s="333"/>
      <c r="P101" s="334"/>
      <c r="Q101" s="275">
        <f t="shared" si="13"/>
        <v>0</v>
      </c>
      <c r="R101" s="280">
        <f t="shared" si="14"/>
        <v>0</v>
      </c>
      <c r="U101" s="294">
        <f t="shared" si="15"/>
        <v>0</v>
      </c>
      <c r="V101" s="302"/>
    </row>
    <row r="102" spans="1:22" s="25" customFormat="1" ht="22.5" x14ac:dyDescent="0.25">
      <c r="A102" s="379">
        <v>915518</v>
      </c>
      <c r="B102" s="352" t="s">
        <v>145</v>
      </c>
      <c r="C102" s="85">
        <f>PV!C102</f>
        <v>0.1</v>
      </c>
      <c r="D102" s="44" t="str">
        <f t="shared" si="9"/>
        <v>h</v>
      </c>
      <c r="E102" s="43">
        <f>IF(D102="h",PV!E102,IF(D102="M",PV!G102,PV!I102))</f>
        <v>5.75</v>
      </c>
      <c r="F102" s="291">
        <v>32</v>
      </c>
      <c r="G102" s="291">
        <v>26</v>
      </c>
      <c r="H102" s="291"/>
      <c r="I102" s="291"/>
      <c r="J102" s="291"/>
      <c r="K102" s="373"/>
      <c r="L102" s="331"/>
      <c r="M102" s="332"/>
      <c r="N102" s="333"/>
      <c r="O102" s="333"/>
      <c r="P102" s="334"/>
      <c r="Q102" s="275">
        <f t="shared" si="13"/>
        <v>0</v>
      </c>
      <c r="R102" s="280">
        <f t="shared" si="14"/>
        <v>0</v>
      </c>
      <c r="U102" s="294">
        <f t="shared" si="15"/>
        <v>0</v>
      </c>
      <c r="V102" s="301"/>
    </row>
    <row r="103" spans="1:22" ht="22.5" x14ac:dyDescent="0.2">
      <c r="A103" s="380">
        <v>915523</v>
      </c>
      <c r="B103" s="354" t="s">
        <v>146</v>
      </c>
      <c r="C103" s="85">
        <f>PV!C103</f>
        <v>0.1</v>
      </c>
      <c r="D103" s="44" t="str">
        <f t="shared" si="9"/>
        <v>h</v>
      </c>
      <c r="E103" s="43">
        <f>IF(D103="h",PV!E103,IF(D103="M",PV!G103,PV!I103))</f>
        <v>5.25</v>
      </c>
      <c r="F103" s="291">
        <v>5</v>
      </c>
      <c r="G103" s="291">
        <v>0</v>
      </c>
      <c r="H103" s="291"/>
      <c r="I103" s="291"/>
      <c r="J103" s="291"/>
      <c r="K103" s="373"/>
      <c r="L103" s="331"/>
      <c r="M103" s="332"/>
      <c r="N103" s="333"/>
      <c r="O103" s="333"/>
      <c r="P103" s="334"/>
      <c r="Q103" s="275">
        <f t="shared" si="13"/>
        <v>0</v>
      </c>
      <c r="R103" s="280">
        <f t="shared" si="14"/>
        <v>0</v>
      </c>
      <c r="U103" s="294">
        <f t="shared" si="15"/>
        <v>0</v>
      </c>
      <c r="V103" s="301"/>
    </row>
    <row r="104" spans="1:22" s="25" customFormat="1" ht="22.5" x14ac:dyDescent="0.25">
      <c r="A104" s="385">
        <v>391721</v>
      </c>
      <c r="B104" s="357" t="s">
        <v>147</v>
      </c>
      <c r="C104" s="85">
        <f>PV!C104</f>
        <v>0.1</v>
      </c>
      <c r="D104" s="44" t="str">
        <f t="shared" si="9"/>
        <v>h</v>
      </c>
      <c r="E104" s="43">
        <f>IF(D104="h",PV!E104,IF(D104="M",PV!G104,PV!I104))</f>
        <v>3.75</v>
      </c>
      <c r="F104" s="291">
        <v>52</v>
      </c>
      <c r="G104" s="291">
        <v>71</v>
      </c>
      <c r="H104" s="291"/>
      <c r="I104" s="291"/>
      <c r="J104" s="291"/>
      <c r="K104" s="373"/>
      <c r="L104" s="331"/>
      <c r="M104" s="332"/>
      <c r="N104" s="333"/>
      <c r="O104" s="333"/>
      <c r="P104" s="334"/>
      <c r="Q104" s="275">
        <f t="shared" si="13"/>
        <v>0</v>
      </c>
      <c r="R104" s="280">
        <f t="shared" si="14"/>
        <v>0</v>
      </c>
      <c r="U104" s="294">
        <f t="shared" si="15"/>
        <v>0</v>
      </c>
      <c r="V104" s="301"/>
    </row>
    <row r="105" spans="1:22" s="25" customFormat="1" ht="0.6" customHeight="1" x14ac:dyDescent="0.25">
      <c r="A105" s="382"/>
      <c r="B105" s="353"/>
      <c r="C105" s="85">
        <f>PV!C105</f>
        <v>0</v>
      </c>
      <c r="D105" s="44" t="str">
        <f t="shared" si="9"/>
        <v>h</v>
      </c>
      <c r="E105" s="43">
        <f>IF(D105="h",PV!E105,IF(D105="M",PV!G105,PV!I105))</f>
        <v>0</v>
      </c>
      <c r="F105" s="291">
        <v>0</v>
      </c>
      <c r="G105" s="291">
        <v>0</v>
      </c>
      <c r="H105" s="291"/>
      <c r="I105" s="291"/>
      <c r="J105" s="291"/>
      <c r="K105" s="373"/>
      <c r="L105" s="331"/>
      <c r="M105" s="332"/>
      <c r="N105" s="333"/>
      <c r="O105" s="333"/>
      <c r="P105" s="334"/>
      <c r="Q105" s="275">
        <f t="shared" si="13"/>
        <v>0</v>
      </c>
      <c r="R105" s="318">
        <f>SUM(R99:R104)</f>
        <v>0</v>
      </c>
      <c r="U105" s="294">
        <f t="shared" si="15"/>
        <v>0</v>
      </c>
      <c r="V105" s="301"/>
    </row>
    <row r="106" spans="1:22" ht="18.75" customHeight="1" x14ac:dyDescent="0.2">
      <c r="A106" s="381">
        <v>391717</v>
      </c>
      <c r="B106" s="338" t="s">
        <v>294</v>
      </c>
      <c r="C106" s="85">
        <f>PV!C106</f>
        <v>1.2</v>
      </c>
      <c r="D106" s="44" t="str">
        <f t="shared" si="9"/>
        <v>h</v>
      </c>
      <c r="E106" s="43">
        <f>IF(D106="h",PV!E106,IF(D106="M",PV!G106,PV!I106))</f>
        <v>4.25</v>
      </c>
      <c r="F106" s="291">
        <v>51</v>
      </c>
      <c r="G106" s="291">
        <v>59</v>
      </c>
      <c r="H106" s="291"/>
      <c r="I106" s="291"/>
      <c r="J106" s="291"/>
      <c r="K106" s="373"/>
      <c r="L106" s="331"/>
      <c r="M106" s="332"/>
      <c r="N106" s="333"/>
      <c r="O106" s="333"/>
      <c r="P106" s="334"/>
      <c r="Q106" s="275">
        <f t="shared" si="13"/>
        <v>0</v>
      </c>
      <c r="R106" s="280">
        <f>K106*C106</f>
        <v>0</v>
      </c>
      <c r="U106" s="294">
        <f t="shared" si="15"/>
        <v>0</v>
      </c>
      <c r="V106" s="301"/>
    </row>
    <row r="107" spans="1:22" ht="22.5" x14ac:dyDescent="0.2">
      <c r="A107" s="381">
        <v>438604</v>
      </c>
      <c r="B107" s="338" t="s">
        <v>295</v>
      </c>
      <c r="C107" s="85">
        <f>PV!C107</f>
        <v>0.6</v>
      </c>
      <c r="D107" s="44" t="str">
        <f t="shared" si="9"/>
        <v>h</v>
      </c>
      <c r="E107" s="43">
        <f>IF(D107="h",PV!E107,IF(D107="M",PV!G107,PV!I107))</f>
        <v>3.25</v>
      </c>
      <c r="F107" s="291">
        <v>0</v>
      </c>
      <c r="G107" s="291">
        <v>0</v>
      </c>
      <c r="H107" s="291"/>
      <c r="I107" s="291"/>
      <c r="J107" s="291"/>
      <c r="K107" s="373"/>
      <c r="L107" s="331"/>
      <c r="M107" s="332"/>
      <c r="N107" s="333"/>
      <c r="O107" s="333"/>
      <c r="P107" s="334"/>
      <c r="Q107" s="275">
        <f t="shared" si="13"/>
        <v>0</v>
      </c>
      <c r="R107" s="280">
        <f>K107*C107</f>
        <v>0</v>
      </c>
      <c r="U107" s="294">
        <f t="shared" si="15"/>
        <v>0</v>
      </c>
      <c r="V107" s="301"/>
    </row>
    <row r="108" spans="1:22" s="25" customFormat="1" ht="0.6" customHeight="1" x14ac:dyDescent="0.15">
      <c r="A108" s="335"/>
      <c r="B108" s="343"/>
      <c r="C108" s="85">
        <f>PV!C108</f>
        <v>0</v>
      </c>
      <c r="D108" s="44" t="str">
        <f t="shared" si="9"/>
        <v>h</v>
      </c>
      <c r="E108" s="43">
        <f>IF(D108="h",PV!E108,IF(D108="M",PV!G108,PV!I108))</f>
        <v>0</v>
      </c>
      <c r="F108" s="291">
        <v>0</v>
      </c>
      <c r="G108" s="291">
        <v>0</v>
      </c>
      <c r="H108" s="291"/>
      <c r="I108" s="291"/>
      <c r="J108" s="291"/>
      <c r="K108" s="373"/>
      <c r="L108" s="331"/>
      <c r="M108" s="332"/>
      <c r="N108" s="333"/>
      <c r="O108" s="333"/>
      <c r="P108" s="334"/>
      <c r="Q108" s="275"/>
      <c r="R108" s="281">
        <f>SUM(R106:R107)</f>
        <v>0</v>
      </c>
      <c r="U108" s="294">
        <f t="shared" si="15"/>
        <v>0</v>
      </c>
      <c r="V108" s="301"/>
    </row>
    <row r="109" spans="1:22" s="25" customFormat="1" ht="22.5" x14ac:dyDescent="0.25">
      <c r="A109" s="381">
        <v>1008122</v>
      </c>
      <c r="B109" s="346" t="s">
        <v>165</v>
      </c>
      <c r="C109" s="85">
        <f>PV!C109</f>
        <v>0.3</v>
      </c>
      <c r="D109" s="44" t="str">
        <f t="shared" si="9"/>
        <v>h</v>
      </c>
      <c r="E109" s="43">
        <f>IF(D109="h",PV!E109,IF(D109="M",PV!G109,PV!I109))</f>
        <v>4</v>
      </c>
      <c r="F109" s="291">
        <v>12</v>
      </c>
      <c r="G109" s="291">
        <v>16</v>
      </c>
      <c r="H109" s="291"/>
      <c r="I109" s="291"/>
      <c r="J109" s="291"/>
      <c r="K109" s="373"/>
      <c r="L109" s="331"/>
      <c r="M109" s="332"/>
      <c r="N109" s="333"/>
      <c r="O109" s="333"/>
      <c r="P109" s="334"/>
      <c r="Q109" s="275">
        <f>(K109*E109)</f>
        <v>0</v>
      </c>
      <c r="R109" s="280">
        <f>K109*C109</f>
        <v>0</v>
      </c>
      <c r="U109" s="294">
        <f t="shared" si="15"/>
        <v>0</v>
      </c>
      <c r="V109" s="301"/>
    </row>
    <row r="110" spans="1:22" s="25" customFormat="1" ht="22.5" x14ac:dyDescent="0.25">
      <c r="A110" s="381">
        <v>1008124</v>
      </c>
      <c r="B110" s="346" t="s">
        <v>166</v>
      </c>
      <c r="C110" s="85">
        <f>PV!C110</f>
        <v>0.3</v>
      </c>
      <c r="D110" s="44" t="str">
        <f t="shared" si="9"/>
        <v>h</v>
      </c>
      <c r="E110" s="43">
        <f>IF(D110="h",PV!E110,IF(D110="M",PV!G110,PV!I110))</f>
        <v>5</v>
      </c>
      <c r="F110" s="291">
        <v>36</v>
      </c>
      <c r="G110" s="291">
        <v>22</v>
      </c>
      <c r="H110" s="291"/>
      <c r="I110" s="291"/>
      <c r="J110" s="291"/>
      <c r="K110" s="373"/>
      <c r="L110" s="331"/>
      <c r="M110" s="332"/>
      <c r="N110" s="333"/>
      <c r="O110" s="333"/>
      <c r="P110" s="334"/>
      <c r="Q110" s="275">
        <f>(K110*E110)</f>
        <v>0</v>
      </c>
      <c r="R110" s="280">
        <f>K110*C110</f>
        <v>0</v>
      </c>
      <c r="U110" s="294">
        <f t="shared" si="15"/>
        <v>0</v>
      </c>
      <c r="V110" s="301"/>
    </row>
    <row r="111" spans="1:22" s="25" customFormat="1" ht="22.5" x14ac:dyDescent="0.25">
      <c r="A111" s="381">
        <v>1007683</v>
      </c>
      <c r="B111" s="346" t="s">
        <v>167</v>
      </c>
      <c r="C111" s="85">
        <f>PV!C111</f>
        <v>0.3</v>
      </c>
      <c r="D111" s="44" t="str">
        <f t="shared" si="9"/>
        <v>h</v>
      </c>
      <c r="E111" s="43">
        <f>IF(D111="h",PV!E111,IF(D111="M",PV!G111,PV!I111))</f>
        <v>1.5</v>
      </c>
      <c r="F111" s="291">
        <v>100</v>
      </c>
      <c r="G111" s="291">
        <v>347</v>
      </c>
      <c r="H111" s="291"/>
      <c r="I111" s="291"/>
      <c r="J111" s="291"/>
      <c r="K111" s="373"/>
      <c r="L111" s="331"/>
      <c r="M111" s="332"/>
      <c r="N111" s="333"/>
      <c r="O111" s="333"/>
      <c r="P111" s="334"/>
      <c r="Q111" s="275">
        <f>(K111*E111)</f>
        <v>0</v>
      </c>
      <c r="R111" s="280">
        <f>K111*C111</f>
        <v>0</v>
      </c>
      <c r="U111" s="294">
        <f t="shared" si="15"/>
        <v>0</v>
      </c>
      <c r="V111" s="301"/>
    </row>
    <row r="112" spans="1:22" s="25" customFormat="1" ht="22.5" x14ac:dyDescent="0.25">
      <c r="A112" s="381">
        <v>1008123</v>
      </c>
      <c r="B112" s="346" t="s">
        <v>168</v>
      </c>
      <c r="C112" s="85">
        <f>PV!C112</f>
        <v>0.3</v>
      </c>
      <c r="D112" s="44" t="str">
        <f t="shared" si="9"/>
        <v>h</v>
      </c>
      <c r="E112" s="43">
        <f>IF(D112="h",PV!E112,IF(D112="M",PV!G112,PV!I112))</f>
        <v>3</v>
      </c>
      <c r="F112" s="291">
        <v>18</v>
      </c>
      <c r="G112" s="291">
        <v>7</v>
      </c>
      <c r="H112" s="291"/>
      <c r="I112" s="291"/>
      <c r="J112" s="291"/>
      <c r="K112" s="373"/>
      <c r="L112" s="331"/>
      <c r="M112" s="332"/>
      <c r="N112" s="333"/>
      <c r="O112" s="333"/>
      <c r="P112" s="334"/>
      <c r="Q112" s="275">
        <f>(K112*E112)</f>
        <v>0</v>
      </c>
      <c r="R112" s="280">
        <f>K112*C112</f>
        <v>0</v>
      </c>
      <c r="U112" s="294">
        <f t="shared" si="15"/>
        <v>0</v>
      </c>
      <c r="V112" s="301"/>
    </row>
    <row r="113" spans="1:22" s="25" customFormat="1" ht="22.5" x14ac:dyDescent="0.2">
      <c r="A113" s="382"/>
      <c r="B113" s="343"/>
      <c r="C113" s="85">
        <f>PV!C113</f>
        <v>0</v>
      </c>
      <c r="D113" s="44" t="str">
        <f t="shared" si="9"/>
        <v>h</v>
      </c>
      <c r="E113" s="43">
        <f>IF(D113="h",PV!E113,IF(D113="M",PV!G113,PV!I113))</f>
        <v>0</v>
      </c>
      <c r="F113" s="291">
        <v>0</v>
      </c>
      <c r="G113" s="291">
        <v>0</v>
      </c>
      <c r="H113" s="291"/>
      <c r="I113" s="291"/>
      <c r="J113" s="291"/>
      <c r="K113" s="373"/>
      <c r="L113" s="331"/>
      <c r="M113" s="332"/>
      <c r="N113" s="333"/>
      <c r="O113" s="333"/>
      <c r="P113" s="334"/>
      <c r="Q113" s="275"/>
      <c r="R113" s="281">
        <f>SUM(R109:R112)</f>
        <v>0</v>
      </c>
      <c r="U113" s="294">
        <f t="shared" si="15"/>
        <v>0</v>
      </c>
      <c r="V113" s="301"/>
    </row>
    <row r="114" spans="1:22" ht="22.5" x14ac:dyDescent="0.25">
      <c r="A114" s="381">
        <v>949835</v>
      </c>
      <c r="B114" s="346" t="s">
        <v>179</v>
      </c>
      <c r="C114" s="85">
        <f>PV!C114</f>
        <v>0.24</v>
      </c>
      <c r="D114" s="44" t="str">
        <f t="shared" si="9"/>
        <v>h</v>
      </c>
      <c r="E114" s="43">
        <f>IF(D114="h",PV!E114,IF(D114="M",PV!G114,PV!I114))</f>
        <v>5.95</v>
      </c>
      <c r="F114" s="291">
        <v>0</v>
      </c>
      <c r="G114" s="291">
        <v>0</v>
      </c>
      <c r="H114" s="291"/>
      <c r="I114" s="291"/>
      <c r="J114" s="291"/>
      <c r="K114" s="373"/>
      <c r="L114" s="331"/>
      <c r="M114" s="332"/>
      <c r="N114" s="333"/>
      <c r="O114" s="333"/>
      <c r="P114" s="334"/>
      <c r="Q114" s="275">
        <f>(K114*E114)</f>
        <v>0</v>
      </c>
      <c r="R114" s="280">
        <f>K114*C114</f>
        <v>0</v>
      </c>
      <c r="U114" s="294">
        <f t="shared" si="15"/>
        <v>0</v>
      </c>
      <c r="V114" s="301"/>
    </row>
    <row r="115" spans="1:22" ht="22.5" x14ac:dyDescent="0.2">
      <c r="A115" s="380"/>
      <c r="B115" s="358"/>
      <c r="C115" s="85">
        <f>PV!C115</f>
        <v>0</v>
      </c>
      <c r="D115" s="44" t="str">
        <f t="shared" si="9"/>
        <v>h</v>
      </c>
      <c r="E115" s="43">
        <f>IF(D115="h",PV!E115,IF(D115="M",PV!G115,PV!I115))</f>
        <v>0</v>
      </c>
      <c r="F115" s="291">
        <v>0</v>
      </c>
      <c r="G115" s="291">
        <v>0</v>
      </c>
      <c r="H115" s="291"/>
      <c r="I115" s="291"/>
      <c r="J115" s="291"/>
      <c r="K115" s="373"/>
      <c r="L115" s="331"/>
      <c r="M115" s="332"/>
      <c r="N115" s="333"/>
      <c r="O115" s="333"/>
      <c r="P115" s="334"/>
      <c r="Q115" s="278"/>
      <c r="R115" s="281">
        <f>SUM(R114:R114)</f>
        <v>0</v>
      </c>
      <c r="U115" s="294">
        <f t="shared" si="15"/>
        <v>0</v>
      </c>
      <c r="V115" s="301"/>
    </row>
    <row r="116" spans="1:22" ht="22.5" x14ac:dyDescent="0.25">
      <c r="A116" s="381">
        <v>65916</v>
      </c>
      <c r="B116" s="359" t="s">
        <v>171</v>
      </c>
      <c r="C116" s="85">
        <f>PV!C116</f>
        <v>0.42</v>
      </c>
      <c r="D116" s="44" t="str">
        <f t="shared" si="9"/>
        <v>h</v>
      </c>
      <c r="E116" s="43">
        <f>IF(D116="h",PV!E116,IF(D116="M",PV!G116,PV!I116))</f>
        <v>11.95</v>
      </c>
      <c r="F116" s="291">
        <v>1</v>
      </c>
      <c r="G116" s="291">
        <v>0</v>
      </c>
      <c r="H116" s="291"/>
      <c r="I116" s="291"/>
      <c r="J116" s="291"/>
      <c r="K116" s="373"/>
      <c r="L116" s="331"/>
      <c r="M116" s="332"/>
      <c r="N116" s="333"/>
      <c r="O116" s="333"/>
      <c r="P116" s="334"/>
      <c r="Q116" s="275">
        <f>(K116*E116)</f>
        <v>0</v>
      </c>
      <c r="R116" s="280">
        <f>K116*C116</f>
        <v>0</v>
      </c>
      <c r="U116" s="294">
        <f t="shared" si="15"/>
        <v>0</v>
      </c>
      <c r="V116" s="301"/>
    </row>
    <row r="117" spans="1:22" s="25" customFormat="1" ht="22.5" x14ac:dyDescent="0.25">
      <c r="A117" s="381">
        <v>65898</v>
      </c>
      <c r="B117" s="359" t="s">
        <v>172</v>
      </c>
      <c r="C117" s="85">
        <f>PV!C117</f>
        <v>0.42</v>
      </c>
      <c r="D117" s="44" t="str">
        <f t="shared" si="9"/>
        <v>h</v>
      </c>
      <c r="E117" s="43">
        <f>IF(D117="h",PV!E117,IF(D117="M",PV!G117,PV!I117))</f>
        <v>12.95</v>
      </c>
      <c r="F117" s="291">
        <v>1</v>
      </c>
      <c r="G117" s="291">
        <v>0</v>
      </c>
      <c r="H117" s="291"/>
      <c r="I117" s="291"/>
      <c r="J117" s="291"/>
      <c r="K117" s="373"/>
      <c r="L117" s="331"/>
      <c r="M117" s="332"/>
      <c r="N117" s="333"/>
      <c r="O117" s="333"/>
      <c r="P117" s="334"/>
      <c r="Q117" s="275">
        <f>(K117*E117)</f>
        <v>0</v>
      </c>
      <c r="R117" s="280">
        <f>K117*C117</f>
        <v>0</v>
      </c>
      <c r="U117" s="294">
        <f t="shared" si="15"/>
        <v>0</v>
      </c>
      <c r="V117" s="301"/>
    </row>
    <row r="118" spans="1:22" s="25" customFormat="1" ht="22.5" x14ac:dyDescent="0.25">
      <c r="A118" s="381">
        <v>811956</v>
      </c>
      <c r="B118" s="359" t="s">
        <v>173</v>
      </c>
      <c r="C118" s="85">
        <f>PV!C118</f>
        <v>1.2</v>
      </c>
      <c r="D118" s="44" t="str">
        <f t="shared" si="9"/>
        <v>h</v>
      </c>
      <c r="E118" s="43">
        <f>IF(D118="h",PV!E118,IF(D118="M",PV!G118,PV!I118))</f>
        <v>29.75</v>
      </c>
      <c r="F118" s="291">
        <v>0</v>
      </c>
      <c r="G118" s="291">
        <v>0</v>
      </c>
      <c r="H118" s="291"/>
      <c r="I118" s="291"/>
      <c r="J118" s="291"/>
      <c r="K118" s="373"/>
      <c r="L118" s="331"/>
      <c r="M118" s="332"/>
      <c r="N118" s="333"/>
      <c r="O118" s="333"/>
      <c r="P118" s="334"/>
      <c r="Q118" s="275">
        <f>(K118*E118)</f>
        <v>0</v>
      </c>
      <c r="R118" s="280">
        <f>K118*C118</f>
        <v>0</v>
      </c>
      <c r="U118" s="294">
        <f t="shared" si="15"/>
        <v>0</v>
      </c>
      <c r="V118" s="301"/>
    </row>
    <row r="119" spans="1:22" s="25" customFormat="1" ht="22.5" x14ac:dyDescent="0.25">
      <c r="A119" s="381">
        <v>445249</v>
      </c>
      <c r="B119" s="359" t="s">
        <v>174</v>
      </c>
      <c r="C119" s="85">
        <f>PV!C119</f>
        <v>0.35</v>
      </c>
      <c r="D119" s="44" t="str">
        <f t="shared" si="9"/>
        <v>h</v>
      </c>
      <c r="E119" s="43">
        <f>IF(D119="h",PV!E119,IF(D119="M",PV!G119,PV!I119))</f>
        <v>8.9</v>
      </c>
      <c r="F119" s="291">
        <v>3</v>
      </c>
      <c r="G119" s="291">
        <v>1</v>
      </c>
      <c r="H119" s="291"/>
      <c r="I119" s="291"/>
      <c r="J119" s="291"/>
      <c r="K119" s="373"/>
      <c r="L119" s="331"/>
      <c r="M119" s="332"/>
      <c r="N119" s="333"/>
      <c r="O119" s="333"/>
      <c r="P119" s="334"/>
      <c r="Q119" s="275">
        <f>(K119*E119)</f>
        <v>0</v>
      </c>
      <c r="R119" s="280">
        <f>K119*C119</f>
        <v>0</v>
      </c>
      <c r="U119" s="294">
        <f t="shared" si="15"/>
        <v>0</v>
      </c>
      <c r="V119" s="301"/>
    </row>
    <row r="120" spans="1:22" ht="22.5" x14ac:dyDescent="0.25">
      <c r="A120" s="381">
        <v>65922</v>
      </c>
      <c r="B120" s="359" t="s">
        <v>74</v>
      </c>
      <c r="C120" s="85">
        <f>PV!C120</f>
        <v>0.35</v>
      </c>
      <c r="D120" s="44" t="str">
        <f t="shared" si="9"/>
        <v>h</v>
      </c>
      <c r="E120" s="43">
        <f>IF(D120="h",PV!E120,IF(D120="M",PV!G120,PV!I120))</f>
        <v>8.6999999999999993</v>
      </c>
      <c r="F120" s="291">
        <v>1</v>
      </c>
      <c r="G120" s="291">
        <v>5</v>
      </c>
      <c r="H120" s="291"/>
      <c r="I120" s="291"/>
      <c r="J120" s="291"/>
      <c r="K120" s="373"/>
      <c r="L120" s="331"/>
      <c r="M120" s="332"/>
      <c r="N120" s="333"/>
      <c r="O120" s="333"/>
      <c r="P120" s="334"/>
      <c r="Q120" s="275">
        <f>(K120*E120)</f>
        <v>0</v>
      </c>
      <c r="R120" s="280">
        <f>K120*C120</f>
        <v>0</v>
      </c>
      <c r="U120" s="294">
        <f t="shared" si="15"/>
        <v>0</v>
      </c>
      <c r="V120" s="301"/>
    </row>
    <row r="121" spans="1:22" ht="22.5" x14ac:dyDescent="0.2">
      <c r="A121" s="380"/>
      <c r="B121" s="358"/>
      <c r="C121" s="85">
        <f>PV!C121</f>
        <v>0</v>
      </c>
      <c r="D121" s="44" t="str">
        <f t="shared" si="9"/>
        <v>h</v>
      </c>
      <c r="E121" s="43">
        <f>IF(D121="h",PV!E121,IF(D121="M",PV!G121,PV!I121))</f>
        <v>0</v>
      </c>
      <c r="F121" s="291">
        <v>0</v>
      </c>
      <c r="G121" s="291">
        <v>0</v>
      </c>
      <c r="H121" s="291"/>
      <c r="I121" s="291"/>
      <c r="J121" s="291"/>
      <c r="K121" s="373"/>
      <c r="L121" s="331"/>
      <c r="M121" s="332"/>
      <c r="N121" s="333"/>
      <c r="O121" s="333"/>
      <c r="P121" s="334"/>
      <c r="Q121" s="278"/>
      <c r="R121" s="281">
        <f>SUM(R116:R120)</f>
        <v>0</v>
      </c>
      <c r="S121" s="21">
        <f>K122*10</f>
        <v>0</v>
      </c>
      <c r="T121" s="21" t="s">
        <v>189</v>
      </c>
      <c r="U121" s="294">
        <f t="shared" si="15"/>
        <v>0</v>
      </c>
      <c r="V121" s="301"/>
    </row>
    <row r="122" spans="1:22" ht="22.5" x14ac:dyDescent="0.2">
      <c r="A122" s="380">
        <v>1126414</v>
      </c>
      <c r="B122" s="358" t="s">
        <v>189</v>
      </c>
      <c r="C122" s="85">
        <f>PV!C122</f>
        <v>0.45</v>
      </c>
      <c r="D122" s="44" t="str">
        <f t="shared" si="9"/>
        <v>h</v>
      </c>
      <c r="E122" s="43">
        <f>IF(D122="h",PV!E122,IF(D122="M",PV!G122,PV!I122))</f>
        <v>11.25</v>
      </c>
      <c r="F122" s="291">
        <v>2</v>
      </c>
      <c r="G122" s="291">
        <v>0</v>
      </c>
      <c r="H122" s="291"/>
      <c r="I122" s="291"/>
      <c r="J122" s="291"/>
      <c r="K122" s="373"/>
      <c r="L122" s="331"/>
      <c r="M122" s="332"/>
      <c r="N122" s="333"/>
      <c r="O122" s="333"/>
      <c r="P122" s="334"/>
      <c r="Q122" s="275">
        <f t="shared" ref="Q122:Q152" si="16">(K122*E122)</f>
        <v>0</v>
      </c>
      <c r="R122" s="286">
        <f t="shared" ref="R122:R152" si="17">K122*C122</f>
        <v>0</v>
      </c>
      <c r="S122" s="21">
        <f>(K123*2)+(K124*5)+(K125*8)+(K138*4)+K137</f>
        <v>0</v>
      </c>
      <c r="T122" s="21" t="s">
        <v>99</v>
      </c>
      <c r="U122" s="294">
        <f t="shared" si="15"/>
        <v>0</v>
      </c>
      <c r="V122" s="301"/>
    </row>
    <row r="123" spans="1:22" s="25" customFormat="1" ht="20.100000000000001" customHeight="1" x14ac:dyDescent="0.25">
      <c r="A123" s="335">
        <v>65842</v>
      </c>
      <c r="B123" s="360" t="s">
        <v>55</v>
      </c>
      <c r="C123" s="85">
        <f>PV!C123</f>
        <v>0.16</v>
      </c>
      <c r="D123" s="44" t="str">
        <f t="shared" si="9"/>
        <v>h</v>
      </c>
      <c r="E123" s="43">
        <f>IF(D123="h",PV!E123,IF(D123="M",PV!G123,PV!I123))</f>
        <v>5.5</v>
      </c>
      <c r="F123" s="291">
        <v>22</v>
      </c>
      <c r="G123" s="291">
        <v>28</v>
      </c>
      <c r="H123" s="291"/>
      <c r="I123" s="291"/>
      <c r="J123" s="291"/>
      <c r="K123" s="373"/>
      <c r="L123" s="331"/>
      <c r="M123" s="332"/>
      <c r="N123" s="333"/>
      <c r="O123" s="333"/>
      <c r="P123" s="334"/>
      <c r="Q123" s="275">
        <f t="shared" si="16"/>
        <v>0</v>
      </c>
      <c r="R123" s="286">
        <f t="shared" si="17"/>
        <v>0</v>
      </c>
      <c r="S123" s="25">
        <f>(K127*2)+(K128*5)+(K129*8)+(K138*4)+K137</f>
        <v>0</v>
      </c>
      <c r="T123" s="25" t="s">
        <v>100</v>
      </c>
      <c r="U123" s="294">
        <f t="shared" si="15"/>
        <v>0</v>
      </c>
      <c r="V123" s="301"/>
    </row>
    <row r="124" spans="1:22" s="25" customFormat="1" ht="20.100000000000001" customHeight="1" x14ac:dyDescent="0.25">
      <c r="A124" s="335">
        <v>65902</v>
      </c>
      <c r="B124" s="360" t="s">
        <v>57</v>
      </c>
      <c r="C124" s="85">
        <f>PV!C124</f>
        <v>0.4</v>
      </c>
      <c r="D124" s="44" t="str">
        <f t="shared" si="9"/>
        <v>h</v>
      </c>
      <c r="E124" s="43">
        <f>IF(D124="h",PV!E124,IF(D124="M",PV!G124,PV!I124))</f>
        <v>10.5</v>
      </c>
      <c r="F124" s="291">
        <v>46</v>
      </c>
      <c r="G124" s="291">
        <v>0</v>
      </c>
      <c r="H124" s="291"/>
      <c r="I124" s="291"/>
      <c r="J124" s="291"/>
      <c r="K124" s="373"/>
      <c r="L124" s="331"/>
      <c r="M124" s="332"/>
      <c r="N124" s="333"/>
      <c r="O124" s="333"/>
      <c r="P124" s="334"/>
      <c r="Q124" s="275">
        <f t="shared" si="16"/>
        <v>0</v>
      </c>
      <c r="R124" s="286">
        <f t="shared" si="17"/>
        <v>0</v>
      </c>
      <c r="S124" s="25">
        <f>(K131*2)+(K132*5)+(K133*8)</f>
        <v>0</v>
      </c>
      <c r="T124" s="25" t="s">
        <v>101</v>
      </c>
      <c r="U124" s="294">
        <f t="shared" si="15"/>
        <v>0</v>
      </c>
      <c r="V124" s="301"/>
    </row>
    <row r="125" spans="1:22" s="25" customFormat="1" ht="20.100000000000001" customHeight="1" x14ac:dyDescent="0.25">
      <c r="A125" s="335">
        <v>905815</v>
      </c>
      <c r="B125" s="360" t="s">
        <v>182</v>
      </c>
      <c r="C125" s="85">
        <f>PV!C125</f>
        <v>0.64</v>
      </c>
      <c r="D125" s="44" t="str">
        <f t="shared" si="9"/>
        <v>h</v>
      </c>
      <c r="E125" s="43">
        <f>IF(D125="h",PV!E125,IF(D125="M",PV!G125,PV!I125))</f>
        <v>15.55</v>
      </c>
      <c r="F125" s="291">
        <v>31</v>
      </c>
      <c r="G125" s="291">
        <v>130</v>
      </c>
      <c r="H125" s="291"/>
      <c r="I125" s="291"/>
      <c r="J125" s="291"/>
      <c r="K125" s="373"/>
      <c r="L125" s="331"/>
      <c r="M125" s="332"/>
      <c r="N125" s="333"/>
      <c r="O125" s="333"/>
      <c r="P125" s="334"/>
      <c r="Q125" s="275">
        <f t="shared" si="16"/>
        <v>0</v>
      </c>
      <c r="R125" s="286">
        <f t="shared" si="17"/>
        <v>0</v>
      </c>
      <c r="S125" s="25">
        <f>(K134*2)+(K135*5)+(K136*8)</f>
        <v>0</v>
      </c>
      <c r="T125" s="25" t="s">
        <v>209</v>
      </c>
      <c r="U125" s="294">
        <f t="shared" si="15"/>
        <v>0</v>
      </c>
      <c r="V125" s="301"/>
    </row>
    <row r="126" spans="1:22" s="25" customFormat="1" ht="20.100000000000001" customHeight="1" x14ac:dyDescent="0.25">
      <c r="A126" s="335">
        <v>1126415</v>
      </c>
      <c r="B126" s="360" t="s">
        <v>296</v>
      </c>
      <c r="C126" s="85">
        <f>PV!C126</f>
        <v>0.45</v>
      </c>
      <c r="D126" s="44" t="str">
        <f t="shared" si="9"/>
        <v>h</v>
      </c>
      <c r="E126" s="43">
        <f>IF(D126="h",PV!E126,IF(D126="M",PV!G126,PV!I126))</f>
        <v>12.5</v>
      </c>
      <c r="F126" s="291">
        <v>0</v>
      </c>
      <c r="G126" s="291">
        <v>0</v>
      </c>
      <c r="H126" s="291"/>
      <c r="I126" s="291"/>
      <c r="J126" s="291"/>
      <c r="K126" s="373"/>
      <c r="L126" s="331"/>
      <c r="M126" s="332"/>
      <c r="N126" s="333"/>
      <c r="O126" s="333"/>
      <c r="P126" s="334"/>
      <c r="Q126" s="275">
        <f t="shared" si="16"/>
        <v>0</v>
      </c>
      <c r="R126" s="286">
        <f t="shared" si="17"/>
        <v>0</v>
      </c>
      <c r="S126" s="25">
        <f>(K126*10)</f>
        <v>0</v>
      </c>
      <c r="T126" s="25" t="s">
        <v>212</v>
      </c>
      <c r="U126" s="294">
        <f t="shared" si="15"/>
        <v>0</v>
      </c>
      <c r="V126" s="301"/>
    </row>
    <row r="127" spans="1:22" s="25" customFormat="1" ht="20.100000000000001" customHeight="1" x14ac:dyDescent="0.25">
      <c r="A127" s="335">
        <v>65907</v>
      </c>
      <c r="B127" s="360" t="s">
        <v>261</v>
      </c>
      <c r="C127" s="85">
        <f>PV!C127</f>
        <v>0.16</v>
      </c>
      <c r="D127" s="44" t="str">
        <f t="shared" si="9"/>
        <v>h</v>
      </c>
      <c r="E127" s="43">
        <f>IF(D127="h",PV!E127,IF(D127="M",PV!G127,PV!I127))</f>
        <v>6.25</v>
      </c>
      <c r="F127" s="291">
        <v>36</v>
      </c>
      <c r="G127" s="291">
        <v>18</v>
      </c>
      <c r="H127" s="291"/>
      <c r="I127" s="291"/>
      <c r="J127" s="291"/>
      <c r="K127" s="373"/>
      <c r="L127" s="331"/>
      <c r="M127" s="332"/>
      <c r="N127" s="333"/>
      <c r="O127" s="333"/>
      <c r="P127" s="334"/>
      <c r="Q127" s="275">
        <f t="shared" si="16"/>
        <v>0</v>
      </c>
      <c r="R127" s="286">
        <f t="shared" si="17"/>
        <v>0</v>
      </c>
      <c r="S127" s="25">
        <f>(K130*10)</f>
        <v>0</v>
      </c>
      <c r="T127" s="25" t="s">
        <v>213</v>
      </c>
      <c r="U127" s="294">
        <f t="shared" si="15"/>
        <v>0</v>
      </c>
      <c r="V127" s="301"/>
    </row>
    <row r="128" spans="1:22" s="25" customFormat="1" ht="20.100000000000001" customHeight="1" x14ac:dyDescent="0.25">
      <c r="A128" s="335">
        <v>65909</v>
      </c>
      <c r="B128" s="360" t="s">
        <v>262</v>
      </c>
      <c r="C128" s="85">
        <f>PV!C128</f>
        <v>0.4</v>
      </c>
      <c r="D128" s="44" t="str">
        <f t="shared" si="9"/>
        <v>h</v>
      </c>
      <c r="E128" s="43">
        <f>IF(D128="h",PV!E128,IF(D128="M",PV!G128,PV!I128))</f>
        <v>11.75</v>
      </c>
      <c r="F128" s="291">
        <v>16</v>
      </c>
      <c r="G128" s="291">
        <v>0</v>
      </c>
      <c r="H128" s="291"/>
      <c r="I128" s="291"/>
      <c r="J128" s="291"/>
      <c r="K128" s="373"/>
      <c r="L128" s="331"/>
      <c r="M128" s="332"/>
      <c r="N128" s="333"/>
      <c r="O128" s="333"/>
      <c r="P128" s="334"/>
      <c r="Q128" s="275">
        <f t="shared" si="16"/>
        <v>0</v>
      </c>
      <c r="R128" s="286">
        <f t="shared" si="17"/>
        <v>0</v>
      </c>
      <c r="S128" s="25">
        <f>K139*10</f>
        <v>0</v>
      </c>
      <c r="T128" s="25" t="s">
        <v>214</v>
      </c>
      <c r="U128" s="294">
        <f t="shared" si="15"/>
        <v>0</v>
      </c>
      <c r="V128" s="301"/>
    </row>
    <row r="129" spans="1:22" s="25" customFormat="1" ht="20.100000000000001" customHeight="1" x14ac:dyDescent="0.25">
      <c r="A129" s="335">
        <v>905816</v>
      </c>
      <c r="B129" s="360" t="s">
        <v>184</v>
      </c>
      <c r="C129" s="85">
        <f>PV!C129</f>
        <v>0.64</v>
      </c>
      <c r="D129" s="44" t="str">
        <f t="shared" si="9"/>
        <v>h</v>
      </c>
      <c r="E129" s="43">
        <f>IF(D129="h",PV!E129,IF(D129="M",PV!G129,PV!I129))</f>
        <v>15.85</v>
      </c>
      <c r="F129" s="291">
        <v>138</v>
      </c>
      <c r="G129" s="291">
        <v>18</v>
      </c>
      <c r="H129" s="291"/>
      <c r="I129" s="291"/>
      <c r="J129" s="291"/>
      <c r="K129" s="373"/>
      <c r="L129" s="331"/>
      <c r="M129" s="332"/>
      <c r="N129" s="333"/>
      <c r="O129" s="333"/>
      <c r="P129" s="334"/>
      <c r="Q129" s="275">
        <f t="shared" si="16"/>
        <v>0</v>
      </c>
      <c r="R129" s="286">
        <f t="shared" si="17"/>
        <v>0</v>
      </c>
      <c r="S129" s="25">
        <f>(K148*2)+(K149*4)</f>
        <v>0</v>
      </c>
      <c r="T129" s="25" t="s">
        <v>219</v>
      </c>
      <c r="U129" s="294">
        <f t="shared" si="15"/>
        <v>0</v>
      </c>
      <c r="V129" s="301"/>
    </row>
    <row r="130" spans="1:22" s="25" customFormat="1" ht="20.100000000000001" customHeight="1" x14ac:dyDescent="0.25">
      <c r="A130" s="335">
        <v>1126416</v>
      </c>
      <c r="B130" s="360" t="s">
        <v>188</v>
      </c>
      <c r="C130" s="85">
        <f>PV!C130</f>
        <v>0.45</v>
      </c>
      <c r="D130" s="44" t="str">
        <f t="shared" si="9"/>
        <v>h</v>
      </c>
      <c r="E130" s="43">
        <f>IF(D130="h",PV!E130,IF(D130="M",PV!G130,PV!I130))</f>
        <v>12.5</v>
      </c>
      <c r="F130" s="291">
        <v>0</v>
      </c>
      <c r="G130" s="291">
        <v>0</v>
      </c>
      <c r="H130" s="291"/>
      <c r="I130" s="291"/>
      <c r="J130" s="291"/>
      <c r="K130" s="373"/>
      <c r="L130" s="331"/>
      <c r="M130" s="332"/>
      <c r="N130" s="333"/>
      <c r="O130" s="333"/>
      <c r="P130" s="334"/>
      <c r="Q130" s="275">
        <f t="shared" si="16"/>
        <v>0</v>
      </c>
      <c r="R130" s="286">
        <f t="shared" si="17"/>
        <v>0</v>
      </c>
      <c r="T130" s="25" t="s">
        <v>215</v>
      </c>
      <c r="U130" s="294">
        <f t="shared" si="15"/>
        <v>0</v>
      </c>
      <c r="V130" s="301"/>
    </row>
    <row r="131" spans="1:22" s="25" customFormat="1" ht="20.100000000000001" customHeight="1" x14ac:dyDescent="0.25">
      <c r="A131" s="335">
        <v>65920</v>
      </c>
      <c r="B131" s="360" t="s">
        <v>60</v>
      </c>
      <c r="C131" s="85">
        <f>PV!C131</f>
        <v>0.16</v>
      </c>
      <c r="D131" s="44" t="str">
        <f t="shared" si="9"/>
        <v>h</v>
      </c>
      <c r="E131" s="43">
        <f>IF(D131="h",PV!E131,IF(D131="M",PV!G131,PV!I131))</f>
        <v>6.75</v>
      </c>
      <c r="F131" s="291">
        <v>39</v>
      </c>
      <c r="G131" s="291">
        <v>12</v>
      </c>
      <c r="H131" s="291"/>
      <c r="I131" s="291"/>
      <c r="J131" s="291"/>
      <c r="K131" s="373"/>
      <c r="L131" s="331"/>
      <c r="M131" s="332"/>
      <c r="N131" s="333"/>
      <c r="O131" s="333"/>
      <c r="P131" s="334"/>
      <c r="Q131" s="275">
        <f t="shared" si="16"/>
        <v>0</v>
      </c>
      <c r="R131" s="286">
        <f t="shared" si="17"/>
        <v>0</v>
      </c>
      <c r="S131" s="25">
        <f>K152</f>
        <v>0</v>
      </c>
      <c r="T131" s="25" t="s">
        <v>216</v>
      </c>
      <c r="U131" s="294">
        <f t="shared" ref="U131:U153" si="18">K131-L131</f>
        <v>0</v>
      </c>
      <c r="V131" s="301"/>
    </row>
    <row r="132" spans="1:22" s="25" customFormat="1" ht="19.5" customHeight="1" x14ac:dyDescent="0.25">
      <c r="A132" s="335">
        <v>65921</v>
      </c>
      <c r="B132" s="360" t="s">
        <v>61</v>
      </c>
      <c r="C132" s="85">
        <f>PV!C132</f>
        <v>0.4</v>
      </c>
      <c r="D132" s="44" t="str">
        <f t="shared" si="9"/>
        <v>h</v>
      </c>
      <c r="E132" s="43">
        <f>IF(D132="h",PV!E132,IF(D132="M",PV!G132,PV!I132))</f>
        <v>12.75</v>
      </c>
      <c r="F132" s="291">
        <v>34</v>
      </c>
      <c r="G132" s="291">
        <v>0</v>
      </c>
      <c r="H132" s="291"/>
      <c r="I132" s="291"/>
      <c r="J132" s="291"/>
      <c r="K132" s="373"/>
      <c r="L132" s="331"/>
      <c r="M132" s="332"/>
      <c r="N132" s="333"/>
      <c r="O132" s="333"/>
      <c r="P132" s="334"/>
      <c r="Q132" s="275">
        <f t="shared" si="16"/>
        <v>0</v>
      </c>
      <c r="R132" s="286">
        <f t="shared" si="17"/>
        <v>0</v>
      </c>
      <c r="S132" s="25" t="e">
        <f>#REF!</f>
        <v>#REF!</v>
      </c>
      <c r="T132" s="25" t="s">
        <v>217</v>
      </c>
      <c r="U132" s="294">
        <f t="shared" si="18"/>
        <v>0</v>
      </c>
      <c r="V132" s="301"/>
    </row>
    <row r="133" spans="1:22" s="25" customFormat="1" ht="19.5" customHeight="1" x14ac:dyDescent="0.25">
      <c r="A133" s="335">
        <v>905817</v>
      </c>
      <c r="B133" s="360" t="s">
        <v>185</v>
      </c>
      <c r="C133" s="85">
        <f>PV!C133</f>
        <v>0.64</v>
      </c>
      <c r="D133" s="44" t="str">
        <f t="shared" si="9"/>
        <v>h</v>
      </c>
      <c r="E133" s="43">
        <f>IF(D133="h",PV!E133,IF(D133="M",PV!G133,PV!I133))</f>
        <v>17.95</v>
      </c>
      <c r="F133" s="291">
        <v>10</v>
      </c>
      <c r="G133" s="291">
        <v>14</v>
      </c>
      <c r="H133" s="291"/>
      <c r="I133" s="291"/>
      <c r="J133" s="291"/>
      <c r="K133" s="373"/>
      <c r="L133" s="331"/>
      <c r="M133" s="332"/>
      <c r="N133" s="333"/>
      <c r="O133" s="333"/>
      <c r="P133" s="334"/>
      <c r="Q133" s="275">
        <f t="shared" si="16"/>
        <v>0</v>
      </c>
      <c r="R133" s="286">
        <f t="shared" si="17"/>
        <v>0</v>
      </c>
      <c r="S133" s="25" t="e">
        <f>#REF!</f>
        <v>#REF!</v>
      </c>
      <c r="T133" s="25" t="s">
        <v>218</v>
      </c>
      <c r="U133" s="294">
        <f t="shared" si="18"/>
        <v>0</v>
      </c>
      <c r="V133" s="301"/>
    </row>
    <row r="134" spans="1:22" s="25" customFormat="1" ht="20.100000000000001" customHeight="1" x14ac:dyDescent="0.25">
      <c r="A134" s="335">
        <v>65918</v>
      </c>
      <c r="B134" s="360" t="s">
        <v>62</v>
      </c>
      <c r="C134" s="85">
        <f>PV!C134</f>
        <v>0.16</v>
      </c>
      <c r="D134" s="44" t="str">
        <f t="shared" si="9"/>
        <v>h</v>
      </c>
      <c r="E134" s="43">
        <f>IF(D134="h",PV!E134,IF(D134="M",PV!G134,PV!I134))</f>
        <v>5.95</v>
      </c>
      <c r="F134" s="291">
        <v>12</v>
      </c>
      <c r="G134" s="291">
        <v>6</v>
      </c>
      <c r="H134" s="291"/>
      <c r="I134" s="291"/>
      <c r="J134" s="291"/>
      <c r="K134" s="373"/>
      <c r="L134" s="331"/>
      <c r="M134" s="332"/>
      <c r="N134" s="333"/>
      <c r="O134" s="333"/>
      <c r="P134" s="334"/>
      <c r="Q134" s="275">
        <f t="shared" si="16"/>
        <v>0</v>
      </c>
      <c r="R134" s="286">
        <f t="shared" si="17"/>
        <v>0</v>
      </c>
      <c r="S134" s="25">
        <f>(K144*2)+(K145*5)</f>
        <v>0</v>
      </c>
      <c r="T134" s="25" t="s">
        <v>220</v>
      </c>
      <c r="U134" s="294">
        <f t="shared" si="18"/>
        <v>0</v>
      </c>
      <c r="V134" s="301"/>
    </row>
    <row r="135" spans="1:22" s="25" customFormat="1" ht="20.100000000000001" customHeight="1" x14ac:dyDescent="0.25">
      <c r="A135" s="335">
        <v>65919</v>
      </c>
      <c r="B135" s="360" t="s">
        <v>63</v>
      </c>
      <c r="C135" s="85">
        <f>PV!C135</f>
        <v>0.64</v>
      </c>
      <c r="D135" s="44" t="str">
        <f t="shared" ref="D135:D152" si="19">D134</f>
        <v>h</v>
      </c>
      <c r="E135" s="43">
        <f>IF(D135="h",PV!E135,IF(D135="M",PV!G135,PV!I135))</f>
        <v>10.65</v>
      </c>
      <c r="F135" s="291">
        <v>7</v>
      </c>
      <c r="G135" s="291">
        <v>0</v>
      </c>
      <c r="H135" s="291"/>
      <c r="I135" s="291"/>
      <c r="J135" s="291"/>
      <c r="K135" s="373"/>
      <c r="L135" s="331"/>
      <c r="M135" s="332"/>
      <c r="N135" s="333"/>
      <c r="O135" s="333"/>
      <c r="P135" s="334"/>
      <c r="Q135" s="275">
        <f t="shared" si="16"/>
        <v>0</v>
      </c>
      <c r="R135" s="286">
        <f t="shared" si="17"/>
        <v>0</v>
      </c>
      <c r="S135" s="25">
        <f>(K146*2)+(K147*5)</f>
        <v>0</v>
      </c>
      <c r="T135" s="25" t="s">
        <v>222</v>
      </c>
      <c r="U135" s="294">
        <f t="shared" si="18"/>
        <v>0</v>
      </c>
      <c r="V135" s="301"/>
    </row>
    <row r="136" spans="1:22" s="25" customFormat="1" ht="20.100000000000001" customHeight="1" x14ac:dyDescent="0.25">
      <c r="A136" s="335">
        <v>905818</v>
      </c>
      <c r="B136" s="360" t="s">
        <v>186</v>
      </c>
      <c r="C136" s="85">
        <f>PV!C136</f>
        <v>0.64</v>
      </c>
      <c r="D136" s="44" t="str">
        <f t="shared" si="19"/>
        <v>h</v>
      </c>
      <c r="E136" s="43">
        <f>IF(D136="h",PV!E136,IF(D136="M",PV!G136,PV!I136))</f>
        <v>15.9</v>
      </c>
      <c r="F136" s="291">
        <v>4</v>
      </c>
      <c r="G136" s="291">
        <v>8</v>
      </c>
      <c r="H136" s="291"/>
      <c r="I136" s="291"/>
      <c r="J136" s="291"/>
      <c r="K136" s="373"/>
      <c r="L136" s="331"/>
      <c r="M136" s="332"/>
      <c r="N136" s="333"/>
      <c r="O136" s="333"/>
      <c r="P136" s="334"/>
      <c r="Q136" s="275">
        <f t="shared" si="16"/>
        <v>0</v>
      </c>
      <c r="R136" s="286">
        <f t="shared" si="17"/>
        <v>0</v>
      </c>
      <c r="S136" s="25">
        <f>(K140*2)+(K141*4)</f>
        <v>0</v>
      </c>
      <c r="T136" s="25" t="s">
        <v>221</v>
      </c>
      <c r="U136" s="294">
        <f t="shared" si="18"/>
        <v>0</v>
      </c>
      <c r="V136" s="301"/>
    </row>
    <row r="137" spans="1:22" s="25" customFormat="1" ht="20.100000000000001" customHeight="1" x14ac:dyDescent="0.25">
      <c r="A137" s="335">
        <v>970195</v>
      </c>
      <c r="B137" s="360" t="s">
        <v>298</v>
      </c>
      <c r="C137" s="85">
        <f>PV!C137</f>
        <v>0.16</v>
      </c>
      <c r="D137" s="44" t="str">
        <f t="shared" si="19"/>
        <v>h</v>
      </c>
      <c r="E137" s="43">
        <f>IF(D137="h",PV!E137,IF(D137="M",PV!G137,PV!I137))</f>
        <v>5.75</v>
      </c>
      <c r="F137" s="291">
        <v>0</v>
      </c>
      <c r="G137" s="291">
        <v>0</v>
      </c>
      <c r="H137" s="291"/>
      <c r="I137" s="291"/>
      <c r="J137" s="291"/>
      <c r="K137" s="373"/>
      <c r="L137" s="331"/>
      <c r="M137" s="332"/>
      <c r="N137" s="333"/>
      <c r="O137" s="333"/>
      <c r="P137" s="334"/>
      <c r="Q137" s="275">
        <f t="shared" si="16"/>
        <v>0</v>
      </c>
      <c r="R137" s="286">
        <f t="shared" si="17"/>
        <v>0</v>
      </c>
      <c r="S137" s="25">
        <f>K119*5</f>
        <v>0</v>
      </c>
      <c r="T137" s="25" t="s">
        <v>174</v>
      </c>
      <c r="U137" s="294">
        <f t="shared" si="18"/>
        <v>0</v>
      </c>
      <c r="V137" s="301"/>
    </row>
    <row r="138" spans="1:22" s="25" customFormat="1" ht="20.100000000000001" customHeight="1" x14ac:dyDescent="0.25">
      <c r="A138" s="335">
        <v>905820</v>
      </c>
      <c r="B138" s="360" t="s">
        <v>297</v>
      </c>
      <c r="C138" s="85">
        <f>PV!C138</f>
        <v>0.64</v>
      </c>
      <c r="D138" s="44" t="str">
        <f t="shared" si="19"/>
        <v>h</v>
      </c>
      <c r="E138" s="43">
        <f>IF(D138="h",PV!E138,IF(D138="M",PV!G138,PV!I138))</f>
        <v>15.55</v>
      </c>
      <c r="F138" s="291">
        <v>0</v>
      </c>
      <c r="G138" s="291">
        <v>6</v>
      </c>
      <c r="H138" s="291"/>
      <c r="I138" s="291"/>
      <c r="J138" s="291"/>
      <c r="K138" s="373"/>
      <c r="L138" s="331"/>
      <c r="M138" s="332"/>
      <c r="N138" s="333"/>
      <c r="O138" s="333"/>
      <c r="P138" s="334"/>
      <c r="Q138" s="275">
        <f t="shared" si="16"/>
        <v>0</v>
      </c>
      <c r="R138" s="286">
        <f t="shared" si="17"/>
        <v>0</v>
      </c>
      <c r="S138" s="25">
        <f>K120*5</f>
        <v>0</v>
      </c>
      <c r="T138" s="25" t="s">
        <v>74</v>
      </c>
      <c r="U138" s="294">
        <f t="shared" si="18"/>
        <v>0</v>
      </c>
      <c r="V138" s="301"/>
    </row>
    <row r="139" spans="1:22" s="25" customFormat="1" ht="19.5" customHeight="1" x14ac:dyDescent="0.25">
      <c r="A139" s="335">
        <v>1126417</v>
      </c>
      <c r="B139" s="360" t="s">
        <v>187</v>
      </c>
      <c r="C139" s="85">
        <f>PV!C139</f>
        <v>0.45</v>
      </c>
      <c r="D139" s="44" t="str">
        <f t="shared" si="19"/>
        <v>h</v>
      </c>
      <c r="E139" s="43">
        <f>IF(D139="h",PV!E139,IF(D139="M",PV!G139,PV!I139))</f>
        <v>9.9499999999999993</v>
      </c>
      <c r="F139" s="291">
        <v>0</v>
      </c>
      <c r="G139" s="291">
        <v>0</v>
      </c>
      <c r="H139" s="291"/>
      <c r="I139" s="291"/>
      <c r="J139" s="291"/>
      <c r="K139" s="373"/>
      <c r="L139" s="331"/>
      <c r="M139" s="332"/>
      <c r="N139" s="333"/>
      <c r="O139" s="333"/>
      <c r="P139" s="334"/>
      <c r="Q139" s="275">
        <f t="shared" si="16"/>
        <v>0</v>
      </c>
      <c r="R139" s="286">
        <f t="shared" si="17"/>
        <v>0</v>
      </c>
      <c r="U139" s="294">
        <f t="shared" si="18"/>
        <v>0</v>
      </c>
      <c r="V139" s="301"/>
    </row>
    <row r="140" spans="1:22" s="25" customFormat="1" ht="20.100000000000001" customHeight="1" x14ac:dyDescent="0.25">
      <c r="A140" s="335">
        <v>67493</v>
      </c>
      <c r="B140" s="360" t="s">
        <v>64</v>
      </c>
      <c r="C140" s="85">
        <f>PV!C140</f>
        <v>0.16</v>
      </c>
      <c r="D140" s="44" t="str">
        <f t="shared" si="19"/>
        <v>h</v>
      </c>
      <c r="E140" s="43">
        <f>IF(D140="h",PV!E140,IF(D140="M",PV!G140,PV!I140))</f>
        <v>6.75</v>
      </c>
      <c r="F140" s="291">
        <v>14</v>
      </c>
      <c r="G140" s="291">
        <v>10</v>
      </c>
      <c r="H140" s="291"/>
      <c r="I140" s="291"/>
      <c r="J140" s="291"/>
      <c r="K140" s="373"/>
      <c r="L140" s="331"/>
      <c r="M140" s="332"/>
      <c r="N140" s="333"/>
      <c r="O140" s="333"/>
      <c r="P140" s="334"/>
      <c r="Q140" s="275">
        <f t="shared" si="16"/>
        <v>0</v>
      </c>
      <c r="R140" s="286">
        <f t="shared" si="17"/>
        <v>0</v>
      </c>
      <c r="U140" s="294">
        <f t="shared" si="18"/>
        <v>0</v>
      </c>
      <c r="V140" s="301"/>
    </row>
    <row r="141" spans="1:22" s="25" customFormat="1" ht="18.75" customHeight="1" x14ac:dyDescent="0.25">
      <c r="A141" s="335">
        <v>65906</v>
      </c>
      <c r="B141" s="360" t="s">
        <v>65</v>
      </c>
      <c r="C141" s="85">
        <f>PV!C141</f>
        <v>0.24</v>
      </c>
      <c r="D141" s="44" t="str">
        <f t="shared" si="19"/>
        <v>h</v>
      </c>
      <c r="E141" s="43">
        <f>IF(D141="h",PV!E141,IF(D141="M",PV!G141,PV!I141))</f>
        <v>12.5</v>
      </c>
      <c r="F141" s="291">
        <v>10</v>
      </c>
      <c r="G141" s="291">
        <v>9</v>
      </c>
      <c r="H141" s="291"/>
      <c r="I141" s="291"/>
      <c r="J141" s="291"/>
      <c r="K141" s="373"/>
      <c r="L141" s="331"/>
      <c r="M141" s="332"/>
      <c r="N141" s="333"/>
      <c r="O141" s="333"/>
      <c r="P141" s="334"/>
      <c r="Q141" s="275">
        <f t="shared" si="16"/>
        <v>0</v>
      </c>
      <c r="R141" s="286">
        <f t="shared" si="17"/>
        <v>0</v>
      </c>
      <c r="U141" s="294">
        <f t="shared" si="18"/>
        <v>0</v>
      </c>
      <c r="V141" s="301"/>
    </row>
    <row r="142" spans="1:22" s="25" customFormat="1" ht="19.5" customHeight="1" x14ac:dyDescent="0.25">
      <c r="A142" s="335">
        <v>270422</v>
      </c>
      <c r="B142" s="360" t="s">
        <v>66</v>
      </c>
      <c r="C142" s="85">
        <f>PV!C142</f>
        <v>0.24</v>
      </c>
      <c r="D142" s="44" t="str">
        <f t="shared" si="19"/>
        <v>h</v>
      </c>
      <c r="E142" s="43">
        <f>IF(D142="h",PV!E142,IF(D142="M",PV!G142,PV!I142))</f>
        <v>5.95</v>
      </c>
      <c r="F142" s="291">
        <v>8</v>
      </c>
      <c r="G142" s="291">
        <v>10</v>
      </c>
      <c r="H142" s="291"/>
      <c r="I142" s="291"/>
      <c r="J142" s="291"/>
      <c r="K142" s="373"/>
      <c r="L142" s="331"/>
      <c r="M142" s="332"/>
      <c r="N142" s="333"/>
      <c r="O142" s="333"/>
      <c r="P142" s="334"/>
      <c r="Q142" s="275">
        <f t="shared" si="16"/>
        <v>0</v>
      </c>
      <c r="R142" s="286">
        <f t="shared" si="17"/>
        <v>0</v>
      </c>
      <c r="U142" s="294">
        <f t="shared" si="18"/>
        <v>0</v>
      </c>
      <c r="V142" s="301"/>
    </row>
    <row r="143" spans="1:22" s="25" customFormat="1" ht="20.100000000000001" customHeight="1" x14ac:dyDescent="0.25">
      <c r="A143" s="335">
        <v>67778</v>
      </c>
      <c r="B143" s="360" t="s">
        <v>67</v>
      </c>
      <c r="C143" s="85">
        <f>PV!C143</f>
        <v>0.6</v>
      </c>
      <c r="D143" s="44" t="str">
        <f t="shared" si="19"/>
        <v>h</v>
      </c>
      <c r="E143" s="43">
        <f>IF(D143="h",PV!E143,IF(D143="M",PV!G143,PV!I143))</f>
        <v>10.95</v>
      </c>
      <c r="F143" s="291">
        <v>13</v>
      </c>
      <c r="G143" s="291">
        <v>0</v>
      </c>
      <c r="H143" s="291"/>
      <c r="I143" s="291"/>
      <c r="J143" s="291"/>
      <c r="K143" s="373"/>
      <c r="L143" s="331"/>
      <c r="M143" s="332"/>
      <c r="N143" s="333"/>
      <c r="O143" s="333"/>
      <c r="P143" s="334"/>
      <c r="Q143" s="275">
        <f t="shared" si="16"/>
        <v>0</v>
      </c>
      <c r="R143" s="286">
        <f t="shared" si="17"/>
        <v>0</v>
      </c>
      <c r="U143" s="294">
        <f t="shared" si="18"/>
        <v>0</v>
      </c>
      <c r="V143" s="301"/>
    </row>
    <row r="144" spans="1:22" s="25" customFormat="1" ht="20.100000000000001" customHeight="1" x14ac:dyDescent="0.25">
      <c r="A144" s="335">
        <v>1039726</v>
      </c>
      <c r="B144" s="360" t="s">
        <v>193</v>
      </c>
      <c r="C144" s="85">
        <f>PV!C144</f>
        <v>0.24</v>
      </c>
      <c r="D144" s="44" t="str">
        <f t="shared" si="19"/>
        <v>h</v>
      </c>
      <c r="E144" s="43">
        <f>IF(D144="h",PV!E144,IF(D144="M",PV!G144,PV!I144))</f>
        <v>5.95</v>
      </c>
      <c r="F144" s="291">
        <v>0</v>
      </c>
      <c r="G144" s="291">
        <v>0</v>
      </c>
      <c r="H144" s="291"/>
      <c r="I144" s="291"/>
      <c r="J144" s="291"/>
      <c r="K144" s="373"/>
      <c r="L144" s="331"/>
      <c r="M144" s="332"/>
      <c r="N144" s="333"/>
      <c r="O144" s="333"/>
      <c r="P144" s="334"/>
      <c r="Q144" s="275">
        <f t="shared" si="16"/>
        <v>0</v>
      </c>
      <c r="R144" s="286">
        <f t="shared" si="17"/>
        <v>0</v>
      </c>
      <c r="U144" s="294">
        <f t="shared" si="18"/>
        <v>0</v>
      </c>
      <c r="V144" s="301"/>
    </row>
    <row r="145" spans="1:22" s="25" customFormat="1" ht="20.100000000000001" customHeight="1" x14ac:dyDescent="0.25">
      <c r="A145" s="335">
        <v>1039725</v>
      </c>
      <c r="B145" s="360" t="s">
        <v>194</v>
      </c>
      <c r="C145" s="85">
        <f>PV!C145</f>
        <v>0.6</v>
      </c>
      <c r="D145" s="44" t="str">
        <f t="shared" si="19"/>
        <v>h</v>
      </c>
      <c r="E145" s="43">
        <f>IF(D145="h",PV!E145,IF(D145="M",PV!G145,PV!I145))</f>
        <v>10.95</v>
      </c>
      <c r="F145" s="291">
        <v>3</v>
      </c>
      <c r="G145" s="291">
        <v>0</v>
      </c>
      <c r="H145" s="291"/>
      <c r="I145" s="291"/>
      <c r="J145" s="291"/>
      <c r="K145" s="373"/>
      <c r="L145" s="331"/>
      <c r="M145" s="332"/>
      <c r="N145" s="333"/>
      <c r="O145" s="333"/>
      <c r="P145" s="334"/>
      <c r="Q145" s="275">
        <f t="shared" si="16"/>
        <v>0</v>
      </c>
      <c r="R145" s="286">
        <f t="shared" si="17"/>
        <v>0</v>
      </c>
      <c r="U145" s="294">
        <f t="shared" si="18"/>
        <v>0</v>
      </c>
      <c r="V145" s="301"/>
    </row>
    <row r="146" spans="1:22" s="25" customFormat="1" ht="20.100000000000001" customHeight="1" x14ac:dyDescent="0.25">
      <c r="A146" s="335">
        <v>270418</v>
      </c>
      <c r="B146" s="360" t="s">
        <v>68</v>
      </c>
      <c r="C146" s="85">
        <f>PV!C146</f>
        <v>0.24</v>
      </c>
      <c r="D146" s="44" t="str">
        <f t="shared" si="19"/>
        <v>h</v>
      </c>
      <c r="E146" s="43">
        <f>IF(D146="h",PV!E146,IF(D146="M",PV!G146,PV!I146))</f>
        <v>6.25</v>
      </c>
      <c r="F146" s="291">
        <v>11</v>
      </c>
      <c r="G146" s="291">
        <v>6</v>
      </c>
      <c r="H146" s="291"/>
      <c r="I146" s="291"/>
      <c r="J146" s="291"/>
      <c r="K146" s="373"/>
      <c r="L146" s="331"/>
      <c r="M146" s="332"/>
      <c r="N146" s="333"/>
      <c r="O146" s="333"/>
      <c r="P146" s="334"/>
      <c r="Q146" s="275">
        <f t="shared" si="16"/>
        <v>0</v>
      </c>
      <c r="R146" s="286">
        <f t="shared" si="17"/>
        <v>0</v>
      </c>
      <c r="U146" s="294">
        <f t="shared" si="18"/>
        <v>0</v>
      </c>
      <c r="V146" s="301"/>
    </row>
    <row r="147" spans="1:22" s="25" customFormat="1" ht="20.100000000000001" customHeight="1" x14ac:dyDescent="0.25">
      <c r="A147" s="335">
        <v>65912</v>
      </c>
      <c r="B147" s="360" t="s">
        <v>69</v>
      </c>
      <c r="C147" s="85">
        <f>PV!C147</f>
        <v>0.6</v>
      </c>
      <c r="D147" s="44" t="str">
        <f t="shared" si="19"/>
        <v>h</v>
      </c>
      <c r="E147" s="43">
        <f>IF(D147="h",PV!E147,IF(D147="M",PV!G147,PV!I147))</f>
        <v>11.45</v>
      </c>
      <c r="F147" s="291">
        <v>15</v>
      </c>
      <c r="G147" s="291">
        <v>0</v>
      </c>
      <c r="H147" s="291"/>
      <c r="I147" s="291"/>
      <c r="J147" s="291"/>
      <c r="K147" s="373"/>
      <c r="L147" s="331"/>
      <c r="M147" s="332"/>
      <c r="N147" s="333"/>
      <c r="O147" s="333"/>
      <c r="P147" s="334"/>
      <c r="Q147" s="275">
        <f t="shared" si="16"/>
        <v>0</v>
      </c>
      <c r="R147" s="286">
        <f t="shared" si="17"/>
        <v>0</v>
      </c>
      <c r="U147" s="294">
        <f t="shared" si="18"/>
        <v>0</v>
      </c>
      <c r="V147" s="301"/>
    </row>
    <row r="148" spans="1:22" s="25" customFormat="1" ht="20.100000000000001" customHeight="1" x14ac:dyDescent="0.25">
      <c r="A148" s="335">
        <v>425024</v>
      </c>
      <c r="B148" s="360" t="s">
        <v>70</v>
      </c>
      <c r="C148" s="85">
        <f>PV!C148</f>
        <v>0.24</v>
      </c>
      <c r="D148" s="44" t="str">
        <f t="shared" si="19"/>
        <v>h</v>
      </c>
      <c r="E148" s="43">
        <f>IF(D148="h",PV!E148,IF(D148="M",PV!G148,PV!I148))</f>
        <v>9.4499999999999993</v>
      </c>
      <c r="F148" s="291">
        <v>5</v>
      </c>
      <c r="G148" s="291">
        <v>11</v>
      </c>
      <c r="H148" s="291"/>
      <c r="I148" s="291"/>
      <c r="J148" s="291"/>
      <c r="K148" s="373"/>
      <c r="L148" s="331"/>
      <c r="M148" s="332"/>
      <c r="N148" s="333"/>
      <c r="O148" s="333"/>
      <c r="P148" s="334"/>
      <c r="Q148" s="275">
        <f t="shared" si="16"/>
        <v>0</v>
      </c>
      <c r="R148" s="286">
        <f t="shared" si="17"/>
        <v>0</v>
      </c>
      <c r="U148" s="294">
        <f t="shared" si="18"/>
        <v>0</v>
      </c>
      <c r="V148" s="301"/>
    </row>
    <row r="149" spans="1:22" s="25" customFormat="1" ht="20.100000000000001" customHeight="1" x14ac:dyDescent="0.25">
      <c r="A149" s="335">
        <v>294817</v>
      </c>
      <c r="B149" s="360" t="s">
        <v>71</v>
      </c>
      <c r="C149" s="85">
        <f>PV!C149</f>
        <v>0.6</v>
      </c>
      <c r="D149" s="44" t="str">
        <f t="shared" si="19"/>
        <v>h</v>
      </c>
      <c r="E149" s="43">
        <f>IF(D149="h",PV!E149,IF(D149="M",PV!G149,PV!I149))</f>
        <v>14.95</v>
      </c>
      <c r="F149" s="291">
        <v>11</v>
      </c>
      <c r="G149" s="291">
        <v>5</v>
      </c>
      <c r="H149" s="291"/>
      <c r="I149" s="291"/>
      <c r="J149" s="291"/>
      <c r="K149" s="373"/>
      <c r="L149" s="331"/>
      <c r="M149" s="332"/>
      <c r="N149" s="333"/>
      <c r="O149" s="333"/>
      <c r="P149" s="334"/>
      <c r="Q149" s="275">
        <f t="shared" si="16"/>
        <v>0</v>
      </c>
      <c r="R149" s="286">
        <f t="shared" si="17"/>
        <v>0</v>
      </c>
      <c r="U149" s="294">
        <f t="shared" si="18"/>
        <v>0</v>
      </c>
      <c r="V149" s="301"/>
    </row>
    <row r="150" spans="1:22" s="25" customFormat="1" ht="20.100000000000001" customHeight="1" x14ac:dyDescent="0.25">
      <c r="A150" s="335">
        <v>441991</v>
      </c>
      <c r="B150" s="360" t="s">
        <v>72</v>
      </c>
      <c r="C150" s="85">
        <f>PV!C150</f>
        <v>0.16</v>
      </c>
      <c r="D150" s="44" t="str">
        <f t="shared" si="19"/>
        <v>h</v>
      </c>
      <c r="E150" s="43">
        <f>IF(D150="h",PV!E150,IF(D150="M",PV!G150,PV!I150))</f>
        <v>4.75</v>
      </c>
      <c r="F150" s="291">
        <v>6</v>
      </c>
      <c r="G150" s="291">
        <v>12</v>
      </c>
      <c r="H150" s="291"/>
      <c r="I150" s="291"/>
      <c r="J150" s="291"/>
      <c r="K150" s="373"/>
      <c r="L150" s="331"/>
      <c r="M150" s="332"/>
      <c r="N150" s="333"/>
      <c r="O150" s="333"/>
      <c r="P150" s="334"/>
      <c r="Q150" s="275">
        <f t="shared" si="16"/>
        <v>0</v>
      </c>
      <c r="R150" s="286">
        <f t="shared" si="17"/>
        <v>0</v>
      </c>
      <c r="U150" s="294">
        <f t="shared" si="18"/>
        <v>0</v>
      </c>
      <c r="V150" s="301"/>
    </row>
    <row r="151" spans="1:22" s="25" customFormat="1" ht="20.100000000000001" customHeight="1" x14ac:dyDescent="0.25">
      <c r="A151" s="335">
        <v>65899</v>
      </c>
      <c r="B151" s="360" t="s">
        <v>73</v>
      </c>
      <c r="C151" s="85">
        <f>PV!C151</f>
        <v>0.32</v>
      </c>
      <c r="D151" s="44" t="str">
        <f t="shared" si="19"/>
        <v>h</v>
      </c>
      <c r="E151" s="43">
        <f>IF(D151="h",PV!E151,IF(D151="M",PV!G151,PV!I151))</f>
        <v>9.75</v>
      </c>
      <c r="F151" s="291">
        <v>16</v>
      </c>
      <c r="G151" s="291">
        <v>16</v>
      </c>
      <c r="H151" s="291"/>
      <c r="I151" s="291"/>
      <c r="J151" s="291"/>
      <c r="K151" s="373"/>
      <c r="L151" s="331"/>
      <c r="M151" s="332"/>
      <c r="N151" s="333"/>
      <c r="O151" s="333"/>
      <c r="P151" s="334"/>
      <c r="Q151" s="275">
        <f t="shared" si="16"/>
        <v>0</v>
      </c>
      <c r="R151" s="286">
        <f t="shared" si="17"/>
        <v>0</v>
      </c>
      <c r="U151" s="294">
        <f t="shared" si="18"/>
        <v>0</v>
      </c>
      <c r="V151" s="301"/>
    </row>
    <row r="152" spans="1:22" s="25" customFormat="1" ht="20.100000000000001" customHeight="1" x14ac:dyDescent="0.25">
      <c r="A152" s="335">
        <v>65925</v>
      </c>
      <c r="B152" s="360" t="s">
        <v>75</v>
      </c>
      <c r="C152" s="85">
        <f>PV!C152</f>
        <v>0.72</v>
      </c>
      <c r="D152" s="44" t="str">
        <f t="shared" si="19"/>
        <v>h</v>
      </c>
      <c r="E152" s="43">
        <f>IF(D152="h",PV!E152,IF(D152="M",PV!G152,PV!I152))</f>
        <v>14.95</v>
      </c>
      <c r="F152" s="291">
        <v>1</v>
      </c>
      <c r="G152" s="291">
        <v>1</v>
      </c>
      <c r="H152" s="291"/>
      <c r="I152" s="291"/>
      <c r="J152" s="291"/>
      <c r="K152" s="373"/>
      <c r="L152" s="331"/>
      <c r="M152" s="332"/>
      <c r="N152" s="333"/>
      <c r="O152" s="333"/>
      <c r="P152" s="334"/>
      <c r="Q152" s="275">
        <f t="shared" si="16"/>
        <v>0</v>
      </c>
      <c r="R152" s="286">
        <f t="shared" si="17"/>
        <v>0</v>
      </c>
      <c r="U152" s="294">
        <f t="shared" si="18"/>
        <v>0</v>
      </c>
      <c r="V152" s="301"/>
    </row>
    <row r="153" spans="1:22" s="25" customFormat="1" ht="20.100000000000001" customHeight="1" x14ac:dyDescent="0.25">
      <c r="A153" s="335"/>
      <c r="B153" s="360"/>
      <c r="C153" s="85"/>
      <c r="D153" s="44"/>
      <c r="E153" s="43"/>
      <c r="F153" s="291"/>
      <c r="G153" s="291"/>
      <c r="H153" s="291"/>
      <c r="I153" s="291"/>
      <c r="J153" s="291"/>
      <c r="K153" s="45"/>
      <c r="L153" s="331"/>
      <c r="M153" s="332"/>
      <c r="N153" s="333"/>
      <c r="O153" s="333"/>
      <c r="P153" s="334"/>
      <c r="Q153" s="278"/>
      <c r="R153" s="287">
        <f>SUM(R122:R152)</f>
        <v>0</v>
      </c>
      <c r="U153" s="294">
        <f t="shared" si="18"/>
        <v>0</v>
      </c>
      <c r="V153" s="301"/>
    </row>
    <row r="154" spans="1:22" ht="11.25" customHeight="1" x14ac:dyDescent="0.2">
      <c r="A154" s="416"/>
      <c r="B154" s="416"/>
      <c r="C154" s="33"/>
      <c r="D154" s="47"/>
      <c r="E154" s="46"/>
      <c r="F154" s="292"/>
    </row>
    <row r="155" spans="1:22" ht="15" customHeight="1" x14ac:dyDescent="0.2">
      <c r="A155" s="416"/>
      <c r="B155" s="416"/>
      <c r="C155" s="33"/>
      <c r="D155" s="47"/>
      <c r="E155" s="46"/>
      <c r="F155" s="292"/>
    </row>
    <row r="156" spans="1:22" ht="15.75" customHeight="1" x14ac:dyDescent="0.2">
      <c r="A156" s="416"/>
      <c r="B156" s="416"/>
      <c r="C156" s="33"/>
      <c r="D156" s="47"/>
      <c r="E156" s="46"/>
      <c r="F156" s="292"/>
    </row>
    <row r="157" spans="1:22" ht="13.5" customHeight="1" x14ac:dyDescent="0.2">
      <c r="A157" s="416"/>
      <c r="B157" s="416"/>
      <c r="C157" s="33"/>
      <c r="D157" s="47"/>
      <c r="E157" s="46"/>
      <c r="F157" s="292"/>
    </row>
    <row r="158" spans="1:22" ht="15" customHeight="1" x14ac:dyDescent="0.2">
      <c r="A158" s="416"/>
      <c r="B158" s="416"/>
      <c r="C158" s="33"/>
      <c r="D158" s="47"/>
      <c r="E158" s="46"/>
      <c r="F158" s="292"/>
    </row>
    <row r="159" spans="1:22" ht="19.5" customHeight="1" x14ac:dyDescent="0.2">
      <c r="A159" s="375"/>
      <c r="B159" s="361"/>
      <c r="C159" s="33"/>
      <c r="D159" s="47"/>
      <c r="E159" s="46"/>
      <c r="F159" s="292"/>
    </row>
    <row r="160" spans="1:22" ht="21.75" customHeight="1" x14ac:dyDescent="0.2">
      <c r="A160" s="375"/>
      <c r="B160" s="361"/>
      <c r="C160" s="33"/>
      <c r="D160" s="47"/>
      <c r="E160" s="46"/>
      <c r="F160" s="292"/>
    </row>
    <row r="161" spans="1:18" ht="19.5" customHeight="1" x14ac:dyDescent="0.2">
      <c r="A161" s="375"/>
      <c r="B161" s="361"/>
      <c r="C161" s="33"/>
      <c r="D161" s="47"/>
      <c r="E161" s="46"/>
      <c r="F161" s="292"/>
    </row>
    <row r="162" spans="1:18" ht="19.5" x14ac:dyDescent="0.2">
      <c r="A162" s="375"/>
      <c r="B162" s="361"/>
      <c r="C162" s="33"/>
      <c r="D162" s="47"/>
      <c r="E162" s="46"/>
      <c r="F162" s="292"/>
    </row>
    <row r="163" spans="1:18" ht="11.25" customHeight="1" x14ac:dyDescent="0.2">
      <c r="A163" s="375"/>
      <c r="B163" s="362"/>
      <c r="C163" s="33"/>
      <c r="D163" s="33"/>
      <c r="E163" s="33"/>
      <c r="F163" s="292"/>
      <c r="Q163" s="49"/>
      <c r="R163" s="50"/>
    </row>
    <row r="164" spans="1:18" ht="15.75" customHeight="1" x14ac:dyDescent="0.2">
      <c r="A164" s="375"/>
      <c r="B164" s="362"/>
      <c r="C164" s="33"/>
      <c r="D164" s="33"/>
      <c r="E164" s="33"/>
      <c r="F164" s="292"/>
    </row>
  </sheetData>
  <sheetProtection password="C71F" sheet="1" objects="1" scenarios="1" formatCells="0"/>
  <mergeCells count="20">
    <mergeCell ref="A154:B154"/>
    <mergeCell ref="A155:B155"/>
    <mergeCell ref="A156:B156"/>
    <mergeCell ref="A157:B157"/>
    <mergeCell ref="A158:B158"/>
    <mergeCell ref="L1:P1"/>
    <mergeCell ref="B2:B3"/>
    <mergeCell ref="C2:C3"/>
    <mergeCell ref="D2:D3"/>
    <mergeCell ref="E2:E3"/>
    <mergeCell ref="F2:F3"/>
    <mergeCell ref="G2:G3"/>
    <mergeCell ref="K2:K3"/>
    <mergeCell ref="L2:L3"/>
    <mergeCell ref="Q2:Q3"/>
    <mergeCell ref="R2:R3"/>
    <mergeCell ref="M2:M3"/>
    <mergeCell ref="N2:N3"/>
    <mergeCell ref="O2:O3"/>
    <mergeCell ref="P2:P3"/>
  </mergeCells>
  <conditionalFormatting sqref="L4:P153">
    <cfRule type="cellIs" dxfId="1" priority="1" operator="lessThan">
      <formula>1</formula>
    </cfRule>
  </conditionalFormatting>
  <printOptions horizontalCentered="1"/>
  <pageMargins left="0" right="0" top="0.39370078740157499" bottom="0.59055118110236204" header="0.15748031496063" footer="0.15748031496063"/>
  <pageSetup paperSize="9" scale="70" fitToHeight="5" orientation="portrait" r:id="rId1"/>
  <headerFooter alignWithMargins="0">
    <oddFooter>&amp;Lécole boulangerie&amp;CPage &amp;P</oddFooter>
  </headerFooter>
  <rowBreaks count="2" manualBreakCount="2">
    <brk id="57" max="15" man="1"/>
    <brk id="112" max="15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C00000"/>
  </sheetPr>
  <dimension ref="A1:J182"/>
  <sheetViews>
    <sheetView showGridLines="0" topLeftCell="A132" zoomScaleNormal="100" workbookViewId="0">
      <selection activeCell="A4" sqref="A4:E4"/>
    </sheetView>
  </sheetViews>
  <sheetFormatPr defaultColWidth="11.42578125" defaultRowHeight="12.75" x14ac:dyDescent="0.2"/>
  <cols>
    <col min="1" max="1" width="22.28515625" style="97" customWidth="1"/>
    <col min="2" max="2" width="12" style="97" bestFit="1" customWidth="1"/>
    <col min="3" max="3" width="4" style="97" bestFit="1" customWidth="1"/>
    <col min="4" max="4" width="3.85546875" style="97" customWidth="1"/>
    <col min="5" max="5" width="26.5703125" style="97" bestFit="1" customWidth="1"/>
    <col min="6" max="6" width="8.28515625" style="134" customWidth="1"/>
    <col min="7" max="7" width="10.42578125" style="135" customWidth="1"/>
    <col min="8" max="8" width="7" style="97" customWidth="1"/>
    <col min="9" max="9" width="4.28515625" style="97" customWidth="1"/>
    <col min="10" max="10" width="11.42578125" style="179"/>
    <col min="11" max="16384" width="11.42578125" style="97"/>
  </cols>
  <sheetData>
    <row r="1" spans="1:7" ht="15.75" x14ac:dyDescent="0.25">
      <c r="A1" s="51" t="str">
        <f>Saturday!G1</f>
        <v>SATURDAY</v>
      </c>
      <c r="B1" s="52">
        <f>Saturday!K1</f>
        <v>42462</v>
      </c>
    </row>
    <row r="2" spans="1:7" ht="18" x14ac:dyDescent="0.25">
      <c r="A2" s="177" t="s">
        <v>86</v>
      </c>
    </row>
    <row r="3" spans="1:7" ht="6" customHeight="1" x14ac:dyDescent="0.25">
      <c r="A3" s="136"/>
    </row>
    <row r="4" spans="1:7" ht="15.75" x14ac:dyDescent="0.25">
      <c r="A4" s="418" t="s">
        <v>0</v>
      </c>
      <c r="B4" s="418"/>
      <c r="C4" s="418"/>
      <c r="D4" s="418"/>
      <c r="E4" s="418"/>
      <c r="F4" s="53">
        <f>Saturday!R24</f>
        <v>0</v>
      </c>
      <c r="G4" s="54" t="s">
        <v>87</v>
      </c>
    </row>
    <row r="5" spans="1:7" ht="13.5" customHeight="1" x14ac:dyDescent="0.25">
      <c r="A5" s="55" t="s">
        <v>88</v>
      </c>
      <c r="B5" s="137">
        <f>Saturday!F1</f>
        <v>50</v>
      </c>
      <c r="C5" s="56"/>
      <c r="D5" s="57"/>
    </row>
    <row r="6" spans="1:7" ht="15.75" x14ac:dyDescent="0.25">
      <c r="A6" s="138" t="s">
        <v>89</v>
      </c>
      <c r="B6" s="139">
        <f>ROUNDDOWN(A7/B5,0)</f>
        <v>0</v>
      </c>
      <c r="C6" s="56"/>
      <c r="D6" s="57"/>
      <c r="E6" s="58" t="s">
        <v>90</v>
      </c>
    </row>
    <row r="7" spans="1:7" x14ac:dyDescent="0.2">
      <c r="A7" s="289">
        <f>B13*farine</f>
        <v>0</v>
      </c>
      <c r="B7" s="417" t="s">
        <v>91</v>
      </c>
      <c r="C7" s="417"/>
      <c r="D7" s="298"/>
      <c r="F7" s="417" t="s">
        <v>91</v>
      </c>
      <c r="G7" s="417"/>
    </row>
    <row r="8" spans="1:7" x14ac:dyDescent="0.2">
      <c r="A8" s="2" t="s">
        <v>2</v>
      </c>
      <c r="B8" s="140">
        <f>B5</f>
        <v>50</v>
      </c>
      <c r="C8" s="141" t="s">
        <v>87</v>
      </c>
      <c r="D8" s="96"/>
      <c r="E8" s="2" t="s">
        <v>2</v>
      </c>
      <c r="F8" s="72">
        <f>ROUNDUP(A7-(B6*B5),0)</f>
        <v>0</v>
      </c>
      <c r="G8" s="141" t="s">
        <v>87</v>
      </c>
    </row>
    <row r="9" spans="1:7" x14ac:dyDescent="0.2">
      <c r="A9" s="5" t="s">
        <v>3</v>
      </c>
      <c r="B9" s="142">
        <f>recipe!C5*P.Saturday!B8</f>
        <v>30.5</v>
      </c>
      <c r="C9" s="143" t="s">
        <v>92</v>
      </c>
      <c r="D9" s="131"/>
      <c r="E9" s="5" t="s">
        <v>3</v>
      </c>
      <c r="F9" s="144">
        <f>recipe!C5*P.Saturday!F8</f>
        <v>0</v>
      </c>
      <c r="G9" s="143" t="s">
        <v>92</v>
      </c>
    </row>
    <row r="10" spans="1:7" x14ac:dyDescent="0.2">
      <c r="A10" s="5" t="s">
        <v>4</v>
      </c>
      <c r="B10" s="145">
        <f>recipe!C6*P.Saturday!B8</f>
        <v>1</v>
      </c>
      <c r="C10" s="146" t="s">
        <v>87</v>
      </c>
      <c r="D10" s="131"/>
      <c r="E10" s="5" t="s">
        <v>4</v>
      </c>
      <c r="F10" s="142">
        <f>ROUND(recipe!C6*P.Saturday!F9,2)*1000</f>
        <v>0</v>
      </c>
      <c r="G10" s="146" t="s">
        <v>93</v>
      </c>
    </row>
    <row r="11" spans="1:7" x14ac:dyDescent="0.2">
      <c r="A11" s="5" t="s">
        <v>5</v>
      </c>
      <c r="B11" s="145">
        <f>recipe!C7*P.Saturday!B8</f>
        <v>0.5</v>
      </c>
      <c r="C11" s="146" t="s">
        <v>87</v>
      </c>
      <c r="D11" s="131"/>
      <c r="E11" s="5" t="s">
        <v>5</v>
      </c>
      <c r="F11" s="142">
        <f>ROUND(recipe!C7*P.Saturday!F8,2)*1000</f>
        <v>0</v>
      </c>
      <c r="G11" s="146" t="s">
        <v>93</v>
      </c>
    </row>
    <row r="12" spans="1:7" x14ac:dyDescent="0.2">
      <c r="A12" s="5" t="s">
        <v>6</v>
      </c>
      <c r="B12" s="142">
        <f>(recipe!C8*P.Saturday!B8)*1000</f>
        <v>500</v>
      </c>
      <c r="C12" s="146" t="s">
        <v>94</v>
      </c>
      <c r="D12" s="131"/>
      <c r="E12" s="5" t="s">
        <v>6</v>
      </c>
      <c r="F12" s="142">
        <f>ROUND(recipe!C8*P.Saturday!F8,2)*1000</f>
        <v>0</v>
      </c>
      <c r="G12" s="146" t="s">
        <v>94</v>
      </c>
    </row>
    <row r="13" spans="1:7" hidden="1" x14ac:dyDescent="0.2">
      <c r="A13" s="147"/>
      <c r="B13" s="134">
        <f>F4/recipe!B9</f>
        <v>0</v>
      </c>
      <c r="C13" s="135"/>
      <c r="D13" s="96"/>
    </row>
    <row r="14" spans="1:7" x14ac:dyDescent="0.2">
      <c r="A14" s="59"/>
      <c r="B14" s="60"/>
      <c r="C14" s="61"/>
      <c r="D14" s="96"/>
    </row>
    <row r="15" spans="1:7" ht="15.75" x14ac:dyDescent="0.25">
      <c r="A15" s="240" t="s">
        <v>1</v>
      </c>
      <c r="B15" s="53">
        <f>Saturday!R42</f>
        <v>0</v>
      </c>
      <c r="C15" s="54" t="s">
        <v>87</v>
      </c>
      <c r="D15" s="96"/>
      <c r="E15" s="176" t="s">
        <v>232</v>
      </c>
      <c r="F15" s="67">
        <f>Saturday!K38</f>
        <v>0</v>
      </c>
      <c r="G15" s="54" t="s">
        <v>233</v>
      </c>
    </row>
    <row r="16" spans="1:7" x14ac:dyDescent="0.2">
      <c r="B16" s="417" t="s">
        <v>91</v>
      </c>
      <c r="C16" s="417"/>
      <c r="D16" s="96"/>
      <c r="F16" s="417" t="s">
        <v>91</v>
      </c>
      <c r="G16" s="417"/>
    </row>
    <row r="17" spans="1:7" x14ac:dyDescent="0.2">
      <c r="A17" s="2" t="s">
        <v>2</v>
      </c>
      <c r="B17" s="149">
        <f>ROUND(ftf*P.Saturday!B23,0)</f>
        <v>0</v>
      </c>
      <c r="C17" s="141" t="s">
        <v>87</v>
      </c>
      <c r="D17" s="96"/>
      <c r="E17" s="8" t="s">
        <v>234</v>
      </c>
      <c r="F17" s="250">
        <f>ROUND(F15*recipe!B136,1)</f>
        <v>0</v>
      </c>
      <c r="G17" s="70" t="s">
        <v>87</v>
      </c>
    </row>
    <row r="18" spans="1:7" x14ac:dyDescent="0.2">
      <c r="A18" s="5" t="s">
        <v>3</v>
      </c>
      <c r="B18" s="145">
        <f>ROUND(recipe!G5*P.Saturday!B17,1)</f>
        <v>0</v>
      </c>
      <c r="C18" s="143" t="s">
        <v>92</v>
      </c>
      <c r="D18" s="96"/>
      <c r="E18" s="62" t="s">
        <v>200</v>
      </c>
      <c r="F18" s="251">
        <f>ROUND(F15*recipe!B137,1)*1000</f>
        <v>0</v>
      </c>
      <c r="G18" s="163" t="s">
        <v>94</v>
      </c>
    </row>
    <row r="19" spans="1:7" x14ac:dyDescent="0.2">
      <c r="A19" s="5" t="s">
        <v>4</v>
      </c>
      <c r="B19" s="142">
        <f>ROUND(recipe!G6*P.Saturday!B17,2)*1000</f>
        <v>0</v>
      </c>
      <c r="C19" s="146" t="s">
        <v>94</v>
      </c>
      <c r="D19" s="96"/>
      <c r="F19" s="172"/>
      <c r="G19" s="148"/>
    </row>
    <row r="20" spans="1:7" x14ac:dyDescent="0.2">
      <c r="A20" s="5" t="s">
        <v>5</v>
      </c>
      <c r="B20" s="142">
        <f>ROUND(recipe!G7*P.Saturday!B17,2)*1000</f>
        <v>0</v>
      </c>
      <c r="C20" s="146" t="s">
        <v>94</v>
      </c>
      <c r="D20" s="96"/>
    </row>
    <row r="21" spans="1:7" x14ac:dyDescent="0.2">
      <c r="A21" s="5" t="s">
        <v>195</v>
      </c>
      <c r="B21" s="95">
        <f>ROUND(recipe!G8*P.Saturday!B17,1)</f>
        <v>0</v>
      </c>
      <c r="C21" s="150" t="s">
        <v>87</v>
      </c>
      <c r="D21" s="96"/>
    </row>
    <row r="22" spans="1:7" x14ac:dyDescent="0.2">
      <c r="A22" s="5"/>
      <c r="B22" s="151"/>
      <c r="C22" s="150"/>
      <c r="D22" s="96"/>
    </row>
    <row r="23" spans="1:7" hidden="1" x14ac:dyDescent="0.2">
      <c r="B23" s="134">
        <f>B15/recipe!F9</f>
        <v>0</v>
      </c>
      <c r="C23" s="148"/>
      <c r="D23" s="96"/>
    </row>
    <row r="24" spans="1:7" x14ac:dyDescent="0.2">
      <c r="A24" s="147"/>
      <c r="B24" s="134"/>
      <c r="C24" s="135"/>
      <c r="D24" s="96"/>
    </row>
    <row r="25" spans="1:7" ht="15.75" x14ac:dyDescent="0.25">
      <c r="A25" s="240" t="s">
        <v>159</v>
      </c>
      <c r="B25" s="53">
        <f>Saturday!R121</f>
        <v>0</v>
      </c>
      <c r="C25" s="54" t="s">
        <v>87</v>
      </c>
      <c r="E25" s="176" t="s">
        <v>96</v>
      </c>
      <c r="F25" s="66">
        <f>Saturday!R117+Saturday!R119</f>
        <v>0</v>
      </c>
      <c r="G25" s="54" t="s">
        <v>87</v>
      </c>
    </row>
    <row r="26" spans="1:7" x14ac:dyDescent="0.2">
      <c r="B26" s="417" t="s">
        <v>91</v>
      </c>
      <c r="C26" s="417"/>
      <c r="F26" s="417" t="s">
        <v>91</v>
      </c>
      <c r="G26" s="417"/>
    </row>
    <row r="27" spans="1:7" x14ac:dyDescent="0.2">
      <c r="A27" s="2" t="s">
        <v>10</v>
      </c>
      <c r="B27" s="149">
        <f>ROUND(flr*P.Saturday!B36,1)</f>
        <v>0</v>
      </c>
      <c r="C27" s="141" t="s">
        <v>87</v>
      </c>
      <c r="E27" s="8" t="s">
        <v>224</v>
      </c>
      <c r="F27" s="252">
        <f>F25*recipe!F145/recipe!F147</f>
        <v>0</v>
      </c>
      <c r="G27" s="154" t="s">
        <v>87</v>
      </c>
    </row>
    <row r="28" spans="1:7" x14ac:dyDescent="0.2">
      <c r="A28" s="5" t="s">
        <v>3</v>
      </c>
      <c r="B28" s="145">
        <f>ROUND(recipe!G17*P.Saturday!B27,1)</f>
        <v>0</v>
      </c>
      <c r="C28" s="143" t="s">
        <v>87</v>
      </c>
      <c r="E28" s="62" t="s">
        <v>225</v>
      </c>
      <c r="F28" s="252">
        <f>F25*recipe!F146/recipe!F147</f>
        <v>0</v>
      </c>
      <c r="G28" s="100" t="s">
        <v>87</v>
      </c>
    </row>
    <row r="29" spans="1:7" x14ac:dyDescent="0.2">
      <c r="A29" s="5" t="s">
        <v>176</v>
      </c>
      <c r="B29" s="145">
        <f>ROUND(recipe!G18*P.Saturday!B27,1)</f>
        <v>0</v>
      </c>
      <c r="C29" s="143" t="s">
        <v>92</v>
      </c>
      <c r="E29" s="63"/>
      <c r="F29" s="97"/>
      <c r="G29" s="148"/>
    </row>
    <row r="30" spans="1:7" x14ac:dyDescent="0.2">
      <c r="A30" s="5" t="s">
        <v>12</v>
      </c>
      <c r="B30" s="145">
        <f>ROUND(recipe!G19*P.Saturday!B27,1)</f>
        <v>0</v>
      </c>
      <c r="C30" s="146" t="s">
        <v>94</v>
      </c>
    </row>
    <row r="31" spans="1:7" x14ac:dyDescent="0.2">
      <c r="A31" s="5" t="s">
        <v>4</v>
      </c>
      <c r="B31" s="142">
        <f>ROUND(recipe!G20*P.Saturday!B27,1)*1000</f>
        <v>0</v>
      </c>
      <c r="C31" s="146" t="s">
        <v>94</v>
      </c>
    </row>
    <row r="32" spans="1:7" x14ac:dyDescent="0.2">
      <c r="A32" s="5" t="s">
        <v>6</v>
      </c>
      <c r="B32" s="142">
        <f>ROUND(recipe!G21*P.Saturday!B27,2)*1000</f>
        <v>0</v>
      </c>
      <c r="C32" s="146" t="s">
        <v>94</v>
      </c>
    </row>
    <row r="33" spans="1:7" x14ac:dyDescent="0.2">
      <c r="A33" s="5" t="s">
        <v>5</v>
      </c>
      <c r="B33" s="142">
        <f>ROUND(recipe!G22*P.Saturday!B27,1)*1000</f>
        <v>0</v>
      </c>
      <c r="C33" s="146" t="s">
        <v>94</v>
      </c>
    </row>
    <row r="34" spans="1:7" x14ac:dyDescent="0.2">
      <c r="A34" s="5" t="s">
        <v>177</v>
      </c>
      <c r="B34" s="142">
        <f>ROUND(recipe!G23*P.Saturday!B27,2)*1000</f>
        <v>0</v>
      </c>
      <c r="C34" s="146" t="s">
        <v>94</v>
      </c>
      <c r="F34" s="97"/>
      <c r="G34" s="97"/>
    </row>
    <row r="35" spans="1:7" x14ac:dyDescent="0.2">
      <c r="A35" s="3" t="s">
        <v>16</v>
      </c>
      <c r="B35" s="153">
        <f>ROUND(recipe!G24*P.Saturday!B27,2)</f>
        <v>0</v>
      </c>
      <c r="C35" s="150" t="s">
        <v>87</v>
      </c>
      <c r="F35" s="97"/>
      <c r="G35" s="97"/>
    </row>
    <row r="36" spans="1:7" hidden="1" x14ac:dyDescent="0.2">
      <c r="B36" s="134">
        <f>B25/recipe!F25</f>
        <v>0</v>
      </c>
      <c r="C36" s="148"/>
      <c r="F36" s="166">
        <f>F25/recipe!F147</f>
        <v>0</v>
      </c>
      <c r="G36" s="97"/>
    </row>
    <row r="37" spans="1:7" x14ac:dyDescent="0.2">
      <c r="B37" s="134"/>
      <c r="C37" s="135"/>
      <c r="D37" s="101"/>
      <c r="F37" s="97"/>
      <c r="G37" s="97"/>
    </row>
    <row r="38" spans="1:7" ht="15.75" x14ac:dyDescent="0.25">
      <c r="A38" s="240" t="s">
        <v>7</v>
      </c>
      <c r="B38" s="53">
        <f>Saturday!R58</f>
        <v>0</v>
      </c>
      <c r="C38" s="54" t="s">
        <v>87</v>
      </c>
      <c r="D38" s="57"/>
      <c r="E38" s="176" t="s">
        <v>229</v>
      </c>
      <c r="F38" s="67">
        <f>Saturday!K57</f>
        <v>0</v>
      </c>
      <c r="G38" s="54" t="s">
        <v>235</v>
      </c>
    </row>
    <row r="39" spans="1:7" x14ac:dyDescent="0.2">
      <c r="B39" s="417" t="s">
        <v>91</v>
      </c>
      <c r="C39" s="417"/>
      <c r="D39" s="80"/>
      <c r="F39" s="417" t="s">
        <v>91</v>
      </c>
      <c r="G39" s="417"/>
    </row>
    <row r="40" spans="1:7" x14ac:dyDescent="0.2">
      <c r="A40" s="8" t="s">
        <v>9</v>
      </c>
      <c r="B40" s="267">
        <f>ROUNDUP(fcr*P.Saturday!B44,0)</f>
        <v>0</v>
      </c>
      <c r="C40" s="141" t="s">
        <v>87</v>
      </c>
      <c r="D40" s="101"/>
      <c r="E40" s="8" t="s">
        <v>199</v>
      </c>
      <c r="F40" s="266">
        <f>ROUND(F38*recipe!B128,1)</f>
        <v>0</v>
      </c>
      <c r="G40" s="70" t="s">
        <v>87</v>
      </c>
    </row>
    <row r="41" spans="1:7" x14ac:dyDescent="0.2">
      <c r="A41" s="9" t="s">
        <v>197</v>
      </c>
      <c r="B41" s="268">
        <f>ROUND(recipe!C17*P.Saturday!B40,1)</f>
        <v>0</v>
      </c>
      <c r="C41" s="143" t="s">
        <v>87</v>
      </c>
      <c r="D41" s="101"/>
      <c r="E41" s="62" t="s">
        <v>230</v>
      </c>
      <c r="F41" s="251">
        <f>ROUND(F38*recipe!B129,1)*1000</f>
        <v>0</v>
      </c>
      <c r="G41" s="163" t="s">
        <v>94</v>
      </c>
    </row>
    <row r="42" spans="1:7" x14ac:dyDescent="0.2">
      <c r="A42" s="9" t="s">
        <v>11</v>
      </c>
      <c r="B42" s="269">
        <f>ROUND(recipe!C18*P.Saturday!B40,1)</f>
        <v>0</v>
      </c>
      <c r="C42" s="143" t="s">
        <v>92</v>
      </c>
      <c r="D42" s="101"/>
      <c r="E42" s="62" t="s">
        <v>236</v>
      </c>
      <c r="F42" s="251">
        <f>ROUND(F38*recipe!B130,1)*1000</f>
        <v>0</v>
      </c>
      <c r="G42" s="163" t="s">
        <v>94</v>
      </c>
    </row>
    <row r="43" spans="1:7" x14ac:dyDescent="0.2">
      <c r="A43" s="9" t="s">
        <v>5</v>
      </c>
      <c r="B43" s="270">
        <f>ROUND(recipe!C19*P.Saturday!B40,2)*1000</f>
        <v>0</v>
      </c>
      <c r="C43" s="146" t="s">
        <v>94</v>
      </c>
      <c r="D43" s="101"/>
      <c r="F43" s="97"/>
      <c r="G43" s="97"/>
    </row>
    <row r="44" spans="1:7" hidden="1" x14ac:dyDescent="0.2">
      <c r="B44" s="134">
        <f>B38/recipe!B25</f>
        <v>0</v>
      </c>
      <c r="C44" s="135"/>
      <c r="D44" s="101"/>
      <c r="G44" s="148"/>
    </row>
    <row r="45" spans="1:7" x14ac:dyDescent="0.2">
      <c r="B45" s="134"/>
      <c r="C45" s="135"/>
      <c r="D45" s="101"/>
      <c r="G45" s="148"/>
    </row>
    <row r="46" spans="1:7" ht="15.75" x14ac:dyDescent="0.25">
      <c r="A46" s="176" t="s">
        <v>226</v>
      </c>
      <c r="B46" s="67">
        <f>Saturday!K54</f>
        <v>0</v>
      </c>
      <c r="C46" s="54" t="s">
        <v>235</v>
      </c>
      <c r="D46" s="132"/>
      <c r="E46" s="227"/>
      <c r="F46" s="228"/>
      <c r="G46" s="229"/>
    </row>
    <row r="47" spans="1:7" x14ac:dyDescent="0.2">
      <c r="B47" s="417" t="s">
        <v>91</v>
      </c>
      <c r="C47" s="417"/>
      <c r="D47" s="80"/>
      <c r="E47" s="230"/>
      <c r="F47" s="419"/>
      <c r="G47" s="419"/>
    </row>
    <row r="48" spans="1:7" x14ac:dyDescent="0.2">
      <c r="A48" s="8" t="s">
        <v>199</v>
      </c>
      <c r="B48" s="250">
        <f>ROUND(B46*recipe!F119,1)</f>
        <v>0</v>
      </c>
      <c r="C48" s="70" t="s">
        <v>87</v>
      </c>
      <c r="D48" s="101"/>
      <c r="E48" s="231"/>
      <c r="F48" s="232"/>
      <c r="G48" s="239"/>
    </row>
    <row r="49" spans="1:8" x14ac:dyDescent="0.2">
      <c r="A49" s="62" t="s">
        <v>231</v>
      </c>
      <c r="B49" s="261">
        <f>ROUND(B46*recipe!F120,2)*1000</f>
        <v>0</v>
      </c>
      <c r="C49" s="163" t="s">
        <v>94</v>
      </c>
      <c r="D49" s="101"/>
      <c r="E49" s="231"/>
      <c r="F49" s="232"/>
      <c r="G49" s="239"/>
    </row>
    <row r="50" spans="1:8" hidden="1" x14ac:dyDescent="0.2">
      <c r="B50" s="134">
        <f>B46/recipe!F121</f>
        <v>0</v>
      </c>
      <c r="C50" s="135"/>
      <c r="D50" s="101"/>
      <c r="E50" s="230"/>
      <c r="F50" s="237"/>
      <c r="G50" s="234"/>
    </row>
    <row r="51" spans="1:8" ht="4.5" customHeight="1" x14ac:dyDescent="0.2">
      <c r="B51" s="134"/>
      <c r="C51" s="135"/>
      <c r="G51" s="160"/>
    </row>
    <row r="52" spans="1:8" ht="15.75" x14ac:dyDescent="0.25">
      <c r="A52" s="176" t="s">
        <v>227</v>
      </c>
      <c r="B52" s="67">
        <f>Saturday!K56</f>
        <v>0</v>
      </c>
      <c r="C52" s="54" t="s">
        <v>235</v>
      </c>
      <c r="D52" s="132"/>
      <c r="E52" s="176" t="s">
        <v>228</v>
      </c>
      <c r="F52" s="67">
        <f>Saturday!K52</f>
        <v>0</v>
      </c>
      <c r="G52" s="54" t="s">
        <v>235</v>
      </c>
    </row>
    <row r="53" spans="1:8" x14ac:dyDescent="0.2">
      <c r="B53" s="417" t="s">
        <v>91</v>
      </c>
      <c r="C53" s="417"/>
      <c r="D53" s="80"/>
      <c r="F53" s="417" t="s">
        <v>91</v>
      </c>
      <c r="G53" s="417"/>
    </row>
    <row r="54" spans="1:8" x14ac:dyDescent="0.2">
      <c r="A54" s="8" t="s">
        <v>199</v>
      </c>
      <c r="B54" s="250">
        <f>ROUND(B52*recipe!B119,1)</f>
        <v>0</v>
      </c>
      <c r="C54" s="70" t="s">
        <v>87</v>
      </c>
      <c r="D54" s="101"/>
      <c r="E54" s="8" t="s">
        <v>199</v>
      </c>
      <c r="F54" s="266">
        <f>ROUND(F52*recipe!F128,1)</f>
        <v>0</v>
      </c>
      <c r="G54" s="70" t="s">
        <v>87</v>
      </c>
    </row>
    <row r="55" spans="1:8" x14ac:dyDescent="0.2">
      <c r="A55" s="62" t="s">
        <v>230</v>
      </c>
      <c r="B55" s="265">
        <f>ROUND(B52*recipe!B120,2)*1000</f>
        <v>0</v>
      </c>
      <c r="C55" s="163" t="s">
        <v>94</v>
      </c>
      <c r="D55" s="101"/>
      <c r="E55" s="62" t="s">
        <v>22</v>
      </c>
      <c r="F55" s="261">
        <f>ROUND(F52*recipe!F129,2)*1000</f>
        <v>0</v>
      </c>
      <c r="G55" s="163" t="s">
        <v>94</v>
      </c>
    </row>
    <row r="56" spans="1:8" hidden="1" x14ac:dyDescent="0.2">
      <c r="B56" s="134">
        <f>B52/recipe!B121</f>
        <v>0</v>
      </c>
      <c r="C56" s="135"/>
      <c r="D56" s="101"/>
      <c r="F56" s="134">
        <f>F52/recipe!F130</f>
        <v>0</v>
      </c>
      <c r="G56" s="148"/>
    </row>
    <row r="57" spans="1:8" ht="4.5" customHeight="1" x14ac:dyDescent="0.2">
      <c r="B57" s="134"/>
      <c r="C57" s="135"/>
      <c r="G57" s="160"/>
    </row>
    <row r="58" spans="1:8" ht="15.75" x14ac:dyDescent="0.25">
      <c r="D58" s="132"/>
      <c r="F58" s="97"/>
      <c r="G58" s="97"/>
    </row>
    <row r="59" spans="1:8" ht="15.75" x14ac:dyDescent="0.25">
      <c r="A59" s="176" t="s">
        <v>21</v>
      </c>
      <c r="B59" s="53">
        <f>Saturday!R74</f>
        <v>0</v>
      </c>
      <c r="C59" s="54" t="s">
        <v>87</v>
      </c>
      <c r="D59" s="101"/>
      <c r="E59" s="176" t="s">
        <v>17</v>
      </c>
      <c r="F59" s="53">
        <f>Saturday!R44</f>
        <v>0</v>
      </c>
      <c r="G59" s="54" t="s">
        <v>87</v>
      </c>
    </row>
    <row r="60" spans="1:8" x14ac:dyDescent="0.2">
      <c r="B60" s="417" t="s">
        <v>91</v>
      </c>
      <c r="C60" s="417"/>
      <c r="D60" s="101"/>
      <c r="F60" s="417" t="s">
        <v>91</v>
      </c>
      <c r="G60" s="417"/>
    </row>
    <row r="61" spans="1:8" x14ac:dyDescent="0.2">
      <c r="A61" s="2" t="s">
        <v>10</v>
      </c>
      <c r="B61" s="69">
        <f>ROUND(B68*fvr,1)</f>
        <v>0</v>
      </c>
      <c r="C61" s="70" t="s">
        <v>87</v>
      </c>
      <c r="E61" s="2" t="s">
        <v>10</v>
      </c>
      <c r="F61" s="149">
        <f>ROUND(fbr*P.Saturday!F68,1)</f>
        <v>0</v>
      </c>
      <c r="G61" s="70" t="s">
        <v>87</v>
      </c>
    </row>
    <row r="62" spans="1:8" x14ac:dyDescent="0.2">
      <c r="A62" s="5" t="s">
        <v>3</v>
      </c>
      <c r="B62" s="69">
        <f>ROUND(B68*recipe!B80,1)</f>
        <v>0</v>
      </c>
      <c r="C62" s="146" t="s">
        <v>92</v>
      </c>
      <c r="E62" s="5" t="s">
        <v>3</v>
      </c>
      <c r="F62" s="145">
        <f>ROUND(recipe!C56*P.Saturday!F61,1)</f>
        <v>0</v>
      </c>
      <c r="G62" s="146" t="s">
        <v>92</v>
      </c>
      <c r="H62" s="115"/>
    </row>
    <row r="63" spans="1:8" x14ac:dyDescent="0.2">
      <c r="A63" s="5" t="s">
        <v>4</v>
      </c>
      <c r="B63" s="72">
        <f>ROUND(B68*recipe!B81,2)*1000</f>
        <v>0</v>
      </c>
      <c r="C63" s="146" t="s">
        <v>94</v>
      </c>
      <c r="E63" s="5" t="s">
        <v>5</v>
      </c>
      <c r="F63" s="142">
        <f>ROUND(recipe!C57*P.Saturday!F61,2)*1000</f>
        <v>0</v>
      </c>
      <c r="G63" s="146" t="s">
        <v>94</v>
      </c>
      <c r="H63" s="115"/>
    </row>
    <row r="64" spans="1:8" x14ac:dyDescent="0.2">
      <c r="A64" s="5" t="s">
        <v>5</v>
      </c>
      <c r="B64" s="72">
        <f>ROUND(B68*recipe!B82,2)*1000</f>
        <v>0</v>
      </c>
      <c r="C64" s="146" t="s">
        <v>94</v>
      </c>
      <c r="D64" s="115"/>
      <c r="E64" s="5" t="s">
        <v>196</v>
      </c>
      <c r="F64" s="142">
        <f>ROUND(recipe!C58*P.Saturday!F61,2)*1000</f>
        <v>0</v>
      </c>
      <c r="G64" s="146" t="s">
        <v>94</v>
      </c>
    </row>
    <row r="65" spans="1:7" x14ac:dyDescent="0.2">
      <c r="A65" s="5" t="s">
        <v>6</v>
      </c>
      <c r="B65" s="72">
        <f>ROUND(B68*recipe!B83,2)*1000</f>
        <v>0</v>
      </c>
      <c r="C65" s="146" t="s">
        <v>94</v>
      </c>
      <c r="E65" s="5" t="s">
        <v>133</v>
      </c>
      <c r="F65" s="142">
        <f>ROUND(recipe!C58*P.Saturday!F62,1)*1000</f>
        <v>0</v>
      </c>
      <c r="G65" s="146" t="s">
        <v>87</v>
      </c>
    </row>
    <row r="66" spans="1:7" x14ac:dyDescent="0.2">
      <c r="A66" s="5" t="s">
        <v>12</v>
      </c>
      <c r="B66" s="69">
        <f>ROUND(B68*recipe!B84,1)</f>
        <v>0</v>
      </c>
      <c r="C66" s="146" t="s">
        <v>87</v>
      </c>
      <c r="E66" s="3" t="s">
        <v>4</v>
      </c>
      <c r="F66" s="142">
        <f>ROUND(recipe!C60*P.Saturday!F61,2)*1000</f>
        <v>0</v>
      </c>
      <c r="G66" s="100" t="s">
        <v>94</v>
      </c>
    </row>
    <row r="67" spans="1:7" x14ac:dyDescent="0.2">
      <c r="A67" s="5" t="s">
        <v>205</v>
      </c>
      <c r="B67" s="69">
        <f>ROUND(B68*recipe!B85,1)</f>
        <v>0</v>
      </c>
      <c r="C67" s="146" t="s">
        <v>87</v>
      </c>
      <c r="F67" s="97"/>
    </row>
    <row r="68" spans="1:7" hidden="1" x14ac:dyDescent="0.2">
      <c r="A68" s="59"/>
      <c r="B68" s="60">
        <f>B59/recipe!B86</f>
        <v>0</v>
      </c>
      <c r="C68" s="135"/>
      <c r="D68" s="101"/>
      <c r="E68" s="231"/>
      <c r="F68" s="134">
        <f>F59/recipe!B61</f>
        <v>0</v>
      </c>
      <c r="G68" s="238"/>
    </row>
    <row r="69" spans="1:7" x14ac:dyDescent="0.2">
      <c r="A69" s="230"/>
      <c r="B69" s="237"/>
      <c r="C69" s="233"/>
      <c r="D69" s="101"/>
      <c r="E69" s="231"/>
      <c r="F69" s="235"/>
      <c r="G69" s="238"/>
    </row>
    <row r="70" spans="1:7" ht="15.75" x14ac:dyDescent="0.25">
      <c r="A70" s="176" t="s">
        <v>169</v>
      </c>
      <c r="B70" s="67">
        <f>Saturday!R113</f>
        <v>0</v>
      </c>
      <c r="C70" s="54" t="s">
        <v>87</v>
      </c>
      <c r="E70" s="176" t="s">
        <v>211</v>
      </c>
      <c r="F70" s="64">
        <f>Saturday!R84</f>
        <v>0</v>
      </c>
      <c r="G70" s="54" t="s">
        <v>87</v>
      </c>
    </row>
    <row r="71" spans="1:7" x14ac:dyDescent="0.2">
      <c r="B71" s="417" t="s">
        <v>91</v>
      </c>
      <c r="C71" s="417"/>
      <c r="F71" s="417" t="s">
        <v>91</v>
      </c>
      <c r="G71" s="417"/>
    </row>
    <row r="72" spans="1:7" x14ac:dyDescent="0.2">
      <c r="A72" s="8" t="s">
        <v>10</v>
      </c>
      <c r="B72" s="250">
        <f>ROUND(prnr*P.Saturday!B76,1)</f>
        <v>0</v>
      </c>
      <c r="C72" s="154" t="s">
        <v>87</v>
      </c>
      <c r="E72" s="2" t="s">
        <v>284</v>
      </c>
      <c r="F72" s="164">
        <f>ROUND(fpbr*P.Saturday!F76,1)</f>
        <v>0</v>
      </c>
      <c r="G72" s="154" t="s">
        <v>87</v>
      </c>
    </row>
    <row r="73" spans="1:7" x14ac:dyDescent="0.2">
      <c r="A73" s="9" t="s">
        <v>3</v>
      </c>
      <c r="B73" s="250">
        <f>ROUND(B72*recipe!G137,1)</f>
        <v>0</v>
      </c>
      <c r="C73" s="155" t="s">
        <v>87</v>
      </c>
      <c r="E73" s="5" t="s">
        <v>246</v>
      </c>
      <c r="F73" s="158">
        <f>ROUND(recipe!G33*P.Saturday!F72,1)</f>
        <v>0</v>
      </c>
      <c r="G73" s="155" t="s">
        <v>87</v>
      </c>
    </row>
    <row r="74" spans="1:7" x14ac:dyDescent="0.2">
      <c r="A74" s="62" t="s">
        <v>4</v>
      </c>
      <c r="B74" s="251">
        <f>ROUND(B72*recipe!G138,2)*1000</f>
        <v>0</v>
      </c>
      <c r="C74" s="100" t="s">
        <v>94</v>
      </c>
      <c r="E74" s="5" t="s">
        <v>3</v>
      </c>
      <c r="F74" s="158">
        <f>ROUND(recipe!G34*P.Saturday!F72,1)</f>
        <v>0</v>
      </c>
      <c r="G74" s="155" t="s">
        <v>92</v>
      </c>
    </row>
    <row r="75" spans="1:7" x14ac:dyDescent="0.2">
      <c r="A75" s="249" t="s">
        <v>5</v>
      </c>
      <c r="B75" s="251">
        <f>ROUND(B72*recipe!G139,2)*1000</f>
        <v>0</v>
      </c>
      <c r="C75" s="100" t="s">
        <v>94</v>
      </c>
      <c r="E75" s="5" t="s">
        <v>5</v>
      </c>
      <c r="F75" s="157">
        <f>ROUND(recipe!G35*P.Saturday!F72,2)*1000</f>
        <v>0</v>
      </c>
      <c r="G75" s="155" t="s">
        <v>94</v>
      </c>
    </row>
    <row r="76" spans="1:7" hidden="1" x14ac:dyDescent="0.2">
      <c r="B76" s="97">
        <f>B70/recipe!F140</f>
        <v>0</v>
      </c>
      <c r="C76" s="135"/>
      <c r="D76" s="101"/>
      <c r="F76" s="134">
        <f>F70/recipe!F39</f>
        <v>0</v>
      </c>
      <c r="G76" s="148"/>
    </row>
    <row r="77" spans="1:7" x14ac:dyDescent="0.2">
      <c r="C77" s="135"/>
      <c r="D77" s="101"/>
      <c r="G77" s="148"/>
    </row>
    <row r="78" spans="1:7" ht="15.75" x14ac:dyDescent="0.25">
      <c r="A78" s="227"/>
      <c r="B78" s="236"/>
      <c r="C78" s="324"/>
      <c r="E78" s="176" t="s">
        <v>285</v>
      </c>
      <c r="F78" s="64">
        <f>Saturday!R79</f>
        <v>0</v>
      </c>
      <c r="G78" s="54" t="s">
        <v>87</v>
      </c>
    </row>
    <row r="79" spans="1:7" ht="15.75" x14ac:dyDescent="0.25">
      <c r="A79" s="227"/>
      <c r="B79" s="236"/>
      <c r="C79" s="324"/>
      <c r="F79" s="417" t="s">
        <v>91</v>
      </c>
      <c r="G79" s="417"/>
    </row>
    <row r="80" spans="1:7" ht="15.75" x14ac:dyDescent="0.25">
      <c r="A80" s="227"/>
      <c r="B80" s="236"/>
      <c r="C80" s="324"/>
      <c r="E80" s="2" t="s">
        <v>10</v>
      </c>
      <c r="F80" s="164">
        <f>ROUND(fpbr*P.Saturday!F87,1)</f>
        <v>0</v>
      </c>
      <c r="G80" s="154" t="s">
        <v>87</v>
      </c>
    </row>
    <row r="81" spans="1:7" ht="15.75" x14ac:dyDescent="0.25">
      <c r="A81" s="227"/>
      <c r="B81" s="236"/>
      <c r="C81" s="324"/>
      <c r="E81" s="5" t="s">
        <v>282</v>
      </c>
      <c r="F81" s="158">
        <f>ROUND(recipe!G168*P.Saturday!F80,1)</f>
        <v>0</v>
      </c>
      <c r="G81" s="155" t="s">
        <v>87</v>
      </c>
    </row>
    <row r="82" spans="1:7" ht="15.75" x14ac:dyDescent="0.25">
      <c r="A82" s="227"/>
      <c r="B82" s="236"/>
      <c r="C82" s="324"/>
      <c r="E82" s="3" t="s">
        <v>3</v>
      </c>
      <c r="F82" s="158">
        <f>ROUND(recipe!G169*P.Saturday!F80,1)</f>
        <v>0</v>
      </c>
      <c r="G82" s="155" t="s">
        <v>92</v>
      </c>
    </row>
    <row r="83" spans="1:7" ht="15.75" x14ac:dyDescent="0.25">
      <c r="A83" s="227"/>
      <c r="B83" s="236"/>
      <c r="C83" s="324"/>
      <c r="E83" s="5" t="s">
        <v>4</v>
      </c>
      <c r="F83" s="157">
        <f>ROUND(recipe!G170*P.Saturday!F80,2)*1000</f>
        <v>0</v>
      </c>
      <c r="G83" s="155" t="s">
        <v>94</v>
      </c>
    </row>
    <row r="84" spans="1:7" ht="15.75" x14ac:dyDescent="0.25">
      <c r="A84" s="227"/>
      <c r="B84" s="236"/>
      <c r="C84" s="324"/>
      <c r="E84" s="5" t="s">
        <v>6</v>
      </c>
      <c r="F84" s="157">
        <f>ROUND(recipe!G171*P.Saturday!F80,2)*1000</f>
        <v>0</v>
      </c>
      <c r="G84" s="155" t="s">
        <v>94</v>
      </c>
    </row>
    <row r="85" spans="1:7" ht="15.75" x14ac:dyDescent="0.25">
      <c r="A85" s="227"/>
      <c r="B85" s="236"/>
      <c r="C85" s="324"/>
      <c r="D85" s="101"/>
      <c r="E85" s="14" t="s">
        <v>205</v>
      </c>
      <c r="F85" s="157">
        <f>ROUND(recipe!G172*P.Saturday!F80,2)*1000</f>
        <v>0</v>
      </c>
      <c r="G85" s="155" t="s">
        <v>94</v>
      </c>
    </row>
    <row r="86" spans="1:7" x14ac:dyDescent="0.2">
      <c r="A86" s="231"/>
      <c r="B86" s="236"/>
      <c r="C86" s="324"/>
      <c r="D86" s="101"/>
      <c r="E86" s="5" t="s">
        <v>283</v>
      </c>
      <c r="F86" s="157">
        <f>ROUND(recipe!G173*P.Saturday!F80,2)*1000</f>
        <v>0</v>
      </c>
      <c r="G86" s="155" t="s">
        <v>94</v>
      </c>
    </row>
    <row r="87" spans="1:7" hidden="1" x14ac:dyDescent="0.2">
      <c r="A87" s="323"/>
      <c r="B87" s="323"/>
      <c r="C87" s="325"/>
      <c r="D87" s="101"/>
      <c r="F87" s="134">
        <f>F78/recipe!F174</f>
        <v>0</v>
      </c>
      <c r="G87" s="148"/>
    </row>
    <row r="88" spans="1:7" x14ac:dyDescent="0.2">
      <c r="A88" s="323"/>
      <c r="B88" s="323"/>
      <c r="C88" s="325"/>
      <c r="D88" s="101"/>
      <c r="G88" s="148"/>
    </row>
    <row r="89" spans="1:7" ht="14.25" customHeight="1" x14ac:dyDescent="0.25">
      <c r="A89" s="176" t="s">
        <v>95</v>
      </c>
      <c r="B89" s="53">
        <f>Saturday!R30</f>
        <v>0</v>
      </c>
      <c r="C89" s="54" t="s">
        <v>87</v>
      </c>
      <c r="D89" s="179" t="s">
        <v>198</v>
      </c>
      <c r="E89" s="176" t="s">
        <v>95</v>
      </c>
      <c r="F89" s="53">
        <f>Saturday!R30</f>
        <v>0</v>
      </c>
      <c r="G89" s="54" t="s">
        <v>87</v>
      </c>
    </row>
    <row r="90" spans="1:7" ht="14.25" customHeight="1" x14ac:dyDescent="0.2">
      <c r="B90" s="297" t="s">
        <v>91</v>
      </c>
      <c r="C90" s="297"/>
      <c r="F90" s="297" t="s">
        <v>91</v>
      </c>
      <c r="G90" s="297"/>
    </row>
    <row r="91" spans="1:7" ht="14.25" customHeight="1" x14ac:dyDescent="0.2">
      <c r="A91" s="8" t="s">
        <v>9</v>
      </c>
      <c r="B91" s="252">
        <f>ROUND(fpcr*P.Saturday!B97,0)</f>
        <v>0</v>
      </c>
      <c r="C91" s="154" t="s">
        <v>87</v>
      </c>
      <c r="E91" s="8" t="s">
        <v>199</v>
      </c>
      <c r="F91" s="255">
        <f>ROUND(F97*recipe!F44,1)</f>
        <v>0</v>
      </c>
      <c r="G91" s="154" t="s">
        <v>87</v>
      </c>
    </row>
    <row r="92" spans="1:7" ht="14.25" customHeight="1" x14ac:dyDescent="0.2">
      <c r="A92" s="9" t="s">
        <v>197</v>
      </c>
      <c r="B92" s="253">
        <f>ROUND(recipe!C45*P.Saturday!B97,1)</f>
        <v>0</v>
      </c>
      <c r="C92" s="155" t="s">
        <v>92</v>
      </c>
      <c r="E92" s="9" t="s">
        <v>200</v>
      </c>
      <c r="F92" s="252">
        <f>ROUND(F97*recipe!F45,1)</f>
        <v>0</v>
      </c>
      <c r="G92" s="155" t="s">
        <v>87</v>
      </c>
    </row>
    <row r="93" spans="1:7" ht="14.25" customHeight="1" x14ac:dyDescent="0.2">
      <c r="A93" s="9" t="s">
        <v>11</v>
      </c>
      <c r="B93" s="253">
        <f>ROUND(recipe!C46*P.Saturday!B91,1)</f>
        <v>0</v>
      </c>
      <c r="C93" s="155" t="s">
        <v>94</v>
      </c>
      <c r="E93" s="9" t="s">
        <v>201</v>
      </c>
      <c r="F93" s="256">
        <f>ROUND(F97*recipe!F46,1)*1000</f>
        <v>0</v>
      </c>
      <c r="G93" s="155" t="s">
        <v>94</v>
      </c>
    </row>
    <row r="94" spans="1:7" ht="14.25" customHeight="1" x14ac:dyDescent="0.2">
      <c r="A94" s="9" t="s">
        <v>5</v>
      </c>
      <c r="B94" s="254">
        <f>ROUND(recipe!C47*P.Saturday!B91,1)*1000</f>
        <v>0</v>
      </c>
      <c r="C94" s="155" t="s">
        <v>94</v>
      </c>
      <c r="E94" s="84"/>
      <c r="F94" s="159"/>
      <c r="G94" s="257"/>
    </row>
    <row r="95" spans="1:7" ht="14.25" customHeight="1" x14ac:dyDescent="0.2">
      <c r="A95" s="65" t="s">
        <v>200</v>
      </c>
      <c r="B95" s="253">
        <f>ROUND(recipe!C48*P.Saturday!B91,1)</f>
        <v>0</v>
      </c>
      <c r="C95" s="155" t="s">
        <v>87</v>
      </c>
      <c r="E95" s="231"/>
      <c r="F95" s="184"/>
      <c r="G95" s="148"/>
    </row>
    <row r="96" spans="1:7" ht="14.25" customHeight="1" x14ac:dyDescent="0.2">
      <c r="A96" s="9" t="s">
        <v>201</v>
      </c>
      <c r="B96" s="254">
        <f>ROUND(recipe!C49*P.Saturday!B91,1)*1000</f>
        <v>0</v>
      </c>
      <c r="C96" s="163" t="s">
        <v>94</v>
      </c>
      <c r="E96" s="63"/>
      <c r="F96" s="181"/>
      <c r="G96" s="165"/>
    </row>
    <row r="97" spans="1:7" ht="14.25" hidden="1" customHeight="1" x14ac:dyDescent="0.2">
      <c r="B97" s="180">
        <f>B89/recipe!B50</f>
        <v>0</v>
      </c>
      <c r="C97" s="148"/>
      <c r="F97" s="134">
        <f>F89/recipe!F50</f>
        <v>0</v>
      </c>
      <c r="G97" s="148"/>
    </row>
    <row r="98" spans="1:7" x14ac:dyDescent="0.2">
      <c r="B98" s="134"/>
      <c r="C98" s="160"/>
    </row>
    <row r="99" spans="1:7" ht="15.75" x14ac:dyDescent="0.25">
      <c r="A99" s="176" t="s">
        <v>18</v>
      </c>
      <c r="B99" s="64">
        <f>Saturday!R31</f>
        <v>0</v>
      </c>
      <c r="C99" s="54" t="s">
        <v>87</v>
      </c>
      <c r="D99" s="57"/>
      <c r="E99" s="176" t="s">
        <v>151</v>
      </c>
      <c r="F99" s="64">
        <f>Saturday!R37</f>
        <v>0</v>
      </c>
      <c r="G99" s="54" t="s">
        <v>87</v>
      </c>
    </row>
    <row r="100" spans="1:7" x14ac:dyDescent="0.2">
      <c r="B100" s="417" t="s">
        <v>91</v>
      </c>
      <c r="C100" s="417"/>
      <c r="D100" s="80"/>
      <c r="F100" s="417" t="s">
        <v>91</v>
      </c>
      <c r="G100" s="417"/>
    </row>
    <row r="101" spans="1:7" x14ac:dyDescent="0.2">
      <c r="A101" s="2" t="s">
        <v>204</v>
      </c>
      <c r="B101" s="69">
        <f>ROUND(psr*P.Saturday!B106,1)</f>
        <v>0</v>
      </c>
      <c r="C101" s="70" t="s">
        <v>87</v>
      </c>
      <c r="D101" s="101"/>
      <c r="E101" s="8" t="s">
        <v>152</v>
      </c>
      <c r="F101" s="263">
        <f>ROUND(fcre*P.Saturday!F106,1)</f>
        <v>0</v>
      </c>
      <c r="G101" s="70" t="s">
        <v>87</v>
      </c>
    </row>
    <row r="102" spans="1:7" x14ac:dyDescent="0.2">
      <c r="A102" s="5" t="s">
        <v>19</v>
      </c>
      <c r="B102" s="69">
        <f>ROUND(recipe!C69*P.Saturday!B101,1)</f>
        <v>0</v>
      </c>
      <c r="C102" s="146" t="s">
        <v>87</v>
      </c>
      <c r="D102" s="101"/>
      <c r="E102" s="9" t="s">
        <v>10</v>
      </c>
      <c r="F102" s="263">
        <f>ROUND(recipe!G69*P.Saturday!F101,1)</f>
        <v>0</v>
      </c>
      <c r="G102" s="146" t="s">
        <v>87</v>
      </c>
    </row>
    <row r="103" spans="1:7" x14ac:dyDescent="0.2">
      <c r="A103" s="5" t="s">
        <v>252</v>
      </c>
      <c r="B103" s="69">
        <f>ROUND(recipe!C70*P.Saturday!B101,1)</f>
        <v>0</v>
      </c>
      <c r="C103" s="146" t="s">
        <v>87</v>
      </c>
      <c r="D103" s="101"/>
      <c r="E103" s="84" t="s">
        <v>5</v>
      </c>
      <c r="F103" s="263">
        <f>ROUND(recipe!G70*P.Saturday!F101,1)</f>
        <v>0</v>
      </c>
      <c r="G103" s="167" t="s">
        <v>94</v>
      </c>
    </row>
    <row r="104" spans="1:7" x14ac:dyDescent="0.2">
      <c r="A104" s="5" t="s">
        <v>3</v>
      </c>
      <c r="B104" s="97">
        <f>ROUND(recipe!C71*P.Saturday!B101,1)</f>
        <v>0</v>
      </c>
      <c r="C104" s="163" t="s">
        <v>87</v>
      </c>
      <c r="D104" s="101"/>
      <c r="E104" s="62" t="s">
        <v>3</v>
      </c>
      <c r="F104" s="264">
        <f>ROUND(recipe!G71*P.Saturday!F101,1)</f>
        <v>0</v>
      </c>
      <c r="G104" s="163" t="s">
        <v>92</v>
      </c>
    </row>
    <row r="105" spans="1:7" x14ac:dyDescent="0.2">
      <c r="A105" s="5" t="s">
        <v>5</v>
      </c>
      <c r="B105" s="168">
        <f>ROUND(recipe!C72*P.Saturday!B101,2)*1000</f>
        <v>0</v>
      </c>
      <c r="C105" s="163" t="s">
        <v>94</v>
      </c>
      <c r="D105" s="101"/>
      <c r="E105" s="244" t="s">
        <v>4</v>
      </c>
      <c r="F105" s="256">
        <f>ROUND(recipe!G72*P.Saturday!F101,2)*1000</f>
        <v>0</v>
      </c>
      <c r="G105" s="246" t="s">
        <v>94</v>
      </c>
    </row>
    <row r="106" spans="1:7" hidden="1" x14ac:dyDescent="0.2">
      <c r="B106" s="134">
        <f>B99/recipe!B73</f>
        <v>0</v>
      </c>
      <c r="C106" s="135"/>
      <c r="D106" s="101"/>
      <c r="F106" s="134">
        <f>F99/recipe!F73</f>
        <v>0</v>
      </c>
      <c r="G106" s="148"/>
    </row>
    <row r="107" spans="1:7" x14ac:dyDescent="0.2">
      <c r="B107" s="134"/>
      <c r="C107" s="135"/>
      <c r="G107" s="160"/>
    </row>
    <row r="108" spans="1:7" ht="4.5" customHeight="1" x14ac:dyDescent="0.2">
      <c r="B108" s="134"/>
      <c r="C108" s="135"/>
      <c r="G108" s="160"/>
    </row>
    <row r="109" spans="1:7" ht="15.75" x14ac:dyDescent="0.25">
      <c r="A109" s="176" t="s">
        <v>20</v>
      </c>
      <c r="B109" s="53">
        <f>Saturday!R108</f>
        <v>0</v>
      </c>
      <c r="C109" s="54" t="s">
        <v>87</v>
      </c>
      <c r="D109" s="132"/>
      <c r="E109" s="176" t="s">
        <v>8</v>
      </c>
      <c r="F109" s="53">
        <f>Saturday!R98</f>
        <v>0</v>
      </c>
      <c r="G109" s="54" t="s">
        <v>87</v>
      </c>
    </row>
    <row r="110" spans="1:7" x14ac:dyDescent="0.2">
      <c r="B110" s="417" t="s">
        <v>91</v>
      </c>
      <c r="C110" s="417"/>
      <c r="D110" s="80"/>
      <c r="F110" s="417" t="s">
        <v>91</v>
      </c>
      <c r="G110" s="417"/>
    </row>
    <row r="111" spans="1:7" x14ac:dyDescent="0.2">
      <c r="A111" s="2" t="s">
        <v>206</v>
      </c>
      <c r="B111" s="161">
        <f>ROUND(fasr*P.Saturday!B118,0)</f>
        <v>0</v>
      </c>
      <c r="C111" s="70" t="s">
        <v>87</v>
      </c>
      <c r="D111" s="101"/>
      <c r="E111" s="2" t="s">
        <v>10</v>
      </c>
      <c r="F111" s="161">
        <f>ROUND(fpsfgr*P.Saturday!F118,0)</f>
        <v>0</v>
      </c>
      <c r="G111" s="154" t="s">
        <v>87</v>
      </c>
    </row>
    <row r="112" spans="1:7" x14ac:dyDescent="0.2">
      <c r="A112" s="5" t="s">
        <v>207</v>
      </c>
      <c r="B112" s="169">
        <f>ROUND(recipe!G56*P.Saturday!B111,1)</f>
        <v>0</v>
      </c>
      <c r="C112" s="146" t="s">
        <v>87</v>
      </c>
      <c r="D112" s="101"/>
      <c r="E112" s="5" t="s">
        <v>3</v>
      </c>
      <c r="F112" s="169">
        <f>ROUND(recipe!G80*P.Saturday!F111,1)</f>
        <v>0</v>
      </c>
      <c r="G112" s="155" t="s">
        <v>92</v>
      </c>
    </row>
    <row r="113" spans="1:7" x14ac:dyDescent="0.2">
      <c r="A113" s="5" t="s">
        <v>3</v>
      </c>
      <c r="B113" s="169">
        <f>ROUND(recipe!G57*P.Saturday!B111,1)</f>
        <v>0</v>
      </c>
      <c r="C113" s="146" t="s">
        <v>92</v>
      </c>
      <c r="D113" s="101"/>
      <c r="E113" s="5" t="s">
        <v>205</v>
      </c>
      <c r="F113" s="169">
        <f>ROUND(recipe!G81*P.Saturday!F111,1)</f>
        <v>0</v>
      </c>
      <c r="G113" s="155" t="s">
        <v>87</v>
      </c>
    </row>
    <row r="114" spans="1:7" x14ac:dyDescent="0.2">
      <c r="A114" s="5" t="s">
        <v>4</v>
      </c>
      <c r="B114" s="157">
        <f>ROUND(recipe!G58*P.Saturday!B111,2)*1000</f>
        <v>0</v>
      </c>
      <c r="C114" s="146" t="s">
        <v>94</v>
      </c>
      <c r="D114" s="101"/>
      <c r="E114" s="5" t="s">
        <v>4</v>
      </c>
      <c r="F114" s="157">
        <f>ROUND(recipe!G82*P.Saturday!F111,2)*1000</f>
        <v>0</v>
      </c>
      <c r="G114" s="155" t="s">
        <v>94</v>
      </c>
    </row>
    <row r="115" spans="1:7" x14ac:dyDescent="0.2">
      <c r="A115" s="5" t="s">
        <v>5</v>
      </c>
      <c r="B115" s="157">
        <f>ROUND(recipe!G59*P.Saturday!B111,2)*1000</f>
        <v>0</v>
      </c>
      <c r="C115" s="146" t="s">
        <v>94</v>
      </c>
      <c r="D115" s="101"/>
      <c r="E115" s="5" t="s">
        <v>5</v>
      </c>
      <c r="F115" s="157">
        <f>ROUND(recipe!G83*P.Saturday!F111,2)*1000</f>
        <v>0</v>
      </c>
      <c r="G115" s="155" t="s">
        <v>94</v>
      </c>
    </row>
    <row r="116" spans="1:7" x14ac:dyDescent="0.2">
      <c r="A116" s="3" t="s">
        <v>208</v>
      </c>
      <c r="B116" s="171">
        <f>ROUND(recipe!G60*P.Saturday!B111,1)</f>
        <v>0</v>
      </c>
      <c r="C116" s="100" t="s">
        <v>87</v>
      </c>
      <c r="D116" s="101"/>
      <c r="E116" s="5" t="s">
        <v>6</v>
      </c>
      <c r="F116" s="157">
        <f>ROUND(recipe!G84*P.Saturday!F111,2)*1000</f>
        <v>0</v>
      </c>
      <c r="G116" s="155" t="s">
        <v>94</v>
      </c>
    </row>
    <row r="117" spans="1:7" x14ac:dyDescent="0.2">
      <c r="C117" s="148"/>
      <c r="D117" s="101"/>
      <c r="E117" s="3" t="s">
        <v>12</v>
      </c>
      <c r="F117" s="157">
        <f>ROUND(recipe!G85*P.Saturday!F111,1)*1000</f>
        <v>0</v>
      </c>
      <c r="G117" s="155" t="s">
        <v>94</v>
      </c>
    </row>
    <row r="118" spans="1:7" x14ac:dyDescent="0.2">
      <c r="B118" s="134">
        <f>B109/recipe!F61</f>
        <v>0</v>
      </c>
      <c r="D118" s="101"/>
      <c r="F118" s="134">
        <f>F109/recipe!F86</f>
        <v>0</v>
      </c>
      <c r="G118" s="148"/>
    </row>
    <row r="119" spans="1:7" x14ac:dyDescent="0.2">
      <c r="A119" s="59"/>
      <c r="B119" s="60"/>
      <c r="C119" s="135"/>
      <c r="D119" s="101"/>
      <c r="F119" s="97"/>
      <c r="G119" s="97"/>
    </row>
    <row r="120" spans="1:7" x14ac:dyDescent="0.2">
      <c r="B120" s="134"/>
      <c r="C120" s="135"/>
      <c r="G120" s="160"/>
    </row>
    <row r="121" spans="1:7" ht="15.75" x14ac:dyDescent="0.25">
      <c r="A121" s="176" t="s">
        <v>180</v>
      </c>
      <c r="B121" s="67">
        <f>Saturday!R115</f>
        <v>0</v>
      </c>
      <c r="C121" s="54" t="s">
        <v>87</v>
      </c>
      <c r="D121" s="132"/>
      <c r="E121" s="176" t="s">
        <v>160</v>
      </c>
      <c r="F121" s="67">
        <f>Saturday!R92</f>
        <v>0</v>
      </c>
      <c r="G121" s="54" t="s">
        <v>87</v>
      </c>
    </row>
    <row r="122" spans="1:7" x14ac:dyDescent="0.2">
      <c r="B122" s="420" t="s">
        <v>91</v>
      </c>
      <c r="C122" s="420"/>
      <c r="D122" s="80"/>
      <c r="F122" s="417" t="s">
        <v>91</v>
      </c>
      <c r="G122" s="417"/>
    </row>
    <row r="123" spans="1:7" x14ac:dyDescent="0.2">
      <c r="A123" s="244" t="s">
        <v>10</v>
      </c>
      <c r="B123" s="247">
        <f>ROUND(recipe!B93*P.Saturday!B131,1)</f>
        <v>0</v>
      </c>
      <c r="C123" s="245" t="s">
        <v>87</v>
      </c>
      <c r="D123" s="80"/>
      <c r="E123" s="8" t="s">
        <v>247</v>
      </c>
      <c r="F123" s="267">
        <f>ROUND(fmnp*P.Saturday!F131,1)</f>
        <v>0</v>
      </c>
      <c r="G123" s="70" t="s">
        <v>87</v>
      </c>
    </row>
    <row r="124" spans="1:7" x14ac:dyDescent="0.2">
      <c r="A124" s="244" t="s">
        <v>237</v>
      </c>
      <c r="B124" s="247">
        <f>ROUND(recipe!C94*P.Saturday!B123,2)</f>
        <v>0</v>
      </c>
      <c r="C124" s="245" t="s">
        <v>92</v>
      </c>
      <c r="D124" s="80"/>
      <c r="E124" s="9" t="s">
        <v>246</v>
      </c>
      <c r="F124" s="258">
        <f>ROUND(recipe!G94*P.Saturday!F123,2)</f>
        <v>0</v>
      </c>
      <c r="G124" s="146" t="s">
        <v>87</v>
      </c>
    </row>
    <row r="125" spans="1:7" x14ac:dyDescent="0.2">
      <c r="A125" s="244" t="s">
        <v>238</v>
      </c>
      <c r="B125" s="247">
        <f>ROUND(recipe!C95*P.Saturday!B123,2)</f>
        <v>0</v>
      </c>
      <c r="C125" s="245" t="s">
        <v>92</v>
      </c>
      <c r="D125" s="80"/>
      <c r="E125" s="9" t="s">
        <v>3</v>
      </c>
      <c r="F125" s="259">
        <f>ROUND(recipe!G95*P.Saturday!F123,2)</f>
        <v>0</v>
      </c>
      <c r="G125" s="146" t="s">
        <v>92</v>
      </c>
    </row>
    <row r="126" spans="1:7" x14ac:dyDescent="0.2">
      <c r="A126" s="244" t="s">
        <v>16</v>
      </c>
      <c r="B126" s="247">
        <f>ROUND(recipe!C96*P.Saturday!B123,2)</f>
        <v>0</v>
      </c>
      <c r="C126" s="245" t="s">
        <v>87</v>
      </c>
      <c r="D126" s="80"/>
      <c r="E126" s="9" t="s">
        <v>5</v>
      </c>
      <c r="F126" s="260">
        <f>ROUND(recipe!G96*P.Saturday!F123,2)*1000</f>
        <v>0</v>
      </c>
      <c r="G126" s="146" t="s">
        <v>94</v>
      </c>
    </row>
    <row r="127" spans="1:7" x14ac:dyDescent="0.2">
      <c r="A127" s="244" t="s">
        <v>12</v>
      </c>
      <c r="B127" s="248">
        <f>ROUND(recipe!C97*P.Saturday!B123,2)*1000</f>
        <v>0</v>
      </c>
      <c r="C127" s="245" t="s">
        <v>94</v>
      </c>
      <c r="D127" s="80"/>
      <c r="E127" s="9"/>
      <c r="F127" s="260">
        <f>ROUND(recipe!G97*P.Saturday!F123,2)*1000</f>
        <v>0</v>
      </c>
      <c r="G127" s="146" t="s">
        <v>94</v>
      </c>
    </row>
    <row r="128" spans="1:7" x14ac:dyDescent="0.2">
      <c r="A128" s="244" t="s">
        <v>5</v>
      </c>
      <c r="B128" s="248">
        <f>ROUND(recipe!C98*P.Saturday!B123,2)*1000</f>
        <v>0</v>
      </c>
      <c r="C128" s="245" t="s">
        <v>94</v>
      </c>
      <c r="D128" s="80"/>
      <c r="E128" s="9"/>
      <c r="F128" s="260">
        <f>ROUND(recipe!G98*P.Saturday!F123,2)*1000</f>
        <v>0</v>
      </c>
      <c r="G128" s="146" t="s">
        <v>94</v>
      </c>
    </row>
    <row r="129" spans="1:7" x14ac:dyDescent="0.2">
      <c r="A129" s="244" t="s">
        <v>4</v>
      </c>
      <c r="B129" s="248">
        <f>ROUND(recipe!C99*P.Saturday!B123,2)*1000</f>
        <v>0</v>
      </c>
      <c r="C129" s="246" t="s">
        <v>94</v>
      </c>
      <c r="D129" s="101"/>
      <c r="E129" s="9"/>
      <c r="F129" s="260">
        <f>ROUND(recipe!G99*P.Saturday!F123,2)*1000</f>
        <v>0</v>
      </c>
      <c r="G129" s="146" t="s">
        <v>94</v>
      </c>
    </row>
    <row r="130" spans="1:7" x14ac:dyDescent="0.2">
      <c r="A130" s="244" t="s">
        <v>6</v>
      </c>
      <c r="B130" s="248">
        <f>ROUND(recipe!C100*P.Saturday!B123,2)*1000</f>
        <v>0</v>
      </c>
      <c r="C130" s="246" t="s">
        <v>94</v>
      </c>
      <c r="D130" s="101"/>
      <c r="E130" s="9"/>
      <c r="F130" s="260">
        <f>ROUND(recipe!G100*P.Saturday!F123,2)*1000</f>
        <v>0</v>
      </c>
      <c r="G130" s="146" t="s">
        <v>94</v>
      </c>
    </row>
    <row r="131" spans="1:7" hidden="1" x14ac:dyDescent="0.2">
      <c r="B131" s="172">
        <f>B121/recipe!B101</f>
        <v>0</v>
      </c>
      <c r="C131" s="173"/>
      <c r="D131" s="101"/>
      <c r="E131" s="59"/>
      <c r="F131" s="60">
        <f>F121/recipe!F101</f>
        <v>0</v>
      </c>
      <c r="G131" s="148"/>
    </row>
    <row r="132" spans="1:7" x14ac:dyDescent="0.2">
      <c r="B132" s="134"/>
      <c r="C132" s="135"/>
      <c r="G132" s="160"/>
    </row>
    <row r="133" spans="1:7" ht="15.75" x14ac:dyDescent="0.25">
      <c r="A133" s="176" t="s">
        <v>250</v>
      </c>
      <c r="B133" s="67">
        <f>Saturday!R76</f>
        <v>0</v>
      </c>
      <c r="C133" s="54" t="s">
        <v>87</v>
      </c>
      <c r="D133" s="132"/>
      <c r="E133" s="176" t="s">
        <v>265</v>
      </c>
      <c r="F133" s="67"/>
      <c r="G133" s="54" t="s">
        <v>87</v>
      </c>
    </row>
    <row r="134" spans="1:7" x14ac:dyDescent="0.2">
      <c r="B134" s="417" t="s">
        <v>91</v>
      </c>
      <c r="C134" s="417"/>
      <c r="D134" s="80"/>
      <c r="F134" s="417" t="s">
        <v>91</v>
      </c>
      <c r="G134" s="417"/>
    </row>
    <row r="135" spans="1:7" x14ac:dyDescent="0.2">
      <c r="A135" s="2" t="s">
        <v>266</v>
      </c>
      <c r="B135" s="69">
        <f>ROUND(recipe!B155*P.Saturday!B139,1)</f>
        <v>0</v>
      </c>
      <c r="C135" s="70" t="s">
        <v>87</v>
      </c>
      <c r="D135" s="101"/>
      <c r="E135" s="2" t="s">
        <v>248</v>
      </c>
      <c r="F135" s="69">
        <f>ROUND(recipe!B145*P.Saturday!F139,1)</f>
        <v>0</v>
      </c>
      <c r="G135" s="70" t="s">
        <v>87</v>
      </c>
    </row>
    <row r="136" spans="1:7" x14ac:dyDescent="0.2">
      <c r="A136" s="5" t="s">
        <v>3</v>
      </c>
      <c r="B136" s="69">
        <f>ROUND(recipe!C156*P.Saturday!B135,1)</f>
        <v>0</v>
      </c>
      <c r="C136" s="71" t="s">
        <v>92</v>
      </c>
      <c r="D136" s="101"/>
      <c r="E136" s="5" t="s">
        <v>3</v>
      </c>
      <c r="F136" s="69">
        <f>ROUND(recipe!C146*P.Saturday!F135,1)</f>
        <v>0</v>
      </c>
      <c r="G136" s="71" t="s">
        <v>92</v>
      </c>
    </row>
    <row r="137" spans="1:7" x14ac:dyDescent="0.2">
      <c r="A137" s="5" t="s">
        <v>5</v>
      </c>
      <c r="B137" s="72">
        <f>ROUND(recipe!C157*P.Saturday!B135,2)*1000</f>
        <v>0</v>
      </c>
      <c r="C137" s="146" t="s">
        <v>94</v>
      </c>
      <c r="D137" s="101"/>
      <c r="E137" s="5" t="s">
        <v>5</v>
      </c>
      <c r="F137" s="72">
        <f>ROUND(recipe!C147*P.Saturday!F135,2)*1000</f>
        <v>0</v>
      </c>
      <c r="G137" s="146" t="s">
        <v>94</v>
      </c>
    </row>
    <row r="138" spans="1:7" x14ac:dyDescent="0.2">
      <c r="A138" s="63" t="s">
        <v>246</v>
      </c>
      <c r="B138" s="166">
        <f>ROUND(recipe!C158*P.Saturday!B135,1)</f>
        <v>0</v>
      </c>
      <c r="C138" s="165" t="s">
        <v>87</v>
      </c>
      <c r="D138" s="101"/>
      <c r="E138" s="63" t="s">
        <v>246</v>
      </c>
      <c r="F138" s="166">
        <f>ROUND(recipe!C148*P.Saturday!F135,1)</f>
        <v>0</v>
      </c>
      <c r="G138" s="165" t="s">
        <v>87</v>
      </c>
    </row>
    <row r="139" spans="1:7" hidden="1" x14ac:dyDescent="0.2">
      <c r="B139" s="166">
        <f>B133/recipe!B159</f>
        <v>0</v>
      </c>
      <c r="C139" s="148"/>
      <c r="D139" s="101"/>
      <c r="F139" s="166">
        <f>F133/recipe!B149</f>
        <v>0</v>
      </c>
      <c r="G139" s="148"/>
    </row>
    <row r="140" spans="1:7" x14ac:dyDescent="0.2">
      <c r="B140" s="134"/>
      <c r="C140" s="135"/>
      <c r="G140" s="160"/>
    </row>
    <row r="141" spans="1:7" ht="15.75" x14ac:dyDescent="0.25">
      <c r="A141" s="176" t="s">
        <v>156</v>
      </c>
      <c r="B141" s="68">
        <f>Saturday!R48</f>
        <v>0</v>
      </c>
      <c r="C141" s="54" t="s">
        <v>87</v>
      </c>
      <c r="D141" s="132"/>
      <c r="E141" s="176" t="s">
        <v>164</v>
      </c>
      <c r="F141" s="67">
        <f>Saturday!R33</f>
        <v>0</v>
      </c>
      <c r="G141" s="54" t="s">
        <v>87</v>
      </c>
    </row>
    <row r="142" spans="1:7" x14ac:dyDescent="0.2">
      <c r="B142" s="417" t="s">
        <v>91</v>
      </c>
      <c r="C142" s="417"/>
      <c r="D142" s="80"/>
      <c r="F142" s="417" t="s">
        <v>91</v>
      </c>
      <c r="G142" s="417"/>
    </row>
    <row r="143" spans="1:7" x14ac:dyDescent="0.2">
      <c r="A143" s="2" t="s">
        <v>251</v>
      </c>
      <c r="B143" s="69">
        <f>ROUND(fbpp*P.Saturday!B147,1)</f>
        <v>0</v>
      </c>
      <c r="C143" s="70" t="s">
        <v>87</v>
      </c>
      <c r="D143" s="101"/>
      <c r="E143" s="8" t="s">
        <v>10</v>
      </c>
      <c r="F143" s="250">
        <f>ROUND(pssp*P.Saturday!F147,1)</f>
        <v>0</v>
      </c>
      <c r="G143" s="154" t="s">
        <v>87</v>
      </c>
    </row>
    <row r="144" spans="1:7" x14ac:dyDescent="0.2">
      <c r="A144" s="5" t="s">
        <v>3</v>
      </c>
      <c r="B144" s="162">
        <f>ROUND(recipe!C109*P.Saturday!B143,1)</f>
        <v>0</v>
      </c>
      <c r="C144" s="146" t="s">
        <v>92</v>
      </c>
      <c r="D144" s="101"/>
      <c r="E144" s="8" t="s">
        <v>170</v>
      </c>
      <c r="F144" s="262">
        <f>ROUND(recipe!G109*P.Saturday!F143,1)</f>
        <v>0</v>
      </c>
      <c r="G144" s="100" t="s">
        <v>87</v>
      </c>
    </row>
    <row r="145" spans="1:8" x14ac:dyDescent="0.2">
      <c r="A145" s="5" t="s">
        <v>5</v>
      </c>
      <c r="B145" s="142">
        <f>ROUND(recipe!C110*P.Saturday!B143,2)*1000</f>
        <v>0</v>
      </c>
      <c r="C145" s="146" t="s">
        <v>94</v>
      </c>
      <c r="D145" s="101"/>
      <c r="E145" s="8" t="s">
        <v>3</v>
      </c>
      <c r="F145" s="250">
        <f>ROUND(recipe!G110*P.Saturday!F143,1)</f>
        <v>0</v>
      </c>
      <c r="G145" s="154" t="s">
        <v>87</v>
      </c>
    </row>
    <row r="146" spans="1:8" x14ac:dyDescent="0.2">
      <c r="A146" s="3" t="s">
        <v>246</v>
      </c>
      <c r="B146" s="151">
        <f>ROUND(recipe!C111*P.Saturday!B143,1)</f>
        <v>0</v>
      </c>
      <c r="C146" s="163" t="s">
        <v>87</v>
      </c>
      <c r="D146" s="101"/>
      <c r="E146" s="8" t="s">
        <v>5</v>
      </c>
      <c r="F146" s="261">
        <f>ROUND(recipe!G111*P.Saturday!F143,2)*1000</f>
        <v>0</v>
      </c>
      <c r="G146" s="100" t="s">
        <v>94</v>
      </c>
    </row>
    <row r="147" spans="1:8" hidden="1" x14ac:dyDescent="0.2">
      <c r="B147" s="134">
        <f>B141/recipe!B113</f>
        <v>0</v>
      </c>
      <c r="C147" s="135"/>
      <c r="F147" s="170">
        <f>F141/recipe!F114</f>
        <v>0</v>
      </c>
      <c r="G147" s="148"/>
    </row>
    <row r="148" spans="1:8" x14ac:dyDescent="0.2">
      <c r="B148" s="134"/>
      <c r="C148" s="135"/>
      <c r="F148" s="166"/>
      <c r="G148" s="148"/>
    </row>
    <row r="149" spans="1:8" ht="15.75" x14ac:dyDescent="0.25">
      <c r="A149" s="176" t="s">
        <v>281</v>
      </c>
      <c r="B149" s="53">
        <f>Saturday!R105</f>
        <v>0</v>
      </c>
      <c r="C149" s="54" t="s">
        <v>87</v>
      </c>
      <c r="D149" s="132"/>
      <c r="E149" s="176" t="s">
        <v>13</v>
      </c>
      <c r="F149" s="64">
        <f>Saturday!R153</f>
        <v>0</v>
      </c>
      <c r="G149" s="54" t="s">
        <v>87</v>
      </c>
      <c r="H149" s="57"/>
    </row>
    <row r="150" spans="1:8" x14ac:dyDescent="0.2">
      <c r="B150" s="417" t="s">
        <v>91</v>
      </c>
      <c r="C150" s="417"/>
      <c r="D150" s="80"/>
      <c r="F150" s="417" t="s">
        <v>91</v>
      </c>
      <c r="G150" s="417"/>
      <c r="H150" s="80"/>
    </row>
    <row r="151" spans="1:8" x14ac:dyDescent="0.2">
      <c r="A151" s="2" t="s">
        <v>10</v>
      </c>
      <c r="B151" s="161">
        <f>ROUND(fpsfgr*P.Saturday!B158,0)</f>
        <v>0</v>
      </c>
      <c r="C151" s="154" t="s">
        <v>87</v>
      </c>
      <c r="D151" s="101"/>
      <c r="E151" s="2" t="s">
        <v>15</v>
      </c>
      <c r="F151" s="152">
        <f>ROUND(frr*P.Saturday!F158,1)</f>
        <v>0</v>
      </c>
      <c r="G151" s="141" t="s">
        <v>87</v>
      </c>
      <c r="H151" s="101"/>
    </row>
    <row r="152" spans="1:8" x14ac:dyDescent="0.2">
      <c r="A152" s="5" t="s">
        <v>3</v>
      </c>
      <c r="B152" s="169">
        <f>ROUND(recipe!G156*P.Saturday!B151,1)</f>
        <v>0</v>
      </c>
      <c r="C152" s="155" t="s">
        <v>92</v>
      </c>
      <c r="D152" s="101"/>
      <c r="E152" s="5" t="s">
        <v>3</v>
      </c>
      <c r="F152" s="144">
        <f>ROUND(recipe!C33*P.Saturday!F151,1)</f>
        <v>0</v>
      </c>
      <c r="G152" s="143" t="s">
        <v>92</v>
      </c>
      <c r="H152" s="101"/>
    </row>
    <row r="153" spans="1:8" x14ac:dyDescent="0.2">
      <c r="A153" s="5" t="s">
        <v>205</v>
      </c>
      <c r="B153" s="169">
        <f>ROUND(recipe!G157*P.Saturday!B151,1)</f>
        <v>0</v>
      </c>
      <c r="C153" s="155" t="s">
        <v>87</v>
      </c>
      <c r="D153" s="101"/>
      <c r="E153" s="5" t="s">
        <v>5</v>
      </c>
      <c r="F153" s="145">
        <f>ROUND(recipe!C34*P.Saturday!F151,2)</f>
        <v>0</v>
      </c>
      <c r="G153" s="146" t="s">
        <v>87</v>
      </c>
      <c r="H153" s="101"/>
    </row>
    <row r="154" spans="1:8" x14ac:dyDescent="0.2">
      <c r="A154" s="5" t="s">
        <v>4</v>
      </c>
      <c r="B154" s="157">
        <f>ROUND(recipe!G158*P.Saturday!B151,2)*1000</f>
        <v>0</v>
      </c>
      <c r="C154" s="155" t="s">
        <v>94</v>
      </c>
      <c r="D154" s="101"/>
      <c r="E154" s="5" t="s">
        <v>16</v>
      </c>
      <c r="F154" s="145">
        <f>ROUND(recipe!C35*P.Saturday!F151,1)</f>
        <v>0</v>
      </c>
      <c r="G154" s="146" t="s">
        <v>87</v>
      </c>
      <c r="H154" s="101"/>
    </row>
    <row r="155" spans="1:8" ht="12.75" customHeight="1" x14ac:dyDescent="0.2">
      <c r="A155" s="5" t="s">
        <v>5</v>
      </c>
      <c r="B155" s="157">
        <f>ROUND(recipe!G159*P.Saturday!B151,2)*1000</f>
        <v>0</v>
      </c>
      <c r="C155" s="155" t="s">
        <v>94</v>
      </c>
      <c r="D155" s="101"/>
      <c r="E155" s="65"/>
      <c r="F155" s="97"/>
      <c r="G155" s="143"/>
      <c r="H155" s="101"/>
    </row>
    <row r="156" spans="1:8" x14ac:dyDescent="0.2">
      <c r="A156" s="5" t="s">
        <v>6</v>
      </c>
      <c r="B156" s="157">
        <f>ROUND(recipe!G160*P.Saturday!B151,2)*1000</f>
        <v>0</v>
      </c>
      <c r="C156" s="155" t="s">
        <v>94</v>
      </c>
      <c r="D156" s="101"/>
      <c r="E156" s="231"/>
      <c r="G156" s="156"/>
      <c r="H156" s="101"/>
    </row>
    <row r="157" spans="1:8" x14ac:dyDescent="0.2">
      <c r="A157" s="3" t="s">
        <v>12</v>
      </c>
      <c r="B157" s="157">
        <f>ROUND(recipe!G161*P.Saturday!B151,1)*1000</f>
        <v>0</v>
      </c>
      <c r="C157" s="155" t="s">
        <v>94</v>
      </c>
      <c r="D157" s="101"/>
      <c r="E157" s="231"/>
      <c r="G157" s="156"/>
      <c r="H157" s="101"/>
    </row>
    <row r="158" spans="1:8" ht="25.9" hidden="1" customHeight="1" x14ac:dyDescent="0.2">
      <c r="B158" s="134">
        <f>B149/recipe!F162</f>
        <v>0</v>
      </c>
      <c r="C158" s="148"/>
      <c r="F158" s="134">
        <f>F149/recipe!B39</f>
        <v>0</v>
      </c>
      <c r="G158" s="160"/>
    </row>
    <row r="159" spans="1:8" ht="18" x14ac:dyDescent="0.25">
      <c r="A159" s="422" t="s">
        <v>97</v>
      </c>
      <c r="B159" s="365"/>
      <c r="C159" s="365"/>
      <c r="D159" s="366"/>
      <c r="E159" s="367"/>
      <c r="G159" s="160"/>
      <c r="H159" s="108"/>
    </row>
    <row r="160" spans="1:8" ht="18" x14ac:dyDescent="0.25">
      <c r="A160" s="422"/>
      <c r="B160" s="368"/>
      <c r="C160" s="368"/>
      <c r="D160" s="369"/>
      <c r="E160" s="370" t="s">
        <v>98</v>
      </c>
      <c r="G160" s="174"/>
      <c r="H160" s="103"/>
    </row>
    <row r="161" spans="1:10" ht="15.75" x14ac:dyDescent="0.2">
      <c r="A161" s="73"/>
      <c r="B161" s="175"/>
      <c r="C161" s="175"/>
      <c r="D161" s="103"/>
      <c r="E161" s="74"/>
      <c r="G161" s="174"/>
      <c r="H161" s="103"/>
    </row>
    <row r="162" spans="1:10" s="78" customFormat="1" ht="30" customHeight="1" x14ac:dyDescent="0.45">
      <c r="A162" s="423" t="s">
        <v>99</v>
      </c>
      <c r="B162" s="423"/>
      <c r="C162" s="423"/>
      <c r="D162" s="423"/>
      <c r="E162" s="371">
        <f>Saturday!S122/15</f>
        <v>0</v>
      </c>
      <c r="F162" s="75"/>
      <c r="G162" s="76"/>
      <c r="H162" s="77"/>
      <c r="J162" s="179"/>
    </row>
    <row r="163" spans="1:10" s="78" customFormat="1" ht="30" customHeight="1" x14ac:dyDescent="0.45">
      <c r="A163" s="421" t="s">
        <v>100</v>
      </c>
      <c r="B163" s="421"/>
      <c r="C163" s="421"/>
      <c r="D163" s="421"/>
      <c r="E163" s="371">
        <f>Saturday!S123/15</f>
        <v>0</v>
      </c>
      <c r="F163" s="75"/>
      <c r="G163" s="76"/>
      <c r="H163" s="77"/>
      <c r="J163" s="179"/>
    </row>
    <row r="164" spans="1:10" s="78" customFormat="1" ht="30" customHeight="1" x14ac:dyDescent="0.45">
      <c r="A164" s="421" t="s">
        <v>101</v>
      </c>
      <c r="B164" s="421"/>
      <c r="C164" s="421"/>
      <c r="D164" s="421"/>
      <c r="E164" s="371">
        <f>Saturday!S124/15</f>
        <v>0</v>
      </c>
      <c r="F164" s="75"/>
      <c r="G164" s="76"/>
      <c r="H164" s="77"/>
      <c r="J164" s="179"/>
    </row>
    <row r="165" spans="1:10" s="78" customFormat="1" ht="30" customHeight="1" x14ac:dyDescent="0.45">
      <c r="A165" s="421" t="s">
        <v>209</v>
      </c>
      <c r="B165" s="421"/>
      <c r="C165" s="421"/>
      <c r="D165" s="421"/>
      <c r="E165" s="371">
        <f>Saturday!S125/15</f>
        <v>0</v>
      </c>
      <c r="F165" s="75"/>
      <c r="G165" s="76"/>
      <c r="H165" s="77"/>
      <c r="J165" s="179"/>
    </row>
    <row r="166" spans="1:10" s="78" customFormat="1" ht="30" customHeight="1" x14ac:dyDescent="0.45">
      <c r="A166" s="421" t="s">
        <v>210</v>
      </c>
      <c r="B166" s="421"/>
      <c r="C166" s="421"/>
      <c r="D166" s="421"/>
      <c r="E166" s="371">
        <f>Saturday!S121/30</f>
        <v>0</v>
      </c>
      <c r="F166" s="75"/>
      <c r="G166" s="79"/>
      <c r="J166" s="179"/>
    </row>
    <row r="167" spans="1:10" s="78" customFormat="1" ht="30" customHeight="1" x14ac:dyDescent="0.45">
      <c r="A167" s="421" t="s">
        <v>212</v>
      </c>
      <c r="B167" s="421"/>
      <c r="C167" s="421"/>
      <c r="D167" s="421"/>
      <c r="E167" s="371">
        <f>Saturday!S126/30</f>
        <v>0</v>
      </c>
      <c r="F167" s="75"/>
      <c r="G167" s="79"/>
      <c r="J167" s="179"/>
    </row>
    <row r="168" spans="1:10" s="78" customFormat="1" ht="30" customHeight="1" x14ac:dyDescent="0.45">
      <c r="A168" s="421" t="s">
        <v>213</v>
      </c>
      <c r="B168" s="421"/>
      <c r="C168" s="421"/>
      <c r="D168" s="421"/>
      <c r="E168" s="371">
        <f>Saturday!S127/30</f>
        <v>0</v>
      </c>
      <c r="F168" s="75"/>
      <c r="G168" s="79"/>
      <c r="J168" s="179"/>
    </row>
    <row r="169" spans="1:10" s="78" customFormat="1" ht="30" customHeight="1" x14ac:dyDescent="0.45">
      <c r="A169" s="363" t="s">
        <v>214</v>
      </c>
      <c r="B169" s="363"/>
      <c r="C169" s="363"/>
      <c r="D169" s="363"/>
      <c r="E169" s="371">
        <f>Saturday!S128/30</f>
        <v>0</v>
      </c>
      <c r="F169" s="75"/>
      <c r="G169" s="79"/>
      <c r="J169" s="179"/>
    </row>
    <row r="170" spans="1:10" s="78" customFormat="1" ht="30" customHeight="1" x14ac:dyDescent="0.45">
      <c r="A170" s="363" t="s">
        <v>219</v>
      </c>
      <c r="B170" s="363"/>
      <c r="C170" s="363"/>
      <c r="D170" s="363"/>
      <c r="E170" s="371">
        <f>Saturday!S129/12</f>
        <v>0</v>
      </c>
      <c r="F170" s="75"/>
      <c r="G170" s="79"/>
      <c r="J170" s="179"/>
    </row>
    <row r="171" spans="1:10" s="78" customFormat="1" ht="30" customHeight="1" x14ac:dyDescent="0.45">
      <c r="A171" s="363" t="s">
        <v>216</v>
      </c>
      <c r="B171" s="363"/>
      <c r="C171" s="363"/>
      <c r="D171" s="363"/>
      <c r="E171" s="372">
        <f>Saturday!S131</f>
        <v>0</v>
      </c>
      <c r="F171" s="75"/>
      <c r="G171" s="79"/>
      <c r="J171" s="179"/>
    </row>
    <row r="172" spans="1:10" s="78" customFormat="1" ht="30" customHeight="1" x14ac:dyDescent="0.45">
      <c r="A172" s="364" t="s">
        <v>220</v>
      </c>
      <c r="B172" s="364"/>
      <c r="C172" s="364"/>
      <c r="D172" s="364"/>
      <c r="E172" s="371">
        <f>Saturday!S134/15</f>
        <v>0</v>
      </c>
      <c r="F172" s="75"/>
      <c r="G172" s="79"/>
      <c r="J172" s="179"/>
    </row>
    <row r="173" spans="1:10" s="78" customFormat="1" ht="30" customHeight="1" x14ac:dyDescent="0.45">
      <c r="A173" s="364" t="s">
        <v>222</v>
      </c>
      <c r="B173" s="364"/>
      <c r="C173" s="364"/>
      <c r="D173" s="364"/>
      <c r="E173" s="371">
        <f>Saturday!S135/12</f>
        <v>0</v>
      </c>
      <c r="F173" s="75"/>
      <c r="G173" s="79"/>
      <c r="J173" s="179"/>
    </row>
    <row r="174" spans="1:10" s="78" customFormat="1" ht="30" customHeight="1" x14ac:dyDescent="0.45">
      <c r="A174" s="363" t="s">
        <v>221</v>
      </c>
      <c r="B174" s="363"/>
      <c r="C174" s="363"/>
      <c r="D174" s="363"/>
      <c r="E174" s="371">
        <f>Saturday!S136/15</f>
        <v>0</v>
      </c>
      <c r="F174" s="75"/>
      <c r="G174" s="79"/>
      <c r="J174" s="179"/>
    </row>
    <row r="175" spans="1:10" s="78" customFormat="1" ht="30" customHeight="1" x14ac:dyDescent="0.45">
      <c r="A175" s="363" t="s">
        <v>277</v>
      </c>
      <c r="B175" s="363"/>
      <c r="C175" s="363"/>
      <c r="D175" s="363"/>
      <c r="E175" s="371">
        <f>Saturday!S137/15</f>
        <v>0</v>
      </c>
      <c r="F175" s="75"/>
      <c r="G175" s="79"/>
      <c r="J175" s="179"/>
    </row>
    <row r="176" spans="1:10" s="78" customFormat="1" ht="34.5" x14ac:dyDescent="0.45">
      <c r="A176" s="364" t="s">
        <v>278</v>
      </c>
      <c r="B176" s="364"/>
      <c r="C176" s="364"/>
      <c r="D176" s="364"/>
      <c r="E176" s="371">
        <f>Saturday!S138/15</f>
        <v>0</v>
      </c>
      <c r="F176" s="75"/>
      <c r="G176" s="79"/>
      <c r="J176" s="179"/>
    </row>
    <row r="182" spans="2:2" x14ac:dyDescent="0.2">
      <c r="B182" s="97" t="s">
        <v>102</v>
      </c>
    </row>
  </sheetData>
  <sheetProtection password="C71F" sheet="1" objects="1" scenarios="1"/>
  <mergeCells count="38">
    <mergeCell ref="A165:D165"/>
    <mergeCell ref="A166:D166"/>
    <mergeCell ref="A167:D167"/>
    <mergeCell ref="A168:D168"/>
    <mergeCell ref="B150:C150"/>
    <mergeCell ref="F150:G150"/>
    <mergeCell ref="A159:A160"/>
    <mergeCell ref="A162:D162"/>
    <mergeCell ref="A163:D163"/>
    <mergeCell ref="A164:D164"/>
    <mergeCell ref="B142:C142"/>
    <mergeCell ref="F142:G142"/>
    <mergeCell ref="B60:C60"/>
    <mergeCell ref="F60:G60"/>
    <mergeCell ref="B71:C71"/>
    <mergeCell ref="F71:G71"/>
    <mergeCell ref="B100:C100"/>
    <mergeCell ref="F100:G100"/>
    <mergeCell ref="B110:C110"/>
    <mergeCell ref="F110:G110"/>
    <mergeCell ref="B122:C122"/>
    <mergeCell ref="F122:G122"/>
    <mergeCell ref="F134:G134"/>
    <mergeCell ref="B26:C26"/>
    <mergeCell ref="F26:G26"/>
    <mergeCell ref="B134:C134"/>
    <mergeCell ref="A4:E4"/>
    <mergeCell ref="B7:C7"/>
    <mergeCell ref="F7:G7"/>
    <mergeCell ref="B16:C16"/>
    <mergeCell ref="F16:G16"/>
    <mergeCell ref="B39:C39"/>
    <mergeCell ref="F39:G39"/>
    <mergeCell ref="B47:C47"/>
    <mergeCell ref="F47:G47"/>
    <mergeCell ref="B53:C53"/>
    <mergeCell ref="F53:G53"/>
    <mergeCell ref="F79:G79"/>
  </mergeCells>
  <printOptions horizontalCentered="1"/>
  <pageMargins left="0.196850393700787" right="0.196850393700787" top="0.39370078740157499" bottom="0.196850393700787" header="0.31496062992126" footer="0.31496062992126"/>
  <pageSetup paperSize="9" scale="78" orientation="portrait" r:id="rId1"/>
  <headerFooter alignWithMargins="0">
    <oddFooter>&amp;Lécole boulangerie&amp;CPage &amp;P</oddFooter>
  </headerFooter>
  <rowBreaks count="1" manualBreakCount="1">
    <brk id="158" max="6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7" tint="-0.249977111117893"/>
  </sheetPr>
  <dimension ref="A1:U164"/>
  <sheetViews>
    <sheetView showGridLines="0" view="pageBreakPreview" zoomScale="80" zoomScaleNormal="70" zoomScaleSheetLayoutView="80" workbookViewId="0">
      <pane xSplit="3" ySplit="3" topLeftCell="D4" activePane="bottomRight" state="frozen"/>
      <selection activeCell="A4" sqref="A4:E4"/>
      <selection pane="topRight" activeCell="A4" sqref="A4:E4"/>
      <selection pane="bottomLeft" activeCell="A4" sqref="A4:E4"/>
      <selection pane="bottomRight" activeCell="A4" sqref="A4:E4"/>
    </sheetView>
  </sheetViews>
  <sheetFormatPr defaultColWidth="11.42578125" defaultRowHeight="15" customHeight="1" x14ac:dyDescent="0.2"/>
  <cols>
    <col min="1" max="1" width="9.140625" style="374" bestFit="1" customWidth="1"/>
    <col min="2" max="2" width="52.85546875" style="340" bestFit="1" customWidth="1"/>
    <col min="3" max="3" width="6.5703125" style="19" hidden="1" customWidth="1"/>
    <col min="4" max="4" width="5.7109375" style="19" hidden="1" customWidth="1"/>
    <col min="5" max="5" width="6.140625" style="19" hidden="1" customWidth="1"/>
    <col min="6" max="6" width="11" style="290" customWidth="1"/>
    <col min="7" max="7" width="13.42578125" style="290" customWidth="1"/>
    <col min="8" max="10" width="13.42578125" style="290" hidden="1" customWidth="1"/>
    <col min="11" max="11" width="12.7109375" style="293" customWidth="1"/>
    <col min="12" max="12" width="9.28515625" style="299" bestFit="1" customWidth="1"/>
    <col min="13" max="13" width="7.5703125" style="300" customWidth="1"/>
    <col min="14" max="15" width="7.7109375" style="300" customWidth="1"/>
    <col min="16" max="16" width="7.7109375" style="300" hidden="1" customWidth="1"/>
    <col min="17" max="17" width="8" style="21" hidden="1" customWidth="1"/>
    <col min="18" max="18" width="9.7109375" style="21" hidden="1" customWidth="1"/>
    <col min="19" max="19" width="11.42578125" style="21" hidden="1" customWidth="1"/>
    <col min="20" max="20" width="25.140625" style="21" hidden="1" customWidth="1"/>
    <col min="21" max="21" width="11.42578125" style="21" hidden="1" customWidth="1"/>
    <col min="22" max="16384" width="11.42578125" style="21"/>
  </cols>
  <sheetData>
    <row r="1" spans="1:21" ht="21" customHeight="1" x14ac:dyDescent="0.2">
      <c r="B1" s="340" t="s">
        <v>76</v>
      </c>
      <c r="F1" s="40">
        <v>50</v>
      </c>
      <c r="G1" s="295" t="s">
        <v>244</v>
      </c>
      <c r="H1" s="295"/>
      <c r="I1" s="295"/>
      <c r="J1" s="295"/>
      <c r="K1" s="296">
        <f>Saturday!K1+1</f>
        <v>42463</v>
      </c>
      <c r="L1" s="401" t="s">
        <v>274</v>
      </c>
      <c r="M1" s="402"/>
      <c r="N1" s="402"/>
      <c r="O1" s="402"/>
      <c r="P1" s="402"/>
      <c r="Q1" s="41"/>
    </row>
    <row r="2" spans="1:21" ht="13.15" customHeight="1" x14ac:dyDescent="0.2">
      <c r="B2" s="403" t="s">
        <v>23</v>
      </c>
      <c r="C2" s="404" t="s">
        <v>78</v>
      </c>
      <c r="D2" s="404" t="s">
        <v>79</v>
      </c>
      <c r="E2" s="405" t="s">
        <v>80</v>
      </c>
      <c r="F2" s="407" t="s">
        <v>183</v>
      </c>
      <c r="G2" s="408" t="s">
        <v>81</v>
      </c>
      <c r="H2" s="319"/>
      <c r="I2" s="319"/>
      <c r="J2" s="319"/>
      <c r="K2" s="410" t="s">
        <v>82</v>
      </c>
      <c r="L2" s="411" t="s">
        <v>243</v>
      </c>
      <c r="M2" s="411" t="s">
        <v>275</v>
      </c>
      <c r="N2" s="411" t="s">
        <v>306</v>
      </c>
      <c r="O2" s="411" t="s">
        <v>307</v>
      </c>
      <c r="P2" s="411" t="s">
        <v>276</v>
      </c>
      <c r="Q2" s="413" t="s">
        <v>83</v>
      </c>
      <c r="R2" s="415" t="s">
        <v>84</v>
      </c>
    </row>
    <row r="3" spans="1:21" s="28" customFormat="1" ht="17.45" customHeight="1" thickBot="1" x14ac:dyDescent="0.25">
      <c r="A3" s="375"/>
      <c r="B3" s="403"/>
      <c r="C3" s="404"/>
      <c r="D3" s="404"/>
      <c r="E3" s="406"/>
      <c r="F3" s="407"/>
      <c r="G3" s="409"/>
      <c r="H3" s="320"/>
      <c r="I3" s="320"/>
      <c r="J3" s="320"/>
      <c r="K3" s="410"/>
      <c r="L3" s="412"/>
      <c r="M3" s="412"/>
      <c r="N3" s="412"/>
      <c r="O3" s="412"/>
      <c r="P3" s="412"/>
      <c r="Q3" s="414"/>
      <c r="R3" s="415"/>
    </row>
    <row r="4" spans="1:21" s="25" customFormat="1" ht="20.100000000000001" customHeight="1" x14ac:dyDescent="0.15">
      <c r="A4" s="376">
        <v>755730</v>
      </c>
      <c r="B4" s="341" t="s">
        <v>103</v>
      </c>
      <c r="C4" s="85">
        <f>PV!C4</f>
        <v>0.17499999999999999</v>
      </c>
      <c r="D4" s="42" t="s">
        <v>85</v>
      </c>
      <c r="E4" s="43">
        <f>IF(D4="h",PV!E4,IF(D4="M",PV!G4,PV!I4))</f>
        <v>1.1000000000000001</v>
      </c>
      <c r="F4" s="291">
        <v>20</v>
      </c>
      <c r="G4" s="291">
        <v>23</v>
      </c>
      <c r="H4" s="291"/>
      <c r="I4" s="291"/>
      <c r="J4" s="291"/>
      <c r="K4" s="373"/>
      <c r="L4" s="327"/>
      <c r="M4" s="328"/>
      <c r="N4" s="329"/>
      <c r="O4" s="329"/>
      <c r="P4" s="330"/>
      <c r="Q4" s="275">
        <f t="shared" ref="Q4:Q23" si="0">(K4*E4)</f>
        <v>0</v>
      </c>
      <c r="R4" s="280">
        <f t="shared" ref="R4:R23" si="1">K4*C4</f>
        <v>0</v>
      </c>
      <c r="U4" s="294">
        <f>K4-L4</f>
        <v>0</v>
      </c>
    </row>
    <row r="5" spans="1:21" s="25" customFormat="1" ht="20.100000000000001" customHeight="1" x14ac:dyDescent="0.15">
      <c r="A5" s="376">
        <v>65846</v>
      </c>
      <c r="B5" s="341" t="s">
        <v>104</v>
      </c>
      <c r="C5" s="85">
        <f>PV!C5</f>
        <v>0.35</v>
      </c>
      <c r="D5" s="44" t="str">
        <f t="shared" ref="D5:D68" si="2">D4</f>
        <v>h</v>
      </c>
      <c r="E5" s="43">
        <f>IF(D5="h",PV!E5,IF(D5="M",PV!G5,PV!I5))</f>
        <v>1.8</v>
      </c>
      <c r="F5" s="291">
        <v>11</v>
      </c>
      <c r="G5" s="291">
        <v>12</v>
      </c>
      <c r="H5" s="291"/>
      <c r="I5" s="291"/>
      <c r="J5" s="291"/>
      <c r="K5" s="373"/>
      <c r="L5" s="331"/>
      <c r="M5" s="332"/>
      <c r="N5" s="333"/>
      <c r="O5" s="333"/>
      <c r="P5" s="334"/>
      <c r="Q5" s="275">
        <f t="shared" si="0"/>
        <v>0</v>
      </c>
      <c r="R5" s="280">
        <f t="shared" si="1"/>
        <v>0</v>
      </c>
      <c r="U5" s="294"/>
    </row>
    <row r="6" spans="1:21" s="25" customFormat="1" ht="20.100000000000001" customHeight="1" x14ac:dyDescent="0.15">
      <c r="A6" s="377">
        <v>358700</v>
      </c>
      <c r="B6" s="341" t="s">
        <v>35</v>
      </c>
      <c r="C6" s="85">
        <f>PV!C6</f>
        <v>0.35</v>
      </c>
      <c r="D6" s="44" t="str">
        <f t="shared" si="2"/>
        <v>h</v>
      </c>
      <c r="E6" s="43">
        <f>IF(D6="h",PV!E6,IF(D6="M",PV!G6,PV!I6))</f>
        <v>3.45</v>
      </c>
      <c r="F6" s="291">
        <v>0</v>
      </c>
      <c r="G6" s="291">
        <v>10</v>
      </c>
      <c r="H6" s="291"/>
      <c r="I6" s="291"/>
      <c r="J6" s="291"/>
      <c r="K6" s="373"/>
      <c r="L6" s="331"/>
      <c r="M6" s="332"/>
      <c r="N6" s="333"/>
      <c r="O6" s="333"/>
      <c r="P6" s="334"/>
      <c r="Q6" s="275">
        <f t="shared" si="0"/>
        <v>0</v>
      </c>
      <c r="R6" s="280">
        <f t="shared" si="1"/>
        <v>0</v>
      </c>
      <c r="U6" s="294">
        <f t="shared" ref="U6:U37" si="3">K6-L6</f>
        <v>0</v>
      </c>
    </row>
    <row r="7" spans="1:21" s="25" customFormat="1" ht="20.100000000000001" customHeight="1" x14ac:dyDescent="0.15">
      <c r="A7" s="377">
        <v>348164</v>
      </c>
      <c r="B7" s="341" t="s">
        <v>105</v>
      </c>
      <c r="C7" s="85">
        <f>PV!C7</f>
        <v>0.35</v>
      </c>
      <c r="D7" s="44" t="str">
        <f t="shared" si="2"/>
        <v>h</v>
      </c>
      <c r="E7" s="43">
        <f>IF(D7="h",PV!E7,IF(D7="M",PV!G7,PV!I7))</f>
        <v>5.95</v>
      </c>
      <c r="F7" s="291">
        <v>3</v>
      </c>
      <c r="G7" s="291">
        <v>144</v>
      </c>
      <c r="H7" s="291"/>
      <c r="I7" s="291"/>
      <c r="J7" s="291"/>
      <c r="K7" s="373"/>
      <c r="L7" s="331"/>
      <c r="M7" s="332"/>
      <c r="N7" s="333"/>
      <c r="O7" s="333"/>
      <c r="P7" s="334"/>
      <c r="Q7" s="275">
        <f t="shared" si="0"/>
        <v>0</v>
      </c>
      <c r="R7" s="280">
        <f t="shared" si="1"/>
        <v>0</v>
      </c>
      <c r="U7" s="294">
        <f t="shared" si="3"/>
        <v>0</v>
      </c>
    </row>
    <row r="8" spans="1:21" s="25" customFormat="1" ht="20.100000000000001" customHeight="1" x14ac:dyDescent="0.15">
      <c r="A8" s="377">
        <v>358194</v>
      </c>
      <c r="B8" s="341" t="s">
        <v>106</v>
      </c>
      <c r="C8" s="85">
        <f>PV!C8</f>
        <v>0.35</v>
      </c>
      <c r="D8" s="44" t="str">
        <f t="shared" si="2"/>
        <v>h</v>
      </c>
      <c r="E8" s="43">
        <f>IF(D8="h",PV!E8,IF(D8="M",PV!G8,PV!I8))</f>
        <v>5.5</v>
      </c>
      <c r="F8" s="291">
        <v>6</v>
      </c>
      <c r="G8" s="291">
        <v>6</v>
      </c>
      <c r="H8" s="291"/>
      <c r="I8" s="291"/>
      <c r="J8" s="291"/>
      <c r="K8" s="373"/>
      <c r="L8" s="331"/>
      <c r="M8" s="332"/>
      <c r="N8" s="333"/>
      <c r="O8" s="333"/>
      <c r="P8" s="334"/>
      <c r="Q8" s="275">
        <f t="shared" si="0"/>
        <v>0</v>
      </c>
      <c r="R8" s="280">
        <f t="shared" si="1"/>
        <v>0</v>
      </c>
      <c r="U8" s="294">
        <f t="shared" si="3"/>
        <v>0</v>
      </c>
    </row>
    <row r="9" spans="1:21" s="25" customFormat="1" ht="20.100000000000001" customHeight="1" x14ac:dyDescent="0.15">
      <c r="A9" s="377">
        <v>65888</v>
      </c>
      <c r="B9" s="336" t="s">
        <v>305</v>
      </c>
      <c r="C9" s="85">
        <f>PV!C9</f>
        <v>0.35</v>
      </c>
      <c r="D9" s="44" t="str">
        <f t="shared" si="2"/>
        <v>h</v>
      </c>
      <c r="E9" s="43">
        <f>IF(D9="h",PV!E9,IF(D9="M",PV!G9,PV!I9))</f>
        <v>5.5</v>
      </c>
      <c r="F9" s="291">
        <v>6</v>
      </c>
      <c r="G9" s="291">
        <v>0</v>
      </c>
      <c r="H9" s="291"/>
      <c r="I9" s="291"/>
      <c r="J9" s="291"/>
      <c r="K9" s="373"/>
      <c r="L9" s="331"/>
      <c r="M9" s="332"/>
      <c r="N9" s="333"/>
      <c r="O9" s="333"/>
      <c r="P9" s="334"/>
      <c r="Q9" s="275">
        <f t="shared" si="0"/>
        <v>0</v>
      </c>
      <c r="R9" s="280">
        <f t="shared" si="1"/>
        <v>0</v>
      </c>
      <c r="U9" s="294">
        <f t="shared" si="3"/>
        <v>0</v>
      </c>
    </row>
    <row r="10" spans="1:21" s="25" customFormat="1" ht="20.100000000000001" customHeight="1" x14ac:dyDescent="0.15">
      <c r="A10" s="377">
        <v>65850</v>
      </c>
      <c r="B10" s="341" t="s">
        <v>108</v>
      </c>
      <c r="C10" s="85">
        <f>PV!C10</f>
        <v>0.35</v>
      </c>
      <c r="D10" s="44" t="str">
        <f t="shared" si="2"/>
        <v>h</v>
      </c>
      <c r="E10" s="43">
        <f>IF(D10="h",PV!E10,IF(D10="M",PV!G10,PV!I10))</f>
        <v>3.45</v>
      </c>
      <c r="F10" s="291">
        <v>6</v>
      </c>
      <c r="G10" s="291">
        <v>5</v>
      </c>
      <c r="H10" s="291"/>
      <c r="I10" s="291"/>
      <c r="J10" s="291"/>
      <c r="K10" s="373"/>
      <c r="L10" s="331"/>
      <c r="M10" s="332"/>
      <c r="N10" s="333"/>
      <c r="O10" s="333"/>
      <c r="P10" s="334"/>
      <c r="Q10" s="275">
        <f t="shared" si="0"/>
        <v>0</v>
      </c>
      <c r="R10" s="280">
        <f t="shared" si="1"/>
        <v>0</v>
      </c>
      <c r="U10" s="294">
        <f t="shared" si="3"/>
        <v>0</v>
      </c>
    </row>
    <row r="11" spans="1:21" s="25" customFormat="1" ht="20.100000000000001" customHeight="1" x14ac:dyDescent="0.15">
      <c r="A11" s="377">
        <v>65852</v>
      </c>
      <c r="B11" s="341" t="s">
        <v>109</v>
      </c>
      <c r="C11" s="85">
        <f>PV!C11</f>
        <v>0.35</v>
      </c>
      <c r="D11" s="44" t="str">
        <f t="shared" si="2"/>
        <v>h</v>
      </c>
      <c r="E11" s="43">
        <f>IF(D11="h",PV!E11,IF(D11="M",PV!G11,PV!I11))</f>
        <v>1.95</v>
      </c>
      <c r="F11" s="291">
        <v>299</v>
      </c>
      <c r="G11" s="291">
        <v>268</v>
      </c>
      <c r="H11" s="291"/>
      <c r="I11" s="291"/>
      <c r="J11" s="291"/>
      <c r="K11" s="373"/>
      <c r="L11" s="331"/>
      <c r="M11" s="332"/>
      <c r="N11" s="333"/>
      <c r="O11" s="333"/>
      <c r="P11" s="334"/>
      <c r="Q11" s="275">
        <f t="shared" si="0"/>
        <v>0</v>
      </c>
      <c r="R11" s="280">
        <f t="shared" si="1"/>
        <v>0</v>
      </c>
      <c r="U11" s="294">
        <f t="shared" si="3"/>
        <v>0</v>
      </c>
    </row>
    <row r="12" spans="1:21" s="25" customFormat="1" ht="20.100000000000001" customHeight="1" x14ac:dyDescent="0.15">
      <c r="A12" s="377">
        <v>303831</v>
      </c>
      <c r="B12" s="336" t="s">
        <v>110</v>
      </c>
      <c r="C12" s="85">
        <f>PV!C12</f>
        <v>0.35</v>
      </c>
      <c r="D12" s="44" t="str">
        <f t="shared" si="2"/>
        <v>h</v>
      </c>
      <c r="E12" s="43">
        <f>IF(D12="h",PV!E12,IF(D12="M",PV!G12,PV!I12))</f>
        <v>2.5</v>
      </c>
      <c r="F12" s="291">
        <v>6</v>
      </c>
      <c r="G12" s="291">
        <v>6</v>
      </c>
      <c r="H12" s="291"/>
      <c r="I12" s="291"/>
      <c r="J12" s="291"/>
      <c r="K12" s="373"/>
      <c r="L12" s="331"/>
      <c r="M12" s="332"/>
      <c r="N12" s="333"/>
      <c r="O12" s="333"/>
      <c r="P12" s="334"/>
      <c r="Q12" s="275">
        <f t="shared" si="0"/>
        <v>0</v>
      </c>
      <c r="R12" s="280">
        <f t="shared" si="1"/>
        <v>0</v>
      </c>
      <c r="U12" s="294">
        <f t="shared" si="3"/>
        <v>0</v>
      </c>
    </row>
    <row r="13" spans="1:21" s="25" customFormat="1" ht="20.100000000000001" customHeight="1" x14ac:dyDescent="0.15">
      <c r="A13" s="377">
        <v>292745</v>
      </c>
      <c r="B13" s="341" t="s">
        <v>111</v>
      </c>
      <c r="C13" s="85">
        <f>PV!C13</f>
        <v>0.48</v>
      </c>
      <c r="D13" s="44" t="str">
        <f t="shared" si="2"/>
        <v>h</v>
      </c>
      <c r="E13" s="43">
        <f>IF(D13="h",PV!E13,IF(D13="M",PV!G13,PV!I13))</f>
        <v>2.95</v>
      </c>
      <c r="F13" s="291">
        <v>52</v>
      </c>
      <c r="G13" s="291">
        <v>83</v>
      </c>
      <c r="H13" s="291"/>
      <c r="I13" s="291"/>
      <c r="J13" s="291"/>
      <c r="K13" s="373"/>
      <c r="L13" s="331"/>
      <c r="M13" s="332"/>
      <c r="N13" s="333"/>
      <c r="O13" s="333"/>
      <c r="P13" s="334"/>
      <c r="Q13" s="275">
        <f t="shared" si="0"/>
        <v>0</v>
      </c>
      <c r="R13" s="280">
        <f t="shared" si="1"/>
        <v>0</v>
      </c>
      <c r="U13" s="294">
        <f t="shared" si="3"/>
        <v>0</v>
      </c>
    </row>
    <row r="14" spans="1:21" s="25" customFormat="1" ht="20.100000000000001" customHeight="1" x14ac:dyDescent="0.15">
      <c r="A14" s="377">
        <v>65890</v>
      </c>
      <c r="B14" s="341" t="s">
        <v>30</v>
      </c>
      <c r="C14" s="85">
        <f>PV!C14</f>
        <v>1.165</v>
      </c>
      <c r="D14" s="44" t="str">
        <f t="shared" si="2"/>
        <v>h</v>
      </c>
      <c r="E14" s="43">
        <f>IF(D14="h",PV!E14,IF(D14="M",PV!G14,PV!I14))</f>
        <v>8.4499999999999993</v>
      </c>
      <c r="F14" s="291">
        <v>17</v>
      </c>
      <c r="G14" s="291">
        <v>45</v>
      </c>
      <c r="H14" s="291"/>
      <c r="I14" s="291"/>
      <c r="J14" s="291"/>
      <c r="K14" s="373"/>
      <c r="L14" s="331"/>
      <c r="M14" s="332"/>
      <c r="N14" s="333"/>
      <c r="O14" s="333"/>
      <c r="P14" s="334"/>
      <c r="Q14" s="275">
        <f t="shared" si="0"/>
        <v>0</v>
      </c>
      <c r="R14" s="280">
        <f t="shared" si="1"/>
        <v>0</v>
      </c>
      <c r="U14" s="294">
        <f t="shared" si="3"/>
        <v>0</v>
      </c>
    </row>
    <row r="15" spans="1:21" s="25" customFormat="1" ht="20.100000000000001" customHeight="1" x14ac:dyDescent="0.15">
      <c r="A15" s="377">
        <v>65892</v>
      </c>
      <c r="B15" s="341" t="s">
        <v>29</v>
      </c>
      <c r="C15" s="85">
        <f>PV!C15</f>
        <v>0.58499999999999996</v>
      </c>
      <c r="D15" s="44" t="str">
        <f t="shared" si="2"/>
        <v>h</v>
      </c>
      <c r="E15" s="43">
        <f>IF(D15="h",PV!E15,IF(D15="M",PV!G15,PV!I15))</f>
        <v>5.5</v>
      </c>
      <c r="F15" s="291">
        <v>6</v>
      </c>
      <c r="G15" s="291">
        <v>9</v>
      </c>
      <c r="H15" s="291"/>
      <c r="I15" s="291"/>
      <c r="J15" s="291"/>
      <c r="K15" s="373"/>
      <c r="L15" s="331"/>
      <c r="M15" s="332"/>
      <c r="N15" s="333"/>
      <c r="O15" s="333"/>
      <c r="P15" s="334"/>
      <c r="Q15" s="275">
        <f t="shared" si="0"/>
        <v>0</v>
      </c>
      <c r="R15" s="280">
        <f t="shared" si="1"/>
        <v>0</v>
      </c>
      <c r="U15" s="294">
        <f t="shared" si="3"/>
        <v>0</v>
      </c>
    </row>
    <row r="16" spans="1:21" s="25" customFormat="1" ht="20.100000000000001" customHeight="1" x14ac:dyDescent="0.15">
      <c r="A16" s="377">
        <v>886852</v>
      </c>
      <c r="B16" s="336" t="s">
        <v>303</v>
      </c>
      <c r="C16" s="85">
        <f>PV!C16</f>
        <v>1.165</v>
      </c>
      <c r="D16" s="44" t="str">
        <f t="shared" si="2"/>
        <v>h</v>
      </c>
      <c r="E16" s="43">
        <f>IF(D16="h",PV!E16,IF(D16="M",PV!G16,PV!I16))</f>
        <v>8.4499999999999993</v>
      </c>
      <c r="F16" s="291">
        <v>1</v>
      </c>
      <c r="G16" s="291">
        <v>3</v>
      </c>
      <c r="H16" s="291"/>
      <c r="I16" s="291"/>
      <c r="J16" s="291"/>
      <c r="K16" s="373"/>
      <c r="L16" s="331"/>
      <c r="M16" s="332"/>
      <c r="N16" s="333"/>
      <c r="O16" s="333"/>
      <c r="P16" s="334"/>
      <c r="Q16" s="275">
        <f t="shared" si="0"/>
        <v>0</v>
      </c>
      <c r="R16" s="280">
        <f t="shared" si="1"/>
        <v>0</v>
      </c>
      <c r="U16" s="294">
        <f t="shared" si="3"/>
        <v>0</v>
      </c>
    </row>
    <row r="17" spans="1:21" s="25" customFormat="1" ht="20.100000000000001" customHeight="1" x14ac:dyDescent="0.15">
      <c r="A17" s="377">
        <v>886849</v>
      </c>
      <c r="B17" s="341" t="s">
        <v>304</v>
      </c>
      <c r="C17" s="85">
        <f>PV!C17</f>
        <v>0.58499999999999996</v>
      </c>
      <c r="D17" s="44" t="str">
        <f t="shared" si="2"/>
        <v>h</v>
      </c>
      <c r="E17" s="43">
        <f>IF(D17="h",PV!E17,IF(D17="M",PV!G17,PV!I17))</f>
        <v>5.5</v>
      </c>
      <c r="F17" s="291">
        <v>1</v>
      </c>
      <c r="G17" s="291">
        <v>5</v>
      </c>
      <c r="H17" s="291"/>
      <c r="I17" s="291"/>
      <c r="J17" s="291"/>
      <c r="K17" s="373"/>
      <c r="L17" s="331"/>
      <c r="M17" s="332"/>
      <c r="N17" s="333"/>
      <c r="O17" s="333"/>
      <c r="P17" s="334"/>
      <c r="Q17" s="275">
        <f t="shared" si="0"/>
        <v>0</v>
      </c>
      <c r="R17" s="280">
        <f t="shared" si="1"/>
        <v>0</v>
      </c>
      <c r="U17" s="294">
        <f t="shared" si="3"/>
        <v>0</v>
      </c>
    </row>
    <row r="18" spans="1:21" s="25" customFormat="1" ht="20.100000000000001" customHeight="1" x14ac:dyDescent="0.15">
      <c r="A18" s="377">
        <v>65897</v>
      </c>
      <c r="B18" s="341" t="s">
        <v>36</v>
      </c>
      <c r="C18" s="85">
        <f>PV!C18</f>
        <v>0.24</v>
      </c>
      <c r="D18" s="44" t="str">
        <f t="shared" si="2"/>
        <v>h</v>
      </c>
      <c r="E18" s="43">
        <f>IF(D18="h",PV!E18,IF(D18="M",PV!G18,PV!I18))</f>
        <v>3</v>
      </c>
      <c r="F18" s="291">
        <v>24</v>
      </c>
      <c r="G18" s="291">
        <v>47</v>
      </c>
      <c r="H18" s="291"/>
      <c r="I18" s="291"/>
      <c r="J18" s="291"/>
      <c r="K18" s="373"/>
      <c r="L18" s="331"/>
      <c r="M18" s="332"/>
      <c r="N18" s="333"/>
      <c r="O18" s="333"/>
      <c r="P18" s="334"/>
      <c r="Q18" s="275">
        <f t="shared" si="0"/>
        <v>0</v>
      </c>
      <c r="R18" s="280">
        <f t="shared" si="1"/>
        <v>0</v>
      </c>
      <c r="U18" s="294">
        <f t="shared" si="3"/>
        <v>0</v>
      </c>
    </row>
    <row r="19" spans="1:21" s="25" customFormat="1" ht="20.100000000000001" customHeight="1" x14ac:dyDescent="0.15">
      <c r="A19" s="377">
        <v>403773</v>
      </c>
      <c r="B19" s="341" t="s">
        <v>112</v>
      </c>
      <c r="C19" s="85">
        <f>PV!C19</f>
        <v>0.24</v>
      </c>
      <c r="D19" s="44" t="str">
        <f t="shared" si="2"/>
        <v>h</v>
      </c>
      <c r="E19" s="43">
        <f>IF(D19="h",PV!E19,IF(D19="M",PV!G19,PV!I19))</f>
        <v>3.75</v>
      </c>
      <c r="F19" s="291">
        <v>0</v>
      </c>
      <c r="G19" s="291">
        <v>0</v>
      </c>
      <c r="H19" s="291"/>
      <c r="I19" s="291"/>
      <c r="J19" s="291"/>
      <c r="K19" s="373"/>
      <c r="L19" s="331"/>
      <c r="M19" s="332"/>
      <c r="N19" s="333"/>
      <c r="O19" s="333"/>
      <c r="P19" s="334"/>
      <c r="Q19" s="275">
        <f t="shared" si="0"/>
        <v>0</v>
      </c>
      <c r="R19" s="280">
        <f t="shared" si="1"/>
        <v>0</v>
      </c>
      <c r="U19" s="294">
        <f t="shared" si="3"/>
        <v>0</v>
      </c>
    </row>
    <row r="20" spans="1:21" s="25" customFormat="1" ht="20.100000000000001" customHeight="1" x14ac:dyDescent="0.15">
      <c r="A20" s="377">
        <v>886858</v>
      </c>
      <c r="B20" s="336" t="s">
        <v>113</v>
      </c>
      <c r="C20" s="85">
        <f>PV!C20</f>
        <v>0.7</v>
      </c>
      <c r="D20" s="44" t="str">
        <f t="shared" si="2"/>
        <v>h</v>
      </c>
      <c r="E20" s="43">
        <f>IF(D20="h",PV!E20,IF(D20="M",PV!G20,PV!I20))</f>
        <v>6.45</v>
      </c>
      <c r="F20" s="291">
        <v>3</v>
      </c>
      <c r="G20" s="291">
        <v>5</v>
      </c>
      <c r="H20" s="291"/>
      <c r="I20" s="291"/>
      <c r="J20" s="291"/>
      <c r="K20" s="373"/>
      <c r="L20" s="331"/>
      <c r="M20" s="332"/>
      <c r="N20" s="333"/>
      <c r="O20" s="333"/>
      <c r="P20" s="334"/>
      <c r="Q20" s="275">
        <f t="shared" si="0"/>
        <v>0</v>
      </c>
      <c r="R20" s="280">
        <f t="shared" si="1"/>
        <v>0</v>
      </c>
      <c r="U20" s="294">
        <f t="shared" si="3"/>
        <v>0</v>
      </c>
    </row>
    <row r="21" spans="1:21" s="25" customFormat="1" ht="20.100000000000001" customHeight="1" x14ac:dyDescent="0.15">
      <c r="A21" s="377">
        <v>886854</v>
      </c>
      <c r="B21" s="341" t="s">
        <v>114</v>
      </c>
      <c r="C21" s="85">
        <f>PV!C21</f>
        <v>0.35</v>
      </c>
      <c r="D21" s="44" t="str">
        <f t="shared" si="2"/>
        <v>h</v>
      </c>
      <c r="E21" s="43">
        <f>IF(D21="h",PV!E21,IF(D21="M",PV!G21,PV!I21))</f>
        <v>3.75</v>
      </c>
      <c r="F21" s="291">
        <v>3</v>
      </c>
      <c r="G21" s="291">
        <v>3</v>
      </c>
      <c r="H21" s="291"/>
      <c r="I21" s="291"/>
      <c r="J21" s="291"/>
      <c r="K21" s="373"/>
      <c r="L21" s="331"/>
      <c r="M21" s="332"/>
      <c r="N21" s="333"/>
      <c r="O21" s="333"/>
      <c r="P21" s="334"/>
      <c r="Q21" s="275">
        <f t="shared" si="0"/>
        <v>0</v>
      </c>
      <c r="R21" s="280">
        <f t="shared" si="1"/>
        <v>0</v>
      </c>
      <c r="U21" s="294">
        <f t="shared" si="3"/>
        <v>0</v>
      </c>
    </row>
    <row r="22" spans="1:21" s="25" customFormat="1" ht="20.100000000000001" customHeight="1" x14ac:dyDescent="0.15">
      <c r="A22" s="377">
        <v>65929</v>
      </c>
      <c r="B22" s="341" t="s">
        <v>32</v>
      </c>
      <c r="C22" s="85">
        <f>PV!C22</f>
        <v>0.7</v>
      </c>
      <c r="D22" s="44" t="str">
        <f t="shared" si="2"/>
        <v>h</v>
      </c>
      <c r="E22" s="43">
        <f>IF(D22="h",PV!E22,IF(D22="M",PV!G22,PV!I22))</f>
        <v>6.45</v>
      </c>
      <c r="F22" s="291">
        <v>29</v>
      </c>
      <c r="G22" s="291">
        <v>48</v>
      </c>
      <c r="H22" s="291"/>
      <c r="I22" s="291"/>
      <c r="J22" s="291"/>
      <c r="K22" s="373"/>
      <c r="L22" s="331"/>
      <c r="M22" s="332"/>
      <c r="N22" s="333"/>
      <c r="O22" s="333"/>
      <c r="P22" s="334"/>
      <c r="Q22" s="275">
        <f t="shared" si="0"/>
        <v>0</v>
      </c>
      <c r="R22" s="280">
        <f t="shared" si="1"/>
        <v>0</v>
      </c>
      <c r="U22" s="294">
        <f t="shared" si="3"/>
        <v>0</v>
      </c>
    </row>
    <row r="23" spans="1:21" s="25" customFormat="1" ht="18.75" customHeight="1" x14ac:dyDescent="0.15">
      <c r="A23" s="335">
        <v>65926</v>
      </c>
      <c r="B23" s="341" t="s">
        <v>31</v>
      </c>
      <c r="C23" s="85">
        <f>PV!C23</f>
        <v>0.35</v>
      </c>
      <c r="D23" s="44" t="str">
        <f t="shared" si="2"/>
        <v>h</v>
      </c>
      <c r="E23" s="43">
        <f>IF(D23="h",PV!E23,IF(D23="M",PV!G23,PV!I23))</f>
        <v>3.75</v>
      </c>
      <c r="F23" s="291">
        <v>9</v>
      </c>
      <c r="G23" s="291">
        <v>13</v>
      </c>
      <c r="H23" s="291"/>
      <c r="I23" s="291"/>
      <c r="J23" s="291"/>
      <c r="K23" s="373"/>
      <c r="L23" s="331"/>
      <c r="M23" s="332"/>
      <c r="N23" s="333"/>
      <c r="O23" s="333"/>
      <c r="P23" s="334"/>
      <c r="Q23" s="275">
        <f t="shared" si="0"/>
        <v>0</v>
      </c>
      <c r="R23" s="280">
        <f t="shared" si="1"/>
        <v>0</v>
      </c>
      <c r="U23" s="294">
        <f t="shared" si="3"/>
        <v>0</v>
      </c>
    </row>
    <row r="24" spans="1:21" s="25" customFormat="1" ht="9.75" customHeight="1" x14ac:dyDescent="0.2">
      <c r="A24" s="378"/>
      <c r="B24" s="342"/>
      <c r="C24" s="85">
        <f>PV!C24</f>
        <v>0</v>
      </c>
      <c r="D24" s="44" t="str">
        <f t="shared" si="2"/>
        <v>h</v>
      </c>
      <c r="E24" s="43">
        <f>IF(D24="h",PV!E24,IF(D24="M",PV!G24,PV!I24))</f>
        <v>0</v>
      </c>
      <c r="F24" s="291">
        <v>0</v>
      </c>
      <c r="G24" s="291">
        <v>0</v>
      </c>
      <c r="H24" s="291"/>
      <c r="I24" s="291"/>
      <c r="J24" s="291"/>
      <c r="K24" s="373"/>
      <c r="L24" s="331"/>
      <c r="M24" s="332"/>
      <c r="N24" s="333"/>
      <c r="O24" s="333"/>
      <c r="P24" s="334"/>
      <c r="Q24" s="276"/>
      <c r="R24" s="281">
        <f>SUM(R4:R23)</f>
        <v>0</v>
      </c>
      <c r="U24" s="294">
        <f t="shared" si="3"/>
        <v>0</v>
      </c>
    </row>
    <row r="25" spans="1:21" s="25" customFormat="1" ht="16.149999999999999" customHeight="1" x14ac:dyDescent="0.2">
      <c r="A25" s="379">
        <v>206112</v>
      </c>
      <c r="B25" s="343" t="s">
        <v>301</v>
      </c>
      <c r="C25" s="85">
        <f>PV!C25</f>
        <v>0.72</v>
      </c>
      <c r="D25" s="44" t="str">
        <f t="shared" si="2"/>
        <v>h</v>
      </c>
      <c r="E25" s="43">
        <f>IF(D25="h",PV!E25,IF(D25="M",PV!G25,PV!I25))</f>
        <v>7.95</v>
      </c>
      <c r="F25" s="291">
        <v>1</v>
      </c>
      <c r="G25" s="291">
        <v>0</v>
      </c>
      <c r="H25" s="291"/>
      <c r="I25" s="291"/>
      <c r="J25" s="291"/>
      <c r="K25" s="373"/>
      <c r="L25" s="331"/>
      <c r="M25" s="332"/>
      <c r="N25" s="333"/>
      <c r="O25" s="333"/>
      <c r="P25" s="334"/>
      <c r="Q25" s="275">
        <f>(K25*E25)</f>
        <v>0</v>
      </c>
      <c r="R25" s="280">
        <f>K25*C25</f>
        <v>0</v>
      </c>
      <c r="U25" s="294">
        <f t="shared" si="3"/>
        <v>0</v>
      </c>
    </row>
    <row r="26" spans="1:21" s="25" customFormat="1" ht="18.75" customHeight="1" x14ac:dyDescent="0.2">
      <c r="A26" s="379">
        <v>206120</v>
      </c>
      <c r="B26" s="343" t="s">
        <v>302</v>
      </c>
      <c r="C26" s="85">
        <f>PV!C26</f>
        <v>0.36</v>
      </c>
      <c r="D26" s="44" t="str">
        <f t="shared" si="2"/>
        <v>h</v>
      </c>
      <c r="E26" s="43">
        <f>IF(D26="h",PV!E26,IF(D26="M",PV!G26,PV!I26))</f>
        <v>4.95</v>
      </c>
      <c r="F26" s="291">
        <v>3</v>
      </c>
      <c r="G26" s="291">
        <v>6</v>
      </c>
      <c r="H26" s="291"/>
      <c r="I26" s="291"/>
      <c r="J26" s="291"/>
      <c r="K26" s="373"/>
      <c r="L26" s="331"/>
      <c r="M26" s="332"/>
      <c r="N26" s="333"/>
      <c r="O26" s="333"/>
      <c r="P26" s="334"/>
      <c r="Q26" s="275">
        <f>(K26*E26)</f>
        <v>0</v>
      </c>
      <c r="R26" s="280">
        <f>K26*C26</f>
        <v>0</v>
      </c>
      <c r="U26" s="294">
        <f t="shared" si="3"/>
        <v>0</v>
      </c>
    </row>
    <row r="27" spans="1:21" s="25" customFormat="1" ht="18.75" customHeight="1" x14ac:dyDescent="0.2">
      <c r="A27" s="379">
        <v>65864</v>
      </c>
      <c r="B27" s="343" t="s">
        <v>136</v>
      </c>
      <c r="C27" s="85">
        <f>PV!C27</f>
        <v>0.48</v>
      </c>
      <c r="D27" s="44" t="str">
        <f t="shared" si="2"/>
        <v>h</v>
      </c>
      <c r="E27" s="43">
        <f>IF(D27="h",PV!E27,IF(D27="M",PV!G27,PV!I27))</f>
        <v>5.5</v>
      </c>
      <c r="F27" s="291">
        <v>5</v>
      </c>
      <c r="G27" s="291">
        <v>10</v>
      </c>
      <c r="H27" s="291"/>
      <c r="I27" s="291"/>
      <c r="J27" s="291"/>
      <c r="K27" s="373"/>
      <c r="L27" s="331"/>
      <c r="M27" s="332"/>
      <c r="N27" s="333"/>
      <c r="O27" s="333"/>
      <c r="P27" s="334"/>
      <c r="Q27" s="275">
        <f>(K27*E27)</f>
        <v>0</v>
      </c>
      <c r="R27" s="280">
        <f>K27*C27</f>
        <v>0</v>
      </c>
      <c r="U27" s="294">
        <f t="shared" si="3"/>
        <v>0</v>
      </c>
    </row>
    <row r="28" spans="1:21" s="25" customFormat="1" ht="18.75" customHeight="1" x14ac:dyDescent="0.2">
      <c r="A28" s="379">
        <v>1263736</v>
      </c>
      <c r="B28" s="343" t="s">
        <v>273</v>
      </c>
      <c r="C28" s="85">
        <f>PV!C28</f>
        <v>0.47499999999999998</v>
      </c>
      <c r="D28" s="44" t="str">
        <f t="shared" si="2"/>
        <v>h</v>
      </c>
      <c r="E28" s="43">
        <f>IF(D28="h",PV!E28,IF(D28="M",PV!G28,PV!I28))</f>
        <v>5.5</v>
      </c>
      <c r="F28" s="291">
        <v>7</v>
      </c>
      <c r="G28" s="291">
        <v>13</v>
      </c>
      <c r="H28" s="291"/>
      <c r="I28" s="291"/>
      <c r="J28" s="291"/>
      <c r="K28" s="373"/>
      <c r="L28" s="331"/>
      <c r="M28" s="332"/>
      <c r="N28" s="333"/>
      <c r="O28" s="333"/>
      <c r="P28" s="334"/>
      <c r="Q28" s="275">
        <f>(K28*E28)</f>
        <v>0</v>
      </c>
      <c r="R28" s="280">
        <f>K28*C28</f>
        <v>0</v>
      </c>
      <c r="U28" s="294">
        <f t="shared" si="3"/>
        <v>0</v>
      </c>
    </row>
    <row r="29" spans="1:21" s="36" customFormat="1" ht="18.600000000000001" customHeight="1" x14ac:dyDescent="0.2">
      <c r="A29" s="380">
        <v>68789</v>
      </c>
      <c r="B29" s="344" t="s">
        <v>137</v>
      </c>
      <c r="C29" s="85">
        <f>PV!C29</f>
        <v>0.35</v>
      </c>
      <c r="D29" s="44" t="str">
        <f t="shared" si="2"/>
        <v>h</v>
      </c>
      <c r="E29" s="43">
        <f>IF(D29="h",PV!E29,IF(D29="M",PV!G29,PV!I29))</f>
        <v>3.5</v>
      </c>
      <c r="F29" s="291">
        <v>8</v>
      </c>
      <c r="G29" s="291">
        <v>7</v>
      </c>
      <c r="H29" s="291"/>
      <c r="I29" s="291"/>
      <c r="J29" s="291"/>
      <c r="K29" s="373"/>
      <c r="L29" s="331"/>
      <c r="M29" s="332"/>
      <c r="N29" s="333"/>
      <c r="O29" s="333"/>
      <c r="P29" s="334"/>
      <c r="Q29" s="275">
        <f>(K29*E29)</f>
        <v>0</v>
      </c>
      <c r="R29" s="280">
        <f>K29*C29</f>
        <v>0</v>
      </c>
      <c r="U29" s="294">
        <f t="shared" si="3"/>
        <v>0</v>
      </c>
    </row>
    <row r="30" spans="1:21" s="25" customFormat="1" ht="0.6" customHeight="1" x14ac:dyDescent="0.15">
      <c r="A30" s="376"/>
      <c r="B30" s="345"/>
      <c r="C30" s="85">
        <f>PV!C30</f>
        <v>0</v>
      </c>
      <c r="D30" s="44" t="str">
        <f t="shared" si="2"/>
        <v>h</v>
      </c>
      <c r="E30" s="43">
        <f>IF(D30="h",PV!E30,IF(D30="M",PV!G30,PV!I30))</f>
        <v>0</v>
      </c>
      <c r="F30" s="291">
        <v>0</v>
      </c>
      <c r="G30" s="291">
        <v>0</v>
      </c>
      <c r="H30" s="291"/>
      <c r="I30" s="291"/>
      <c r="J30" s="291"/>
      <c r="K30" s="373"/>
      <c r="L30" s="331"/>
      <c r="M30" s="332"/>
      <c r="N30" s="333"/>
      <c r="O30" s="333"/>
      <c r="P30" s="334"/>
      <c r="Q30" s="277"/>
      <c r="R30" s="281">
        <f>SUM(R25:R29)</f>
        <v>0</v>
      </c>
      <c r="U30" s="294">
        <f t="shared" si="3"/>
        <v>0</v>
      </c>
    </row>
    <row r="31" spans="1:21" s="25" customFormat="1" ht="20.100000000000001" customHeight="1" x14ac:dyDescent="0.15">
      <c r="A31" s="377">
        <v>445146</v>
      </c>
      <c r="B31" s="341" t="s">
        <v>132</v>
      </c>
      <c r="C31" s="85">
        <f>PV!C31</f>
        <v>0.48</v>
      </c>
      <c r="D31" s="44" t="str">
        <f t="shared" si="2"/>
        <v>h</v>
      </c>
      <c r="E31" s="43">
        <f>IF(D31="h",PV!E31,IF(D31="M",PV!G31,PV!I31))</f>
        <v>5.95</v>
      </c>
      <c r="F31" s="291">
        <v>5</v>
      </c>
      <c r="G31" s="291">
        <v>9</v>
      </c>
      <c r="H31" s="291"/>
      <c r="I31" s="291"/>
      <c r="J31" s="291"/>
      <c r="K31" s="373"/>
      <c r="L31" s="331"/>
      <c r="M31" s="332"/>
      <c r="N31" s="333"/>
      <c r="O31" s="333"/>
      <c r="P31" s="334"/>
      <c r="Q31" s="275">
        <f>(K31*E31)</f>
        <v>0</v>
      </c>
      <c r="R31" s="280">
        <f>K31*C31</f>
        <v>0</v>
      </c>
      <c r="U31" s="294">
        <f t="shared" si="3"/>
        <v>0</v>
      </c>
    </row>
    <row r="32" spans="1:21" s="25" customFormat="1" ht="0.6" customHeight="1" x14ac:dyDescent="0.15">
      <c r="A32" s="377"/>
      <c r="B32" s="341"/>
      <c r="C32" s="85">
        <f>PV!C32</f>
        <v>0</v>
      </c>
      <c r="D32" s="44" t="str">
        <f t="shared" si="2"/>
        <v>h</v>
      </c>
      <c r="E32" s="43">
        <f>IF(D32="h",PV!E32,IF(D32="M",PV!G32,PV!I32))</f>
        <v>0</v>
      </c>
      <c r="F32" s="291">
        <v>0</v>
      </c>
      <c r="G32" s="291">
        <v>0</v>
      </c>
      <c r="H32" s="291"/>
      <c r="I32" s="291"/>
      <c r="J32" s="291"/>
      <c r="K32" s="373"/>
      <c r="L32" s="331"/>
      <c r="M32" s="332"/>
      <c r="N32" s="333"/>
      <c r="O32" s="333"/>
      <c r="P32" s="334"/>
      <c r="Q32" s="275"/>
      <c r="R32" s="280"/>
      <c r="U32" s="294">
        <f t="shared" si="3"/>
        <v>0</v>
      </c>
    </row>
    <row r="33" spans="1:21" s="25" customFormat="1" ht="22.5" x14ac:dyDescent="0.25">
      <c r="A33" s="381">
        <v>951452</v>
      </c>
      <c r="B33" s="346" t="s">
        <v>163</v>
      </c>
      <c r="C33" s="85">
        <f>PV!C33</f>
        <v>0.45</v>
      </c>
      <c r="D33" s="44" t="str">
        <f t="shared" si="2"/>
        <v>h</v>
      </c>
      <c r="E33" s="43">
        <f>IF(D33="h",PV!E33,IF(D33="M",PV!G33,PV!I33))</f>
        <v>4.95</v>
      </c>
      <c r="F33" s="291">
        <v>0</v>
      </c>
      <c r="G33" s="291">
        <v>0</v>
      </c>
      <c r="H33" s="291"/>
      <c r="I33" s="291"/>
      <c r="J33" s="291"/>
      <c r="K33" s="373"/>
      <c r="L33" s="331"/>
      <c r="M33" s="332"/>
      <c r="N33" s="333"/>
      <c r="O33" s="333"/>
      <c r="P33" s="334"/>
      <c r="Q33" s="275">
        <f>(K33*E33)</f>
        <v>0</v>
      </c>
      <c r="R33" s="281">
        <f>K33*C33</f>
        <v>0</v>
      </c>
      <c r="U33" s="294">
        <f t="shared" si="3"/>
        <v>0</v>
      </c>
    </row>
    <row r="34" spans="1:21" s="25" customFormat="1" ht="0.6" customHeight="1" x14ac:dyDescent="0.2">
      <c r="A34" s="382"/>
      <c r="B34" s="343"/>
      <c r="C34" s="85">
        <f>PV!C34</f>
        <v>0</v>
      </c>
      <c r="D34" s="44" t="str">
        <f t="shared" si="2"/>
        <v>h</v>
      </c>
      <c r="E34" s="43">
        <f>IF(D34="h",PV!E34,IF(D34="M",PV!G34,PV!I34))</f>
        <v>0</v>
      </c>
      <c r="F34" s="291">
        <v>0</v>
      </c>
      <c r="G34" s="291">
        <v>0</v>
      </c>
      <c r="H34" s="291"/>
      <c r="I34" s="291"/>
      <c r="J34" s="291"/>
      <c r="K34" s="373"/>
      <c r="L34" s="331"/>
      <c r="M34" s="332"/>
      <c r="N34" s="333"/>
      <c r="O34" s="333"/>
      <c r="P34" s="334"/>
      <c r="Q34" s="278"/>
      <c r="R34" s="280">
        <f>K34*C34</f>
        <v>0</v>
      </c>
      <c r="U34" s="294">
        <f t="shared" si="3"/>
        <v>0</v>
      </c>
    </row>
    <row r="35" spans="1:21" s="25" customFormat="1" ht="20.100000000000001" customHeight="1" x14ac:dyDescent="0.2">
      <c r="A35" s="379">
        <v>1263737</v>
      </c>
      <c r="B35" s="343" t="s">
        <v>271</v>
      </c>
      <c r="C35" s="85">
        <f>PV!C35</f>
        <v>0.5</v>
      </c>
      <c r="D35" s="44" t="str">
        <f t="shared" si="2"/>
        <v>h</v>
      </c>
      <c r="E35" s="43">
        <f>IF(D35="h",PV!E35,IF(D35="M",PV!G35,PV!I35))</f>
        <v>6.5</v>
      </c>
      <c r="F35" s="291">
        <v>8</v>
      </c>
      <c r="G35" s="291">
        <v>7</v>
      </c>
      <c r="H35" s="291"/>
      <c r="I35" s="291"/>
      <c r="J35" s="291"/>
      <c r="K35" s="373"/>
      <c r="L35" s="331"/>
      <c r="M35" s="332"/>
      <c r="N35" s="333"/>
      <c r="O35" s="333"/>
      <c r="P35" s="334"/>
      <c r="Q35" s="275">
        <f>(K35*E35)</f>
        <v>0</v>
      </c>
      <c r="R35" s="280">
        <f>K35*C35</f>
        <v>0</v>
      </c>
      <c r="U35" s="294">
        <f t="shared" si="3"/>
        <v>0</v>
      </c>
    </row>
    <row r="36" spans="1:21" s="25" customFormat="1" ht="20.100000000000001" customHeight="1" x14ac:dyDescent="0.2">
      <c r="A36" s="379">
        <v>1098038</v>
      </c>
      <c r="B36" s="343" t="s">
        <v>150</v>
      </c>
      <c r="C36" s="85">
        <f>PV!C36</f>
        <v>0.7</v>
      </c>
      <c r="D36" s="44" t="str">
        <f t="shared" si="2"/>
        <v>h</v>
      </c>
      <c r="E36" s="43">
        <f>IF(D36="h",PV!E36,IF(D36="M",PV!G36,PV!I36))</f>
        <v>8.9499999999999993</v>
      </c>
      <c r="F36" s="291">
        <v>0</v>
      </c>
      <c r="G36" s="291">
        <v>0</v>
      </c>
      <c r="H36" s="291"/>
      <c r="I36" s="291"/>
      <c r="J36" s="291"/>
      <c r="K36" s="373"/>
      <c r="L36" s="331"/>
      <c r="M36" s="332"/>
      <c r="N36" s="333"/>
      <c r="O36" s="333"/>
      <c r="P36" s="334"/>
      <c r="Q36" s="275">
        <f>(K36*E36)</f>
        <v>0</v>
      </c>
      <c r="R36" s="280">
        <f>K36*C36</f>
        <v>0</v>
      </c>
      <c r="U36" s="294">
        <f t="shared" si="3"/>
        <v>0</v>
      </c>
    </row>
    <row r="37" spans="1:21" ht="0.6" customHeight="1" x14ac:dyDescent="0.2">
      <c r="A37" s="382"/>
      <c r="B37" s="347"/>
      <c r="C37" s="85">
        <f>PV!C37</f>
        <v>0</v>
      </c>
      <c r="D37" s="44" t="str">
        <f t="shared" si="2"/>
        <v>h</v>
      </c>
      <c r="E37" s="43">
        <f>IF(D37="h",PV!E37,IF(D37="M",PV!G37,PV!I37))</f>
        <v>0</v>
      </c>
      <c r="F37" s="291">
        <v>0</v>
      </c>
      <c r="G37" s="291">
        <v>0</v>
      </c>
      <c r="H37" s="291"/>
      <c r="I37" s="291"/>
      <c r="J37" s="291"/>
      <c r="K37" s="373"/>
      <c r="L37" s="331"/>
      <c r="M37" s="332"/>
      <c r="N37" s="333"/>
      <c r="O37" s="333"/>
      <c r="P37" s="334"/>
      <c r="Q37" s="275"/>
      <c r="R37" s="282">
        <f>SUM(R35:R36)</f>
        <v>0</v>
      </c>
      <c r="U37" s="294">
        <f t="shared" si="3"/>
        <v>0</v>
      </c>
    </row>
    <row r="38" spans="1:21" s="25" customFormat="1" ht="20.100000000000001" customHeight="1" x14ac:dyDescent="0.15">
      <c r="A38" s="335">
        <v>1079156</v>
      </c>
      <c r="B38" s="343" t="s">
        <v>121</v>
      </c>
      <c r="C38" s="85">
        <f>PV!C38</f>
        <v>0.45</v>
      </c>
      <c r="D38" s="44" t="str">
        <f t="shared" si="2"/>
        <v>h</v>
      </c>
      <c r="E38" s="43">
        <f>IF(D38="h",PV!E38,IF(D38="M",PV!G38,PV!I38))</f>
        <v>6.5</v>
      </c>
      <c r="F38" s="291">
        <v>0</v>
      </c>
      <c r="G38" s="291">
        <v>0</v>
      </c>
      <c r="H38" s="291"/>
      <c r="I38" s="291"/>
      <c r="J38" s="291"/>
      <c r="K38" s="373"/>
      <c r="L38" s="331"/>
      <c r="M38" s="332"/>
      <c r="N38" s="333"/>
      <c r="O38" s="333"/>
      <c r="P38" s="334"/>
      <c r="Q38" s="275">
        <f>(K38*E38)</f>
        <v>0</v>
      </c>
      <c r="R38" s="280">
        <f>K38*C38</f>
        <v>0</v>
      </c>
      <c r="U38" s="294">
        <f t="shared" ref="U38:U69" si="4">K38-L38</f>
        <v>0</v>
      </c>
    </row>
    <row r="39" spans="1:21" s="25" customFormat="1" ht="20.100000000000001" customHeight="1" x14ac:dyDescent="0.15">
      <c r="A39" s="383">
        <v>65857</v>
      </c>
      <c r="B39" s="348" t="s">
        <v>122</v>
      </c>
      <c r="C39" s="85">
        <f>PV!C39</f>
        <v>0.5</v>
      </c>
      <c r="D39" s="44" t="str">
        <f t="shared" si="2"/>
        <v>h</v>
      </c>
      <c r="E39" s="43">
        <f>IF(D39="h",PV!E39,IF(D39="M",PV!G39,PV!I39))</f>
        <v>3.15</v>
      </c>
      <c r="F39" s="291">
        <v>38</v>
      </c>
      <c r="G39" s="291">
        <v>30</v>
      </c>
      <c r="H39" s="291"/>
      <c r="I39" s="291"/>
      <c r="J39" s="291"/>
      <c r="K39" s="373"/>
      <c r="L39" s="331"/>
      <c r="M39" s="332"/>
      <c r="N39" s="333"/>
      <c r="O39" s="333"/>
      <c r="P39" s="334"/>
      <c r="Q39" s="275">
        <f>(K39*E39)</f>
        <v>0</v>
      </c>
      <c r="R39" s="280">
        <f>K39*C39</f>
        <v>0</v>
      </c>
      <c r="U39" s="294">
        <f t="shared" si="4"/>
        <v>0</v>
      </c>
    </row>
    <row r="40" spans="1:21" s="25" customFormat="1" ht="20.100000000000001" customHeight="1" x14ac:dyDescent="0.2">
      <c r="A40" s="379">
        <v>645788</v>
      </c>
      <c r="B40" s="343" t="s">
        <v>123</v>
      </c>
      <c r="C40" s="85">
        <f>PV!C40</f>
        <v>0.5</v>
      </c>
      <c r="D40" s="44" t="str">
        <f t="shared" si="2"/>
        <v>h</v>
      </c>
      <c r="E40" s="43">
        <f>IF(D40="h",PV!E40,IF(D40="M",PV!G40,PV!I40))</f>
        <v>5.95</v>
      </c>
      <c r="F40" s="291">
        <v>11</v>
      </c>
      <c r="G40" s="291">
        <v>9</v>
      </c>
      <c r="H40" s="291"/>
      <c r="I40" s="291"/>
      <c r="J40" s="291"/>
      <c r="K40" s="373"/>
      <c r="L40" s="331"/>
      <c r="M40" s="332"/>
      <c r="N40" s="333"/>
      <c r="O40" s="333"/>
      <c r="P40" s="334"/>
      <c r="Q40" s="275">
        <f>(K40*E40)</f>
        <v>0</v>
      </c>
      <c r="R40" s="280">
        <f>K40*C40</f>
        <v>0</v>
      </c>
      <c r="U40" s="294">
        <f t="shared" si="4"/>
        <v>0</v>
      </c>
    </row>
    <row r="41" spans="1:21" s="25" customFormat="1" ht="20.100000000000001" customHeight="1" x14ac:dyDescent="0.2">
      <c r="A41" s="379">
        <v>95901</v>
      </c>
      <c r="B41" s="337" t="s">
        <v>300</v>
      </c>
      <c r="C41" s="85">
        <f>PV!C41</f>
        <v>0.11</v>
      </c>
      <c r="D41" s="44" t="str">
        <f t="shared" si="2"/>
        <v>h</v>
      </c>
      <c r="E41" s="43">
        <f>IF(D41="h",PV!E41,IF(D41="M",PV!G41,PV!I41))</f>
        <v>1.5</v>
      </c>
      <c r="F41" s="291">
        <v>107</v>
      </c>
      <c r="G41" s="291">
        <v>1093</v>
      </c>
      <c r="H41" s="291"/>
      <c r="I41" s="291"/>
      <c r="J41" s="291"/>
      <c r="K41" s="373"/>
      <c r="L41" s="331"/>
      <c r="M41" s="332"/>
      <c r="N41" s="333"/>
      <c r="O41" s="333"/>
      <c r="P41" s="334"/>
      <c r="Q41" s="275">
        <f>(K41*E41)</f>
        <v>0</v>
      </c>
      <c r="R41" s="280">
        <f>K41*C41</f>
        <v>0</v>
      </c>
      <c r="U41" s="294">
        <f t="shared" si="4"/>
        <v>0</v>
      </c>
    </row>
    <row r="42" spans="1:21" ht="0.6" customHeight="1" x14ac:dyDescent="0.2">
      <c r="A42" s="384"/>
      <c r="B42" s="349"/>
      <c r="C42" s="85">
        <f>PV!C42</f>
        <v>0</v>
      </c>
      <c r="D42" s="44" t="str">
        <f t="shared" si="2"/>
        <v>h</v>
      </c>
      <c r="E42" s="43">
        <f>IF(D42="h",PV!E42,IF(D42="M",PV!G42,PV!I42))</f>
        <v>0</v>
      </c>
      <c r="F42" s="291">
        <v>0</v>
      </c>
      <c r="G42" s="291">
        <v>0</v>
      </c>
      <c r="H42" s="291"/>
      <c r="I42" s="291"/>
      <c r="J42" s="291"/>
      <c r="K42" s="373"/>
      <c r="L42" s="331"/>
      <c r="M42" s="332"/>
      <c r="N42" s="333"/>
      <c r="O42" s="333"/>
      <c r="P42" s="334"/>
      <c r="Q42" s="271"/>
      <c r="R42" s="283">
        <f>SUM(R38:R41)</f>
        <v>0</v>
      </c>
      <c r="U42" s="294">
        <f t="shared" si="4"/>
        <v>0</v>
      </c>
    </row>
    <row r="43" spans="1:21" s="25" customFormat="1" ht="20.100000000000001" customHeight="1" x14ac:dyDescent="0.25">
      <c r="A43" s="381">
        <v>65882</v>
      </c>
      <c r="B43" s="346" t="s">
        <v>157</v>
      </c>
      <c r="C43" s="85">
        <f>PV!C43</f>
        <v>0.72</v>
      </c>
      <c r="D43" s="44" t="str">
        <f t="shared" si="2"/>
        <v>h</v>
      </c>
      <c r="E43" s="43">
        <f>IF(D43="h",PV!E43,IF(D43="M",PV!G43,PV!I43))</f>
        <v>6.5</v>
      </c>
      <c r="F43" s="291">
        <v>6</v>
      </c>
      <c r="G43" s="291">
        <v>12</v>
      </c>
      <c r="H43" s="291"/>
      <c r="I43" s="291"/>
      <c r="J43" s="291"/>
      <c r="K43" s="373"/>
      <c r="L43" s="331"/>
      <c r="M43" s="332"/>
      <c r="N43" s="333"/>
      <c r="O43" s="333"/>
      <c r="P43" s="334"/>
      <c r="Q43" s="275">
        <f>(K43*E43)</f>
        <v>0</v>
      </c>
      <c r="R43" s="280">
        <f>K43*C43</f>
        <v>0</v>
      </c>
      <c r="U43" s="294">
        <f t="shared" si="4"/>
        <v>0</v>
      </c>
    </row>
    <row r="44" spans="1:21" ht="0.6" customHeight="1" x14ac:dyDescent="0.2">
      <c r="A44" s="380"/>
      <c r="B44" s="347"/>
      <c r="C44" s="85">
        <f>PV!C44</f>
        <v>0</v>
      </c>
      <c r="D44" s="44" t="str">
        <f t="shared" si="2"/>
        <v>h</v>
      </c>
      <c r="E44" s="43">
        <f>IF(D44="h",PV!E44,IF(D44="M",PV!G44,PV!I44))</f>
        <v>0</v>
      </c>
      <c r="F44" s="291">
        <v>0</v>
      </c>
      <c r="G44" s="291">
        <v>0</v>
      </c>
      <c r="H44" s="291"/>
      <c r="I44" s="291"/>
      <c r="J44" s="291"/>
      <c r="K44" s="373"/>
      <c r="L44" s="331"/>
      <c r="M44" s="332"/>
      <c r="N44" s="333"/>
      <c r="O44" s="333"/>
      <c r="P44" s="334"/>
      <c r="Q44" s="271"/>
      <c r="R44" s="283">
        <f>SUM(R43:R43)</f>
        <v>0</v>
      </c>
      <c r="U44" s="294">
        <f t="shared" si="4"/>
        <v>0</v>
      </c>
    </row>
    <row r="45" spans="1:21" ht="22.5" x14ac:dyDescent="0.2">
      <c r="A45" s="380">
        <v>951448</v>
      </c>
      <c r="B45" s="347" t="s">
        <v>153</v>
      </c>
      <c r="C45" s="85">
        <f>PV!C45</f>
        <v>0.06</v>
      </c>
      <c r="D45" s="44" t="str">
        <f t="shared" si="2"/>
        <v>h</v>
      </c>
      <c r="E45" s="43">
        <f>IF(D45="h",PV!E45,IF(D45="M",PV!G45,PV!I45))</f>
        <v>0.5</v>
      </c>
      <c r="F45" s="291">
        <v>6</v>
      </c>
      <c r="G45" s="291">
        <v>0</v>
      </c>
      <c r="H45" s="291"/>
      <c r="I45" s="291"/>
      <c r="J45" s="291"/>
      <c r="K45" s="373"/>
      <c r="L45" s="331"/>
      <c r="M45" s="332"/>
      <c r="N45" s="333"/>
      <c r="O45" s="333"/>
      <c r="P45" s="334"/>
      <c r="Q45" s="275">
        <f>(K45*E45)</f>
        <v>0</v>
      </c>
      <c r="R45" s="280">
        <f>K45*C45</f>
        <v>0</v>
      </c>
      <c r="U45" s="294">
        <f t="shared" si="4"/>
        <v>0</v>
      </c>
    </row>
    <row r="46" spans="1:21" s="25" customFormat="1" ht="20.100000000000001" customHeight="1" x14ac:dyDescent="0.15">
      <c r="A46" s="335">
        <v>1037864</v>
      </c>
      <c r="B46" s="343" t="s">
        <v>154</v>
      </c>
      <c r="C46" s="85">
        <f>PV!C46</f>
        <v>0.36</v>
      </c>
      <c r="D46" s="44" t="str">
        <f t="shared" si="2"/>
        <v>h</v>
      </c>
      <c r="E46" s="43">
        <f>IF(D46="h",PV!E46,IF(D46="M",PV!G46,PV!I46))</f>
        <v>3</v>
      </c>
      <c r="F46" s="291">
        <v>0</v>
      </c>
      <c r="G46" s="291">
        <v>0</v>
      </c>
      <c r="H46" s="291"/>
      <c r="I46" s="291"/>
      <c r="J46" s="291"/>
      <c r="K46" s="373"/>
      <c r="L46" s="331"/>
      <c r="M46" s="332"/>
      <c r="N46" s="333"/>
      <c r="O46" s="333"/>
      <c r="P46" s="334"/>
      <c r="Q46" s="275">
        <f>(K46*E46)</f>
        <v>0</v>
      </c>
      <c r="R46" s="280">
        <f>K46*C46</f>
        <v>0</v>
      </c>
      <c r="U46" s="294">
        <f t="shared" si="4"/>
        <v>0</v>
      </c>
    </row>
    <row r="47" spans="1:21" s="25" customFormat="1" ht="20.100000000000001" customHeight="1" x14ac:dyDescent="0.2">
      <c r="A47" s="379">
        <v>1022414</v>
      </c>
      <c r="B47" s="343" t="s">
        <v>155</v>
      </c>
      <c r="C47" s="85">
        <f>PV!C47</f>
        <v>0.6</v>
      </c>
      <c r="D47" s="44" t="str">
        <f t="shared" si="2"/>
        <v>h</v>
      </c>
      <c r="E47" s="43">
        <f>IF(D47="h",PV!E47,IF(D47="M",PV!G47,PV!I47))</f>
        <v>5</v>
      </c>
      <c r="F47" s="291">
        <v>0</v>
      </c>
      <c r="G47" s="291">
        <v>0</v>
      </c>
      <c r="H47" s="291"/>
      <c r="I47" s="291"/>
      <c r="J47" s="291"/>
      <c r="K47" s="373"/>
      <c r="L47" s="331"/>
      <c r="M47" s="332"/>
      <c r="N47" s="333"/>
      <c r="O47" s="333"/>
      <c r="P47" s="334"/>
      <c r="Q47" s="275">
        <f>(K47*E47)</f>
        <v>0</v>
      </c>
      <c r="R47" s="280">
        <f>K47*C47</f>
        <v>0</v>
      </c>
      <c r="U47" s="294">
        <f t="shared" si="4"/>
        <v>0</v>
      </c>
    </row>
    <row r="48" spans="1:21" s="25" customFormat="1" ht="0.6" customHeight="1" x14ac:dyDescent="0.2">
      <c r="A48" s="382"/>
      <c r="B48" s="343"/>
      <c r="C48" s="85">
        <f>PV!C48</f>
        <v>0</v>
      </c>
      <c r="D48" s="44" t="str">
        <f t="shared" si="2"/>
        <v>h</v>
      </c>
      <c r="E48" s="43">
        <f>IF(D48="h",PV!E48,IF(D48="M",PV!G48,PV!I48))</f>
        <v>0</v>
      </c>
      <c r="F48" s="291">
        <v>0</v>
      </c>
      <c r="G48" s="291">
        <v>0</v>
      </c>
      <c r="H48" s="291"/>
      <c r="I48" s="291"/>
      <c r="J48" s="291"/>
      <c r="K48" s="373"/>
      <c r="L48" s="331"/>
      <c r="M48" s="332"/>
      <c r="N48" s="333"/>
      <c r="O48" s="333"/>
      <c r="P48" s="334"/>
      <c r="Q48" s="271"/>
      <c r="R48" s="281">
        <f>SUM(R45:R47)</f>
        <v>0</v>
      </c>
      <c r="U48" s="294">
        <f t="shared" si="4"/>
        <v>0</v>
      </c>
    </row>
    <row r="49" spans="1:21" s="25" customFormat="1" ht="20.100000000000001" customHeight="1" x14ac:dyDescent="0.15">
      <c r="A49" s="377">
        <v>65860</v>
      </c>
      <c r="B49" s="350" t="s">
        <v>286</v>
      </c>
      <c r="C49" s="85">
        <f>PV!C49</f>
        <v>0.48</v>
      </c>
      <c r="D49" s="44" t="str">
        <f t="shared" si="2"/>
        <v>h</v>
      </c>
      <c r="E49" s="43">
        <f>IF(D49="h",PV!E49,IF(D49="M",PV!G49,PV!I49))</f>
        <v>6.45</v>
      </c>
      <c r="F49" s="291">
        <v>8</v>
      </c>
      <c r="G49" s="291">
        <v>7</v>
      </c>
      <c r="H49" s="291"/>
      <c r="I49" s="291"/>
      <c r="J49" s="291"/>
      <c r="K49" s="373"/>
      <c r="L49" s="331"/>
      <c r="M49" s="332"/>
      <c r="N49" s="333"/>
      <c r="O49" s="333"/>
      <c r="P49" s="334"/>
      <c r="Q49" s="275">
        <f t="shared" ref="Q49:Q57" si="5">(K49*E49)</f>
        <v>0</v>
      </c>
      <c r="R49" s="280">
        <f t="shared" ref="R49:R57" si="6">K49*C49</f>
        <v>0</v>
      </c>
      <c r="U49" s="294">
        <f t="shared" si="4"/>
        <v>0</v>
      </c>
    </row>
    <row r="50" spans="1:21" s="25" customFormat="1" ht="20.100000000000001" customHeight="1" x14ac:dyDescent="0.15">
      <c r="A50" s="377">
        <v>65859</v>
      </c>
      <c r="B50" s="350" t="s">
        <v>287</v>
      </c>
      <c r="C50" s="85">
        <f>PV!C50</f>
        <v>0.96</v>
      </c>
      <c r="D50" s="44" t="str">
        <f t="shared" si="2"/>
        <v>h</v>
      </c>
      <c r="E50" s="43">
        <f>IF(D50="h",PV!E50,IF(D50="M",PV!G50,PV!I50))</f>
        <v>10.75</v>
      </c>
      <c r="F50" s="291">
        <v>0</v>
      </c>
      <c r="G50" s="291">
        <v>2</v>
      </c>
      <c r="H50" s="291"/>
      <c r="I50" s="291"/>
      <c r="J50" s="291"/>
      <c r="K50" s="373"/>
      <c r="L50" s="331"/>
      <c r="M50" s="332"/>
      <c r="N50" s="333"/>
      <c r="O50" s="333"/>
      <c r="P50" s="334"/>
      <c r="Q50" s="275">
        <f t="shared" si="5"/>
        <v>0</v>
      </c>
      <c r="R50" s="280">
        <f t="shared" si="6"/>
        <v>0</v>
      </c>
      <c r="U50" s="294">
        <f t="shared" si="4"/>
        <v>0</v>
      </c>
    </row>
    <row r="51" spans="1:21" s="25" customFormat="1" ht="20.100000000000001" customHeight="1" x14ac:dyDescent="0.15">
      <c r="A51" s="377">
        <v>270450</v>
      </c>
      <c r="B51" s="350" t="s">
        <v>125</v>
      </c>
      <c r="C51" s="85">
        <f>PV!C51</f>
        <v>0.35</v>
      </c>
      <c r="D51" s="44" t="str">
        <f t="shared" si="2"/>
        <v>h</v>
      </c>
      <c r="E51" s="43">
        <f>IF(D51="h",PV!E51,IF(D51="M",PV!G51,PV!I51))</f>
        <v>3.95</v>
      </c>
      <c r="F51" s="291">
        <v>0</v>
      </c>
      <c r="G51" s="291">
        <v>0</v>
      </c>
      <c r="H51" s="291"/>
      <c r="I51" s="291"/>
      <c r="J51" s="291"/>
      <c r="K51" s="373"/>
      <c r="L51" s="331"/>
      <c r="M51" s="332"/>
      <c r="N51" s="333"/>
      <c r="O51" s="333"/>
      <c r="P51" s="334"/>
      <c r="Q51" s="275">
        <f t="shared" si="5"/>
        <v>0</v>
      </c>
      <c r="R51" s="280">
        <f t="shared" si="6"/>
        <v>0</v>
      </c>
      <c r="U51" s="294">
        <f t="shared" si="4"/>
        <v>0</v>
      </c>
    </row>
    <row r="52" spans="1:21" s="25" customFormat="1" ht="20.100000000000001" customHeight="1" x14ac:dyDescent="0.15">
      <c r="A52" s="377">
        <v>270462</v>
      </c>
      <c r="B52" s="339" t="s">
        <v>288</v>
      </c>
      <c r="C52" s="85">
        <f>PV!C52</f>
        <v>0.43636364</v>
      </c>
      <c r="D52" s="44" t="str">
        <f t="shared" si="2"/>
        <v>h</v>
      </c>
      <c r="E52" s="43">
        <f>IF(D52="h",PV!E52,IF(D52="M",PV!G52,PV!I52))</f>
        <v>7.5</v>
      </c>
      <c r="F52" s="291">
        <v>5</v>
      </c>
      <c r="G52" s="291">
        <v>4</v>
      </c>
      <c r="H52" s="291"/>
      <c r="I52" s="291"/>
      <c r="J52" s="291"/>
      <c r="K52" s="373"/>
      <c r="L52" s="331"/>
      <c r="M52" s="332"/>
      <c r="N52" s="333"/>
      <c r="O52" s="333"/>
      <c r="P52" s="334"/>
      <c r="Q52" s="275">
        <f t="shared" si="5"/>
        <v>0</v>
      </c>
      <c r="R52" s="280">
        <f t="shared" si="6"/>
        <v>0</v>
      </c>
      <c r="U52" s="294">
        <f t="shared" si="4"/>
        <v>0</v>
      </c>
    </row>
    <row r="53" spans="1:21" s="25" customFormat="1" ht="20.100000000000001" customHeight="1" x14ac:dyDescent="0.15">
      <c r="A53" s="377">
        <v>305568</v>
      </c>
      <c r="B53" s="350" t="s">
        <v>127</v>
      </c>
      <c r="C53" s="85">
        <f>PV!C53</f>
        <v>1</v>
      </c>
      <c r="D53" s="44" t="str">
        <f t="shared" si="2"/>
        <v>h</v>
      </c>
      <c r="E53" s="43">
        <f>IF(D53="h",PV!E53,IF(D53="M",PV!G53,PV!I53))</f>
        <v>13.5</v>
      </c>
      <c r="F53" s="291">
        <v>2.448</v>
      </c>
      <c r="G53" s="291">
        <v>5.2110000000000003</v>
      </c>
      <c r="H53" s="291"/>
      <c r="I53" s="291"/>
      <c r="J53" s="291"/>
      <c r="K53" s="373"/>
      <c r="L53" s="331"/>
      <c r="M53" s="332"/>
      <c r="N53" s="333"/>
      <c r="O53" s="333"/>
      <c r="P53" s="334"/>
      <c r="Q53" s="275">
        <f t="shared" si="5"/>
        <v>0</v>
      </c>
      <c r="R53" s="280">
        <f t="shared" si="6"/>
        <v>0</v>
      </c>
      <c r="U53" s="294">
        <f t="shared" si="4"/>
        <v>0</v>
      </c>
    </row>
    <row r="54" spans="1:21" s="25" customFormat="1" ht="20.100000000000001" customHeight="1" x14ac:dyDescent="0.15">
      <c r="A54" s="377">
        <v>65865</v>
      </c>
      <c r="B54" s="339" t="s">
        <v>128</v>
      </c>
      <c r="C54" s="85">
        <f>PV!C54</f>
        <v>0.43636364</v>
      </c>
      <c r="D54" s="44" t="str">
        <f t="shared" si="2"/>
        <v>h</v>
      </c>
      <c r="E54" s="43">
        <f>IF(D54="h",PV!E54,IF(D54="M",PV!G54,PV!I54))</f>
        <v>7.95</v>
      </c>
      <c r="F54" s="291">
        <v>4</v>
      </c>
      <c r="G54" s="291">
        <v>7</v>
      </c>
      <c r="H54" s="291"/>
      <c r="I54" s="291"/>
      <c r="J54" s="291"/>
      <c r="K54" s="373"/>
      <c r="L54" s="331"/>
      <c r="M54" s="332"/>
      <c r="N54" s="333"/>
      <c r="O54" s="333"/>
      <c r="P54" s="334"/>
      <c r="Q54" s="275">
        <f t="shared" si="5"/>
        <v>0</v>
      </c>
      <c r="R54" s="280">
        <f t="shared" si="6"/>
        <v>0</v>
      </c>
      <c r="U54" s="294">
        <f t="shared" si="4"/>
        <v>0</v>
      </c>
    </row>
    <row r="55" spans="1:21" s="25" customFormat="1" ht="20.100000000000001" customHeight="1" x14ac:dyDescent="0.15">
      <c r="A55" s="377">
        <v>308648</v>
      </c>
      <c r="B55" s="350" t="s">
        <v>129</v>
      </c>
      <c r="C55" s="85">
        <f>PV!C55</f>
        <v>0.58499999999999996</v>
      </c>
      <c r="D55" s="44" t="str">
        <f t="shared" si="2"/>
        <v>h</v>
      </c>
      <c r="E55" s="43">
        <f>IF(D55="h",PV!E55,IF(D55="M",PV!G55,PV!I55))</f>
        <v>5.75</v>
      </c>
      <c r="F55" s="291">
        <v>4</v>
      </c>
      <c r="G55" s="291">
        <v>4</v>
      </c>
      <c r="H55" s="291"/>
      <c r="I55" s="291"/>
      <c r="J55" s="291"/>
      <c r="K55" s="373"/>
      <c r="L55" s="331"/>
      <c r="M55" s="332"/>
      <c r="N55" s="333"/>
      <c r="O55" s="333"/>
      <c r="P55" s="334"/>
      <c r="Q55" s="275">
        <f t="shared" si="5"/>
        <v>0</v>
      </c>
      <c r="R55" s="280">
        <f t="shared" si="6"/>
        <v>0</v>
      </c>
      <c r="U55" s="294">
        <f t="shared" si="4"/>
        <v>0</v>
      </c>
    </row>
    <row r="56" spans="1:21" s="25" customFormat="1" ht="20.100000000000001" customHeight="1" x14ac:dyDescent="0.15">
      <c r="A56" s="377">
        <v>270459</v>
      </c>
      <c r="B56" s="341" t="s">
        <v>130</v>
      </c>
      <c r="C56" s="85">
        <f>PV!C56</f>
        <v>0.43636364</v>
      </c>
      <c r="D56" s="44" t="str">
        <f t="shared" si="2"/>
        <v>h</v>
      </c>
      <c r="E56" s="43">
        <f>IF(D56="h",PV!E56,IF(D56="M",PV!G56,PV!I56))</f>
        <v>7.95</v>
      </c>
      <c r="F56" s="291">
        <v>0</v>
      </c>
      <c r="G56" s="291">
        <v>2</v>
      </c>
      <c r="H56" s="291"/>
      <c r="I56" s="291"/>
      <c r="J56" s="291"/>
      <c r="K56" s="373"/>
      <c r="L56" s="331"/>
      <c r="M56" s="332"/>
      <c r="N56" s="333"/>
      <c r="O56" s="333"/>
      <c r="P56" s="334"/>
      <c r="Q56" s="275">
        <f t="shared" si="5"/>
        <v>0</v>
      </c>
      <c r="R56" s="280">
        <f t="shared" si="6"/>
        <v>0</v>
      </c>
      <c r="U56" s="294">
        <f t="shared" si="4"/>
        <v>0</v>
      </c>
    </row>
    <row r="57" spans="1:21" s="25" customFormat="1" ht="20.100000000000001" customHeight="1" x14ac:dyDescent="0.15">
      <c r="A57" s="377">
        <v>65855</v>
      </c>
      <c r="B57" s="341" t="s">
        <v>289</v>
      </c>
      <c r="C57" s="85">
        <f>PV!C57</f>
        <v>0.63600000000000001</v>
      </c>
      <c r="D57" s="44" t="str">
        <f t="shared" si="2"/>
        <v>h</v>
      </c>
      <c r="E57" s="43">
        <f>IF(D57="h",PV!E57,IF(D57="M",PV!G57,PV!I57))</f>
        <v>6.75</v>
      </c>
      <c r="F57" s="291">
        <v>0</v>
      </c>
      <c r="G57" s="291">
        <v>0</v>
      </c>
      <c r="H57" s="291"/>
      <c r="I57" s="291"/>
      <c r="J57" s="291"/>
      <c r="K57" s="373"/>
      <c r="L57" s="331"/>
      <c r="M57" s="332"/>
      <c r="N57" s="333"/>
      <c r="O57" s="333"/>
      <c r="P57" s="334"/>
      <c r="Q57" s="275">
        <f t="shared" si="5"/>
        <v>0</v>
      </c>
      <c r="R57" s="280">
        <f t="shared" si="6"/>
        <v>0</v>
      </c>
      <c r="U57" s="294">
        <f t="shared" si="4"/>
        <v>0</v>
      </c>
    </row>
    <row r="58" spans="1:21" ht="0.6" customHeight="1" x14ac:dyDescent="0.2">
      <c r="A58" s="384"/>
      <c r="B58" s="347"/>
      <c r="C58" s="85">
        <f>PV!C58</f>
        <v>0</v>
      </c>
      <c r="D58" s="44" t="str">
        <f t="shared" si="2"/>
        <v>h</v>
      </c>
      <c r="E58" s="43">
        <f>IF(D58="h",PV!E58,IF(D58="M",PV!G58,PV!I58))</f>
        <v>0</v>
      </c>
      <c r="F58" s="291">
        <v>0</v>
      </c>
      <c r="G58" s="291">
        <v>0</v>
      </c>
      <c r="H58" s="291"/>
      <c r="I58" s="291"/>
      <c r="J58" s="291"/>
      <c r="K58" s="373"/>
      <c r="L58" s="331"/>
      <c r="M58" s="332"/>
      <c r="N58" s="333"/>
      <c r="O58" s="333"/>
      <c r="P58" s="334"/>
      <c r="Q58" s="271"/>
      <c r="R58" s="284">
        <f>SUM(R49:R57)</f>
        <v>0</v>
      </c>
      <c r="U58" s="294">
        <f t="shared" si="4"/>
        <v>0</v>
      </c>
    </row>
    <row r="59" spans="1:21" s="25" customFormat="1" ht="20.100000000000001" customHeight="1" x14ac:dyDescent="0.25">
      <c r="A59" s="377">
        <v>65928</v>
      </c>
      <c r="B59" s="351" t="s">
        <v>43</v>
      </c>
      <c r="C59" s="85">
        <f>PV!C59</f>
        <v>0.36</v>
      </c>
      <c r="D59" s="44" t="str">
        <f t="shared" si="2"/>
        <v>h</v>
      </c>
      <c r="E59" s="43">
        <f>IF(D59="h",PV!E59,IF(D59="M",PV!G59,PV!I59))</f>
        <v>3.5</v>
      </c>
      <c r="F59" s="291">
        <v>9</v>
      </c>
      <c r="G59" s="291">
        <v>12</v>
      </c>
      <c r="H59" s="291"/>
      <c r="I59" s="291"/>
      <c r="J59" s="291"/>
      <c r="K59" s="373"/>
      <c r="L59" s="331"/>
      <c r="M59" s="332"/>
      <c r="N59" s="333"/>
      <c r="O59" s="333"/>
      <c r="P59" s="334"/>
      <c r="Q59" s="275">
        <f t="shared" ref="Q59:Q73" si="7">(K59*E59)</f>
        <v>0</v>
      </c>
      <c r="R59" s="280">
        <f t="shared" ref="R59:R73" si="8">K59*C59</f>
        <v>0</v>
      </c>
      <c r="U59" s="294">
        <f t="shared" si="4"/>
        <v>0</v>
      </c>
    </row>
    <row r="60" spans="1:21" s="25" customFormat="1" ht="20.100000000000001" customHeight="1" x14ac:dyDescent="0.25">
      <c r="A60" s="377">
        <v>65894</v>
      </c>
      <c r="B60" s="351" t="s">
        <v>45</v>
      </c>
      <c r="C60" s="85">
        <f>PV!C60</f>
        <v>0.36</v>
      </c>
      <c r="D60" s="44" t="str">
        <f t="shared" si="2"/>
        <v>h</v>
      </c>
      <c r="E60" s="43">
        <f>IF(D60="h",PV!E60,IF(D60="M",PV!G60,PV!I60))</f>
        <v>2.25</v>
      </c>
      <c r="F60" s="291">
        <v>30</v>
      </c>
      <c r="G60" s="291">
        <v>39</v>
      </c>
      <c r="H60" s="291"/>
      <c r="I60" s="291"/>
      <c r="J60" s="291"/>
      <c r="K60" s="373"/>
      <c r="L60" s="331"/>
      <c r="M60" s="332"/>
      <c r="N60" s="333"/>
      <c r="O60" s="333"/>
      <c r="P60" s="334"/>
      <c r="Q60" s="275">
        <f t="shared" si="7"/>
        <v>0</v>
      </c>
      <c r="R60" s="280">
        <f t="shared" si="8"/>
        <v>0</v>
      </c>
      <c r="U60" s="294">
        <f t="shared" si="4"/>
        <v>0</v>
      </c>
    </row>
    <row r="61" spans="1:21" s="25" customFormat="1" ht="20.100000000000001" customHeight="1" x14ac:dyDescent="0.25">
      <c r="A61" s="377">
        <v>65927</v>
      </c>
      <c r="B61" s="351" t="s">
        <v>46</v>
      </c>
      <c r="C61" s="85">
        <f>PV!C61</f>
        <v>0.36</v>
      </c>
      <c r="D61" s="44" t="str">
        <f t="shared" si="2"/>
        <v>h</v>
      </c>
      <c r="E61" s="43">
        <f>IF(D61="h",PV!E61,IF(D61="M",PV!G61,PV!I61))</f>
        <v>2.95</v>
      </c>
      <c r="F61" s="291">
        <v>28</v>
      </c>
      <c r="G61" s="291">
        <v>58</v>
      </c>
      <c r="H61" s="291"/>
      <c r="I61" s="291"/>
      <c r="J61" s="291"/>
      <c r="K61" s="373"/>
      <c r="L61" s="331"/>
      <c r="M61" s="332"/>
      <c r="N61" s="333"/>
      <c r="O61" s="333"/>
      <c r="P61" s="334"/>
      <c r="Q61" s="275">
        <f t="shared" si="7"/>
        <v>0</v>
      </c>
      <c r="R61" s="280">
        <f t="shared" si="8"/>
        <v>0</v>
      </c>
      <c r="U61" s="294">
        <f t="shared" si="4"/>
        <v>0</v>
      </c>
    </row>
    <row r="62" spans="1:21" s="25" customFormat="1" ht="20.100000000000001" customHeight="1" x14ac:dyDescent="0.25">
      <c r="A62" s="377">
        <v>425032</v>
      </c>
      <c r="B62" s="351" t="s">
        <v>115</v>
      </c>
      <c r="C62" s="85">
        <f>PV!C62</f>
        <v>0.36</v>
      </c>
      <c r="D62" s="44" t="str">
        <f t="shared" si="2"/>
        <v>h</v>
      </c>
      <c r="E62" s="43">
        <f>IF(D62="h",PV!E62,IF(D62="M",PV!G62,PV!I62))</f>
        <v>2.75</v>
      </c>
      <c r="F62" s="291">
        <v>4</v>
      </c>
      <c r="G62" s="291">
        <v>2</v>
      </c>
      <c r="H62" s="291"/>
      <c r="I62" s="291"/>
      <c r="J62" s="291"/>
      <c r="K62" s="373"/>
      <c r="L62" s="331"/>
      <c r="M62" s="332"/>
      <c r="N62" s="333"/>
      <c r="O62" s="333"/>
      <c r="P62" s="334"/>
      <c r="Q62" s="275">
        <f t="shared" si="7"/>
        <v>0</v>
      </c>
      <c r="R62" s="280">
        <f t="shared" si="8"/>
        <v>0</v>
      </c>
      <c r="U62" s="294">
        <f t="shared" si="4"/>
        <v>0</v>
      </c>
    </row>
    <row r="63" spans="1:21" s="25" customFormat="1" ht="20.100000000000001" customHeight="1" x14ac:dyDescent="0.25">
      <c r="A63" s="377">
        <v>270448</v>
      </c>
      <c r="B63" s="351" t="s">
        <v>116</v>
      </c>
      <c r="C63" s="85">
        <f>PV!C63</f>
        <v>0.35</v>
      </c>
      <c r="D63" s="44" t="str">
        <f t="shared" si="2"/>
        <v>h</v>
      </c>
      <c r="E63" s="43">
        <f>IF(D63="h",PV!E63,IF(D63="M",PV!G63,PV!I63))</f>
        <v>2.95</v>
      </c>
      <c r="F63" s="291">
        <v>8</v>
      </c>
      <c r="G63" s="291">
        <v>20</v>
      </c>
      <c r="H63" s="291"/>
      <c r="I63" s="291"/>
      <c r="J63" s="291"/>
      <c r="K63" s="373"/>
      <c r="L63" s="331"/>
      <c r="M63" s="332"/>
      <c r="N63" s="333"/>
      <c r="O63" s="333"/>
      <c r="P63" s="334"/>
      <c r="Q63" s="275">
        <f t="shared" si="7"/>
        <v>0</v>
      </c>
      <c r="R63" s="280">
        <f t="shared" si="8"/>
        <v>0</v>
      </c>
      <c r="U63" s="294">
        <f t="shared" si="4"/>
        <v>0</v>
      </c>
    </row>
    <row r="64" spans="1:21" s="25" customFormat="1" ht="20.100000000000001" customHeight="1" x14ac:dyDescent="0.25">
      <c r="A64" s="377">
        <v>65871</v>
      </c>
      <c r="B64" s="351" t="s">
        <v>290</v>
      </c>
      <c r="C64" s="85">
        <f>PV!C64</f>
        <v>0.58499999999999996</v>
      </c>
      <c r="D64" s="44" t="str">
        <f t="shared" si="2"/>
        <v>h</v>
      </c>
      <c r="E64" s="43">
        <f>IF(D64="h",PV!E64,IF(D64="M",PV!G64,PV!I64))</f>
        <v>6.45</v>
      </c>
      <c r="F64" s="291">
        <v>35</v>
      </c>
      <c r="G64" s="291">
        <v>51</v>
      </c>
      <c r="H64" s="291"/>
      <c r="I64" s="291"/>
      <c r="J64" s="291"/>
      <c r="K64" s="373"/>
      <c r="L64" s="331"/>
      <c r="M64" s="332"/>
      <c r="N64" s="333"/>
      <c r="O64" s="333"/>
      <c r="P64" s="334"/>
      <c r="Q64" s="275">
        <f t="shared" si="7"/>
        <v>0</v>
      </c>
      <c r="R64" s="280">
        <f t="shared" si="8"/>
        <v>0</v>
      </c>
      <c r="U64" s="294">
        <f t="shared" si="4"/>
        <v>0</v>
      </c>
    </row>
    <row r="65" spans="1:21" s="25" customFormat="1" ht="20.100000000000001" customHeight="1" x14ac:dyDescent="0.25">
      <c r="A65" s="377">
        <v>286631</v>
      </c>
      <c r="B65" s="351" t="s">
        <v>118</v>
      </c>
      <c r="C65" s="85">
        <f>PV!C65</f>
        <v>0.4</v>
      </c>
      <c r="D65" s="44" t="str">
        <f t="shared" si="2"/>
        <v>h</v>
      </c>
      <c r="E65" s="43">
        <f>IF(D65="h",PV!E65,IF(D65="M",PV!G65,PV!I65))</f>
        <v>4.75</v>
      </c>
      <c r="F65" s="291">
        <v>8</v>
      </c>
      <c r="G65" s="291">
        <v>9</v>
      </c>
      <c r="H65" s="291"/>
      <c r="I65" s="291"/>
      <c r="J65" s="291"/>
      <c r="K65" s="373"/>
      <c r="L65" s="331"/>
      <c r="M65" s="332"/>
      <c r="N65" s="333"/>
      <c r="O65" s="333"/>
      <c r="P65" s="334"/>
      <c r="Q65" s="275">
        <f t="shared" si="7"/>
        <v>0</v>
      </c>
      <c r="R65" s="280">
        <f t="shared" si="8"/>
        <v>0</v>
      </c>
      <c r="U65" s="294">
        <f t="shared" si="4"/>
        <v>0</v>
      </c>
    </row>
    <row r="66" spans="1:21" s="25" customFormat="1" ht="20.100000000000001" customHeight="1" x14ac:dyDescent="0.25">
      <c r="A66" s="377">
        <v>306903</v>
      </c>
      <c r="B66" s="351" t="s">
        <v>52</v>
      </c>
      <c r="C66" s="85">
        <f>PV!C66</f>
        <v>0.6</v>
      </c>
      <c r="D66" s="44" t="str">
        <f t="shared" si="2"/>
        <v>h</v>
      </c>
      <c r="E66" s="43">
        <f>IF(D66="h",PV!E66,IF(D66="M",PV!G66,PV!I66))</f>
        <v>6.95</v>
      </c>
      <c r="F66" s="291">
        <v>0</v>
      </c>
      <c r="G66" s="291">
        <v>0</v>
      </c>
      <c r="H66" s="291"/>
      <c r="I66" s="291"/>
      <c r="J66" s="291"/>
      <c r="K66" s="373"/>
      <c r="L66" s="331"/>
      <c r="M66" s="332"/>
      <c r="N66" s="333"/>
      <c r="O66" s="333"/>
      <c r="P66" s="334"/>
      <c r="Q66" s="275">
        <f t="shared" si="7"/>
        <v>0</v>
      </c>
      <c r="R66" s="280">
        <f t="shared" si="8"/>
        <v>0</v>
      </c>
      <c r="U66" s="294">
        <f t="shared" si="4"/>
        <v>0</v>
      </c>
    </row>
    <row r="67" spans="1:21" s="25" customFormat="1" ht="20.100000000000001" customHeight="1" x14ac:dyDescent="0.25">
      <c r="A67" s="377">
        <v>330142</v>
      </c>
      <c r="B67" s="351" t="s">
        <v>51</v>
      </c>
      <c r="C67" s="85">
        <f>PV!C67</f>
        <v>0.3</v>
      </c>
      <c r="D67" s="44" t="str">
        <f t="shared" si="2"/>
        <v>h</v>
      </c>
      <c r="E67" s="43">
        <f>IF(D67="h",PV!E67,IF(D67="M",PV!G67,PV!I67))</f>
        <v>4.5</v>
      </c>
      <c r="F67" s="291">
        <v>0</v>
      </c>
      <c r="G67" s="291">
        <v>0</v>
      </c>
      <c r="H67" s="291"/>
      <c r="I67" s="291"/>
      <c r="J67" s="291"/>
      <c r="K67" s="373"/>
      <c r="L67" s="331"/>
      <c r="M67" s="332"/>
      <c r="N67" s="333"/>
      <c r="O67" s="333"/>
      <c r="P67" s="334"/>
      <c r="Q67" s="275">
        <f t="shared" si="7"/>
        <v>0</v>
      </c>
      <c r="R67" s="280">
        <f t="shared" si="8"/>
        <v>0</v>
      </c>
      <c r="U67" s="294">
        <f t="shared" si="4"/>
        <v>0</v>
      </c>
    </row>
    <row r="68" spans="1:21" s="25" customFormat="1" ht="20.100000000000001" customHeight="1" x14ac:dyDescent="0.25">
      <c r="A68" s="377">
        <v>65877</v>
      </c>
      <c r="B68" s="351" t="s">
        <v>48</v>
      </c>
      <c r="C68" s="85">
        <f>PV!C68</f>
        <v>0.7</v>
      </c>
      <c r="D68" s="44" t="str">
        <f t="shared" si="2"/>
        <v>h</v>
      </c>
      <c r="E68" s="43">
        <f>IF(D68="h",PV!E68,IF(D68="M",PV!G68,PV!I68))</f>
        <v>7.95</v>
      </c>
      <c r="F68" s="291">
        <v>20</v>
      </c>
      <c r="G68" s="291">
        <v>45</v>
      </c>
      <c r="H68" s="291"/>
      <c r="I68" s="291"/>
      <c r="J68" s="291"/>
      <c r="K68" s="373"/>
      <c r="L68" s="331"/>
      <c r="M68" s="332"/>
      <c r="N68" s="333"/>
      <c r="O68" s="333"/>
      <c r="P68" s="334"/>
      <c r="Q68" s="275">
        <f t="shared" si="7"/>
        <v>0</v>
      </c>
      <c r="R68" s="280">
        <f t="shared" si="8"/>
        <v>0</v>
      </c>
      <c r="U68" s="294">
        <f t="shared" si="4"/>
        <v>0</v>
      </c>
    </row>
    <row r="69" spans="1:21" s="25" customFormat="1" ht="20.100000000000001" customHeight="1" x14ac:dyDescent="0.25">
      <c r="A69" s="377">
        <v>206123</v>
      </c>
      <c r="B69" s="351" t="s">
        <v>47</v>
      </c>
      <c r="C69" s="85">
        <f>PV!C69</f>
        <v>0.35</v>
      </c>
      <c r="D69" s="44" t="str">
        <f t="shared" ref="D69:D134" si="9">D68</f>
        <v>h</v>
      </c>
      <c r="E69" s="43">
        <f>IF(D69="h",PV!E69,IF(D69="M",PV!G69,PV!I69))</f>
        <v>4.95</v>
      </c>
      <c r="F69" s="291">
        <v>6</v>
      </c>
      <c r="G69" s="291">
        <v>15</v>
      </c>
      <c r="H69" s="291"/>
      <c r="I69" s="291"/>
      <c r="J69" s="291"/>
      <c r="K69" s="373"/>
      <c r="L69" s="331"/>
      <c r="M69" s="332"/>
      <c r="N69" s="333"/>
      <c r="O69" s="333"/>
      <c r="P69" s="334"/>
      <c r="Q69" s="275">
        <f t="shared" si="7"/>
        <v>0</v>
      </c>
      <c r="R69" s="280">
        <f t="shared" si="8"/>
        <v>0</v>
      </c>
      <c r="U69" s="294">
        <f t="shared" si="4"/>
        <v>0</v>
      </c>
    </row>
    <row r="70" spans="1:21" s="25" customFormat="1" ht="20.100000000000001" customHeight="1" x14ac:dyDescent="0.25">
      <c r="A70" s="377">
        <v>830252</v>
      </c>
      <c r="B70" s="351" t="s">
        <v>119</v>
      </c>
      <c r="C70" s="85">
        <f>PV!C70</f>
        <v>0.36</v>
      </c>
      <c r="D70" s="44" t="str">
        <f t="shared" si="9"/>
        <v>h</v>
      </c>
      <c r="E70" s="43">
        <f>IF(D70="h",PV!E70,IF(D70="M",PV!G70,PV!I70))</f>
        <v>2.75</v>
      </c>
      <c r="F70" s="291">
        <v>12</v>
      </c>
      <c r="G70" s="291">
        <v>55</v>
      </c>
      <c r="H70" s="291"/>
      <c r="I70" s="291"/>
      <c r="J70" s="291"/>
      <c r="K70" s="373"/>
      <c r="L70" s="331"/>
      <c r="M70" s="332"/>
      <c r="N70" s="333"/>
      <c r="O70" s="333"/>
      <c r="P70" s="334"/>
      <c r="Q70" s="275">
        <f t="shared" si="7"/>
        <v>0</v>
      </c>
      <c r="R70" s="280">
        <f t="shared" si="8"/>
        <v>0</v>
      </c>
      <c r="U70" s="294">
        <f t="shared" ref="U70:U75" si="10">K70-L70</f>
        <v>0</v>
      </c>
    </row>
    <row r="71" spans="1:21" s="25" customFormat="1" ht="20.100000000000001" customHeight="1" x14ac:dyDescent="0.25">
      <c r="A71" s="377">
        <v>425026</v>
      </c>
      <c r="B71" s="351" t="s">
        <v>50</v>
      </c>
      <c r="C71" s="85">
        <f>PV!C71</f>
        <v>0.72</v>
      </c>
      <c r="D71" s="44" t="str">
        <f t="shared" si="9"/>
        <v>h</v>
      </c>
      <c r="E71" s="43">
        <f>IF(D71="h",PV!E71,IF(D71="M",PV!G71,PV!I71))</f>
        <v>3.95</v>
      </c>
      <c r="F71" s="291">
        <v>0</v>
      </c>
      <c r="G71" s="291">
        <v>8</v>
      </c>
      <c r="H71" s="291"/>
      <c r="I71" s="291"/>
      <c r="J71" s="291"/>
      <c r="K71" s="373"/>
      <c r="L71" s="331"/>
      <c r="M71" s="332"/>
      <c r="N71" s="333"/>
      <c r="O71" s="333"/>
      <c r="P71" s="334"/>
      <c r="Q71" s="275">
        <f t="shared" si="7"/>
        <v>0</v>
      </c>
      <c r="R71" s="280">
        <f t="shared" si="8"/>
        <v>0</v>
      </c>
      <c r="U71" s="294">
        <f t="shared" si="10"/>
        <v>0</v>
      </c>
    </row>
    <row r="72" spans="1:21" s="25" customFormat="1" ht="20.100000000000001" customHeight="1" x14ac:dyDescent="0.25">
      <c r="A72" s="377">
        <v>286632</v>
      </c>
      <c r="B72" s="351" t="s">
        <v>49</v>
      </c>
      <c r="C72" s="85">
        <f>PV!C72</f>
        <v>0.36</v>
      </c>
      <c r="D72" s="44" t="str">
        <f t="shared" si="9"/>
        <v>h</v>
      </c>
      <c r="E72" s="43">
        <f>IF(D72="h",PV!E72,IF(D72="M",PV!G72,PV!I72))</f>
        <v>1</v>
      </c>
      <c r="F72" s="291">
        <v>8</v>
      </c>
      <c r="G72" s="291">
        <v>9</v>
      </c>
      <c r="H72" s="291"/>
      <c r="I72" s="291"/>
      <c r="J72" s="291"/>
      <c r="K72" s="373"/>
      <c r="L72" s="331"/>
      <c r="M72" s="332"/>
      <c r="N72" s="333"/>
      <c r="O72" s="333"/>
      <c r="P72" s="334"/>
      <c r="Q72" s="275">
        <f t="shared" si="7"/>
        <v>0</v>
      </c>
      <c r="R72" s="280">
        <f t="shared" si="8"/>
        <v>0</v>
      </c>
      <c r="U72" s="294">
        <f t="shared" si="10"/>
        <v>0</v>
      </c>
    </row>
    <row r="73" spans="1:21" s="25" customFormat="1" ht="20.100000000000001" customHeight="1" x14ac:dyDescent="0.25">
      <c r="A73" s="379">
        <v>1008121</v>
      </c>
      <c r="B73" s="351" t="s">
        <v>120</v>
      </c>
      <c r="C73" s="85">
        <f>PV!C73</f>
        <v>0.5</v>
      </c>
      <c r="D73" s="44" t="str">
        <f t="shared" si="9"/>
        <v>h</v>
      </c>
      <c r="E73" s="43">
        <f>IF(D73="h",PV!E73,IF(D73="M",PV!G73,PV!I73))</f>
        <v>3.95</v>
      </c>
      <c r="F73" s="291">
        <v>0</v>
      </c>
      <c r="G73" s="291">
        <v>0</v>
      </c>
      <c r="H73" s="291"/>
      <c r="I73" s="291"/>
      <c r="J73" s="291"/>
      <c r="K73" s="373"/>
      <c r="L73" s="331"/>
      <c r="M73" s="332"/>
      <c r="N73" s="333"/>
      <c r="O73" s="333"/>
      <c r="P73" s="334"/>
      <c r="Q73" s="275">
        <f t="shared" si="7"/>
        <v>0</v>
      </c>
      <c r="R73" s="280">
        <f t="shared" si="8"/>
        <v>0</v>
      </c>
      <c r="U73" s="294">
        <f t="shared" si="10"/>
        <v>0</v>
      </c>
    </row>
    <row r="74" spans="1:21" ht="0.6" customHeight="1" x14ac:dyDescent="0.2">
      <c r="A74" s="382"/>
      <c r="B74" s="347"/>
      <c r="C74" s="85">
        <f>PV!C74</f>
        <v>0</v>
      </c>
      <c r="D74" s="44" t="str">
        <f t="shared" si="9"/>
        <v>h</v>
      </c>
      <c r="E74" s="43">
        <f>IF(D74="h",PV!E74,IF(D74="M",PV!G74,PV!I74))</f>
        <v>0</v>
      </c>
      <c r="F74" s="291">
        <v>0</v>
      </c>
      <c r="G74" s="291">
        <v>0</v>
      </c>
      <c r="H74" s="291"/>
      <c r="I74" s="291"/>
      <c r="J74" s="291"/>
      <c r="K74" s="373"/>
      <c r="L74" s="331"/>
      <c r="M74" s="332"/>
      <c r="N74" s="333"/>
      <c r="O74" s="333"/>
      <c r="P74" s="334"/>
      <c r="Q74" s="271"/>
      <c r="R74" s="282">
        <f>SUM(R59:R73)</f>
        <v>0</v>
      </c>
      <c r="U74" s="294">
        <f t="shared" si="10"/>
        <v>0</v>
      </c>
    </row>
    <row r="75" spans="1:21" s="25" customFormat="1" ht="20.100000000000001" customHeight="1" x14ac:dyDescent="0.25">
      <c r="A75" s="377">
        <v>1263740</v>
      </c>
      <c r="B75" s="351" t="s">
        <v>267</v>
      </c>
      <c r="C75" s="85">
        <f>PV!C75</f>
        <v>0.8</v>
      </c>
      <c r="D75" s="44" t="str">
        <f t="shared" si="9"/>
        <v>h</v>
      </c>
      <c r="E75" s="43">
        <f>IF(D75="h",PV!E75,IF(D75="M",PV!G75,PV!I75))</f>
        <v>4.75</v>
      </c>
      <c r="F75" s="291">
        <v>13</v>
      </c>
      <c r="G75" s="291">
        <v>22</v>
      </c>
      <c r="H75" s="291"/>
      <c r="I75" s="291"/>
      <c r="J75" s="291"/>
      <c r="K75" s="373"/>
      <c r="L75" s="331"/>
      <c r="M75" s="332"/>
      <c r="N75" s="333"/>
      <c r="O75" s="333"/>
      <c r="P75" s="334"/>
      <c r="Q75" s="275">
        <f>(K75*E75)</f>
        <v>0</v>
      </c>
      <c r="R75" s="280">
        <f>K75*C75</f>
        <v>0</v>
      </c>
      <c r="U75" s="294">
        <f t="shared" si="10"/>
        <v>0</v>
      </c>
    </row>
    <row r="76" spans="1:21" s="25" customFormat="1" ht="0.6" customHeight="1" x14ac:dyDescent="0.25">
      <c r="A76" s="376"/>
      <c r="B76" s="351"/>
      <c r="C76" s="85">
        <f>PV!C76</f>
        <v>0</v>
      </c>
      <c r="D76" s="44" t="str">
        <f t="shared" si="9"/>
        <v>h</v>
      </c>
      <c r="E76" s="43">
        <f>IF(D76="h",PV!E76,IF(D76="M",PV!G76,PV!I76))</f>
        <v>0</v>
      </c>
      <c r="F76" s="291">
        <v>0</v>
      </c>
      <c r="G76" s="291">
        <v>0</v>
      </c>
      <c r="H76" s="291"/>
      <c r="I76" s="291"/>
      <c r="J76" s="291"/>
      <c r="K76" s="373"/>
      <c r="L76" s="331"/>
      <c r="M76" s="332"/>
      <c r="N76" s="333"/>
      <c r="O76" s="333"/>
      <c r="P76" s="334"/>
      <c r="Q76" s="279"/>
      <c r="R76" s="281">
        <f>SUM(R75:R75)</f>
        <v>0</v>
      </c>
      <c r="U76" s="294"/>
    </row>
    <row r="77" spans="1:21" s="25" customFormat="1" ht="20.100000000000001" customHeight="1" x14ac:dyDescent="0.25">
      <c r="A77" s="376">
        <v>364629</v>
      </c>
      <c r="B77" s="352" t="s">
        <v>134</v>
      </c>
      <c r="C77" s="85">
        <f>PV!C77</f>
        <v>0.36</v>
      </c>
      <c r="D77" s="44" t="str">
        <f t="shared" si="9"/>
        <v>h</v>
      </c>
      <c r="E77" s="43">
        <f>IF(D77="h",PV!E77,IF(D77="M",PV!G77,PV!I77))</f>
        <v>2.5</v>
      </c>
      <c r="F77" s="291">
        <v>7</v>
      </c>
      <c r="G77" s="291">
        <v>8</v>
      </c>
      <c r="H77" s="291"/>
      <c r="I77" s="291"/>
      <c r="J77" s="291"/>
      <c r="K77" s="373"/>
      <c r="L77" s="331"/>
      <c r="M77" s="332"/>
      <c r="N77" s="333"/>
      <c r="O77" s="333"/>
      <c r="P77" s="334"/>
      <c r="Q77" s="279">
        <f>(K77*E77)</f>
        <v>0</v>
      </c>
      <c r="R77" s="280">
        <f>K77*C77</f>
        <v>0</v>
      </c>
      <c r="U77" s="294">
        <f>K77-L77</f>
        <v>0</v>
      </c>
    </row>
    <row r="78" spans="1:21" s="25" customFormat="1" ht="20.100000000000001" customHeight="1" x14ac:dyDescent="0.25">
      <c r="A78" s="377">
        <v>370600</v>
      </c>
      <c r="B78" s="352" t="s">
        <v>135</v>
      </c>
      <c r="C78" s="85">
        <f>PV!C78</f>
        <v>0.36</v>
      </c>
      <c r="D78" s="44" t="str">
        <f t="shared" si="9"/>
        <v>h</v>
      </c>
      <c r="E78" s="43">
        <f>IF(D78="h",PV!E78,IF(D78="M",PV!G78,PV!I78))</f>
        <v>2.5</v>
      </c>
      <c r="F78" s="291">
        <v>17</v>
      </c>
      <c r="G78" s="291">
        <v>24</v>
      </c>
      <c r="H78" s="291"/>
      <c r="I78" s="291"/>
      <c r="J78" s="291"/>
      <c r="K78" s="373"/>
      <c r="L78" s="331"/>
      <c r="M78" s="332"/>
      <c r="N78" s="333"/>
      <c r="O78" s="333"/>
      <c r="P78" s="334"/>
      <c r="Q78" s="275">
        <f>(K78*E78)</f>
        <v>0</v>
      </c>
      <c r="R78" s="280">
        <f>K78*C78</f>
        <v>0</v>
      </c>
      <c r="U78" s="294">
        <f>K78-L78</f>
        <v>0</v>
      </c>
    </row>
    <row r="79" spans="1:21" s="25" customFormat="1" ht="0.6" customHeight="1" x14ac:dyDescent="0.25">
      <c r="A79" s="377"/>
      <c r="B79" s="352"/>
      <c r="C79" s="85"/>
      <c r="D79" s="44"/>
      <c r="E79" s="43"/>
      <c r="F79" s="291">
        <v>0</v>
      </c>
      <c r="G79" s="291">
        <v>0</v>
      </c>
      <c r="H79" s="291"/>
      <c r="I79" s="291"/>
      <c r="J79" s="291"/>
      <c r="K79" s="373"/>
      <c r="L79" s="331"/>
      <c r="M79" s="332"/>
      <c r="N79" s="333"/>
      <c r="O79" s="333"/>
      <c r="P79" s="334"/>
      <c r="Q79" s="275"/>
      <c r="R79" s="281">
        <f>SUM(R77:R78)</f>
        <v>0</v>
      </c>
      <c r="U79" s="294"/>
    </row>
    <row r="80" spans="1:21" s="25" customFormat="1" ht="20.100000000000001" customHeight="1" x14ac:dyDescent="0.25">
      <c r="A80" s="377">
        <v>1263741</v>
      </c>
      <c r="B80" s="352" t="s">
        <v>268</v>
      </c>
      <c r="C80" s="85">
        <f>PV!C80</f>
        <v>0.8</v>
      </c>
      <c r="D80" s="44" t="str">
        <f>D78</f>
        <v>h</v>
      </c>
      <c r="E80" s="43">
        <f>IF(D80="h",PV!E80,IF(D80="M",PV!G80,PV!I80))</f>
        <v>5.75</v>
      </c>
      <c r="F80" s="291">
        <v>29</v>
      </c>
      <c r="G80" s="291">
        <v>45</v>
      </c>
      <c r="H80" s="291"/>
      <c r="I80" s="291"/>
      <c r="J80" s="291"/>
      <c r="K80" s="373"/>
      <c r="L80" s="331"/>
      <c r="M80" s="332"/>
      <c r="N80" s="333"/>
      <c r="O80" s="333"/>
      <c r="P80" s="334"/>
      <c r="Q80" s="275">
        <f t="shared" ref="Q80:Q86" si="11">(K80*E80)</f>
        <v>0</v>
      </c>
      <c r="R80" s="280">
        <f>K80*C80</f>
        <v>0</v>
      </c>
      <c r="U80" s="294">
        <f t="shared" ref="U80:U97" si="12">K80-L80</f>
        <v>0</v>
      </c>
    </row>
    <row r="81" spans="1:21" s="25" customFormat="1" ht="20.100000000000001" customHeight="1" x14ac:dyDescent="0.25">
      <c r="A81" s="377">
        <v>1263742</v>
      </c>
      <c r="B81" s="352" t="s">
        <v>291</v>
      </c>
      <c r="C81" s="85">
        <f>PV!C81</f>
        <v>0.47</v>
      </c>
      <c r="D81" s="44" t="str">
        <f t="shared" si="9"/>
        <v>h</v>
      </c>
      <c r="E81" s="43">
        <f>IF(D81="h",PV!E81,IF(D81="M",PV!G81,PV!I81))</f>
        <v>3.6</v>
      </c>
      <c r="F81" s="291">
        <v>19</v>
      </c>
      <c r="G81" s="291">
        <v>40</v>
      </c>
      <c r="H81" s="291"/>
      <c r="I81" s="291"/>
      <c r="J81" s="291"/>
      <c r="K81" s="373"/>
      <c r="L81" s="331"/>
      <c r="M81" s="332"/>
      <c r="N81" s="333"/>
      <c r="O81" s="333"/>
      <c r="P81" s="334"/>
      <c r="Q81" s="275">
        <f t="shared" si="11"/>
        <v>0</v>
      </c>
      <c r="R81" s="280">
        <f>K81*C81</f>
        <v>0</v>
      </c>
      <c r="U81" s="294">
        <f t="shared" si="12"/>
        <v>0</v>
      </c>
    </row>
    <row r="82" spans="1:21" s="25" customFormat="1" ht="20.100000000000001" customHeight="1" x14ac:dyDescent="0.25">
      <c r="A82" s="377">
        <v>1263743</v>
      </c>
      <c r="B82" s="352" t="s">
        <v>292</v>
      </c>
      <c r="C82" s="85">
        <f>PV!C82</f>
        <v>0.8</v>
      </c>
      <c r="D82" s="44" t="str">
        <f t="shared" si="9"/>
        <v>h</v>
      </c>
      <c r="E82" s="43">
        <f>IF(D82="h",PV!E82,IF(D82="M",PV!G82,PV!I82))</f>
        <v>5.75</v>
      </c>
      <c r="F82" s="291">
        <v>17</v>
      </c>
      <c r="G82" s="291">
        <v>47</v>
      </c>
      <c r="H82" s="291"/>
      <c r="I82" s="291"/>
      <c r="J82" s="291"/>
      <c r="K82" s="373"/>
      <c r="L82" s="331"/>
      <c r="M82" s="332"/>
      <c r="N82" s="333"/>
      <c r="O82" s="333"/>
      <c r="P82" s="334"/>
      <c r="Q82" s="275">
        <f t="shared" si="11"/>
        <v>0</v>
      </c>
      <c r="R82" s="280">
        <f>K82*C82</f>
        <v>0</v>
      </c>
      <c r="U82" s="294">
        <f t="shared" si="12"/>
        <v>0</v>
      </c>
    </row>
    <row r="83" spans="1:21" s="25" customFormat="1" ht="22.5" x14ac:dyDescent="0.25">
      <c r="A83" s="381">
        <v>65862</v>
      </c>
      <c r="B83" s="346" t="s">
        <v>178</v>
      </c>
      <c r="C83" s="85">
        <f>PV!C83</f>
        <v>0.48</v>
      </c>
      <c r="D83" s="44" t="str">
        <f t="shared" si="9"/>
        <v>h</v>
      </c>
      <c r="E83" s="43">
        <f>IF(D83="h",PV!E83,IF(D83="M",PV!G83,PV!I83))</f>
        <v>3.95</v>
      </c>
      <c r="F83" s="291">
        <v>7</v>
      </c>
      <c r="G83" s="291">
        <v>10</v>
      </c>
      <c r="H83" s="291"/>
      <c r="I83" s="291"/>
      <c r="J83" s="291"/>
      <c r="K83" s="373"/>
      <c r="L83" s="331"/>
      <c r="M83" s="332"/>
      <c r="N83" s="333"/>
      <c r="O83" s="333"/>
      <c r="P83" s="334"/>
      <c r="Q83" s="275">
        <f t="shared" si="11"/>
        <v>0</v>
      </c>
      <c r="R83" s="285">
        <f>K83*C83</f>
        <v>0</v>
      </c>
      <c r="U83" s="294">
        <f t="shared" si="12"/>
        <v>0</v>
      </c>
    </row>
    <row r="84" spans="1:21" s="25" customFormat="1" ht="0.6" customHeight="1" x14ac:dyDescent="0.25">
      <c r="A84" s="335"/>
      <c r="B84" s="353"/>
      <c r="C84" s="85">
        <f>PV!C84</f>
        <v>0</v>
      </c>
      <c r="D84" s="44" t="str">
        <f t="shared" si="9"/>
        <v>h</v>
      </c>
      <c r="E84" s="43">
        <f>IF(D84="h",PV!E84,IF(D84="M",PV!G84,PV!I84))</f>
        <v>0</v>
      </c>
      <c r="F84" s="291">
        <v>0</v>
      </c>
      <c r="G84" s="291">
        <v>0</v>
      </c>
      <c r="H84" s="291"/>
      <c r="I84" s="291"/>
      <c r="J84" s="291"/>
      <c r="K84" s="373"/>
      <c r="L84" s="331"/>
      <c r="M84" s="332"/>
      <c r="N84" s="333"/>
      <c r="O84" s="333"/>
      <c r="P84" s="334"/>
      <c r="Q84" s="275">
        <f t="shared" si="11"/>
        <v>0</v>
      </c>
      <c r="R84" s="281">
        <f>SUM(R80:R83)</f>
        <v>0</v>
      </c>
      <c r="U84" s="294">
        <f t="shared" si="12"/>
        <v>0</v>
      </c>
    </row>
    <row r="85" spans="1:21" s="25" customFormat="1" ht="22.5" x14ac:dyDescent="0.25">
      <c r="A85" s="381">
        <v>1263732</v>
      </c>
      <c r="B85" s="346" t="s">
        <v>263</v>
      </c>
      <c r="C85" s="85">
        <f>PV!C85</f>
        <v>0.47</v>
      </c>
      <c r="D85" s="44" t="str">
        <f t="shared" si="9"/>
        <v>h</v>
      </c>
      <c r="E85" s="43">
        <f>IF(D85="h",PV!E85,IF(D85="M",PV!G85,PV!I85))</f>
        <v>2.75</v>
      </c>
      <c r="F85" s="291">
        <v>10</v>
      </c>
      <c r="G85" s="291">
        <v>8</v>
      </c>
      <c r="H85" s="291"/>
      <c r="I85" s="291"/>
      <c r="J85" s="291"/>
      <c r="K85" s="373"/>
      <c r="L85" s="331"/>
      <c r="M85" s="332"/>
      <c r="N85" s="333"/>
      <c r="O85" s="333"/>
      <c r="P85" s="334"/>
      <c r="Q85" s="275">
        <f t="shared" si="11"/>
        <v>0</v>
      </c>
      <c r="R85" s="280">
        <f>K85*C85</f>
        <v>0</v>
      </c>
      <c r="U85" s="294">
        <f t="shared" si="12"/>
        <v>0</v>
      </c>
    </row>
    <row r="86" spans="1:21" s="25" customFormat="1" ht="22.5" x14ac:dyDescent="0.25">
      <c r="A86" s="381">
        <v>1263733</v>
      </c>
      <c r="B86" s="346" t="s">
        <v>264</v>
      </c>
      <c r="C86" s="85">
        <f>PV!C86</f>
        <v>0.8</v>
      </c>
      <c r="D86" s="44" t="str">
        <f t="shared" si="9"/>
        <v>h</v>
      </c>
      <c r="E86" s="43">
        <f>IF(D86="h",PV!E86,IF(D86="M",PV!G86,PV!I86))</f>
        <v>5.5</v>
      </c>
      <c r="F86" s="291">
        <v>8</v>
      </c>
      <c r="G86" s="291">
        <v>1</v>
      </c>
      <c r="H86" s="291"/>
      <c r="I86" s="291"/>
      <c r="J86" s="291"/>
      <c r="K86" s="373"/>
      <c r="L86" s="331"/>
      <c r="M86" s="332"/>
      <c r="N86" s="333"/>
      <c r="O86" s="333"/>
      <c r="P86" s="334"/>
      <c r="Q86" s="275">
        <f t="shared" si="11"/>
        <v>0</v>
      </c>
      <c r="R86" s="280">
        <f>K86*C86</f>
        <v>0</v>
      </c>
      <c r="U86" s="294">
        <f t="shared" si="12"/>
        <v>0</v>
      </c>
    </row>
    <row r="87" spans="1:21" s="25" customFormat="1" ht="0.6" customHeight="1" x14ac:dyDescent="0.2">
      <c r="A87" s="382"/>
      <c r="B87" s="343"/>
      <c r="C87" s="85">
        <f>PV!C87</f>
        <v>0</v>
      </c>
      <c r="D87" s="44" t="str">
        <f t="shared" si="9"/>
        <v>h</v>
      </c>
      <c r="E87" s="43">
        <f>IF(D87="h",PV!E87,IF(D87="M",PV!G87,PV!I87))</f>
        <v>0</v>
      </c>
      <c r="F87" s="291">
        <v>0</v>
      </c>
      <c r="G87" s="291">
        <v>0</v>
      </c>
      <c r="H87" s="291"/>
      <c r="I87" s="291"/>
      <c r="J87" s="291"/>
      <c r="K87" s="373"/>
      <c r="L87" s="331"/>
      <c r="M87" s="332"/>
      <c r="N87" s="333"/>
      <c r="O87" s="333"/>
      <c r="P87" s="334"/>
      <c r="Q87" s="275"/>
      <c r="R87" s="281">
        <f>SUM(R85:R86)</f>
        <v>0</v>
      </c>
      <c r="U87" s="294">
        <f t="shared" si="12"/>
        <v>0</v>
      </c>
    </row>
    <row r="88" spans="1:21" ht="22.5" x14ac:dyDescent="0.2">
      <c r="A88" s="379">
        <v>1095099</v>
      </c>
      <c r="B88" s="354" t="s">
        <v>161</v>
      </c>
      <c r="C88" s="85">
        <f>PV!C88</f>
        <v>0.15</v>
      </c>
      <c r="D88" s="44" t="str">
        <f t="shared" si="9"/>
        <v>h</v>
      </c>
      <c r="E88" s="43">
        <f>IF(D88="h",PV!E88,IF(D88="M",PV!G88,PV!I88))</f>
        <v>2.5</v>
      </c>
      <c r="F88" s="291">
        <v>0</v>
      </c>
      <c r="G88" s="291">
        <v>0</v>
      </c>
      <c r="H88" s="291"/>
      <c r="I88" s="291"/>
      <c r="J88" s="291"/>
      <c r="K88" s="373"/>
      <c r="L88" s="331"/>
      <c r="M88" s="332"/>
      <c r="N88" s="333"/>
      <c r="O88" s="333"/>
      <c r="P88" s="334"/>
      <c r="Q88" s="275">
        <f>(K88*E88)</f>
        <v>0</v>
      </c>
      <c r="R88" s="280">
        <f>K88*C88</f>
        <v>0</v>
      </c>
      <c r="U88" s="294">
        <f t="shared" si="12"/>
        <v>0</v>
      </c>
    </row>
    <row r="89" spans="1:21" s="28" customFormat="1" ht="22.5" x14ac:dyDescent="0.2">
      <c r="A89" s="380">
        <v>1008120</v>
      </c>
      <c r="B89" s="355" t="s">
        <v>162</v>
      </c>
      <c r="C89" s="85">
        <f>PV!C89</f>
        <v>0.12</v>
      </c>
      <c r="D89" s="44" t="str">
        <f t="shared" si="9"/>
        <v>h</v>
      </c>
      <c r="E89" s="43">
        <f>IF(D89="h",PV!E89,IF(D89="M",PV!G89,PV!I89))</f>
        <v>2.5</v>
      </c>
      <c r="F89" s="291">
        <v>0</v>
      </c>
      <c r="G89" s="291">
        <v>0</v>
      </c>
      <c r="H89" s="291"/>
      <c r="I89" s="291"/>
      <c r="J89" s="291"/>
      <c r="K89" s="373"/>
      <c r="L89" s="331"/>
      <c r="M89" s="332"/>
      <c r="N89" s="333"/>
      <c r="O89" s="333"/>
      <c r="P89" s="334"/>
      <c r="Q89" s="275">
        <f>(K89*E89)</f>
        <v>0</v>
      </c>
      <c r="R89" s="280">
        <f>K89*C89</f>
        <v>0</v>
      </c>
      <c r="U89" s="294">
        <f t="shared" si="12"/>
        <v>0</v>
      </c>
    </row>
    <row r="90" spans="1:21" s="25" customFormat="1" ht="22.5" x14ac:dyDescent="0.2">
      <c r="A90" s="379">
        <v>1263735</v>
      </c>
      <c r="B90" s="343" t="s">
        <v>272</v>
      </c>
      <c r="C90" s="85">
        <f>PV!C90</f>
        <v>0.7</v>
      </c>
      <c r="D90" s="44" t="str">
        <f t="shared" si="9"/>
        <v>h</v>
      </c>
      <c r="E90" s="43">
        <f>IF(D90="h",PV!E90,IF(D90="M",PV!G90,PV!I90))</f>
        <v>6.2</v>
      </c>
      <c r="F90" s="291">
        <v>12</v>
      </c>
      <c r="G90" s="291">
        <v>34</v>
      </c>
      <c r="H90" s="291"/>
      <c r="I90" s="291"/>
      <c r="J90" s="291"/>
      <c r="K90" s="373"/>
      <c r="L90" s="331"/>
      <c r="M90" s="332"/>
      <c r="N90" s="333"/>
      <c r="O90" s="333"/>
      <c r="P90" s="334"/>
      <c r="Q90" s="275">
        <f>(K90*E90)</f>
        <v>0</v>
      </c>
      <c r="R90" s="280">
        <f>K90*C90</f>
        <v>0</v>
      </c>
      <c r="U90" s="294">
        <f t="shared" si="12"/>
        <v>0</v>
      </c>
    </row>
    <row r="91" spans="1:21" ht="22.5" x14ac:dyDescent="0.2">
      <c r="A91" s="379">
        <v>1008119</v>
      </c>
      <c r="B91" s="354" t="s">
        <v>158</v>
      </c>
      <c r="C91" s="85">
        <f>PV!C91</f>
        <v>0.3</v>
      </c>
      <c r="D91" s="44" t="str">
        <f t="shared" si="9"/>
        <v>h</v>
      </c>
      <c r="E91" s="43">
        <f>IF(D91="h",PV!E91,IF(D91="M",PV!G91,PV!I91))</f>
        <v>2.7</v>
      </c>
      <c r="F91" s="291">
        <v>0</v>
      </c>
      <c r="G91" s="291">
        <v>0</v>
      </c>
      <c r="H91" s="291"/>
      <c r="I91" s="291"/>
      <c r="J91" s="291"/>
      <c r="K91" s="373"/>
      <c r="L91" s="331"/>
      <c r="M91" s="332"/>
      <c r="N91" s="333"/>
      <c r="O91" s="333"/>
      <c r="P91" s="334"/>
      <c r="Q91" s="275">
        <f>(K91*E91)</f>
        <v>0</v>
      </c>
      <c r="R91" s="280">
        <f>K91*C91</f>
        <v>0</v>
      </c>
      <c r="U91" s="294">
        <f t="shared" si="12"/>
        <v>0</v>
      </c>
    </row>
    <row r="92" spans="1:21" s="28" customFormat="1" ht="0.6" customHeight="1" x14ac:dyDescent="0.2">
      <c r="A92" s="380"/>
      <c r="B92" s="356"/>
      <c r="C92" s="85">
        <f>PV!C92</f>
        <v>0</v>
      </c>
      <c r="D92" s="44" t="str">
        <f t="shared" si="9"/>
        <v>h</v>
      </c>
      <c r="E92" s="43">
        <f>IF(D92="h",PV!E92,IF(D92="M",PV!G92,PV!I92))</f>
        <v>0</v>
      </c>
      <c r="F92" s="291">
        <v>0</v>
      </c>
      <c r="G92" s="291">
        <v>0</v>
      </c>
      <c r="H92" s="291"/>
      <c r="I92" s="291"/>
      <c r="J92" s="291"/>
      <c r="K92" s="373"/>
      <c r="L92" s="331"/>
      <c r="M92" s="332"/>
      <c r="N92" s="333"/>
      <c r="O92" s="333"/>
      <c r="P92" s="334"/>
      <c r="Q92" s="271"/>
      <c r="R92" s="281">
        <f>SUM(R88:R91)</f>
        <v>0</v>
      </c>
      <c r="U92" s="294">
        <f t="shared" si="12"/>
        <v>0</v>
      </c>
    </row>
    <row r="93" spans="1:21" s="25" customFormat="1" ht="22.5" x14ac:dyDescent="0.25">
      <c r="A93" s="335">
        <v>401788</v>
      </c>
      <c r="B93" s="352" t="s">
        <v>138</v>
      </c>
      <c r="C93" s="85">
        <f>PV!C93</f>
        <v>0.2</v>
      </c>
      <c r="D93" s="44" t="str">
        <f t="shared" si="9"/>
        <v>h</v>
      </c>
      <c r="E93" s="43">
        <f>IF(D93="h",PV!E93,IF(D93="M",PV!G93,PV!I93))</f>
        <v>0.5</v>
      </c>
      <c r="F93" s="291">
        <v>148</v>
      </c>
      <c r="G93" s="291">
        <v>103</v>
      </c>
      <c r="H93" s="291"/>
      <c r="I93" s="291"/>
      <c r="J93" s="291"/>
      <c r="K93" s="373"/>
      <c r="L93" s="331"/>
      <c r="M93" s="332"/>
      <c r="N93" s="333"/>
      <c r="O93" s="333"/>
      <c r="P93" s="334"/>
      <c r="Q93" s="279">
        <f>(K93*E93)</f>
        <v>0</v>
      </c>
      <c r="R93" s="280">
        <f>K93*C93</f>
        <v>0</v>
      </c>
      <c r="U93" s="294">
        <f t="shared" si="12"/>
        <v>0</v>
      </c>
    </row>
    <row r="94" spans="1:21" s="25" customFormat="1" ht="22.5" x14ac:dyDescent="0.25">
      <c r="A94" s="335">
        <v>391720</v>
      </c>
      <c r="B94" s="352" t="s">
        <v>139</v>
      </c>
      <c r="C94" s="85">
        <f>PV!C94</f>
        <v>0.84</v>
      </c>
      <c r="D94" s="44" t="str">
        <f t="shared" si="9"/>
        <v>h</v>
      </c>
      <c r="E94" s="43">
        <f>IF(D94="h",PV!E94,IF(D94="M",PV!G94,PV!I94))</f>
        <v>3.5</v>
      </c>
      <c r="F94" s="291">
        <v>0</v>
      </c>
      <c r="G94" s="291">
        <v>0</v>
      </c>
      <c r="H94" s="291"/>
      <c r="I94" s="291"/>
      <c r="J94" s="291"/>
      <c r="K94" s="373"/>
      <c r="L94" s="331"/>
      <c r="M94" s="332"/>
      <c r="N94" s="333"/>
      <c r="O94" s="333"/>
      <c r="P94" s="334"/>
      <c r="Q94" s="275">
        <f>(K94*E94)</f>
        <v>0</v>
      </c>
      <c r="R94" s="280">
        <f>K94*C94</f>
        <v>0</v>
      </c>
      <c r="U94" s="294">
        <f t="shared" si="12"/>
        <v>0</v>
      </c>
    </row>
    <row r="95" spans="1:21" s="25" customFormat="1" ht="22.5" x14ac:dyDescent="0.25">
      <c r="A95" s="335">
        <v>438079</v>
      </c>
      <c r="B95" s="352" t="s">
        <v>293</v>
      </c>
      <c r="C95" s="85">
        <f>PV!C95</f>
        <v>0.3</v>
      </c>
      <c r="D95" s="44" t="str">
        <f t="shared" si="9"/>
        <v>h</v>
      </c>
      <c r="E95" s="43">
        <f>IF(D95="h",PV!E95,IF(D95="M",PV!G95,PV!I95))</f>
        <v>2.65</v>
      </c>
      <c r="F95" s="291">
        <v>0</v>
      </c>
      <c r="G95" s="291">
        <v>0</v>
      </c>
      <c r="H95" s="291"/>
      <c r="I95" s="291"/>
      <c r="J95" s="291"/>
      <c r="K95" s="373"/>
      <c r="L95" s="331"/>
      <c r="M95" s="332"/>
      <c r="N95" s="333"/>
      <c r="O95" s="333"/>
      <c r="P95" s="334"/>
      <c r="Q95" s="275">
        <f>(K95*E95)</f>
        <v>0</v>
      </c>
      <c r="R95" s="280">
        <f>K95*C95</f>
        <v>0</v>
      </c>
      <c r="U95" s="294">
        <f t="shared" si="12"/>
        <v>0</v>
      </c>
    </row>
    <row r="96" spans="1:21" s="25" customFormat="1" ht="22.5" x14ac:dyDescent="0.25">
      <c r="A96" s="335">
        <v>391741</v>
      </c>
      <c r="B96" s="352" t="s">
        <v>41</v>
      </c>
      <c r="C96" s="85">
        <f>PV!C96</f>
        <v>1.2</v>
      </c>
      <c r="D96" s="44" t="str">
        <f t="shared" si="9"/>
        <v>h</v>
      </c>
      <c r="E96" s="43">
        <f>IF(D96="h",PV!E96,IF(D96="M",PV!G96,PV!I96))</f>
        <v>2.5</v>
      </c>
      <c r="F96" s="291">
        <v>63</v>
      </c>
      <c r="G96" s="291">
        <v>66</v>
      </c>
      <c r="H96" s="291"/>
      <c r="I96" s="291"/>
      <c r="J96" s="291"/>
      <c r="K96" s="373"/>
      <c r="L96" s="331"/>
      <c r="M96" s="332"/>
      <c r="N96" s="333"/>
      <c r="O96" s="333"/>
      <c r="P96" s="334"/>
      <c r="Q96" s="275">
        <f>(K96*E96)</f>
        <v>0</v>
      </c>
      <c r="R96" s="280">
        <f>K96*C96</f>
        <v>0</v>
      </c>
      <c r="U96" s="294">
        <f t="shared" si="12"/>
        <v>0</v>
      </c>
    </row>
    <row r="97" spans="1:21" s="25" customFormat="1" ht="22.5" x14ac:dyDescent="0.25">
      <c r="A97" s="335">
        <v>391742</v>
      </c>
      <c r="B97" s="352" t="s">
        <v>141</v>
      </c>
      <c r="C97" s="85">
        <f>PV!C97</f>
        <v>0.6</v>
      </c>
      <c r="D97" s="44" t="str">
        <f t="shared" si="9"/>
        <v>h</v>
      </c>
      <c r="E97" s="43">
        <f>IF(D97="h",PV!E97,IF(D97="M",PV!G97,PV!I97))</f>
        <v>1.25</v>
      </c>
      <c r="F97" s="291">
        <v>2</v>
      </c>
      <c r="G97" s="291">
        <v>1</v>
      </c>
      <c r="H97" s="291"/>
      <c r="I97" s="291"/>
      <c r="J97" s="291"/>
      <c r="K97" s="373"/>
      <c r="L97" s="331"/>
      <c r="M97" s="332"/>
      <c r="N97" s="333"/>
      <c r="O97" s="333"/>
      <c r="P97" s="334"/>
      <c r="Q97" s="275">
        <f>(K97*E97)</f>
        <v>0</v>
      </c>
      <c r="R97" s="280">
        <f>K97*C97</f>
        <v>0</v>
      </c>
      <c r="U97" s="294">
        <f t="shared" si="12"/>
        <v>0</v>
      </c>
    </row>
    <row r="98" spans="1:21" s="25" customFormat="1" ht="0.6" customHeight="1" x14ac:dyDescent="0.25">
      <c r="A98" s="335"/>
      <c r="B98" s="352"/>
      <c r="C98" s="85"/>
      <c r="D98" s="44"/>
      <c r="E98" s="43"/>
      <c r="F98" s="291">
        <v>0</v>
      </c>
      <c r="G98" s="291">
        <v>0</v>
      </c>
      <c r="H98" s="291"/>
      <c r="I98" s="291"/>
      <c r="J98" s="291"/>
      <c r="K98" s="373"/>
      <c r="L98" s="331"/>
      <c r="M98" s="332"/>
      <c r="N98" s="333"/>
      <c r="O98" s="333"/>
      <c r="P98" s="334"/>
      <c r="Q98" s="275"/>
      <c r="R98" s="282">
        <f>SUM(R93:R97)</f>
        <v>0</v>
      </c>
      <c r="U98" s="294"/>
    </row>
    <row r="99" spans="1:21" s="25" customFormat="1" ht="22.5" x14ac:dyDescent="0.25">
      <c r="A99" s="335">
        <v>875635</v>
      </c>
      <c r="B99" s="352" t="s">
        <v>142</v>
      </c>
      <c r="C99" s="85">
        <f>PV!C99</f>
        <v>0.05</v>
      </c>
      <c r="D99" s="44" t="str">
        <f>D97</f>
        <v>h</v>
      </c>
      <c r="E99" s="43">
        <f>IF(D99="h",PV!E99,IF(D99="M",PV!G99,PV!I99))</f>
        <v>1.5</v>
      </c>
      <c r="F99" s="291">
        <v>0</v>
      </c>
      <c r="G99" s="291">
        <v>2</v>
      </c>
      <c r="H99" s="291"/>
      <c r="I99" s="291"/>
      <c r="J99" s="291"/>
      <c r="K99" s="373"/>
      <c r="L99" s="331"/>
      <c r="M99" s="332"/>
      <c r="N99" s="333"/>
      <c r="O99" s="333"/>
      <c r="P99" s="334"/>
      <c r="Q99" s="275">
        <f t="shared" ref="Q99:Q107" si="13">(K99*E99)</f>
        <v>0</v>
      </c>
      <c r="R99" s="280">
        <f t="shared" ref="R99:R104" si="14">K99*C99</f>
        <v>0</v>
      </c>
      <c r="U99" s="294">
        <f t="shared" ref="U99:U130" si="15">K99-L99</f>
        <v>0</v>
      </c>
    </row>
    <row r="100" spans="1:21" s="48" customFormat="1" ht="22.5" x14ac:dyDescent="0.25">
      <c r="A100" s="335">
        <v>391727</v>
      </c>
      <c r="B100" s="352" t="s">
        <v>143</v>
      </c>
      <c r="C100" s="85">
        <f>PV!C100</f>
        <v>0.1</v>
      </c>
      <c r="D100" s="44" t="str">
        <f t="shared" si="9"/>
        <v>h</v>
      </c>
      <c r="E100" s="43">
        <f>IF(D100="h",PV!E100,IF(D100="M",PV!G100,PV!I100))</f>
        <v>5.75</v>
      </c>
      <c r="F100" s="291">
        <v>26</v>
      </c>
      <c r="G100" s="291">
        <v>129</v>
      </c>
      <c r="H100" s="291"/>
      <c r="I100" s="291"/>
      <c r="J100" s="291"/>
      <c r="K100" s="373"/>
      <c r="L100" s="331"/>
      <c r="M100" s="332"/>
      <c r="N100" s="333"/>
      <c r="O100" s="333"/>
      <c r="P100" s="334"/>
      <c r="Q100" s="275">
        <f t="shared" si="13"/>
        <v>0</v>
      </c>
      <c r="R100" s="280">
        <f t="shared" si="14"/>
        <v>0</v>
      </c>
      <c r="U100" s="294">
        <f t="shared" si="15"/>
        <v>0</v>
      </c>
    </row>
    <row r="101" spans="1:21" s="48" customFormat="1" ht="22.5" x14ac:dyDescent="0.25">
      <c r="A101" s="379">
        <v>401769</v>
      </c>
      <c r="B101" s="352" t="s">
        <v>299</v>
      </c>
      <c r="C101" s="85">
        <f>PV!C101</f>
        <v>0.1</v>
      </c>
      <c r="D101" s="44" t="str">
        <f t="shared" si="9"/>
        <v>h</v>
      </c>
      <c r="E101" s="43">
        <f>IF(D101="h",PV!E101,IF(D101="M",PV!G101,PV!I101))</f>
        <v>4.75</v>
      </c>
      <c r="F101" s="291">
        <v>30</v>
      </c>
      <c r="G101" s="291">
        <v>37</v>
      </c>
      <c r="H101" s="291"/>
      <c r="I101" s="291"/>
      <c r="J101" s="291"/>
      <c r="K101" s="373"/>
      <c r="L101" s="331"/>
      <c r="M101" s="332"/>
      <c r="N101" s="333"/>
      <c r="O101" s="333"/>
      <c r="P101" s="334"/>
      <c r="Q101" s="275">
        <f t="shared" si="13"/>
        <v>0</v>
      </c>
      <c r="R101" s="280">
        <f t="shared" si="14"/>
        <v>0</v>
      </c>
      <c r="U101" s="294">
        <f t="shared" si="15"/>
        <v>0</v>
      </c>
    </row>
    <row r="102" spans="1:21" s="25" customFormat="1" ht="22.5" x14ac:dyDescent="0.25">
      <c r="A102" s="379">
        <v>915518</v>
      </c>
      <c r="B102" s="352" t="s">
        <v>145</v>
      </c>
      <c r="C102" s="85">
        <f>PV!C102</f>
        <v>0.1</v>
      </c>
      <c r="D102" s="44" t="str">
        <f t="shared" si="9"/>
        <v>h</v>
      </c>
      <c r="E102" s="43">
        <f>IF(D102="h",PV!E102,IF(D102="M",PV!G102,PV!I102))</f>
        <v>5.75</v>
      </c>
      <c r="F102" s="291">
        <v>9</v>
      </c>
      <c r="G102" s="291">
        <v>19</v>
      </c>
      <c r="H102" s="291"/>
      <c r="I102" s="291"/>
      <c r="J102" s="291"/>
      <c r="K102" s="373"/>
      <c r="L102" s="331"/>
      <c r="M102" s="332"/>
      <c r="N102" s="333"/>
      <c r="O102" s="333"/>
      <c r="P102" s="334"/>
      <c r="Q102" s="275">
        <f t="shared" si="13"/>
        <v>0</v>
      </c>
      <c r="R102" s="280">
        <f t="shared" si="14"/>
        <v>0</v>
      </c>
      <c r="U102" s="294">
        <f t="shared" si="15"/>
        <v>0</v>
      </c>
    </row>
    <row r="103" spans="1:21" ht="22.5" x14ac:dyDescent="0.2">
      <c r="A103" s="380">
        <v>915523</v>
      </c>
      <c r="B103" s="354" t="s">
        <v>146</v>
      </c>
      <c r="C103" s="85">
        <f>PV!C103</f>
        <v>0.1</v>
      </c>
      <c r="D103" s="44" t="str">
        <f t="shared" si="9"/>
        <v>h</v>
      </c>
      <c r="E103" s="43">
        <f>IF(D103="h",PV!E103,IF(D103="M",PV!G103,PV!I103))</f>
        <v>5.25</v>
      </c>
      <c r="F103" s="291">
        <v>2</v>
      </c>
      <c r="G103" s="291">
        <v>0</v>
      </c>
      <c r="H103" s="291"/>
      <c r="I103" s="291"/>
      <c r="J103" s="291"/>
      <c r="K103" s="373"/>
      <c r="L103" s="331"/>
      <c r="M103" s="332"/>
      <c r="N103" s="333"/>
      <c r="O103" s="333"/>
      <c r="P103" s="334"/>
      <c r="Q103" s="275">
        <f t="shared" si="13"/>
        <v>0</v>
      </c>
      <c r="R103" s="280">
        <f t="shared" si="14"/>
        <v>0</v>
      </c>
      <c r="U103" s="294">
        <f t="shared" si="15"/>
        <v>0</v>
      </c>
    </row>
    <row r="104" spans="1:21" s="25" customFormat="1" ht="22.5" x14ac:dyDescent="0.25">
      <c r="A104" s="385">
        <v>391721</v>
      </c>
      <c r="B104" s="357" t="s">
        <v>147</v>
      </c>
      <c r="C104" s="85">
        <f>PV!C104</f>
        <v>0.1</v>
      </c>
      <c r="D104" s="44" t="str">
        <f t="shared" si="9"/>
        <v>h</v>
      </c>
      <c r="E104" s="43">
        <f>IF(D104="h",PV!E104,IF(D104="M",PV!G104,PV!I104))</f>
        <v>3.75</v>
      </c>
      <c r="F104" s="291">
        <v>32</v>
      </c>
      <c r="G104" s="291">
        <v>59</v>
      </c>
      <c r="H104" s="291"/>
      <c r="I104" s="291"/>
      <c r="J104" s="291"/>
      <c r="K104" s="373"/>
      <c r="L104" s="331"/>
      <c r="M104" s="332"/>
      <c r="N104" s="333"/>
      <c r="O104" s="333"/>
      <c r="P104" s="334"/>
      <c r="Q104" s="275">
        <f t="shared" si="13"/>
        <v>0</v>
      </c>
      <c r="R104" s="280">
        <f t="shared" si="14"/>
        <v>0</v>
      </c>
      <c r="U104" s="294">
        <f t="shared" si="15"/>
        <v>0</v>
      </c>
    </row>
    <row r="105" spans="1:21" s="25" customFormat="1" ht="0.6" customHeight="1" x14ac:dyDescent="0.25">
      <c r="A105" s="382"/>
      <c r="B105" s="353"/>
      <c r="C105" s="85">
        <f>PV!C105</f>
        <v>0</v>
      </c>
      <c r="D105" s="44" t="str">
        <f t="shared" si="9"/>
        <v>h</v>
      </c>
      <c r="E105" s="43">
        <f>IF(D105="h",PV!E105,IF(D105="M",PV!G105,PV!I105))</f>
        <v>0</v>
      </c>
      <c r="F105" s="291">
        <v>0</v>
      </c>
      <c r="G105" s="291">
        <v>0</v>
      </c>
      <c r="H105" s="291"/>
      <c r="I105" s="291"/>
      <c r="J105" s="291"/>
      <c r="K105" s="373"/>
      <c r="L105" s="331"/>
      <c r="M105" s="332"/>
      <c r="N105" s="333"/>
      <c r="O105" s="333"/>
      <c r="P105" s="334"/>
      <c r="Q105" s="275">
        <f t="shared" si="13"/>
        <v>0</v>
      </c>
      <c r="R105" s="318">
        <f>SUM(R99:R104)</f>
        <v>0</v>
      </c>
      <c r="U105" s="294">
        <f t="shared" si="15"/>
        <v>0</v>
      </c>
    </row>
    <row r="106" spans="1:21" ht="18.75" customHeight="1" x14ac:dyDescent="0.2">
      <c r="A106" s="381">
        <v>391717</v>
      </c>
      <c r="B106" s="338" t="s">
        <v>294</v>
      </c>
      <c r="C106" s="85">
        <f>PV!C106</f>
        <v>1.2</v>
      </c>
      <c r="D106" s="44" t="str">
        <f t="shared" si="9"/>
        <v>h</v>
      </c>
      <c r="E106" s="43">
        <f>IF(D106="h",PV!E106,IF(D106="M",PV!G106,PV!I106))</f>
        <v>4.25</v>
      </c>
      <c r="F106" s="291">
        <v>24</v>
      </c>
      <c r="G106" s="291">
        <v>44</v>
      </c>
      <c r="H106" s="291"/>
      <c r="I106" s="291"/>
      <c r="J106" s="291"/>
      <c r="K106" s="373"/>
      <c r="L106" s="331"/>
      <c r="M106" s="332"/>
      <c r="N106" s="333"/>
      <c r="O106" s="333"/>
      <c r="P106" s="334"/>
      <c r="Q106" s="275">
        <f t="shared" si="13"/>
        <v>0</v>
      </c>
      <c r="R106" s="280">
        <f>K106*C106</f>
        <v>0</v>
      </c>
      <c r="U106" s="294">
        <f t="shared" si="15"/>
        <v>0</v>
      </c>
    </row>
    <row r="107" spans="1:21" ht="22.5" x14ac:dyDescent="0.2">
      <c r="A107" s="381">
        <v>438604</v>
      </c>
      <c r="B107" s="338" t="s">
        <v>295</v>
      </c>
      <c r="C107" s="85">
        <f>PV!C107</f>
        <v>0.6</v>
      </c>
      <c r="D107" s="44" t="str">
        <f t="shared" si="9"/>
        <v>h</v>
      </c>
      <c r="E107" s="43">
        <f>IF(D107="h",PV!E107,IF(D107="M",PV!G107,PV!I107))</f>
        <v>3.25</v>
      </c>
      <c r="F107" s="291">
        <v>0</v>
      </c>
      <c r="G107" s="291">
        <v>18</v>
      </c>
      <c r="H107" s="291"/>
      <c r="I107" s="291"/>
      <c r="J107" s="291"/>
      <c r="K107" s="373"/>
      <c r="L107" s="331"/>
      <c r="M107" s="332"/>
      <c r="N107" s="333"/>
      <c r="O107" s="333"/>
      <c r="P107" s="334"/>
      <c r="Q107" s="275">
        <f t="shared" si="13"/>
        <v>0</v>
      </c>
      <c r="R107" s="280">
        <f>K107*C107</f>
        <v>0</v>
      </c>
      <c r="U107" s="294">
        <f t="shared" si="15"/>
        <v>0</v>
      </c>
    </row>
    <row r="108" spans="1:21" s="25" customFormat="1" ht="0.6" customHeight="1" x14ac:dyDescent="0.15">
      <c r="A108" s="335"/>
      <c r="B108" s="343"/>
      <c r="C108" s="85">
        <f>PV!C108</f>
        <v>0</v>
      </c>
      <c r="D108" s="44" t="str">
        <f t="shared" si="9"/>
        <v>h</v>
      </c>
      <c r="E108" s="43">
        <f>IF(D108="h",PV!E108,IF(D108="M",PV!G108,PV!I108))</f>
        <v>0</v>
      </c>
      <c r="F108" s="291">
        <v>0</v>
      </c>
      <c r="G108" s="291">
        <v>0</v>
      </c>
      <c r="H108" s="291"/>
      <c r="I108" s="291"/>
      <c r="J108" s="291"/>
      <c r="K108" s="373"/>
      <c r="L108" s="331"/>
      <c r="M108" s="332"/>
      <c r="N108" s="333"/>
      <c r="O108" s="333"/>
      <c r="P108" s="334"/>
      <c r="Q108" s="275"/>
      <c r="R108" s="281">
        <f>SUM(R106:R107)</f>
        <v>0</v>
      </c>
      <c r="U108" s="294">
        <f t="shared" si="15"/>
        <v>0</v>
      </c>
    </row>
    <row r="109" spans="1:21" s="25" customFormat="1" ht="22.5" x14ac:dyDescent="0.25">
      <c r="A109" s="381">
        <v>1008122</v>
      </c>
      <c r="B109" s="346" t="s">
        <v>165</v>
      </c>
      <c r="C109" s="85">
        <f>PV!C109</f>
        <v>0.3</v>
      </c>
      <c r="D109" s="44" t="str">
        <f t="shared" si="9"/>
        <v>h</v>
      </c>
      <c r="E109" s="43">
        <f>IF(D109="h",PV!E109,IF(D109="M",PV!G109,PV!I109))</f>
        <v>4</v>
      </c>
      <c r="F109" s="291">
        <v>19</v>
      </c>
      <c r="G109" s="291">
        <v>14</v>
      </c>
      <c r="H109" s="291"/>
      <c r="I109" s="291"/>
      <c r="J109" s="291"/>
      <c r="K109" s="373"/>
      <c r="L109" s="331"/>
      <c r="M109" s="332"/>
      <c r="N109" s="333"/>
      <c r="O109" s="333"/>
      <c r="P109" s="334"/>
      <c r="Q109" s="275">
        <f>(K109*E109)</f>
        <v>0</v>
      </c>
      <c r="R109" s="280">
        <f>K109*C109</f>
        <v>0</v>
      </c>
      <c r="U109" s="294">
        <f t="shared" si="15"/>
        <v>0</v>
      </c>
    </row>
    <row r="110" spans="1:21" s="25" customFormat="1" ht="22.5" x14ac:dyDescent="0.25">
      <c r="A110" s="381">
        <v>1008124</v>
      </c>
      <c r="B110" s="346" t="s">
        <v>166</v>
      </c>
      <c r="C110" s="85">
        <f>PV!C110</f>
        <v>0.3</v>
      </c>
      <c r="D110" s="44" t="str">
        <f t="shared" si="9"/>
        <v>h</v>
      </c>
      <c r="E110" s="43">
        <f>IF(D110="h",PV!E110,IF(D110="M",PV!G110,PV!I110))</f>
        <v>5</v>
      </c>
      <c r="F110" s="291">
        <v>29</v>
      </c>
      <c r="G110" s="291">
        <v>24</v>
      </c>
      <c r="H110" s="291"/>
      <c r="I110" s="291"/>
      <c r="J110" s="291"/>
      <c r="K110" s="373"/>
      <c r="L110" s="331"/>
      <c r="M110" s="332"/>
      <c r="N110" s="333"/>
      <c r="O110" s="333"/>
      <c r="P110" s="334"/>
      <c r="Q110" s="275">
        <f>(K110*E110)</f>
        <v>0</v>
      </c>
      <c r="R110" s="280">
        <f>K110*C110</f>
        <v>0</v>
      </c>
      <c r="U110" s="294">
        <f t="shared" si="15"/>
        <v>0</v>
      </c>
    </row>
    <row r="111" spans="1:21" s="25" customFormat="1" ht="22.5" x14ac:dyDescent="0.25">
      <c r="A111" s="381">
        <v>1007683</v>
      </c>
      <c r="B111" s="346" t="s">
        <v>167</v>
      </c>
      <c r="C111" s="85">
        <f>PV!C111</f>
        <v>0.3</v>
      </c>
      <c r="D111" s="44" t="str">
        <f t="shared" si="9"/>
        <v>h</v>
      </c>
      <c r="E111" s="43">
        <f>IF(D111="h",PV!E111,IF(D111="M",PV!G111,PV!I111))</f>
        <v>1.5</v>
      </c>
      <c r="F111" s="291">
        <v>110</v>
      </c>
      <c r="G111" s="291">
        <v>1017.72</v>
      </c>
      <c r="H111" s="291"/>
      <c r="I111" s="291"/>
      <c r="J111" s="291"/>
      <c r="K111" s="373"/>
      <c r="L111" s="331"/>
      <c r="M111" s="332"/>
      <c r="N111" s="333"/>
      <c r="O111" s="333"/>
      <c r="P111" s="334"/>
      <c r="Q111" s="275">
        <f>(K111*E111)</f>
        <v>0</v>
      </c>
      <c r="R111" s="280">
        <f>K111*C111</f>
        <v>0</v>
      </c>
      <c r="U111" s="294">
        <f t="shared" si="15"/>
        <v>0</v>
      </c>
    </row>
    <row r="112" spans="1:21" s="25" customFormat="1" ht="22.5" x14ac:dyDescent="0.25">
      <c r="A112" s="381">
        <v>1008123</v>
      </c>
      <c r="B112" s="346" t="s">
        <v>168</v>
      </c>
      <c r="C112" s="85">
        <f>PV!C112</f>
        <v>0.3</v>
      </c>
      <c r="D112" s="44" t="str">
        <f t="shared" si="9"/>
        <v>h</v>
      </c>
      <c r="E112" s="43">
        <f>IF(D112="h",PV!E112,IF(D112="M",PV!G112,PV!I112))</f>
        <v>3</v>
      </c>
      <c r="F112" s="291">
        <v>11</v>
      </c>
      <c r="G112" s="291">
        <v>27</v>
      </c>
      <c r="H112" s="291"/>
      <c r="I112" s="291"/>
      <c r="J112" s="291"/>
      <c r="K112" s="373"/>
      <c r="L112" s="331"/>
      <c r="M112" s="332"/>
      <c r="N112" s="333"/>
      <c r="O112" s="333"/>
      <c r="P112" s="334"/>
      <c r="Q112" s="275">
        <f>(K112*E112)</f>
        <v>0</v>
      </c>
      <c r="R112" s="280">
        <f>K112*C112</f>
        <v>0</v>
      </c>
      <c r="U112" s="294">
        <f t="shared" si="15"/>
        <v>0</v>
      </c>
    </row>
    <row r="113" spans="1:21" s="25" customFormat="1" ht="22.5" x14ac:dyDescent="0.2">
      <c r="A113" s="382"/>
      <c r="B113" s="343"/>
      <c r="C113" s="85">
        <f>PV!C113</f>
        <v>0</v>
      </c>
      <c r="D113" s="44" t="str">
        <f t="shared" si="9"/>
        <v>h</v>
      </c>
      <c r="E113" s="43">
        <f>IF(D113="h",PV!E113,IF(D113="M",PV!G113,PV!I113))</f>
        <v>0</v>
      </c>
      <c r="F113" s="291">
        <v>0</v>
      </c>
      <c r="G113" s="291">
        <v>0</v>
      </c>
      <c r="H113" s="291"/>
      <c r="I113" s="291"/>
      <c r="J113" s="291"/>
      <c r="K113" s="373"/>
      <c r="L113" s="331"/>
      <c r="M113" s="332"/>
      <c r="N113" s="333"/>
      <c r="O113" s="333"/>
      <c r="P113" s="334"/>
      <c r="Q113" s="275"/>
      <c r="R113" s="281">
        <f>SUM(R109:R112)</f>
        <v>0</v>
      </c>
      <c r="U113" s="294">
        <f t="shared" si="15"/>
        <v>0</v>
      </c>
    </row>
    <row r="114" spans="1:21" ht="22.5" x14ac:dyDescent="0.25">
      <c r="A114" s="381">
        <v>949835</v>
      </c>
      <c r="B114" s="346" t="s">
        <v>179</v>
      </c>
      <c r="C114" s="85">
        <f>PV!C114</f>
        <v>0.24</v>
      </c>
      <c r="D114" s="44" t="str">
        <f t="shared" si="9"/>
        <v>h</v>
      </c>
      <c r="E114" s="43">
        <f>IF(D114="h",PV!E114,IF(D114="M",PV!G114,PV!I114))</f>
        <v>5.95</v>
      </c>
      <c r="F114" s="291">
        <v>0</v>
      </c>
      <c r="G114" s="291">
        <v>0</v>
      </c>
      <c r="H114" s="291"/>
      <c r="I114" s="291"/>
      <c r="J114" s="291"/>
      <c r="K114" s="373"/>
      <c r="L114" s="331"/>
      <c r="M114" s="332"/>
      <c r="N114" s="333"/>
      <c r="O114" s="333"/>
      <c r="P114" s="334"/>
      <c r="Q114" s="275">
        <f>(K114*E114)</f>
        <v>0</v>
      </c>
      <c r="R114" s="280">
        <f>K114*C114</f>
        <v>0</v>
      </c>
      <c r="U114" s="294">
        <f t="shared" si="15"/>
        <v>0</v>
      </c>
    </row>
    <row r="115" spans="1:21" ht="22.5" x14ac:dyDescent="0.2">
      <c r="A115" s="380"/>
      <c r="B115" s="358"/>
      <c r="C115" s="85">
        <f>PV!C115</f>
        <v>0</v>
      </c>
      <c r="D115" s="44" t="str">
        <f t="shared" si="9"/>
        <v>h</v>
      </c>
      <c r="E115" s="43">
        <f>IF(D115="h",PV!E115,IF(D115="M",PV!G115,PV!I115))</f>
        <v>0</v>
      </c>
      <c r="F115" s="291">
        <v>0</v>
      </c>
      <c r="G115" s="291">
        <v>0</v>
      </c>
      <c r="H115" s="291"/>
      <c r="I115" s="291"/>
      <c r="J115" s="291"/>
      <c r="K115" s="373"/>
      <c r="L115" s="331"/>
      <c r="M115" s="332"/>
      <c r="N115" s="333"/>
      <c r="O115" s="333"/>
      <c r="P115" s="334"/>
      <c r="Q115" s="278"/>
      <c r="R115" s="281">
        <f>SUM(R114:R114)</f>
        <v>0</v>
      </c>
      <c r="U115" s="294">
        <f t="shared" si="15"/>
        <v>0</v>
      </c>
    </row>
    <row r="116" spans="1:21" ht="22.5" x14ac:dyDescent="0.25">
      <c r="A116" s="381">
        <v>65916</v>
      </c>
      <c r="B116" s="359" t="s">
        <v>171</v>
      </c>
      <c r="C116" s="85">
        <f>PV!C116</f>
        <v>0.42</v>
      </c>
      <c r="D116" s="44" t="str">
        <f t="shared" si="9"/>
        <v>h</v>
      </c>
      <c r="E116" s="43">
        <f>IF(D116="h",PV!E116,IF(D116="M",PV!G116,PV!I116))</f>
        <v>11.95</v>
      </c>
      <c r="F116" s="291">
        <v>1</v>
      </c>
      <c r="G116" s="291">
        <v>1</v>
      </c>
      <c r="H116" s="291"/>
      <c r="I116" s="291"/>
      <c r="J116" s="291"/>
      <c r="K116" s="373"/>
      <c r="L116" s="331"/>
      <c r="M116" s="332"/>
      <c r="N116" s="333"/>
      <c r="O116" s="333"/>
      <c r="P116" s="334"/>
      <c r="Q116" s="275">
        <f>(K116*E116)</f>
        <v>0</v>
      </c>
      <c r="R116" s="280">
        <f>K116*C116</f>
        <v>0</v>
      </c>
      <c r="U116" s="294">
        <f t="shared" si="15"/>
        <v>0</v>
      </c>
    </row>
    <row r="117" spans="1:21" s="25" customFormat="1" ht="22.5" x14ac:dyDescent="0.25">
      <c r="A117" s="381">
        <v>65898</v>
      </c>
      <c r="B117" s="359" t="s">
        <v>172</v>
      </c>
      <c r="C117" s="85">
        <f>PV!C117</f>
        <v>0.42</v>
      </c>
      <c r="D117" s="44" t="str">
        <f t="shared" si="9"/>
        <v>h</v>
      </c>
      <c r="E117" s="43">
        <f>IF(D117="h",PV!E117,IF(D117="M",PV!G117,PV!I117))</f>
        <v>12.95</v>
      </c>
      <c r="F117" s="291">
        <v>1</v>
      </c>
      <c r="G117" s="291">
        <v>1</v>
      </c>
      <c r="H117" s="291"/>
      <c r="I117" s="291"/>
      <c r="J117" s="291"/>
      <c r="K117" s="373"/>
      <c r="L117" s="331"/>
      <c r="M117" s="332"/>
      <c r="N117" s="333"/>
      <c r="O117" s="333"/>
      <c r="P117" s="334"/>
      <c r="Q117" s="275">
        <f>(K117*E117)</f>
        <v>0</v>
      </c>
      <c r="R117" s="280">
        <f>K117*C117</f>
        <v>0</v>
      </c>
      <c r="U117" s="294">
        <f t="shared" si="15"/>
        <v>0</v>
      </c>
    </row>
    <row r="118" spans="1:21" s="25" customFormat="1" ht="22.5" x14ac:dyDescent="0.25">
      <c r="A118" s="381">
        <v>811956</v>
      </c>
      <c r="B118" s="359" t="s">
        <v>173</v>
      </c>
      <c r="C118" s="85">
        <f>PV!C118</f>
        <v>1.2</v>
      </c>
      <c r="D118" s="44" t="str">
        <f t="shared" si="9"/>
        <v>h</v>
      </c>
      <c r="E118" s="43">
        <f>IF(D118="h",PV!E118,IF(D118="M",PV!G118,PV!I118))</f>
        <v>29.75</v>
      </c>
      <c r="F118" s="291">
        <v>0</v>
      </c>
      <c r="G118" s="291">
        <v>0</v>
      </c>
      <c r="H118" s="291"/>
      <c r="I118" s="291"/>
      <c r="J118" s="291"/>
      <c r="K118" s="373"/>
      <c r="L118" s="331"/>
      <c r="M118" s="332"/>
      <c r="N118" s="333"/>
      <c r="O118" s="333"/>
      <c r="P118" s="334"/>
      <c r="Q118" s="275">
        <f>(K118*E118)</f>
        <v>0</v>
      </c>
      <c r="R118" s="280">
        <f>K118*C118</f>
        <v>0</v>
      </c>
      <c r="U118" s="294">
        <f t="shared" si="15"/>
        <v>0</v>
      </c>
    </row>
    <row r="119" spans="1:21" s="25" customFormat="1" ht="22.5" x14ac:dyDescent="0.25">
      <c r="A119" s="381">
        <v>445249</v>
      </c>
      <c r="B119" s="359" t="s">
        <v>174</v>
      </c>
      <c r="C119" s="85">
        <f>PV!C119</f>
        <v>0.35</v>
      </c>
      <c r="D119" s="44" t="str">
        <f t="shared" si="9"/>
        <v>h</v>
      </c>
      <c r="E119" s="43">
        <f>IF(D119="h",PV!E119,IF(D119="M",PV!G119,PV!I119))</f>
        <v>8.9</v>
      </c>
      <c r="F119" s="291">
        <v>4</v>
      </c>
      <c r="G119" s="291">
        <v>4</v>
      </c>
      <c r="H119" s="291"/>
      <c r="I119" s="291"/>
      <c r="J119" s="291"/>
      <c r="K119" s="373"/>
      <c r="L119" s="331"/>
      <c r="M119" s="332"/>
      <c r="N119" s="333"/>
      <c r="O119" s="333"/>
      <c r="P119" s="334"/>
      <c r="Q119" s="275">
        <f>(K119*E119)</f>
        <v>0</v>
      </c>
      <c r="R119" s="280">
        <f>K119*C119</f>
        <v>0</v>
      </c>
      <c r="U119" s="294">
        <f t="shared" si="15"/>
        <v>0</v>
      </c>
    </row>
    <row r="120" spans="1:21" ht="22.5" x14ac:dyDescent="0.25">
      <c r="A120" s="381">
        <v>65922</v>
      </c>
      <c r="B120" s="359" t="s">
        <v>74</v>
      </c>
      <c r="C120" s="85">
        <f>PV!C120</f>
        <v>0.35</v>
      </c>
      <c r="D120" s="44" t="str">
        <f t="shared" si="9"/>
        <v>h</v>
      </c>
      <c r="E120" s="43">
        <f>IF(D120="h",PV!E120,IF(D120="M",PV!G120,PV!I120))</f>
        <v>8.6999999999999993</v>
      </c>
      <c r="F120" s="291">
        <v>3</v>
      </c>
      <c r="G120" s="291">
        <v>3</v>
      </c>
      <c r="H120" s="291"/>
      <c r="I120" s="291"/>
      <c r="J120" s="291"/>
      <c r="K120" s="373"/>
      <c r="L120" s="331"/>
      <c r="M120" s="332"/>
      <c r="N120" s="333"/>
      <c r="O120" s="333"/>
      <c r="P120" s="334"/>
      <c r="Q120" s="275">
        <f>(K120*E120)</f>
        <v>0</v>
      </c>
      <c r="R120" s="280">
        <f>K120*C120</f>
        <v>0</v>
      </c>
      <c r="U120" s="294">
        <f t="shared" si="15"/>
        <v>0</v>
      </c>
    </row>
    <row r="121" spans="1:21" ht="22.5" x14ac:dyDescent="0.2">
      <c r="A121" s="380"/>
      <c r="B121" s="358"/>
      <c r="C121" s="85">
        <f>PV!C121</f>
        <v>0</v>
      </c>
      <c r="D121" s="44" t="str">
        <f t="shared" si="9"/>
        <v>h</v>
      </c>
      <c r="E121" s="43">
        <f>IF(D121="h",PV!E121,IF(D121="M",PV!G121,PV!I121))</f>
        <v>0</v>
      </c>
      <c r="F121" s="291">
        <v>0</v>
      </c>
      <c r="G121" s="291">
        <v>0</v>
      </c>
      <c r="H121" s="291"/>
      <c r="I121" s="291"/>
      <c r="J121" s="291"/>
      <c r="K121" s="373"/>
      <c r="L121" s="331"/>
      <c r="M121" s="332"/>
      <c r="N121" s="333"/>
      <c r="O121" s="333"/>
      <c r="P121" s="334"/>
      <c r="Q121" s="278"/>
      <c r="R121" s="281">
        <f>SUM(R116:R120)</f>
        <v>0</v>
      </c>
      <c r="S121" s="21">
        <f>K122*10</f>
        <v>0</v>
      </c>
      <c r="T121" s="21" t="s">
        <v>189</v>
      </c>
      <c r="U121" s="294">
        <f t="shared" si="15"/>
        <v>0</v>
      </c>
    </row>
    <row r="122" spans="1:21" ht="22.5" x14ac:dyDescent="0.2">
      <c r="A122" s="380">
        <v>1126414</v>
      </c>
      <c r="B122" s="358" t="s">
        <v>189</v>
      </c>
      <c r="C122" s="85">
        <f>PV!C122</f>
        <v>0.45</v>
      </c>
      <c r="D122" s="44" t="str">
        <f t="shared" si="9"/>
        <v>h</v>
      </c>
      <c r="E122" s="43">
        <f>IF(D122="h",PV!E122,IF(D122="M",PV!G122,PV!I122))</f>
        <v>11.25</v>
      </c>
      <c r="F122" s="291">
        <v>2</v>
      </c>
      <c r="G122" s="291">
        <v>0</v>
      </c>
      <c r="H122" s="291"/>
      <c r="I122" s="291"/>
      <c r="J122" s="291"/>
      <c r="K122" s="373"/>
      <c r="L122" s="331"/>
      <c r="M122" s="332"/>
      <c r="N122" s="333"/>
      <c r="O122" s="333"/>
      <c r="P122" s="334"/>
      <c r="Q122" s="275">
        <f t="shared" ref="Q122:Q152" si="16">(K122*E122)</f>
        <v>0</v>
      </c>
      <c r="R122" s="286">
        <f t="shared" ref="R122:R152" si="17">K122*C122</f>
        <v>0</v>
      </c>
      <c r="S122" s="21">
        <f>(K123*2)+(K124*5)+(K125*8)+(K138*4)+K137</f>
        <v>0</v>
      </c>
      <c r="T122" s="21" t="s">
        <v>99</v>
      </c>
      <c r="U122" s="294">
        <f t="shared" si="15"/>
        <v>0</v>
      </c>
    </row>
    <row r="123" spans="1:21" s="25" customFormat="1" ht="20.100000000000001" customHeight="1" x14ac:dyDescent="0.25">
      <c r="A123" s="335">
        <v>65842</v>
      </c>
      <c r="B123" s="360" t="s">
        <v>55</v>
      </c>
      <c r="C123" s="85">
        <f>PV!C123</f>
        <v>0.16</v>
      </c>
      <c r="D123" s="44" t="str">
        <f t="shared" si="9"/>
        <v>h</v>
      </c>
      <c r="E123" s="43">
        <f>IF(D123="h",PV!E123,IF(D123="M",PV!G123,PV!I123))</f>
        <v>5.5</v>
      </c>
      <c r="F123" s="291">
        <v>23</v>
      </c>
      <c r="G123" s="291">
        <v>18</v>
      </c>
      <c r="H123" s="291"/>
      <c r="I123" s="291"/>
      <c r="J123" s="291"/>
      <c r="K123" s="373"/>
      <c r="L123" s="331"/>
      <c r="M123" s="332"/>
      <c r="N123" s="333"/>
      <c r="O123" s="333"/>
      <c r="P123" s="334"/>
      <c r="Q123" s="275">
        <f t="shared" si="16"/>
        <v>0</v>
      </c>
      <c r="R123" s="286">
        <f t="shared" si="17"/>
        <v>0</v>
      </c>
      <c r="S123" s="25">
        <f>(K127*2)+(K128*5)+(K129*8)+(K138*4)+K137</f>
        <v>0</v>
      </c>
      <c r="T123" s="25" t="s">
        <v>100</v>
      </c>
      <c r="U123" s="294">
        <f t="shared" si="15"/>
        <v>0</v>
      </c>
    </row>
    <row r="124" spans="1:21" s="25" customFormat="1" ht="20.100000000000001" customHeight="1" x14ac:dyDescent="0.25">
      <c r="A124" s="335">
        <v>65902</v>
      </c>
      <c r="B124" s="360" t="s">
        <v>57</v>
      </c>
      <c r="C124" s="85">
        <f>PV!C124</f>
        <v>0.4</v>
      </c>
      <c r="D124" s="44" t="str">
        <f t="shared" si="9"/>
        <v>h</v>
      </c>
      <c r="E124" s="43">
        <f>IF(D124="h",PV!E124,IF(D124="M",PV!G124,PV!I124))</f>
        <v>10.5</v>
      </c>
      <c r="F124" s="291">
        <v>25</v>
      </c>
      <c r="G124" s="291">
        <v>0</v>
      </c>
      <c r="H124" s="291"/>
      <c r="I124" s="291"/>
      <c r="J124" s="291"/>
      <c r="K124" s="373"/>
      <c r="L124" s="331"/>
      <c r="M124" s="332"/>
      <c r="N124" s="333"/>
      <c r="O124" s="333"/>
      <c r="P124" s="334"/>
      <c r="Q124" s="275">
        <f t="shared" si="16"/>
        <v>0</v>
      </c>
      <c r="R124" s="286">
        <f t="shared" si="17"/>
        <v>0</v>
      </c>
      <c r="S124" s="25">
        <f>(K131*2)+(K132*5)+(K133*8)</f>
        <v>0</v>
      </c>
      <c r="T124" s="25" t="s">
        <v>101</v>
      </c>
      <c r="U124" s="294">
        <f t="shared" si="15"/>
        <v>0</v>
      </c>
    </row>
    <row r="125" spans="1:21" s="25" customFormat="1" ht="20.100000000000001" customHeight="1" x14ac:dyDescent="0.25">
      <c r="A125" s="335">
        <v>905815</v>
      </c>
      <c r="B125" s="360" t="s">
        <v>182</v>
      </c>
      <c r="C125" s="85">
        <f>PV!C125</f>
        <v>0.64</v>
      </c>
      <c r="D125" s="44" t="str">
        <f t="shared" si="9"/>
        <v>h</v>
      </c>
      <c r="E125" s="43">
        <f>IF(D125="h",PV!E125,IF(D125="M",PV!G125,PV!I125))</f>
        <v>15.55</v>
      </c>
      <c r="F125" s="291">
        <v>10</v>
      </c>
      <c r="G125" s="291">
        <v>116</v>
      </c>
      <c r="H125" s="291"/>
      <c r="I125" s="291"/>
      <c r="J125" s="291"/>
      <c r="K125" s="373"/>
      <c r="L125" s="331"/>
      <c r="M125" s="332"/>
      <c r="N125" s="333"/>
      <c r="O125" s="333"/>
      <c r="P125" s="334"/>
      <c r="Q125" s="275">
        <f t="shared" si="16"/>
        <v>0</v>
      </c>
      <c r="R125" s="286">
        <f t="shared" si="17"/>
        <v>0</v>
      </c>
      <c r="S125" s="25">
        <f>(K134*2)+(K135*5)+(K136*8)</f>
        <v>0</v>
      </c>
      <c r="T125" s="25" t="s">
        <v>209</v>
      </c>
      <c r="U125" s="294">
        <f t="shared" si="15"/>
        <v>0</v>
      </c>
    </row>
    <row r="126" spans="1:21" s="25" customFormat="1" ht="20.100000000000001" customHeight="1" x14ac:dyDescent="0.25">
      <c r="A126" s="335">
        <v>1126415</v>
      </c>
      <c r="B126" s="360" t="s">
        <v>296</v>
      </c>
      <c r="C126" s="85">
        <f>PV!C126</f>
        <v>0.45</v>
      </c>
      <c r="D126" s="44" t="str">
        <f t="shared" si="9"/>
        <v>h</v>
      </c>
      <c r="E126" s="43">
        <f>IF(D126="h",PV!E126,IF(D126="M",PV!G126,PV!I126))</f>
        <v>12.5</v>
      </c>
      <c r="F126" s="291">
        <v>0</v>
      </c>
      <c r="G126" s="291">
        <v>0</v>
      </c>
      <c r="H126" s="291"/>
      <c r="I126" s="291"/>
      <c r="J126" s="291"/>
      <c r="K126" s="373"/>
      <c r="L126" s="331"/>
      <c r="M126" s="332"/>
      <c r="N126" s="333"/>
      <c r="O126" s="333"/>
      <c r="P126" s="334"/>
      <c r="Q126" s="275">
        <f t="shared" si="16"/>
        <v>0</v>
      </c>
      <c r="R126" s="286">
        <f t="shared" si="17"/>
        <v>0</v>
      </c>
      <c r="S126" s="25">
        <f>(K126*10)</f>
        <v>0</v>
      </c>
      <c r="T126" s="25" t="s">
        <v>212</v>
      </c>
      <c r="U126" s="294">
        <f t="shared" si="15"/>
        <v>0</v>
      </c>
    </row>
    <row r="127" spans="1:21" s="25" customFormat="1" ht="20.100000000000001" customHeight="1" x14ac:dyDescent="0.25">
      <c r="A127" s="335">
        <v>65907</v>
      </c>
      <c r="B127" s="360" t="s">
        <v>261</v>
      </c>
      <c r="C127" s="85">
        <f>PV!C127</f>
        <v>0.16</v>
      </c>
      <c r="D127" s="44" t="str">
        <f t="shared" si="9"/>
        <v>h</v>
      </c>
      <c r="E127" s="43">
        <f>IF(D127="h",PV!E127,IF(D127="M",PV!G127,PV!I127))</f>
        <v>6.25</v>
      </c>
      <c r="F127" s="291">
        <v>12</v>
      </c>
      <c r="G127" s="291">
        <v>26</v>
      </c>
      <c r="H127" s="291"/>
      <c r="I127" s="291"/>
      <c r="J127" s="291"/>
      <c r="K127" s="373"/>
      <c r="L127" s="331"/>
      <c r="M127" s="332"/>
      <c r="N127" s="333"/>
      <c r="O127" s="333"/>
      <c r="P127" s="334"/>
      <c r="Q127" s="275">
        <f t="shared" si="16"/>
        <v>0</v>
      </c>
      <c r="R127" s="286">
        <f t="shared" si="17"/>
        <v>0</v>
      </c>
      <c r="S127" s="25">
        <f>(K130*10)</f>
        <v>0</v>
      </c>
      <c r="T127" s="25" t="s">
        <v>213</v>
      </c>
      <c r="U127" s="294">
        <f t="shared" si="15"/>
        <v>0</v>
      </c>
    </row>
    <row r="128" spans="1:21" s="25" customFormat="1" ht="20.100000000000001" customHeight="1" x14ac:dyDescent="0.25">
      <c r="A128" s="335">
        <v>65909</v>
      </c>
      <c r="B128" s="360" t="s">
        <v>262</v>
      </c>
      <c r="C128" s="85">
        <f>PV!C128</f>
        <v>0.4</v>
      </c>
      <c r="D128" s="44" t="str">
        <f t="shared" si="9"/>
        <v>h</v>
      </c>
      <c r="E128" s="43">
        <f>IF(D128="h",PV!E128,IF(D128="M",PV!G128,PV!I128))</f>
        <v>11.75</v>
      </c>
      <c r="F128" s="291">
        <v>11</v>
      </c>
      <c r="G128" s="291">
        <v>0</v>
      </c>
      <c r="H128" s="291"/>
      <c r="I128" s="291"/>
      <c r="J128" s="291"/>
      <c r="K128" s="373"/>
      <c r="L128" s="331"/>
      <c r="M128" s="332"/>
      <c r="N128" s="333"/>
      <c r="O128" s="333"/>
      <c r="P128" s="334"/>
      <c r="Q128" s="275">
        <f t="shared" si="16"/>
        <v>0</v>
      </c>
      <c r="R128" s="286">
        <f t="shared" si="17"/>
        <v>0</v>
      </c>
      <c r="S128" s="25">
        <f>K139*10</f>
        <v>0</v>
      </c>
      <c r="T128" s="25" t="s">
        <v>214</v>
      </c>
      <c r="U128" s="294">
        <f t="shared" si="15"/>
        <v>0</v>
      </c>
    </row>
    <row r="129" spans="1:21" s="25" customFormat="1" ht="20.100000000000001" customHeight="1" x14ac:dyDescent="0.25">
      <c r="A129" s="335">
        <v>905816</v>
      </c>
      <c r="B129" s="360" t="s">
        <v>184</v>
      </c>
      <c r="C129" s="85">
        <f>PV!C129</f>
        <v>0.64</v>
      </c>
      <c r="D129" s="44" t="str">
        <f t="shared" si="9"/>
        <v>h</v>
      </c>
      <c r="E129" s="43">
        <f>IF(D129="h",PV!E129,IF(D129="M",PV!G129,PV!I129))</f>
        <v>15.85</v>
      </c>
      <c r="F129" s="291">
        <v>79</v>
      </c>
      <c r="G129" s="291">
        <v>21</v>
      </c>
      <c r="H129" s="291"/>
      <c r="I129" s="291"/>
      <c r="J129" s="291"/>
      <c r="K129" s="373"/>
      <c r="L129" s="331"/>
      <c r="M129" s="332"/>
      <c r="N129" s="333"/>
      <c r="O129" s="333"/>
      <c r="P129" s="334"/>
      <c r="Q129" s="275">
        <f t="shared" si="16"/>
        <v>0</v>
      </c>
      <c r="R129" s="286">
        <f t="shared" si="17"/>
        <v>0</v>
      </c>
      <c r="S129" s="25">
        <f>(K148*2)+(K149*4)</f>
        <v>0</v>
      </c>
      <c r="T129" s="25" t="s">
        <v>219</v>
      </c>
      <c r="U129" s="294">
        <f t="shared" si="15"/>
        <v>0</v>
      </c>
    </row>
    <row r="130" spans="1:21" s="25" customFormat="1" ht="20.100000000000001" customHeight="1" x14ac:dyDescent="0.25">
      <c r="A130" s="335">
        <v>1126416</v>
      </c>
      <c r="B130" s="360" t="s">
        <v>188</v>
      </c>
      <c r="C130" s="85">
        <f>PV!C130</f>
        <v>0.45</v>
      </c>
      <c r="D130" s="44" t="str">
        <f t="shared" si="9"/>
        <v>h</v>
      </c>
      <c r="E130" s="43">
        <f>IF(D130="h",PV!E130,IF(D130="M",PV!G130,PV!I130))</f>
        <v>12.5</v>
      </c>
      <c r="F130" s="291">
        <v>0</v>
      </c>
      <c r="G130" s="291">
        <v>0</v>
      </c>
      <c r="H130" s="291"/>
      <c r="I130" s="291"/>
      <c r="J130" s="291"/>
      <c r="K130" s="373"/>
      <c r="L130" s="331"/>
      <c r="M130" s="332"/>
      <c r="N130" s="333"/>
      <c r="O130" s="333"/>
      <c r="P130" s="334"/>
      <c r="Q130" s="275">
        <f t="shared" si="16"/>
        <v>0</v>
      </c>
      <c r="R130" s="286">
        <f t="shared" si="17"/>
        <v>0</v>
      </c>
      <c r="T130" s="25" t="s">
        <v>215</v>
      </c>
      <c r="U130" s="294">
        <f t="shared" si="15"/>
        <v>0</v>
      </c>
    </row>
    <row r="131" spans="1:21" s="25" customFormat="1" ht="20.100000000000001" customHeight="1" x14ac:dyDescent="0.25">
      <c r="A131" s="335">
        <v>65920</v>
      </c>
      <c r="B131" s="360" t="s">
        <v>60</v>
      </c>
      <c r="C131" s="85">
        <f>PV!C131</f>
        <v>0.16</v>
      </c>
      <c r="D131" s="44" t="str">
        <f t="shared" si="9"/>
        <v>h</v>
      </c>
      <c r="E131" s="43">
        <f>IF(D131="h",PV!E131,IF(D131="M",PV!G131,PV!I131))</f>
        <v>6.75</v>
      </c>
      <c r="F131" s="291">
        <v>20</v>
      </c>
      <c r="G131" s="291">
        <v>18</v>
      </c>
      <c r="H131" s="291"/>
      <c r="I131" s="291"/>
      <c r="J131" s="291"/>
      <c r="K131" s="373"/>
      <c r="L131" s="331"/>
      <c r="M131" s="332"/>
      <c r="N131" s="333"/>
      <c r="O131" s="333"/>
      <c r="P131" s="334"/>
      <c r="Q131" s="275">
        <f t="shared" si="16"/>
        <v>0</v>
      </c>
      <c r="R131" s="286">
        <f t="shared" si="17"/>
        <v>0</v>
      </c>
      <c r="S131" s="25">
        <f>K152</f>
        <v>0</v>
      </c>
      <c r="T131" s="25" t="s">
        <v>216</v>
      </c>
      <c r="U131" s="294">
        <f t="shared" ref="U131:U153" si="18">K131-L131</f>
        <v>0</v>
      </c>
    </row>
    <row r="132" spans="1:21" s="25" customFormat="1" ht="19.5" customHeight="1" x14ac:dyDescent="0.25">
      <c r="A132" s="335">
        <v>65921</v>
      </c>
      <c r="B132" s="360" t="s">
        <v>61</v>
      </c>
      <c r="C132" s="85">
        <f>PV!C132</f>
        <v>0.4</v>
      </c>
      <c r="D132" s="44" t="str">
        <f t="shared" si="9"/>
        <v>h</v>
      </c>
      <c r="E132" s="43">
        <f>IF(D132="h",PV!E132,IF(D132="M",PV!G132,PV!I132))</f>
        <v>12.75</v>
      </c>
      <c r="F132" s="291">
        <v>16</v>
      </c>
      <c r="G132" s="291">
        <v>0</v>
      </c>
      <c r="H132" s="291"/>
      <c r="I132" s="291"/>
      <c r="J132" s="291"/>
      <c r="K132" s="373"/>
      <c r="L132" s="331"/>
      <c r="M132" s="332"/>
      <c r="N132" s="333"/>
      <c r="O132" s="333"/>
      <c r="P132" s="334"/>
      <c r="Q132" s="275">
        <f t="shared" si="16"/>
        <v>0</v>
      </c>
      <c r="R132" s="286">
        <f t="shared" si="17"/>
        <v>0</v>
      </c>
      <c r="S132" s="25" t="e">
        <f>#REF!</f>
        <v>#REF!</v>
      </c>
      <c r="T132" s="25" t="s">
        <v>217</v>
      </c>
      <c r="U132" s="294">
        <f t="shared" si="18"/>
        <v>0</v>
      </c>
    </row>
    <row r="133" spans="1:21" s="25" customFormat="1" ht="19.5" customHeight="1" x14ac:dyDescent="0.25">
      <c r="A133" s="335">
        <v>905817</v>
      </c>
      <c r="B133" s="360" t="s">
        <v>185</v>
      </c>
      <c r="C133" s="85">
        <f>PV!C133</f>
        <v>0.64</v>
      </c>
      <c r="D133" s="44" t="str">
        <f t="shared" si="9"/>
        <v>h</v>
      </c>
      <c r="E133" s="43">
        <f>IF(D133="h",PV!E133,IF(D133="M",PV!G133,PV!I133))</f>
        <v>17.95</v>
      </c>
      <c r="F133" s="291">
        <v>12</v>
      </c>
      <c r="G133" s="291">
        <v>23</v>
      </c>
      <c r="H133" s="291"/>
      <c r="I133" s="291"/>
      <c r="J133" s="291"/>
      <c r="K133" s="373"/>
      <c r="L133" s="331"/>
      <c r="M133" s="332"/>
      <c r="N133" s="333"/>
      <c r="O133" s="333"/>
      <c r="P133" s="334"/>
      <c r="Q133" s="275">
        <f t="shared" si="16"/>
        <v>0</v>
      </c>
      <c r="R133" s="286">
        <f t="shared" si="17"/>
        <v>0</v>
      </c>
      <c r="S133" s="25" t="e">
        <f>#REF!</f>
        <v>#REF!</v>
      </c>
      <c r="T133" s="25" t="s">
        <v>218</v>
      </c>
      <c r="U133" s="294">
        <f t="shared" si="18"/>
        <v>0</v>
      </c>
    </row>
    <row r="134" spans="1:21" s="25" customFormat="1" ht="20.100000000000001" customHeight="1" x14ac:dyDescent="0.25">
      <c r="A134" s="335">
        <v>65918</v>
      </c>
      <c r="B134" s="360" t="s">
        <v>62</v>
      </c>
      <c r="C134" s="85">
        <f>PV!C134</f>
        <v>0.16</v>
      </c>
      <c r="D134" s="44" t="str">
        <f t="shared" si="9"/>
        <v>h</v>
      </c>
      <c r="E134" s="43">
        <f>IF(D134="h",PV!E134,IF(D134="M",PV!G134,PV!I134))</f>
        <v>5.95</v>
      </c>
      <c r="F134" s="291">
        <v>4</v>
      </c>
      <c r="G134" s="291">
        <v>7</v>
      </c>
      <c r="H134" s="291"/>
      <c r="I134" s="291"/>
      <c r="J134" s="291"/>
      <c r="K134" s="373"/>
      <c r="L134" s="331"/>
      <c r="M134" s="332"/>
      <c r="N134" s="333"/>
      <c r="O134" s="333"/>
      <c r="P134" s="334"/>
      <c r="Q134" s="275">
        <f t="shared" si="16"/>
        <v>0</v>
      </c>
      <c r="R134" s="286">
        <f t="shared" si="17"/>
        <v>0</v>
      </c>
      <c r="S134" s="25">
        <f>(K144*2)+(K145*5)</f>
        <v>0</v>
      </c>
      <c r="T134" s="25" t="s">
        <v>220</v>
      </c>
      <c r="U134" s="294">
        <f t="shared" si="18"/>
        <v>0</v>
      </c>
    </row>
    <row r="135" spans="1:21" s="25" customFormat="1" ht="20.100000000000001" customHeight="1" x14ac:dyDescent="0.25">
      <c r="A135" s="335">
        <v>65919</v>
      </c>
      <c r="B135" s="360" t="s">
        <v>63</v>
      </c>
      <c r="C135" s="85">
        <f>PV!C135</f>
        <v>0.64</v>
      </c>
      <c r="D135" s="44" t="str">
        <f t="shared" ref="D135:D152" si="19">D134</f>
        <v>h</v>
      </c>
      <c r="E135" s="43">
        <f>IF(D135="h",PV!E135,IF(D135="M",PV!G135,PV!I135))</f>
        <v>10.65</v>
      </c>
      <c r="F135" s="291">
        <v>7</v>
      </c>
      <c r="G135" s="291">
        <v>0</v>
      </c>
      <c r="H135" s="291"/>
      <c r="I135" s="291"/>
      <c r="J135" s="291"/>
      <c r="K135" s="373"/>
      <c r="L135" s="331"/>
      <c r="M135" s="332"/>
      <c r="N135" s="333"/>
      <c r="O135" s="333"/>
      <c r="P135" s="334"/>
      <c r="Q135" s="275">
        <f t="shared" si="16"/>
        <v>0</v>
      </c>
      <c r="R135" s="286">
        <f t="shared" si="17"/>
        <v>0</v>
      </c>
      <c r="S135" s="25">
        <f>(K146*2)+(K147*5)</f>
        <v>0</v>
      </c>
      <c r="T135" s="25" t="s">
        <v>222</v>
      </c>
      <c r="U135" s="294">
        <f t="shared" si="18"/>
        <v>0</v>
      </c>
    </row>
    <row r="136" spans="1:21" s="25" customFormat="1" ht="20.100000000000001" customHeight="1" x14ac:dyDescent="0.25">
      <c r="A136" s="335">
        <v>905818</v>
      </c>
      <c r="B136" s="360" t="s">
        <v>186</v>
      </c>
      <c r="C136" s="85">
        <f>PV!C136</f>
        <v>0.64</v>
      </c>
      <c r="D136" s="44" t="str">
        <f t="shared" si="19"/>
        <v>h</v>
      </c>
      <c r="E136" s="43">
        <f>IF(D136="h",PV!E136,IF(D136="M",PV!G136,PV!I136))</f>
        <v>15.9</v>
      </c>
      <c r="F136" s="291">
        <v>3</v>
      </c>
      <c r="G136" s="291">
        <v>7</v>
      </c>
      <c r="H136" s="291"/>
      <c r="I136" s="291"/>
      <c r="J136" s="291"/>
      <c r="K136" s="373"/>
      <c r="L136" s="331"/>
      <c r="M136" s="332"/>
      <c r="N136" s="333"/>
      <c r="O136" s="333"/>
      <c r="P136" s="334"/>
      <c r="Q136" s="275">
        <f t="shared" si="16"/>
        <v>0</v>
      </c>
      <c r="R136" s="286">
        <f t="shared" si="17"/>
        <v>0</v>
      </c>
      <c r="S136" s="25">
        <f>(K140*2)+(K141*4)</f>
        <v>0</v>
      </c>
      <c r="T136" s="25" t="s">
        <v>221</v>
      </c>
      <c r="U136" s="294">
        <f t="shared" si="18"/>
        <v>0</v>
      </c>
    </row>
    <row r="137" spans="1:21" s="25" customFormat="1" ht="20.100000000000001" customHeight="1" x14ac:dyDescent="0.25">
      <c r="A137" s="335">
        <v>970195</v>
      </c>
      <c r="B137" s="360" t="s">
        <v>298</v>
      </c>
      <c r="C137" s="85">
        <f>PV!C137</f>
        <v>0.16</v>
      </c>
      <c r="D137" s="44" t="str">
        <f t="shared" si="19"/>
        <v>h</v>
      </c>
      <c r="E137" s="43">
        <f>IF(D137="h",PV!E137,IF(D137="M",PV!G137,PV!I137))</f>
        <v>5.75</v>
      </c>
      <c r="F137" s="291">
        <v>0</v>
      </c>
      <c r="G137" s="291">
        <v>0</v>
      </c>
      <c r="H137" s="291"/>
      <c r="I137" s="291"/>
      <c r="J137" s="291"/>
      <c r="K137" s="373"/>
      <c r="L137" s="331"/>
      <c r="M137" s="332"/>
      <c r="N137" s="333"/>
      <c r="O137" s="333"/>
      <c r="P137" s="334"/>
      <c r="Q137" s="275">
        <f t="shared" si="16"/>
        <v>0</v>
      </c>
      <c r="R137" s="286">
        <f t="shared" si="17"/>
        <v>0</v>
      </c>
      <c r="S137" s="25">
        <f>K119*5</f>
        <v>0</v>
      </c>
      <c r="T137" s="25" t="s">
        <v>174</v>
      </c>
      <c r="U137" s="294">
        <f t="shared" si="18"/>
        <v>0</v>
      </c>
    </row>
    <row r="138" spans="1:21" s="25" customFormat="1" ht="20.100000000000001" customHeight="1" x14ac:dyDescent="0.25">
      <c r="A138" s="335">
        <v>905820</v>
      </c>
      <c r="B138" s="360" t="s">
        <v>297</v>
      </c>
      <c r="C138" s="85">
        <f>PV!C138</f>
        <v>0.64</v>
      </c>
      <c r="D138" s="44" t="str">
        <f t="shared" si="19"/>
        <v>h</v>
      </c>
      <c r="E138" s="43">
        <f>IF(D138="h",PV!E138,IF(D138="M",PV!G138,PV!I138))</f>
        <v>15.55</v>
      </c>
      <c r="F138" s="291">
        <v>5</v>
      </c>
      <c r="G138" s="291">
        <v>6</v>
      </c>
      <c r="H138" s="291"/>
      <c r="I138" s="291"/>
      <c r="J138" s="291"/>
      <c r="K138" s="373"/>
      <c r="L138" s="331"/>
      <c r="M138" s="332"/>
      <c r="N138" s="333"/>
      <c r="O138" s="333"/>
      <c r="P138" s="334"/>
      <c r="Q138" s="275">
        <f t="shared" si="16"/>
        <v>0</v>
      </c>
      <c r="R138" s="286">
        <f t="shared" si="17"/>
        <v>0</v>
      </c>
      <c r="S138" s="25">
        <f>K120*5</f>
        <v>0</v>
      </c>
      <c r="T138" s="25" t="s">
        <v>74</v>
      </c>
      <c r="U138" s="294">
        <f t="shared" si="18"/>
        <v>0</v>
      </c>
    </row>
    <row r="139" spans="1:21" s="25" customFormat="1" ht="19.5" customHeight="1" x14ac:dyDescent="0.25">
      <c r="A139" s="335">
        <v>1126417</v>
      </c>
      <c r="B139" s="360" t="s">
        <v>187</v>
      </c>
      <c r="C139" s="85">
        <f>PV!C139</f>
        <v>0.45</v>
      </c>
      <c r="D139" s="44" t="str">
        <f t="shared" si="19"/>
        <v>h</v>
      </c>
      <c r="E139" s="43">
        <f>IF(D139="h",PV!E139,IF(D139="M",PV!G139,PV!I139))</f>
        <v>9.9499999999999993</v>
      </c>
      <c r="F139" s="291">
        <v>0</v>
      </c>
      <c r="G139" s="291">
        <v>0</v>
      </c>
      <c r="H139" s="291"/>
      <c r="I139" s="291"/>
      <c r="J139" s="291"/>
      <c r="K139" s="373"/>
      <c r="L139" s="331"/>
      <c r="M139" s="332"/>
      <c r="N139" s="333"/>
      <c r="O139" s="333"/>
      <c r="P139" s="334"/>
      <c r="Q139" s="275">
        <f t="shared" si="16"/>
        <v>0</v>
      </c>
      <c r="R139" s="286">
        <f t="shared" si="17"/>
        <v>0</v>
      </c>
      <c r="U139" s="294">
        <f t="shared" si="18"/>
        <v>0</v>
      </c>
    </row>
    <row r="140" spans="1:21" s="25" customFormat="1" ht="20.100000000000001" customHeight="1" x14ac:dyDescent="0.25">
      <c r="A140" s="335">
        <v>67493</v>
      </c>
      <c r="B140" s="360" t="s">
        <v>64</v>
      </c>
      <c r="C140" s="85">
        <f>PV!C140</f>
        <v>0.16</v>
      </c>
      <c r="D140" s="44" t="str">
        <f t="shared" si="19"/>
        <v>h</v>
      </c>
      <c r="E140" s="43">
        <f>IF(D140="h",PV!E140,IF(D140="M",PV!G140,PV!I140))</f>
        <v>6.75</v>
      </c>
      <c r="F140" s="291">
        <v>11</v>
      </c>
      <c r="G140" s="291">
        <v>6</v>
      </c>
      <c r="H140" s="291"/>
      <c r="I140" s="291"/>
      <c r="J140" s="291"/>
      <c r="K140" s="373"/>
      <c r="L140" s="331"/>
      <c r="M140" s="332"/>
      <c r="N140" s="333"/>
      <c r="O140" s="333"/>
      <c r="P140" s="334"/>
      <c r="Q140" s="275">
        <f t="shared" si="16"/>
        <v>0</v>
      </c>
      <c r="R140" s="286">
        <f t="shared" si="17"/>
        <v>0</v>
      </c>
      <c r="U140" s="294">
        <f t="shared" si="18"/>
        <v>0</v>
      </c>
    </row>
    <row r="141" spans="1:21" s="25" customFormat="1" ht="18.75" customHeight="1" x14ac:dyDescent="0.25">
      <c r="A141" s="335">
        <v>65906</v>
      </c>
      <c r="B141" s="360" t="s">
        <v>65</v>
      </c>
      <c r="C141" s="85">
        <f>PV!C141</f>
        <v>0.24</v>
      </c>
      <c r="D141" s="44" t="str">
        <f t="shared" si="19"/>
        <v>h</v>
      </c>
      <c r="E141" s="43">
        <f>IF(D141="h",PV!E141,IF(D141="M",PV!G141,PV!I141))</f>
        <v>12.5</v>
      </c>
      <c r="F141" s="291">
        <v>12</v>
      </c>
      <c r="G141" s="291">
        <v>12</v>
      </c>
      <c r="H141" s="291"/>
      <c r="I141" s="291"/>
      <c r="J141" s="291"/>
      <c r="K141" s="373"/>
      <c r="L141" s="331"/>
      <c r="M141" s="332"/>
      <c r="N141" s="333"/>
      <c r="O141" s="333"/>
      <c r="P141" s="334"/>
      <c r="Q141" s="275">
        <f t="shared" si="16"/>
        <v>0</v>
      </c>
      <c r="R141" s="286">
        <f t="shared" si="17"/>
        <v>0</v>
      </c>
      <c r="U141" s="294">
        <f t="shared" si="18"/>
        <v>0</v>
      </c>
    </row>
    <row r="142" spans="1:21" s="25" customFormat="1" ht="19.5" customHeight="1" x14ac:dyDescent="0.25">
      <c r="A142" s="335">
        <v>270422</v>
      </c>
      <c r="B142" s="360" t="s">
        <v>66</v>
      </c>
      <c r="C142" s="85">
        <f>PV!C142</f>
        <v>0.24</v>
      </c>
      <c r="D142" s="44" t="str">
        <f t="shared" si="19"/>
        <v>h</v>
      </c>
      <c r="E142" s="43">
        <f>IF(D142="h",PV!E142,IF(D142="M",PV!G142,PV!I142))</f>
        <v>5.95</v>
      </c>
      <c r="F142" s="291">
        <v>5</v>
      </c>
      <c r="G142" s="291">
        <v>11</v>
      </c>
      <c r="H142" s="291"/>
      <c r="I142" s="291"/>
      <c r="J142" s="291"/>
      <c r="K142" s="373"/>
      <c r="L142" s="331"/>
      <c r="M142" s="332"/>
      <c r="N142" s="333"/>
      <c r="O142" s="333"/>
      <c r="P142" s="334"/>
      <c r="Q142" s="275">
        <f t="shared" si="16"/>
        <v>0</v>
      </c>
      <c r="R142" s="286">
        <f t="shared" si="17"/>
        <v>0</v>
      </c>
      <c r="U142" s="294">
        <f t="shared" si="18"/>
        <v>0</v>
      </c>
    </row>
    <row r="143" spans="1:21" s="25" customFormat="1" ht="20.100000000000001" customHeight="1" x14ac:dyDescent="0.25">
      <c r="A143" s="335">
        <v>67778</v>
      </c>
      <c r="B143" s="360" t="s">
        <v>67</v>
      </c>
      <c r="C143" s="85">
        <f>PV!C143</f>
        <v>0.6</v>
      </c>
      <c r="D143" s="44" t="str">
        <f t="shared" si="19"/>
        <v>h</v>
      </c>
      <c r="E143" s="43">
        <f>IF(D143="h",PV!E143,IF(D143="M",PV!G143,PV!I143))</f>
        <v>10.95</v>
      </c>
      <c r="F143" s="291">
        <v>9</v>
      </c>
      <c r="G143" s="291">
        <v>0</v>
      </c>
      <c r="H143" s="291"/>
      <c r="I143" s="291"/>
      <c r="J143" s="291"/>
      <c r="K143" s="373"/>
      <c r="L143" s="331"/>
      <c r="M143" s="332"/>
      <c r="N143" s="333"/>
      <c r="O143" s="333"/>
      <c r="P143" s="334"/>
      <c r="Q143" s="275">
        <f t="shared" si="16"/>
        <v>0</v>
      </c>
      <c r="R143" s="286">
        <f t="shared" si="17"/>
        <v>0</v>
      </c>
      <c r="U143" s="294">
        <f t="shared" si="18"/>
        <v>0</v>
      </c>
    </row>
    <row r="144" spans="1:21" s="25" customFormat="1" ht="20.100000000000001" customHeight="1" x14ac:dyDescent="0.25">
      <c r="A144" s="335">
        <v>1039726</v>
      </c>
      <c r="B144" s="360" t="s">
        <v>193</v>
      </c>
      <c r="C144" s="85">
        <f>PV!C144</f>
        <v>0.24</v>
      </c>
      <c r="D144" s="44" t="str">
        <f t="shared" si="19"/>
        <v>h</v>
      </c>
      <c r="E144" s="43">
        <f>IF(D144="h",PV!E144,IF(D144="M",PV!G144,PV!I144))</f>
        <v>5.95</v>
      </c>
      <c r="F144" s="291">
        <v>2</v>
      </c>
      <c r="G144" s="291">
        <v>1</v>
      </c>
      <c r="H144" s="291"/>
      <c r="I144" s="291"/>
      <c r="J144" s="291"/>
      <c r="K144" s="373"/>
      <c r="L144" s="331"/>
      <c r="M144" s="332"/>
      <c r="N144" s="333"/>
      <c r="O144" s="333"/>
      <c r="P144" s="334"/>
      <c r="Q144" s="275">
        <f t="shared" si="16"/>
        <v>0</v>
      </c>
      <c r="R144" s="286">
        <f t="shared" si="17"/>
        <v>0</v>
      </c>
      <c r="U144" s="294">
        <f t="shared" si="18"/>
        <v>0</v>
      </c>
    </row>
    <row r="145" spans="1:21" s="25" customFormat="1" ht="20.100000000000001" customHeight="1" x14ac:dyDescent="0.25">
      <c r="A145" s="335">
        <v>1039725</v>
      </c>
      <c r="B145" s="360" t="s">
        <v>194</v>
      </c>
      <c r="C145" s="85">
        <f>PV!C145</f>
        <v>0.6</v>
      </c>
      <c r="D145" s="44" t="str">
        <f t="shared" si="19"/>
        <v>h</v>
      </c>
      <c r="E145" s="43">
        <f>IF(D145="h",PV!E145,IF(D145="M",PV!G145,PV!I145))</f>
        <v>10.95</v>
      </c>
      <c r="F145" s="291">
        <v>2</v>
      </c>
      <c r="G145" s="291">
        <v>0</v>
      </c>
      <c r="H145" s="291"/>
      <c r="I145" s="291"/>
      <c r="J145" s="291"/>
      <c r="K145" s="373"/>
      <c r="L145" s="331"/>
      <c r="M145" s="332"/>
      <c r="N145" s="333"/>
      <c r="O145" s="333"/>
      <c r="P145" s="334"/>
      <c r="Q145" s="275">
        <f t="shared" si="16"/>
        <v>0</v>
      </c>
      <c r="R145" s="286">
        <f t="shared" si="17"/>
        <v>0</v>
      </c>
      <c r="U145" s="294">
        <f t="shared" si="18"/>
        <v>0</v>
      </c>
    </row>
    <row r="146" spans="1:21" s="25" customFormat="1" ht="20.100000000000001" customHeight="1" x14ac:dyDescent="0.25">
      <c r="A146" s="335">
        <v>270418</v>
      </c>
      <c r="B146" s="360" t="s">
        <v>68</v>
      </c>
      <c r="C146" s="85">
        <f>PV!C146</f>
        <v>0.24</v>
      </c>
      <c r="D146" s="44" t="str">
        <f t="shared" si="19"/>
        <v>h</v>
      </c>
      <c r="E146" s="43">
        <f>IF(D146="h",PV!E146,IF(D146="M",PV!G146,PV!I146))</f>
        <v>6.25</v>
      </c>
      <c r="F146" s="291">
        <v>6</v>
      </c>
      <c r="G146" s="291">
        <v>14</v>
      </c>
      <c r="H146" s="291"/>
      <c r="I146" s="291"/>
      <c r="J146" s="291"/>
      <c r="K146" s="373"/>
      <c r="L146" s="331"/>
      <c r="M146" s="332"/>
      <c r="N146" s="333"/>
      <c r="O146" s="333"/>
      <c r="P146" s="334"/>
      <c r="Q146" s="275">
        <f t="shared" si="16"/>
        <v>0</v>
      </c>
      <c r="R146" s="286">
        <f t="shared" si="17"/>
        <v>0</v>
      </c>
      <c r="U146" s="294">
        <f t="shared" si="18"/>
        <v>0</v>
      </c>
    </row>
    <row r="147" spans="1:21" s="25" customFormat="1" ht="20.100000000000001" customHeight="1" x14ac:dyDescent="0.25">
      <c r="A147" s="335">
        <v>65912</v>
      </c>
      <c r="B147" s="360" t="s">
        <v>69</v>
      </c>
      <c r="C147" s="85">
        <f>PV!C147</f>
        <v>0.6</v>
      </c>
      <c r="D147" s="44" t="str">
        <f t="shared" si="19"/>
        <v>h</v>
      </c>
      <c r="E147" s="43">
        <f>IF(D147="h",PV!E147,IF(D147="M",PV!G147,PV!I147))</f>
        <v>11.45</v>
      </c>
      <c r="F147" s="291">
        <v>10</v>
      </c>
      <c r="G147" s="291">
        <v>0</v>
      </c>
      <c r="H147" s="291"/>
      <c r="I147" s="291"/>
      <c r="J147" s="291"/>
      <c r="K147" s="373"/>
      <c r="L147" s="331"/>
      <c r="M147" s="332"/>
      <c r="N147" s="333"/>
      <c r="O147" s="333"/>
      <c r="P147" s="334"/>
      <c r="Q147" s="275">
        <f t="shared" si="16"/>
        <v>0</v>
      </c>
      <c r="R147" s="286">
        <f t="shared" si="17"/>
        <v>0</v>
      </c>
      <c r="U147" s="294">
        <f t="shared" si="18"/>
        <v>0</v>
      </c>
    </row>
    <row r="148" spans="1:21" s="25" customFormat="1" ht="20.100000000000001" customHeight="1" x14ac:dyDescent="0.25">
      <c r="A148" s="335">
        <v>425024</v>
      </c>
      <c r="B148" s="360" t="s">
        <v>70</v>
      </c>
      <c r="C148" s="85">
        <f>PV!C148</f>
        <v>0.24</v>
      </c>
      <c r="D148" s="44" t="str">
        <f t="shared" si="19"/>
        <v>h</v>
      </c>
      <c r="E148" s="43">
        <f>IF(D148="h",PV!E148,IF(D148="M",PV!G148,PV!I148))</f>
        <v>9.4499999999999993</v>
      </c>
      <c r="F148" s="291">
        <v>6</v>
      </c>
      <c r="G148" s="291">
        <v>8</v>
      </c>
      <c r="H148" s="291"/>
      <c r="I148" s="291"/>
      <c r="J148" s="291"/>
      <c r="K148" s="373"/>
      <c r="L148" s="331"/>
      <c r="M148" s="332"/>
      <c r="N148" s="333"/>
      <c r="O148" s="333"/>
      <c r="P148" s="334"/>
      <c r="Q148" s="275">
        <f t="shared" si="16"/>
        <v>0</v>
      </c>
      <c r="R148" s="286">
        <f t="shared" si="17"/>
        <v>0</v>
      </c>
      <c r="U148" s="294">
        <f t="shared" si="18"/>
        <v>0</v>
      </c>
    </row>
    <row r="149" spans="1:21" s="25" customFormat="1" ht="20.100000000000001" customHeight="1" x14ac:dyDescent="0.25">
      <c r="A149" s="335">
        <v>294817</v>
      </c>
      <c r="B149" s="360" t="s">
        <v>71</v>
      </c>
      <c r="C149" s="85">
        <f>PV!C149</f>
        <v>0.6</v>
      </c>
      <c r="D149" s="44" t="str">
        <f t="shared" si="19"/>
        <v>h</v>
      </c>
      <c r="E149" s="43">
        <f>IF(D149="h",PV!E149,IF(D149="M",PV!G149,PV!I149))</f>
        <v>14.95</v>
      </c>
      <c r="F149" s="291">
        <v>2</v>
      </c>
      <c r="G149" s="291">
        <v>7</v>
      </c>
      <c r="H149" s="291"/>
      <c r="I149" s="291"/>
      <c r="J149" s="291"/>
      <c r="K149" s="373"/>
      <c r="L149" s="331"/>
      <c r="M149" s="332"/>
      <c r="N149" s="333"/>
      <c r="O149" s="333"/>
      <c r="P149" s="334"/>
      <c r="Q149" s="275">
        <f t="shared" si="16"/>
        <v>0</v>
      </c>
      <c r="R149" s="286">
        <f t="shared" si="17"/>
        <v>0</v>
      </c>
      <c r="U149" s="294">
        <f t="shared" si="18"/>
        <v>0</v>
      </c>
    </row>
    <row r="150" spans="1:21" s="25" customFormat="1" ht="20.100000000000001" customHeight="1" x14ac:dyDescent="0.25">
      <c r="A150" s="335">
        <v>441991</v>
      </c>
      <c r="B150" s="360" t="s">
        <v>72</v>
      </c>
      <c r="C150" s="85">
        <f>PV!C150</f>
        <v>0.16</v>
      </c>
      <c r="D150" s="44" t="str">
        <f t="shared" si="19"/>
        <v>h</v>
      </c>
      <c r="E150" s="43">
        <f>IF(D150="h",PV!E150,IF(D150="M",PV!G150,PV!I150))</f>
        <v>4.75</v>
      </c>
      <c r="F150" s="291">
        <v>8</v>
      </c>
      <c r="G150" s="291">
        <v>14</v>
      </c>
      <c r="H150" s="291"/>
      <c r="I150" s="291"/>
      <c r="J150" s="291"/>
      <c r="K150" s="373"/>
      <c r="L150" s="331"/>
      <c r="M150" s="332"/>
      <c r="N150" s="333"/>
      <c r="O150" s="333"/>
      <c r="P150" s="334"/>
      <c r="Q150" s="275">
        <f t="shared" si="16"/>
        <v>0</v>
      </c>
      <c r="R150" s="286">
        <f t="shared" si="17"/>
        <v>0</v>
      </c>
      <c r="U150" s="294">
        <f t="shared" si="18"/>
        <v>0</v>
      </c>
    </row>
    <row r="151" spans="1:21" s="25" customFormat="1" ht="20.100000000000001" customHeight="1" x14ac:dyDescent="0.25">
      <c r="A151" s="335">
        <v>65899</v>
      </c>
      <c r="B151" s="360" t="s">
        <v>73</v>
      </c>
      <c r="C151" s="85">
        <f>PV!C151</f>
        <v>0.32</v>
      </c>
      <c r="D151" s="44" t="str">
        <f t="shared" si="19"/>
        <v>h</v>
      </c>
      <c r="E151" s="43">
        <f>IF(D151="h",PV!E151,IF(D151="M",PV!G151,PV!I151))</f>
        <v>9.75</v>
      </c>
      <c r="F151" s="291">
        <v>10</v>
      </c>
      <c r="G151" s="291">
        <v>23</v>
      </c>
      <c r="H151" s="291"/>
      <c r="I151" s="291"/>
      <c r="J151" s="291"/>
      <c r="K151" s="373"/>
      <c r="L151" s="331"/>
      <c r="M151" s="332"/>
      <c r="N151" s="333"/>
      <c r="O151" s="333"/>
      <c r="P151" s="334"/>
      <c r="Q151" s="275">
        <f t="shared" si="16"/>
        <v>0</v>
      </c>
      <c r="R151" s="286">
        <f t="shared" si="17"/>
        <v>0</v>
      </c>
      <c r="U151" s="294">
        <f t="shared" si="18"/>
        <v>0</v>
      </c>
    </row>
    <row r="152" spans="1:21" s="25" customFormat="1" ht="20.100000000000001" customHeight="1" x14ac:dyDescent="0.25">
      <c r="A152" s="335">
        <v>65925</v>
      </c>
      <c r="B152" s="360" t="s">
        <v>75</v>
      </c>
      <c r="C152" s="85">
        <f>PV!C152</f>
        <v>0.72</v>
      </c>
      <c r="D152" s="44" t="str">
        <f t="shared" si="19"/>
        <v>h</v>
      </c>
      <c r="E152" s="43">
        <f>IF(D152="h",PV!E152,IF(D152="M",PV!G152,PV!I152))</f>
        <v>14.95</v>
      </c>
      <c r="F152" s="291">
        <v>0</v>
      </c>
      <c r="G152" s="291">
        <v>2</v>
      </c>
      <c r="H152" s="291"/>
      <c r="I152" s="291"/>
      <c r="J152" s="291"/>
      <c r="K152" s="373"/>
      <c r="L152" s="331"/>
      <c r="M152" s="332"/>
      <c r="N152" s="333"/>
      <c r="O152" s="333"/>
      <c r="P152" s="334"/>
      <c r="Q152" s="275">
        <f t="shared" si="16"/>
        <v>0</v>
      </c>
      <c r="R152" s="286">
        <f t="shared" si="17"/>
        <v>0</v>
      </c>
      <c r="U152" s="294">
        <f t="shared" si="18"/>
        <v>0</v>
      </c>
    </row>
    <row r="153" spans="1:21" s="25" customFormat="1" ht="20.100000000000001" customHeight="1" x14ac:dyDescent="0.25">
      <c r="A153" s="335"/>
      <c r="B153" s="360"/>
      <c r="C153" s="85"/>
      <c r="D153" s="44"/>
      <c r="E153" s="43"/>
      <c r="F153" s="291"/>
      <c r="G153" s="291"/>
      <c r="H153" s="291"/>
      <c r="I153" s="291"/>
      <c r="J153" s="291"/>
      <c r="K153" s="45"/>
      <c r="L153" s="331"/>
      <c r="M153" s="332"/>
      <c r="N153" s="333"/>
      <c r="O153" s="333"/>
      <c r="P153" s="334"/>
      <c r="Q153" s="278"/>
      <c r="R153" s="287">
        <f>SUM(R122:R152)</f>
        <v>0</v>
      </c>
      <c r="U153" s="294">
        <f t="shared" si="18"/>
        <v>0</v>
      </c>
    </row>
    <row r="154" spans="1:21" ht="11.25" customHeight="1" x14ac:dyDescent="0.2">
      <c r="A154" s="416"/>
      <c r="B154" s="416"/>
      <c r="C154" s="33"/>
      <c r="D154" s="47"/>
      <c r="E154" s="46"/>
      <c r="F154" s="292"/>
    </row>
    <row r="155" spans="1:21" ht="15" customHeight="1" x14ac:dyDescent="0.2">
      <c r="A155" s="416"/>
      <c r="B155" s="416"/>
      <c r="C155" s="33"/>
      <c r="D155" s="47"/>
      <c r="E155" s="46"/>
      <c r="F155" s="292"/>
    </row>
    <row r="156" spans="1:21" ht="15.75" customHeight="1" x14ac:dyDescent="0.2">
      <c r="A156" s="416"/>
      <c r="B156" s="416"/>
      <c r="C156" s="33"/>
      <c r="D156" s="47"/>
      <c r="E156" s="46"/>
      <c r="F156" s="292"/>
    </row>
    <row r="157" spans="1:21" ht="13.5" customHeight="1" x14ac:dyDescent="0.2">
      <c r="A157" s="416"/>
      <c r="B157" s="416"/>
      <c r="C157" s="33"/>
      <c r="D157" s="47"/>
      <c r="E157" s="46"/>
      <c r="F157" s="292"/>
    </row>
    <row r="158" spans="1:21" ht="15" customHeight="1" x14ac:dyDescent="0.2">
      <c r="A158" s="416"/>
      <c r="B158" s="416"/>
      <c r="C158" s="33"/>
      <c r="D158" s="47"/>
      <c r="E158" s="46"/>
      <c r="F158" s="292"/>
    </row>
    <row r="159" spans="1:21" ht="19.5" customHeight="1" x14ac:dyDescent="0.2">
      <c r="A159" s="375"/>
      <c r="B159" s="361"/>
      <c r="C159" s="33"/>
      <c r="D159" s="47"/>
      <c r="E159" s="46"/>
      <c r="F159" s="292"/>
    </row>
    <row r="160" spans="1:21" ht="21.75" customHeight="1" x14ac:dyDescent="0.2">
      <c r="A160" s="375"/>
      <c r="B160" s="361"/>
      <c r="C160" s="33"/>
      <c r="D160" s="47"/>
      <c r="E160" s="46"/>
      <c r="F160" s="292"/>
    </row>
    <row r="161" spans="1:18" ht="19.5" customHeight="1" x14ac:dyDescent="0.2">
      <c r="A161" s="375"/>
      <c r="B161" s="361"/>
      <c r="C161" s="33"/>
      <c r="D161" s="47"/>
      <c r="E161" s="46"/>
      <c r="F161" s="292"/>
    </row>
    <row r="162" spans="1:18" ht="19.5" x14ac:dyDescent="0.2">
      <c r="A162" s="375"/>
      <c r="B162" s="361"/>
      <c r="C162" s="33"/>
      <c r="D162" s="47"/>
      <c r="E162" s="46"/>
      <c r="F162" s="292"/>
    </row>
    <row r="163" spans="1:18" ht="11.25" customHeight="1" x14ac:dyDescent="0.2">
      <c r="A163" s="375"/>
      <c r="B163" s="362"/>
      <c r="C163" s="33"/>
      <c r="D163" s="33"/>
      <c r="E163" s="33"/>
      <c r="F163" s="292"/>
      <c r="Q163" s="49"/>
      <c r="R163" s="50"/>
    </row>
    <row r="164" spans="1:18" ht="15.75" customHeight="1" x14ac:dyDescent="0.2">
      <c r="A164" s="375"/>
      <c r="B164" s="362"/>
      <c r="C164" s="33"/>
      <c r="D164" s="33"/>
      <c r="E164" s="33"/>
      <c r="F164" s="292"/>
    </row>
  </sheetData>
  <sheetProtection password="C71F" sheet="1" objects="1" scenarios="1" formatCells="0"/>
  <mergeCells count="20">
    <mergeCell ref="A154:B154"/>
    <mergeCell ref="A155:B155"/>
    <mergeCell ref="A156:B156"/>
    <mergeCell ref="A157:B157"/>
    <mergeCell ref="A158:B158"/>
    <mergeCell ref="L1:P1"/>
    <mergeCell ref="B2:B3"/>
    <mergeCell ref="C2:C3"/>
    <mergeCell ref="D2:D3"/>
    <mergeCell ref="E2:E3"/>
    <mergeCell ref="F2:F3"/>
    <mergeCell ref="G2:G3"/>
    <mergeCell ref="K2:K3"/>
    <mergeCell ref="L2:L3"/>
    <mergeCell ref="Q2:Q3"/>
    <mergeCell ref="R2:R3"/>
    <mergeCell ref="M2:M3"/>
    <mergeCell ref="N2:N3"/>
    <mergeCell ref="O2:O3"/>
    <mergeCell ref="P2:P3"/>
  </mergeCells>
  <conditionalFormatting sqref="L4:P153">
    <cfRule type="cellIs" dxfId="0" priority="1" operator="lessThan">
      <formula>1</formula>
    </cfRule>
  </conditionalFormatting>
  <printOptions horizontalCentered="1"/>
  <pageMargins left="0" right="0" top="0.39370078740157499" bottom="0.59055118110236204" header="0.15748031496063" footer="0.15748031496063"/>
  <pageSetup paperSize="9" scale="70" fitToHeight="5" orientation="portrait" r:id="rId1"/>
  <headerFooter alignWithMargins="0">
    <oddFooter>&amp;Lécole boulangerie&amp;CPage &amp;P</oddFooter>
  </headerFooter>
  <rowBreaks count="2" manualBreakCount="2">
    <brk id="57" max="15" man="1"/>
    <brk id="112" max="15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7" tint="-0.249977111117893"/>
  </sheetPr>
  <dimension ref="A1:J182"/>
  <sheetViews>
    <sheetView showGridLines="0" zoomScaleNormal="100" workbookViewId="0">
      <selection activeCell="E18" sqref="E18"/>
    </sheetView>
  </sheetViews>
  <sheetFormatPr defaultColWidth="11.42578125" defaultRowHeight="12.75" x14ac:dyDescent="0.2"/>
  <cols>
    <col min="1" max="1" width="22.28515625" style="97" customWidth="1"/>
    <col min="2" max="2" width="12" style="97" bestFit="1" customWidth="1"/>
    <col min="3" max="3" width="4" style="97" bestFit="1" customWidth="1"/>
    <col min="4" max="4" width="3.85546875" style="97" customWidth="1"/>
    <col min="5" max="5" width="26.5703125" style="97" bestFit="1" customWidth="1"/>
    <col min="6" max="6" width="8.28515625" style="134" customWidth="1"/>
    <col min="7" max="7" width="10.42578125" style="135" customWidth="1"/>
    <col min="8" max="8" width="7" style="97" customWidth="1"/>
    <col min="9" max="9" width="4.28515625" style="97" customWidth="1"/>
    <col min="10" max="10" width="11.42578125" style="179"/>
    <col min="11" max="16384" width="11.42578125" style="97"/>
  </cols>
  <sheetData>
    <row r="1" spans="1:7" ht="15.75" x14ac:dyDescent="0.25">
      <c r="A1" s="51" t="str">
        <f>sunday!G1</f>
        <v>SUNDAY</v>
      </c>
      <c r="B1" s="52">
        <f>sunday!K1</f>
        <v>42463</v>
      </c>
    </row>
    <row r="2" spans="1:7" ht="18" x14ac:dyDescent="0.25">
      <c r="A2" s="177" t="s">
        <v>86</v>
      </c>
    </row>
    <row r="3" spans="1:7" ht="6" customHeight="1" x14ac:dyDescent="0.25">
      <c r="A3" s="136"/>
    </row>
    <row r="4" spans="1:7" ht="15.75" x14ac:dyDescent="0.25">
      <c r="A4" s="418" t="s">
        <v>0</v>
      </c>
      <c r="B4" s="418"/>
      <c r="C4" s="418"/>
      <c r="D4" s="418"/>
      <c r="E4" s="418"/>
      <c r="F4" s="53">
        <f>sunday!R24</f>
        <v>0</v>
      </c>
      <c r="G4" s="54" t="s">
        <v>87</v>
      </c>
    </row>
    <row r="5" spans="1:7" ht="13.5" customHeight="1" x14ac:dyDescent="0.25">
      <c r="A5" s="55" t="s">
        <v>88</v>
      </c>
      <c r="B5" s="137">
        <f>sunday!F1</f>
        <v>50</v>
      </c>
      <c r="C5" s="56"/>
      <c r="D5" s="57"/>
    </row>
    <row r="6" spans="1:7" ht="15.75" x14ac:dyDescent="0.25">
      <c r="A6" s="138" t="s">
        <v>89</v>
      </c>
      <c r="B6" s="139">
        <f>ROUNDDOWN(A7/B5,0)</f>
        <v>0</v>
      </c>
      <c r="C6" s="56"/>
      <c r="D6" s="57"/>
      <c r="E6" s="58" t="s">
        <v>90</v>
      </c>
    </row>
    <row r="7" spans="1:7" x14ac:dyDescent="0.2">
      <c r="A7" s="289">
        <f>B13*farine</f>
        <v>0</v>
      </c>
      <c r="B7" s="417" t="s">
        <v>91</v>
      </c>
      <c r="C7" s="417"/>
      <c r="D7" s="298"/>
      <c r="F7" s="417" t="s">
        <v>91</v>
      </c>
      <c r="G7" s="417"/>
    </row>
    <row r="8" spans="1:7" x14ac:dyDescent="0.2">
      <c r="A8" s="2" t="s">
        <v>2</v>
      </c>
      <c r="B8" s="140">
        <f>B5</f>
        <v>50</v>
      </c>
      <c r="C8" s="141" t="s">
        <v>87</v>
      </c>
      <c r="D8" s="96"/>
      <c r="E8" s="2" t="s">
        <v>2</v>
      </c>
      <c r="F8" s="72">
        <f>ROUNDUP(A7-(B6*B5),0)</f>
        <v>0</v>
      </c>
      <c r="G8" s="141" t="s">
        <v>87</v>
      </c>
    </row>
    <row r="9" spans="1:7" x14ac:dyDescent="0.2">
      <c r="A9" s="5" t="s">
        <v>3</v>
      </c>
      <c r="B9" s="142">
        <f>recipe!C5*P.sunday!B8</f>
        <v>30.5</v>
      </c>
      <c r="C9" s="143" t="s">
        <v>92</v>
      </c>
      <c r="D9" s="131"/>
      <c r="E9" s="5" t="s">
        <v>3</v>
      </c>
      <c r="F9" s="144">
        <f>recipe!C5*P.sunday!F8</f>
        <v>0</v>
      </c>
      <c r="G9" s="143" t="s">
        <v>92</v>
      </c>
    </row>
    <row r="10" spans="1:7" x14ac:dyDescent="0.2">
      <c r="A10" s="5" t="s">
        <v>4</v>
      </c>
      <c r="B10" s="145">
        <f>recipe!C6*P.sunday!B8</f>
        <v>1</v>
      </c>
      <c r="C10" s="146" t="s">
        <v>87</v>
      </c>
      <c r="D10" s="131"/>
      <c r="E10" s="5" t="s">
        <v>4</v>
      </c>
      <c r="F10" s="142">
        <f>ROUND(recipe!C6*P.sunday!F9,2)*1000</f>
        <v>0</v>
      </c>
      <c r="G10" s="146" t="s">
        <v>93</v>
      </c>
    </row>
    <row r="11" spans="1:7" x14ac:dyDescent="0.2">
      <c r="A11" s="5" t="s">
        <v>5</v>
      </c>
      <c r="B11" s="145">
        <f>recipe!C7*P.sunday!B8</f>
        <v>0.5</v>
      </c>
      <c r="C11" s="146" t="s">
        <v>87</v>
      </c>
      <c r="D11" s="131"/>
      <c r="E11" s="5" t="s">
        <v>5</v>
      </c>
      <c r="F11" s="142">
        <f>ROUND(recipe!C7*P.sunday!F8,2)*1000</f>
        <v>0</v>
      </c>
      <c r="G11" s="146" t="s">
        <v>93</v>
      </c>
    </row>
    <row r="12" spans="1:7" x14ac:dyDescent="0.2">
      <c r="A12" s="5" t="s">
        <v>6</v>
      </c>
      <c r="B12" s="142">
        <f>(recipe!C8*P.sunday!B8)*1000</f>
        <v>500</v>
      </c>
      <c r="C12" s="146" t="s">
        <v>94</v>
      </c>
      <c r="D12" s="131"/>
      <c r="E12" s="5" t="s">
        <v>6</v>
      </c>
      <c r="F12" s="142">
        <f>ROUND(recipe!C8*P.sunday!F8,2)*1000</f>
        <v>0</v>
      </c>
      <c r="G12" s="146" t="s">
        <v>94</v>
      </c>
    </row>
    <row r="13" spans="1:7" hidden="1" x14ac:dyDescent="0.2">
      <c r="A13" s="147"/>
      <c r="B13" s="134">
        <f>F4/recipe!B9</f>
        <v>0</v>
      </c>
      <c r="C13" s="135"/>
      <c r="D13" s="96"/>
    </row>
    <row r="14" spans="1:7" x14ac:dyDescent="0.2">
      <c r="A14" s="59"/>
      <c r="B14" s="60"/>
      <c r="C14" s="61"/>
      <c r="D14" s="96"/>
    </row>
    <row r="15" spans="1:7" ht="15.75" x14ac:dyDescent="0.25">
      <c r="A15" s="240" t="s">
        <v>1</v>
      </c>
      <c r="B15" s="53">
        <f>sunday!R42</f>
        <v>0</v>
      </c>
      <c r="C15" s="54" t="s">
        <v>87</v>
      </c>
      <c r="D15" s="96"/>
      <c r="E15" s="176" t="s">
        <v>232</v>
      </c>
      <c r="F15" s="67">
        <f>sunday!K38</f>
        <v>0</v>
      </c>
      <c r="G15" s="54" t="s">
        <v>233</v>
      </c>
    </row>
    <row r="16" spans="1:7" x14ac:dyDescent="0.2">
      <c r="B16" s="417" t="s">
        <v>91</v>
      </c>
      <c r="C16" s="417"/>
      <c r="D16" s="96"/>
      <c r="F16" s="417" t="s">
        <v>91</v>
      </c>
      <c r="G16" s="417"/>
    </row>
    <row r="17" spans="1:7" x14ac:dyDescent="0.2">
      <c r="A17" s="2" t="s">
        <v>2</v>
      </c>
      <c r="B17" s="149">
        <f>ROUND(ftf*P.sunday!B23,0)</f>
        <v>0</v>
      </c>
      <c r="C17" s="141" t="s">
        <v>87</v>
      </c>
      <c r="D17" s="96"/>
      <c r="E17" s="8" t="s">
        <v>234</v>
      </c>
      <c r="F17" s="250">
        <f>ROUND(F15*recipe!B136,1)</f>
        <v>0</v>
      </c>
      <c r="G17" s="70" t="s">
        <v>87</v>
      </c>
    </row>
    <row r="18" spans="1:7" x14ac:dyDescent="0.2">
      <c r="A18" s="5" t="s">
        <v>3</v>
      </c>
      <c r="B18" s="145">
        <f>ROUND(recipe!G5*P.sunday!B17,1)</f>
        <v>0</v>
      </c>
      <c r="C18" s="143" t="s">
        <v>92</v>
      </c>
      <c r="D18" s="96"/>
      <c r="E18" s="62" t="s">
        <v>200</v>
      </c>
      <c r="F18" s="251">
        <f>ROUND(F15*recipe!B137,1)*1000</f>
        <v>0</v>
      </c>
      <c r="G18" s="163" t="s">
        <v>94</v>
      </c>
    </row>
    <row r="19" spans="1:7" x14ac:dyDescent="0.2">
      <c r="A19" s="5" t="s">
        <v>4</v>
      </c>
      <c r="B19" s="142">
        <f>ROUND(recipe!G6*P.sunday!B17,2)*1000</f>
        <v>0</v>
      </c>
      <c r="C19" s="146" t="s">
        <v>94</v>
      </c>
      <c r="D19" s="96"/>
      <c r="F19" s="172"/>
      <c r="G19" s="148"/>
    </row>
    <row r="20" spans="1:7" x14ac:dyDescent="0.2">
      <c r="A20" s="5" t="s">
        <v>5</v>
      </c>
      <c r="B20" s="142">
        <f>ROUND(recipe!G7*P.sunday!B17,2)*1000</f>
        <v>0</v>
      </c>
      <c r="C20" s="146" t="s">
        <v>94</v>
      </c>
      <c r="D20" s="96"/>
    </row>
    <row r="21" spans="1:7" x14ac:dyDescent="0.2">
      <c r="A21" s="5" t="s">
        <v>195</v>
      </c>
      <c r="B21" s="95">
        <f>ROUND(recipe!G8*P.sunday!B17,1)</f>
        <v>0</v>
      </c>
      <c r="C21" s="150" t="s">
        <v>87</v>
      </c>
      <c r="D21" s="96"/>
    </row>
    <row r="22" spans="1:7" x14ac:dyDescent="0.2">
      <c r="A22" s="5"/>
      <c r="B22" s="151"/>
      <c r="C22" s="150"/>
      <c r="D22" s="96"/>
    </row>
    <row r="23" spans="1:7" hidden="1" x14ac:dyDescent="0.2">
      <c r="B23" s="134">
        <f>B15/recipe!F9</f>
        <v>0</v>
      </c>
      <c r="C23" s="148"/>
      <c r="D23" s="96"/>
    </row>
    <row r="24" spans="1:7" x14ac:dyDescent="0.2">
      <c r="A24" s="147"/>
      <c r="B24" s="134"/>
      <c r="C24" s="135"/>
      <c r="D24" s="96"/>
    </row>
    <row r="25" spans="1:7" ht="15.75" x14ac:dyDescent="0.25">
      <c r="A25" s="240" t="s">
        <v>159</v>
      </c>
      <c r="B25" s="53">
        <f>sunday!R121</f>
        <v>0</v>
      </c>
      <c r="C25" s="54" t="s">
        <v>87</v>
      </c>
      <c r="E25" s="176" t="s">
        <v>96</v>
      </c>
      <c r="F25" s="66">
        <f>sunday!R117+sunday!R119</f>
        <v>0</v>
      </c>
      <c r="G25" s="54" t="s">
        <v>87</v>
      </c>
    </row>
    <row r="26" spans="1:7" x14ac:dyDescent="0.2">
      <c r="B26" s="417" t="s">
        <v>91</v>
      </c>
      <c r="C26" s="417"/>
      <c r="F26" s="417" t="s">
        <v>91</v>
      </c>
      <c r="G26" s="417"/>
    </row>
    <row r="27" spans="1:7" x14ac:dyDescent="0.2">
      <c r="A27" s="2" t="s">
        <v>10</v>
      </c>
      <c r="B27" s="149">
        <f>ROUND(flr*P.sunday!B36,1)</f>
        <v>0</v>
      </c>
      <c r="C27" s="141" t="s">
        <v>87</v>
      </c>
      <c r="E27" s="8" t="s">
        <v>224</v>
      </c>
      <c r="F27" s="252">
        <f>F25*recipe!F145/recipe!F147</f>
        <v>0</v>
      </c>
      <c r="G27" s="154" t="s">
        <v>87</v>
      </c>
    </row>
    <row r="28" spans="1:7" x14ac:dyDescent="0.2">
      <c r="A28" s="5" t="s">
        <v>3</v>
      </c>
      <c r="B28" s="145">
        <f>ROUND(recipe!G17*P.sunday!B27,1)</f>
        <v>0</v>
      </c>
      <c r="C28" s="143" t="s">
        <v>87</v>
      </c>
      <c r="E28" s="62" t="s">
        <v>225</v>
      </c>
      <c r="F28" s="252">
        <f>F25*recipe!F146/recipe!F147</f>
        <v>0</v>
      </c>
      <c r="G28" s="100" t="s">
        <v>87</v>
      </c>
    </row>
    <row r="29" spans="1:7" x14ac:dyDescent="0.2">
      <c r="A29" s="5" t="s">
        <v>176</v>
      </c>
      <c r="B29" s="145">
        <f>ROUND(recipe!G18*P.sunday!B27,1)</f>
        <v>0</v>
      </c>
      <c r="C29" s="143" t="s">
        <v>92</v>
      </c>
      <c r="E29" s="63"/>
      <c r="F29" s="97"/>
      <c r="G29" s="148"/>
    </row>
    <row r="30" spans="1:7" x14ac:dyDescent="0.2">
      <c r="A30" s="5" t="s">
        <v>12</v>
      </c>
      <c r="B30" s="145">
        <f>ROUND(recipe!G19*P.sunday!B27,1)</f>
        <v>0</v>
      </c>
      <c r="C30" s="146" t="s">
        <v>94</v>
      </c>
    </row>
    <row r="31" spans="1:7" x14ac:dyDescent="0.2">
      <c r="A31" s="5" t="s">
        <v>4</v>
      </c>
      <c r="B31" s="142">
        <f>ROUND(recipe!G20*P.sunday!B27,1)*1000</f>
        <v>0</v>
      </c>
      <c r="C31" s="146" t="s">
        <v>94</v>
      </c>
    </row>
    <row r="32" spans="1:7" x14ac:dyDescent="0.2">
      <c r="A32" s="5" t="s">
        <v>6</v>
      </c>
      <c r="B32" s="142">
        <f>ROUND(recipe!G21*P.sunday!B27,2)*1000</f>
        <v>0</v>
      </c>
      <c r="C32" s="146" t="s">
        <v>94</v>
      </c>
    </row>
    <row r="33" spans="1:7" x14ac:dyDescent="0.2">
      <c r="A33" s="5" t="s">
        <v>5</v>
      </c>
      <c r="B33" s="142">
        <f>ROUND(recipe!G22*P.sunday!B27,1)*1000</f>
        <v>0</v>
      </c>
      <c r="C33" s="146" t="s">
        <v>94</v>
      </c>
    </row>
    <row r="34" spans="1:7" x14ac:dyDescent="0.2">
      <c r="A34" s="5" t="s">
        <v>177</v>
      </c>
      <c r="B34" s="142">
        <f>ROUND(recipe!G23*P.sunday!B27,2)*1000</f>
        <v>0</v>
      </c>
      <c r="C34" s="146" t="s">
        <v>94</v>
      </c>
      <c r="F34" s="97"/>
      <c r="G34" s="97"/>
    </row>
    <row r="35" spans="1:7" x14ac:dyDescent="0.2">
      <c r="A35" s="3" t="s">
        <v>16</v>
      </c>
      <c r="B35" s="153">
        <f>ROUND(recipe!G24*P.sunday!B27,2)</f>
        <v>0</v>
      </c>
      <c r="C35" s="150" t="s">
        <v>87</v>
      </c>
      <c r="F35" s="97"/>
      <c r="G35" s="97"/>
    </row>
    <row r="36" spans="1:7" hidden="1" x14ac:dyDescent="0.2">
      <c r="B36" s="134">
        <f>B25/recipe!F25</f>
        <v>0</v>
      </c>
      <c r="C36" s="148"/>
      <c r="F36" s="166">
        <f>F25/recipe!F147</f>
        <v>0</v>
      </c>
      <c r="G36" s="97"/>
    </row>
    <row r="37" spans="1:7" x14ac:dyDescent="0.2">
      <c r="B37" s="134"/>
      <c r="C37" s="135"/>
      <c r="D37" s="101"/>
      <c r="F37" s="97"/>
      <c r="G37" s="97"/>
    </row>
    <row r="38" spans="1:7" ht="15.75" x14ac:dyDescent="0.25">
      <c r="A38" s="240" t="s">
        <v>7</v>
      </c>
      <c r="B38" s="53">
        <f>sunday!R58</f>
        <v>0</v>
      </c>
      <c r="C38" s="54" t="s">
        <v>87</v>
      </c>
      <c r="D38" s="57"/>
      <c r="E38" s="176" t="s">
        <v>229</v>
      </c>
      <c r="F38" s="67">
        <f>sunday!K57</f>
        <v>0</v>
      </c>
      <c r="G38" s="54" t="s">
        <v>235</v>
      </c>
    </row>
    <row r="39" spans="1:7" x14ac:dyDescent="0.2">
      <c r="B39" s="417" t="s">
        <v>91</v>
      </c>
      <c r="C39" s="417"/>
      <c r="D39" s="80"/>
      <c r="F39" s="417" t="s">
        <v>91</v>
      </c>
      <c r="G39" s="417"/>
    </row>
    <row r="40" spans="1:7" x14ac:dyDescent="0.2">
      <c r="A40" s="8" t="s">
        <v>9</v>
      </c>
      <c r="B40" s="267">
        <f>ROUNDUP(fcr*P.sunday!B44,0)</f>
        <v>0</v>
      </c>
      <c r="C40" s="141" t="s">
        <v>87</v>
      </c>
      <c r="D40" s="101"/>
      <c r="E40" s="8" t="s">
        <v>199</v>
      </c>
      <c r="F40" s="266">
        <f>ROUND(F38*recipe!B128,1)</f>
        <v>0</v>
      </c>
      <c r="G40" s="70" t="s">
        <v>87</v>
      </c>
    </row>
    <row r="41" spans="1:7" x14ac:dyDescent="0.2">
      <c r="A41" s="9" t="s">
        <v>197</v>
      </c>
      <c r="B41" s="268">
        <f>ROUND(recipe!C17*P.sunday!B40,1)</f>
        <v>0</v>
      </c>
      <c r="C41" s="143" t="s">
        <v>87</v>
      </c>
      <c r="D41" s="101"/>
      <c r="E41" s="62" t="s">
        <v>230</v>
      </c>
      <c r="F41" s="251">
        <f>ROUND(F38*recipe!B129,1)*1000</f>
        <v>0</v>
      </c>
      <c r="G41" s="163" t="s">
        <v>94</v>
      </c>
    </row>
    <row r="42" spans="1:7" x14ac:dyDescent="0.2">
      <c r="A42" s="9" t="s">
        <v>11</v>
      </c>
      <c r="B42" s="269">
        <f>ROUND(recipe!C18*P.sunday!B40,1)</f>
        <v>0</v>
      </c>
      <c r="C42" s="143" t="s">
        <v>92</v>
      </c>
      <c r="D42" s="101"/>
      <c r="E42" s="62" t="s">
        <v>236</v>
      </c>
      <c r="F42" s="251">
        <f>ROUND(F38*recipe!B130,1)*1000</f>
        <v>0</v>
      </c>
      <c r="G42" s="163" t="s">
        <v>94</v>
      </c>
    </row>
    <row r="43" spans="1:7" x14ac:dyDescent="0.2">
      <c r="A43" s="9" t="s">
        <v>5</v>
      </c>
      <c r="B43" s="270">
        <f>ROUND(recipe!C19*P.sunday!B40,2)*1000</f>
        <v>0</v>
      </c>
      <c r="C43" s="146" t="s">
        <v>94</v>
      </c>
      <c r="D43" s="101"/>
      <c r="F43" s="97"/>
      <c r="G43" s="97"/>
    </row>
    <row r="44" spans="1:7" hidden="1" x14ac:dyDescent="0.2">
      <c r="B44" s="134">
        <f>B38/recipe!B25</f>
        <v>0</v>
      </c>
      <c r="C44" s="135"/>
      <c r="D44" s="101"/>
      <c r="G44" s="148"/>
    </row>
    <row r="45" spans="1:7" x14ac:dyDescent="0.2">
      <c r="B45" s="134"/>
      <c r="C45" s="135"/>
      <c r="D45" s="101"/>
      <c r="G45" s="148"/>
    </row>
    <row r="46" spans="1:7" ht="15.75" x14ac:dyDescent="0.25">
      <c r="A46" s="176" t="s">
        <v>226</v>
      </c>
      <c r="B46" s="67">
        <f>sunday!K54</f>
        <v>0</v>
      </c>
      <c r="C46" s="54" t="s">
        <v>235</v>
      </c>
      <c r="D46" s="132"/>
      <c r="E46" s="227"/>
      <c r="F46" s="228"/>
      <c r="G46" s="229"/>
    </row>
    <row r="47" spans="1:7" x14ac:dyDescent="0.2">
      <c r="B47" s="417" t="s">
        <v>91</v>
      </c>
      <c r="C47" s="417"/>
      <c r="D47" s="80"/>
      <c r="E47" s="230"/>
      <c r="F47" s="419"/>
      <c r="G47" s="419"/>
    </row>
    <row r="48" spans="1:7" x14ac:dyDescent="0.2">
      <c r="A48" s="8" t="s">
        <v>199</v>
      </c>
      <c r="B48" s="250">
        <f>ROUND(B46*recipe!F119,1)</f>
        <v>0</v>
      </c>
      <c r="C48" s="70" t="s">
        <v>87</v>
      </c>
      <c r="D48" s="101"/>
      <c r="E48" s="231"/>
      <c r="F48" s="232"/>
      <c r="G48" s="239"/>
    </row>
    <row r="49" spans="1:8" x14ac:dyDescent="0.2">
      <c r="A49" s="62" t="s">
        <v>231</v>
      </c>
      <c r="B49" s="261">
        <f>ROUND(B46*recipe!F120,2)*1000</f>
        <v>0</v>
      </c>
      <c r="C49" s="163" t="s">
        <v>94</v>
      </c>
      <c r="D49" s="101"/>
      <c r="E49" s="231"/>
      <c r="F49" s="232"/>
      <c r="G49" s="239"/>
    </row>
    <row r="50" spans="1:8" hidden="1" x14ac:dyDescent="0.2">
      <c r="B50" s="134">
        <f>B46/recipe!F121</f>
        <v>0</v>
      </c>
      <c r="C50" s="135"/>
      <c r="D50" s="101"/>
      <c r="E50" s="230"/>
      <c r="F50" s="237"/>
      <c r="G50" s="234"/>
    </row>
    <row r="51" spans="1:8" ht="4.5" customHeight="1" x14ac:dyDescent="0.2">
      <c r="B51" s="134"/>
      <c r="C51" s="135"/>
      <c r="G51" s="160"/>
    </row>
    <row r="52" spans="1:8" ht="15.75" x14ac:dyDescent="0.25">
      <c r="A52" s="176" t="s">
        <v>227</v>
      </c>
      <c r="B52" s="67">
        <f>sunday!K56</f>
        <v>0</v>
      </c>
      <c r="C52" s="54" t="s">
        <v>235</v>
      </c>
      <c r="D52" s="132"/>
      <c r="E52" s="176" t="s">
        <v>228</v>
      </c>
      <c r="F52" s="67">
        <f>sunday!K52</f>
        <v>0</v>
      </c>
      <c r="G52" s="54" t="s">
        <v>235</v>
      </c>
    </row>
    <row r="53" spans="1:8" x14ac:dyDescent="0.2">
      <c r="B53" s="417" t="s">
        <v>91</v>
      </c>
      <c r="C53" s="417"/>
      <c r="D53" s="80"/>
      <c r="F53" s="417" t="s">
        <v>91</v>
      </c>
      <c r="G53" s="417"/>
    </row>
    <row r="54" spans="1:8" x14ac:dyDescent="0.2">
      <c r="A54" s="8" t="s">
        <v>199</v>
      </c>
      <c r="B54" s="250">
        <f>ROUND(B52*recipe!B119,1)</f>
        <v>0</v>
      </c>
      <c r="C54" s="70" t="s">
        <v>87</v>
      </c>
      <c r="D54" s="101"/>
      <c r="E54" s="8" t="s">
        <v>199</v>
      </c>
      <c r="F54" s="266">
        <f>ROUND(F52*recipe!F128,1)</f>
        <v>0</v>
      </c>
      <c r="G54" s="70" t="s">
        <v>87</v>
      </c>
    </row>
    <row r="55" spans="1:8" x14ac:dyDescent="0.2">
      <c r="A55" s="62" t="s">
        <v>230</v>
      </c>
      <c r="B55" s="265">
        <f>ROUND(B52*recipe!B120,2)*1000</f>
        <v>0</v>
      </c>
      <c r="C55" s="163" t="s">
        <v>94</v>
      </c>
      <c r="D55" s="101"/>
      <c r="E55" s="62" t="s">
        <v>22</v>
      </c>
      <c r="F55" s="261">
        <f>ROUND(F52*recipe!F129,2)*1000</f>
        <v>0</v>
      </c>
      <c r="G55" s="163" t="s">
        <v>94</v>
      </c>
    </row>
    <row r="56" spans="1:8" hidden="1" x14ac:dyDescent="0.2">
      <c r="B56" s="134">
        <f>B52/recipe!B121</f>
        <v>0</v>
      </c>
      <c r="C56" s="135"/>
      <c r="D56" s="101"/>
      <c r="F56" s="134">
        <f>F52/recipe!F130</f>
        <v>0</v>
      </c>
      <c r="G56" s="148"/>
    </row>
    <row r="57" spans="1:8" ht="4.5" customHeight="1" x14ac:dyDescent="0.2">
      <c r="B57" s="134"/>
      <c r="C57" s="135"/>
      <c r="G57" s="160"/>
    </row>
    <row r="58" spans="1:8" ht="15.75" x14ac:dyDescent="0.25">
      <c r="D58" s="132"/>
      <c r="F58" s="97"/>
      <c r="G58" s="97"/>
    </row>
    <row r="59" spans="1:8" ht="15.75" x14ac:dyDescent="0.25">
      <c r="A59" s="176" t="s">
        <v>21</v>
      </c>
      <c r="B59" s="53">
        <f>sunday!R74</f>
        <v>0</v>
      </c>
      <c r="C59" s="54" t="s">
        <v>87</v>
      </c>
      <c r="D59" s="101"/>
      <c r="E59" s="176" t="s">
        <v>17</v>
      </c>
      <c r="F59" s="53">
        <f>sunday!R44</f>
        <v>0</v>
      </c>
      <c r="G59" s="54" t="s">
        <v>87</v>
      </c>
    </row>
    <row r="60" spans="1:8" x14ac:dyDescent="0.2">
      <c r="B60" s="417" t="s">
        <v>91</v>
      </c>
      <c r="C60" s="417"/>
      <c r="D60" s="101"/>
      <c r="F60" s="417" t="s">
        <v>91</v>
      </c>
      <c r="G60" s="417"/>
    </row>
    <row r="61" spans="1:8" x14ac:dyDescent="0.2">
      <c r="A61" s="2" t="s">
        <v>10</v>
      </c>
      <c r="B61" s="69">
        <f>ROUND(B68*fvr,1)</f>
        <v>0</v>
      </c>
      <c r="C61" s="70" t="s">
        <v>87</v>
      </c>
      <c r="E61" s="2" t="s">
        <v>10</v>
      </c>
      <c r="F61" s="149">
        <f>ROUND(fbr*P.sunday!F68,1)</f>
        <v>0</v>
      </c>
      <c r="G61" s="70" t="s">
        <v>87</v>
      </c>
    </row>
    <row r="62" spans="1:8" x14ac:dyDescent="0.2">
      <c r="A62" s="5" t="s">
        <v>3</v>
      </c>
      <c r="B62" s="69">
        <f>ROUND(B68*recipe!B80,1)</f>
        <v>0</v>
      </c>
      <c r="C62" s="146" t="s">
        <v>92</v>
      </c>
      <c r="E62" s="5" t="s">
        <v>3</v>
      </c>
      <c r="F62" s="145">
        <f>ROUND(recipe!C56*P.sunday!F61,1)</f>
        <v>0</v>
      </c>
      <c r="G62" s="146" t="s">
        <v>92</v>
      </c>
      <c r="H62" s="115"/>
    </row>
    <row r="63" spans="1:8" x14ac:dyDescent="0.2">
      <c r="A63" s="5" t="s">
        <v>4</v>
      </c>
      <c r="B63" s="72">
        <f>ROUND(B68*recipe!B81,2)*1000</f>
        <v>0</v>
      </c>
      <c r="C63" s="146" t="s">
        <v>94</v>
      </c>
      <c r="E63" s="5" t="s">
        <v>5</v>
      </c>
      <c r="F63" s="142">
        <f>ROUND(recipe!C57*P.sunday!F61,2)*1000</f>
        <v>0</v>
      </c>
      <c r="G63" s="146" t="s">
        <v>94</v>
      </c>
      <c r="H63" s="115"/>
    </row>
    <row r="64" spans="1:8" x14ac:dyDescent="0.2">
      <c r="A64" s="5" t="s">
        <v>5</v>
      </c>
      <c r="B64" s="72">
        <f>ROUND(B68*recipe!B82,2)*1000</f>
        <v>0</v>
      </c>
      <c r="C64" s="146" t="s">
        <v>94</v>
      </c>
      <c r="D64" s="115"/>
      <c r="E64" s="5" t="s">
        <v>196</v>
      </c>
      <c r="F64" s="142">
        <f>ROUND(recipe!C58*P.sunday!F61,2)*1000</f>
        <v>0</v>
      </c>
      <c r="G64" s="146" t="s">
        <v>94</v>
      </c>
    </row>
    <row r="65" spans="1:7" x14ac:dyDescent="0.2">
      <c r="A65" s="5" t="s">
        <v>6</v>
      </c>
      <c r="B65" s="72">
        <f>ROUND(B68*recipe!B83,2)*1000</f>
        <v>0</v>
      </c>
      <c r="C65" s="146" t="s">
        <v>94</v>
      </c>
      <c r="E65" s="5" t="s">
        <v>133</v>
      </c>
      <c r="F65" s="142">
        <f>ROUND(recipe!C58*P.sunday!F62,1)*1000</f>
        <v>0</v>
      </c>
      <c r="G65" s="146" t="s">
        <v>87</v>
      </c>
    </row>
    <row r="66" spans="1:7" x14ac:dyDescent="0.2">
      <c r="A66" s="5" t="s">
        <v>12</v>
      </c>
      <c r="B66" s="69">
        <f>ROUND(B68*recipe!B84,1)</f>
        <v>0</v>
      </c>
      <c r="C66" s="146" t="s">
        <v>87</v>
      </c>
      <c r="E66" s="3" t="s">
        <v>4</v>
      </c>
      <c r="F66" s="142">
        <f>ROUND(recipe!C60*P.sunday!F61,2)*1000</f>
        <v>0</v>
      </c>
      <c r="G66" s="100" t="s">
        <v>94</v>
      </c>
    </row>
    <row r="67" spans="1:7" x14ac:dyDescent="0.2">
      <c r="A67" s="5" t="s">
        <v>205</v>
      </c>
      <c r="B67" s="69">
        <f>ROUND(B68*recipe!B85,1)</f>
        <v>0</v>
      </c>
      <c r="C67" s="146" t="s">
        <v>87</v>
      </c>
      <c r="F67" s="97"/>
    </row>
    <row r="68" spans="1:7" hidden="1" x14ac:dyDescent="0.2">
      <c r="A68" s="59"/>
      <c r="B68" s="60">
        <f>B59/recipe!B86</f>
        <v>0</v>
      </c>
      <c r="C68" s="135"/>
      <c r="D68" s="101"/>
      <c r="E68" s="231"/>
      <c r="F68" s="134">
        <f>F59/recipe!B61</f>
        <v>0</v>
      </c>
      <c r="G68" s="238"/>
    </row>
    <row r="69" spans="1:7" x14ac:dyDescent="0.2">
      <c r="A69" s="230"/>
      <c r="B69" s="237"/>
      <c r="C69" s="233"/>
      <c r="D69" s="101"/>
      <c r="E69" s="231"/>
      <c r="F69" s="235"/>
      <c r="G69" s="238"/>
    </row>
    <row r="70" spans="1:7" ht="15.75" x14ac:dyDescent="0.25">
      <c r="A70" s="176" t="s">
        <v>169</v>
      </c>
      <c r="B70" s="67">
        <f>sunday!R113</f>
        <v>0</v>
      </c>
      <c r="C70" s="54" t="s">
        <v>87</v>
      </c>
      <c r="E70" s="176" t="s">
        <v>211</v>
      </c>
      <c r="F70" s="64">
        <f>sunday!R84</f>
        <v>0</v>
      </c>
      <c r="G70" s="54" t="s">
        <v>87</v>
      </c>
    </row>
    <row r="71" spans="1:7" x14ac:dyDescent="0.2">
      <c r="B71" s="417" t="s">
        <v>91</v>
      </c>
      <c r="C71" s="417"/>
      <c r="F71" s="417" t="s">
        <v>91</v>
      </c>
      <c r="G71" s="417"/>
    </row>
    <row r="72" spans="1:7" x14ac:dyDescent="0.2">
      <c r="A72" s="8" t="s">
        <v>10</v>
      </c>
      <c r="B72" s="250">
        <f>ROUND(prnr*P.sunday!B76,1)</f>
        <v>0</v>
      </c>
      <c r="C72" s="154" t="s">
        <v>87</v>
      </c>
      <c r="E72" s="2" t="s">
        <v>284</v>
      </c>
      <c r="F72" s="164">
        <f>ROUND(fpbr*P.sunday!F76,1)</f>
        <v>0</v>
      </c>
      <c r="G72" s="154" t="s">
        <v>87</v>
      </c>
    </row>
    <row r="73" spans="1:7" x14ac:dyDescent="0.2">
      <c r="A73" s="9" t="s">
        <v>3</v>
      </c>
      <c r="B73" s="250">
        <f>ROUND(B72*recipe!G137,1)</f>
        <v>0</v>
      </c>
      <c r="C73" s="155" t="s">
        <v>87</v>
      </c>
      <c r="E73" s="5" t="s">
        <v>246</v>
      </c>
      <c r="F73" s="158">
        <f>ROUND(recipe!G33*P.sunday!F72,1)</f>
        <v>0</v>
      </c>
      <c r="G73" s="155" t="s">
        <v>87</v>
      </c>
    </row>
    <row r="74" spans="1:7" x14ac:dyDescent="0.2">
      <c r="A74" s="62" t="s">
        <v>4</v>
      </c>
      <c r="B74" s="251">
        <f>ROUND(B72*recipe!G138,2)*1000</f>
        <v>0</v>
      </c>
      <c r="C74" s="100" t="s">
        <v>94</v>
      </c>
      <c r="E74" s="5" t="s">
        <v>3</v>
      </c>
      <c r="F74" s="158">
        <f>ROUND(recipe!G34*P.sunday!F72,1)</f>
        <v>0</v>
      </c>
      <c r="G74" s="155" t="s">
        <v>92</v>
      </c>
    </row>
    <row r="75" spans="1:7" x14ac:dyDescent="0.2">
      <c r="A75" s="249" t="s">
        <v>5</v>
      </c>
      <c r="B75" s="251">
        <f>ROUND(B72*recipe!G139,2)*1000</f>
        <v>0</v>
      </c>
      <c r="C75" s="100" t="s">
        <v>94</v>
      </c>
      <c r="E75" s="5" t="s">
        <v>5</v>
      </c>
      <c r="F75" s="157">
        <f>ROUND(recipe!G35*P.sunday!F72,2)*1000</f>
        <v>0</v>
      </c>
      <c r="G75" s="155" t="s">
        <v>94</v>
      </c>
    </row>
    <row r="76" spans="1:7" hidden="1" x14ac:dyDescent="0.2">
      <c r="B76" s="97">
        <f>B70/recipe!F140</f>
        <v>0</v>
      </c>
      <c r="C76" s="135"/>
      <c r="D76" s="101"/>
      <c r="F76" s="134">
        <f>F70/recipe!F39</f>
        <v>0</v>
      </c>
      <c r="G76" s="148"/>
    </row>
    <row r="77" spans="1:7" x14ac:dyDescent="0.2">
      <c r="C77" s="135"/>
      <c r="D77" s="101"/>
      <c r="G77" s="148"/>
    </row>
    <row r="78" spans="1:7" ht="15.75" x14ac:dyDescent="0.25">
      <c r="A78" s="227"/>
      <c r="B78" s="236"/>
      <c r="C78" s="324"/>
      <c r="E78" s="176" t="s">
        <v>285</v>
      </c>
      <c r="F78" s="64">
        <f>sunday!R79</f>
        <v>0</v>
      </c>
      <c r="G78" s="54" t="s">
        <v>87</v>
      </c>
    </row>
    <row r="79" spans="1:7" ht="15.75" x14ac:dyDescent="0.25">
      <c r="A79" s="227"/>
      <c r="B79" s="236"/>
      <c r="C79" s="324"/>
      <c r="F79" s="417" t="s">
        <v>91</v>
      </c>
      <c r="G79" s="417"/>
    </row>
    <row r="80" spans="1:7" ht="15.75" x14ac:dyDescent="0.25">
      <c r="A80" s="227"/>
      <c r="B80" s="236"/>
      <c r="C80" s="324"/>
      <c r="E80" s="2" t="s">
        <v>10</v>
      </c>
      <c r="F80" s="164">
        <f>ROUND(fpbr*P.sunday!F87,1)</f>
        <v>0</v>
      </c>
      <c r="G80" s="154" t="s">
        <v>87</v>
      </c>
    </row>
    <row r="81" spans="1:7" ht="15.75" x14ac:dyDescent="0.25">
      <c r="A81" s="227"/>
      <c r="B81" s="236"/>
      <c r="C81" s="324"/>
      <c r="E81" s="5" t="s">
        <v>282</v>
      </c>
      <c r="F81" s="158">
        <f>ROUND(recipe!G168*P.sunday!F80,1)</f>
        <v>0</v>
      </c>
      <c r="G81" s="155" t="s">
        <v>87</v>
      </c>
    </row>
    <row r="82" spans="1:7" ht="15.75" x14ac:dyDescent="0.25">
      <c r="A82" s="227"/>
      <c r="B82" s="236"/>
      <c r="C82" s="324"/>
      <c r="E82" s="3" t="s">
        <v>3</v>
      </c>
      <c r="F82" s="158">
        <f>ROUND(recipe!G169*P.sunday!F80,1)</f>
        <v>0</v>
      </c>
      <c r="G82" s="155" t="s">
        <v>92</v>
      </c>
    </row>
    <row r="83" spans="1:7" ht="15.75" x14ac:dyDescent="0.25">
      <c r="A83" s="227"/>
      <c r="B83" s="236"/>
      <c r="C83" s="324"/>
      <c r="E83" s="5" t="s">
        <v>4</v>
      </c>
      <c r="F83" s="157">
        <f>ROUND(recipe!G170*P.sunday!F80,2)*1000</f>
        <v>0</v>
      </c>
      <c r="G83" s="155" t="s">
        <v>94</v>
      </c>
    </row>
    <row r="84" spans="1:7" ht="15.75" x14ac:dyDescent="0.25">
      <c r="A84" s="227"/>
      <c r="B84" s="236"/>
      <c r="C84" s="324"/>
      <c r="E84" s="5" t="s">
        <v>6</v>
      </c>
      <c r="F84" s="157">
        <f>ROUND(recipe!G171*P.sunday!F80,2)*1000</f>
        <v>0</v>
      </c>
      <c r="G84" s="155" t="s">
        <v>94</v>
      </c>
    </row>
    <row r="85" spans="1:7" ht="15.75" x14ac:dyDescent="0.25">
      <c r="A85" s="227"/>
      <c r="B85" s="236"/>
      <c r="C85" s="324"/>
      <c r="D85" s="101"/>
      <c r="E85" s="14" t="s">
        <v>205</v>
      </c>
      <c r="F85" s="157">
        <f>ROUND(recipe!G172*P.sunday!F80,2)*1000</f>
        <v>0</v>
      </c>
      <c r="G85" s="155" t="s">
        <v>94</v>
      </c>
    </row>
    <row r="86" spans="1:7" x14ac:dyDescent="0.2">
      <c r="A86" s="231"/>
      <c r="B86" s="236"/>
      <c r="C86" s="324"/>
      <c r="D86" s="101"/>
      <c r="E86" s="5" t="s">
        <v>283</v>
      </c>
      <c r="F86" s="157">
        <f>ROUND(recipe!G173*P.sunday!F80,2)*1000</f>
        <v>0</v>
      </c>
      <c r="G86" s="155" t="s">
        <v>94</v>
      </c>
    </row>
    <row r="87" spans="1:7" hidden="1" x14ac:dyDescent="0.2">
      <c r="A87" s="323"/>
      <c r="B87" s="323"/>
      <c r="C87" s="325"/>
      <c r="D87" s="101"/>
      <c r="F87" s="134">
        <f>F78/recipe!F174</f>
        <v>0</v>
      </c>
      <c r="G87" s="148"/>
    </row>
    <row r="88" spans="1:7" x14ac:dyDescent="0.2">
      <c r="A88" s="323"/>
      <c r="B88" s="323"/>
      <c r="C88" s="325"/>
      <c r="D88" s="101"/>
      <c r="G88" s="148"/>
    </row>
    <row r="89" spans="1:7" ht="14.25" customHeight="1" x14ac:dyDescent="0.25">
      <c r="A89" s="176" t="s">
        <v>95</v>
      </c>
      <c r="B89" s="53">
        <f>sunday!R30</f>
        <v>0</v>
      </c>
      <c r="C89" s="54" t="s">
        <v>87</v>
      </c>
      <c r="D89" s="179" t="s">
        <v>198</v>
      </c>
      <c r="E89" s="176" t="s">
        <v>95</v>
      </c>
      <c r="F89" s="53">
        <f>sunday!R30</f>
        <v>0</v>
      </c>
      <c r="G89" s="54" t="s">
        <v>87</v>
      </c>
    </row>
    <row r="90" spans="1:7" ht="14.25" customHeight="1" x14ac:dyDescent="0.2">
      <c r="B90" s="297" t="s">
        <v>91</v>
      </c>
      <c r="C90" s="297"/>
      <c r="F90" s="297" t="s">
        <v>91</v>
      </c>
      <c r="G90" s="297"/>
    </row>
    <row r="91" spans="1:7" ht="14.25" customHeight="1" x14ac:dyDescent="0.2">
      <c r="A91" s="8" t="s">
        <v>9</v>
      </c>
      <c r="B91" s="252">
        <f>ROUND(fpcr*P.sunday!B97,0)</f>
        <v>0</v>
      </c>
      <c r="C91" s="154" t="s">
        <v>87</v>
      </c>
      <c r="E91" s="8" t="s">
        <v>199</v>
      </c>
      <c r="F91" s="255">
        <f>ROUND(F97*recipe!F44,1)</f>
        <v>0</v>
      </c>
      <c r="G91" s="154" t="s">
        <v>87</v>
      </c>
    </row>
    <row r="92" spans="1:7" ht="14.25" customHeight="1" x14ac:dyDescent="0.2">
      <c r="A92" s="9" t="s">
        <v>197</v>
      </c>
      <c r="B92" s="253">
        <f>ROUND(recipe!C45*P.sunday!B97,1)</f>
        <v>0</v>
      </c>
      <c r="C92" s="155" t="s">
        <v>92</v>
      </c>
      <c r="E92" s="9" t="s">
        <v>200</v>
      </c>
      <c r="F92" s="252">
        <f>ROUND(F97*recipe!F45,1)</f>
        <v>0</v>
      </c>
      <c r="G92" s="155" t="s">
        <v>87</v>
      </c>
    </row>
    <row r="93" spans="1:7" ht="14.25" customHeight="1" x14ac:dyDescent="0.2">
      <c r="A93" s="9" t="s">
        <v>11</v>
      </c>
      <c r="B93" s="253">
        <f>ROUND(recipe!C46*P.sunday!B91,1)</f>
        <v>0</v>
      </c>
      <c r="C93" s="155" t="s">
        <v>94</v>
      </c>
      <c r="E93" s="9" t="s">
        <v>201</v>
      </c>
      <c r="F93" s="256">
        <f>ROUND(F97*recipe!F46,1)*1000</f>
        <v>0</v>
      </c>
      <c r="G93" s="155" t="s">
        <v>94</v>
      </c>
    </row>
    <row r="94" spans="1:7" ht="14.25" customHeight="1" x14ac:dyDescent="0.2">
      <c r="A94" s="9" t="s">
        <v>5</v>
      </c>
      <c r="B94" s="254">
        <f>ROUND(recipe!C47*P.sunday!B91,1)*1000</f>
        <v>0</v>
      </c>
      <c r="C94" s="155" t="s">
        <v>94</v>
      </c>
      <c r="E94" s="84"/>
      <c r="F94" s="159"/>
      <c r="G94" s="257"/>
    </row>
    <row r="95" spans="1:7" ht="14.25" customHeight="1" x14ac:dyDescent="0.2">
      <c r="A95" s="65" t="s">
        <v>200</v>
      </c>
      <c r="B95" s="253">
        <f>ROUND(recipe!C48*P.sunday!B91,1)</f>
        <v>0</v>
      </c>
      <c r="C95" s="155" t="s">
        <v>87</v>
      </c>
      <c r="E95" s="231"/>
      <c r="F95" s="184"/>
      <c r="G95" s="148"/>
    </row>
    <row r="96" spans="1:7" ht="14.25" customHeight="1" x14ac:dyDescent="0.2">
      <c r="A96" s="9" t="s">
        <v>201</v>
      </c>
      <c r="B96" s="254">
        <f>ROUND(recipe!C49*P.sunday!B91,1)*1000</f>
        <v>0</v>
      </c>
      <c r="C96" s="163" t="s">
        <v>94</v>
      </c>
      <c r="E96" s="63"/>
      <c r="F96" s="181"/>
      <c r="G96" s="165"/>
    </row>
    <row r="97" spans="1:7" ht="14.25" hidden="1" customHeight="1" x14ac:dyDescent="0.2">
      <c r="B97" s="180">
        <f>B89/recipe!B50</f>
        <v>0</v>
      </c>
      <c r="C97" s="148"/>
      <c r="F97" s="134">
        <f>F89/recipe!F50</f>
        <v>0</v>
      </c>
      <c r="G97" s="148"/>
    </row>
    <row r="98" spans="1:7" x14ac:dyDescent="0.2">
      <c r="B98" s="134"/>
      <c r="C98" s="160"/>
    </row>
    <row r="99" spans="1:7" ht="15.75" x14ac:dyDescent="0.25">
      <c r="A99" s="176" t="s">
        <v>18</v>
      </c>
      <c r="B99" s="64">
        <f>sunday!R31</f>
        <v>0</v>
      </c>
      <c r="C99" s="54" t="s">
        <v>87</v>
      </c>
      <c r="D99" s="57"/>
      <c r="E99" s="176" t="s">
        <v>151</v>
      </c>
      <c r="F99" s="64">
        <f>sunday!R37</f>
        <v>0</v>
      </c>
      <c r="G99" s="54" t="s">
        <v>87</v>
      </c>
    </row>
    <row r="100" spans="1:7" x14ac:dyDescent="0.2">
      <c r="B100" s="417" t="s">
        <v>91</v>
      </c>
      <c r="C100" s="417"/>
      <c r="D100" s="80"/>
      <c r="F100" s="417" t="s">
        <v>91</v>
      </c>
      <c r="G100" s="417"/>
    </row>
    <row r="101" spans="1:7" x14ac:dyDescent="0.2">
      <c r="A101" s="2" t="s">
        <v>204</v>
      </c>
      <c r="B101" s="69">
        <f>ROUND(psr*P.sunday!B106,1)</f>
        <v>0</v>
      </c>
      <c r="C101" s="70" t="s">
        <v>87</v>
      </c>
      <c r="D101" s="101"/>
      <c r="E101" s="8" t="s">
        <v>152</v>
      </c>
      <c r="F101" s="263">
        <f>ROUND(fcre*P.sunday!F106,1)</f>
        <v>0</v>
      </c>
      <c r="G101" s="70" t="s">
        <v>87</v>
      </c>
    </row>
    <row r="102" spans="1:7" x14ac:dyDescent="0.2">
      <c r="A102" s="5" t="s">
        <v>19</v>
      </c>
      <c r="B102" s="69">
        <f>ROUND(recipe!C69*P.sunday!B101,1)</f>
        <v>0</v>
      </c>
      <c r="C102" s="146" t="s">
        <v>87</v>
      </c>
      <c r="D102" s="101"/>
      <c r="E102" s="9" t="s">
        <v>10</v>
      </c>
      <c r="F102" s="263">
        <f>ROUND(recipe!G69*P.sunday!F101,1)</f>
        <v>0</v>
      </c>
      <c r="G102" s="146" t="s">
        <v>87</v>
      </c>
    </row>
    <row r="103" spans="1:7" x14ac:dyDescent="0.2">
      <c r="A103" s="5" t="s">
        <v>252</v>
      </c>
      <c r="B103" s="69">
        <f>ROUND(recipe!C70*P.sunday!B101,1)</f>
        <v>0</v>
      </c>
      <c r="C103" s="146" t="s">
        <v>87</v>
      </c>
      <c r="D103" s="101"/>
      <c r="E103" s="84" t="s">
        <v>5</v>
      </c>
      <c r="F103" s="263">
        <f>ROUND(recipe!G70*P.sunday!F101,1)</f>
        <v>0</v>
      </c>
      <c r="G103" s="167" t="s">
        <v>94</v>
      </c>
    </row>
    <row r="104" spans="1:7" x14ac:dyDescent="0.2">
      <c r="A104" s="5" t="s">
        <v>3</v>
      </c>
      <c r="B104" s="97">
        <f>ROUND(recipe!C71*P.sunday!B101,1)</f>
        <v>0</v>
      </c>
      <c r="C104" s="163" t="s">
        <v>87</v>
      </c>
      <c r="D104" s="101"/>
      <c r="E104" s="62" t="s">
        <v>3</v>
      </c>
      <c r="F104" s="264">
        <f>ROUND(recipe!G71*P.sunday!F101,1)</f>
        <v>0</v>
      </c>
      <c r="G104" s="163" t="s">
        <v>92</v>
      </c>
    </row>
    <row r="105" spans="1:7" x14ac:dyDescent="0.2">
      <c r="A105" s="5" t="s">
        <v>5</v>
      </c>
      <c r="B105" s="168">
        <f>ROUND(recipe!C72*P.sunday!B101,2)*1000</f>
        <v>0</v>
      </c>
      <c r="C105" s="163" t="s">
        <v>94</v>
      </c>
      <c r="D105" s="101"/>
      <c r="E105" s="244" t="s">
        <v>4</v>
      </c>
      <c r="F105" s="256">
        <f>ROUND(recipe!G72*P.sunday!F101,2)*1000</f>
        <v>0</v>
      </c>
      <c r="G105" s="246" t="s">
        <v>94</v>
      </c>
    </row>
    <row r="106" spans="1:7" hidden="1" x14ac:dyDescent="0.2">
      <c r="B106" s="134">
        <f>B99/recipe!B73</f>
        <v>0</v>
      </c>
      <c r="C106" s="135"/>
      <c r="D106" s="101"/>
      <c r="F106" s="134">
        <f>F99/recipe!F73</f>
        <v>0</v>
      </c>
      <c r="G106" s="148"/>
    </row>
    <row r="107" spans="1:7" x14ac:dyDescent="0.2">
      <c r="B107" s="134"/>
      <c r="C107" s="135"/>
      <c r="G107" s="160"/>
    </row>
    <row r="108" spans="1:7" ht="4.5" customHeight="1" x14ac:dyDescent="0.2">
      <c r="B108" s="134"/>
      <c r="C108" s="135"/>
      <c r="G108" s="160"/>
    </row>
    <row r="109" spans="1:7" ht="15.75" x14ac:dyDescent="0.25">
      <c r="A109" s="176" t="s">
        <v>20</v>
      </c>
      <c r="B109" s="53">
        <f>sunday!R108</f>
        <v>0</v>
      </c>
      <c r="C109" s="54" t="s">
        <v>87</v>
      </c>
      <c r="D109" s="132"/>
      <c r="E109" s="176" t="s">
        <v>8</v>
      </c>
      <c r="F109" s="53">
        <f>sunday!R98</f>
        <v>0</v>
      </c>
      <c r="G109" s="54" t="s">
        <v>87</v>
      </c>
    </row>
    <row r="110" spans="1:7" x14ac:dyDescent="0.2">
      <c r="B110" s="417" t="s">
        <v>91</v>
      </c>
      <c r="C110" s="417"/>
      <c r="D110" s="80"/>
      <c r="F110" s="417" t="s">
        <v>91</v>
      </c>
      <c r="G110" s="417"/>
    </row>
    <row r="111" spans="1:7" x14ac:dyDescent="0.2">
      <c r="A111" s="2" t="s">
        <v>206</v>
      </c>
      <c r="B111" s="161">
        <f>ROUND(fasr*P.sunday!B118,0)</f>
        <v>0</v>
      </c>
      <c r="C111" s="70" t="s">
        <v>87</v>
      </c>
      <c r="D111" s="101"/>
      <c r="E111" s="2" t="s">
        <v>10</v>
      </c>
      <c r="F111" s="161">
        <f>ROUND(fpsfgr*P.sunday!F118,0)</f>
        <v>0</v>
      </c>
      <c r="G111" s="154" t="s">
        <v>87</v>
      </c>
    </row>
    <row r="112" spans="1:7" x14ac:dyDescent="0.2">
      <c r="A112" s="5" t="s">
        <v>207</v>
      </c>
      <c r="B112" s="169">
        <f>ROUND(recipe!G56*P.sunday!B111,1)</f>
        <v>0</v>
      </c>
      <c r="C112" s="146" t="s">
        <v>87</v>
      </c>
      <c r="D112" s="101"/>
      <c r="E112" s="5" t="s">
        <v>3</v>
      </c>
      <c r="F112" s="169">
        <f>ROUND(recipe!G80*P.sunday!F111,1)</f>
        <v>0</v>
      </c>
      <c r="G112" s="155" t="s">
        <v>92</v>
      </c>
    </row>
    <row r="113" spans="1:7" x14ac:dyDescent="0.2">
      <c r="A113" s="5" t="s">
        <v>3</v>
      </c>
      <c r="B113" s="169">
        <f>ROUND(recipe!G57*P.sunday!B111,1)</f>
        <v>0</v>
      </c>
      <c r="C113" s="146" t="s">
        <v>92</v>
      </c>
      <c r="D113" s="101"/>
      <c r="E113" s="5" t="s">
        <v>205</v>
      </c>
      <c r="F113" s="169">
        <f>ROUND(recipe!G81*P.sunday!F111,1)</f>
        <v>0</v>
      </c>
      <c r="G113" s="155" t="s">
        <v>87</v>
      </c>
    </row>
    <row r="114" spans="1:7" x14ac:dyDescent="0.2">
      <c r="A114" s="5" t="s">
        <v>4</v>
      </c>
      <c r="B114" s="157">
        <f>ROUND(recipe!G58*P.sunday!B111,2)*1000</f>
        <v>0</v>
      </c>
      <c r="C114" s="146" t="s">
        <v>94</v>
      </c>
      <c r="D114" s="101"/>
      <c r="E114" s="5" t="s">
        <v>4</v>
      </c>
      <c r="F114" s="157">
        <f>ROUND(recipe!G82*P.sunday!F111,2)*1000</f>
        <v>0</v>
      </c>
      <c r="G114" s="155" t="s">
        <v>94</v>
      </c>
    </row>
    <row r="115" spans="1:7" x14ac:dyDescent="0.2">
      <c r="A115" s="5" t="s">
        <v>5</v>
      </c>
      <c r="B115" s="157">
        <f>ROUND(recipe!G59*P.sunday!B111,2)*1000</f>
        <v>0</v>
      </c>
      <c r="C115" s="146" t="s">
        <v>94</v>
      </c>
      <c r="D115" s="101"/>
      <c r="E115" s="5" t="s">
        <v>5</v>
      </c>
      <c r="F115" s="157">
        <f>ROUND(recipe!G83*P.sunday!F111,2)*1000</f>
        <v>0</v>
      </c>
      <c r="G115" s="155" t="s">
        <v>94</v>
      </c>
    </row>
    <row r="116" spans="1:7" x14ac:dyDescent="0.2">
      <c r="A116" s="3" t="s">
        <v>208</v>
      </c>
      <c r="B116" s="171">
        <f>ROUND(recipe!G60*P.sunday!B111,1)</f>
        <v>0</v>
      </c>
      <c r="C116" s="100" t="s">
        <v>87</v>
      </c>
      <c r="D116" s="101"/>
      <c r="E116" s="5" t="s">
        <v>6</v>
      </c>
      <c r="F116" s="157">
        <f>ROUND(recipe!G84*P.sunday!F111,2)*1000</f>
        <v>0</v>
      </c>
      <c r="G116" s="155" t="s">
        <v>94</v>
      </c>
    </row>
    <row r="117" spans="1:7" x14ac:dyDescent="0.2">
      <c r="C117" s="148"/>
      <c r="D117" s="101"/>
      <c r="E117" s="3" t="s">
        <v>12</v>
      </c>
      <c r="F117" s="157">
        <f>ROUND(recipe!G85*P.sunday!F111,1)*1000</f>
        <v>0</v>
      </c>
      <c r="G117" s="155" t="s">
        <v>94</v>
      </c>
    </row>
    <row r="118" spans="1:7" x14ac:dyDescent="0.2">
      <c r="B118" s="134">
        <f>B109/recipe!F61</f>
        <v>0</v>
      </c>
      <c r="D118" s="101"/>
      <c r="F118" s="134">
        <f>F109/recipe!F86</f>
        <v>0</v>
      </c>
      <c r="G118" s="148"/>
    </row>
    <row r="119" spans="1:7" x14ac:dyDescent="0.2">
      <c r="A119" s="59"/>
      <c r="B119" s="60"/>
      <c r="C119" s="135"/>
      <c r="D119" s="101"/>
      <c r="F119" s="97"/>
      <c r="G119" s="97"/>
    </row>
    <row r="120" spans="1:7" x14ac:dyDescent="0.2">
      <c r="B120" s="134"/>
      <c r="C120" s="135"/>
      <c r="G120" s="160"/>
    </row>
    <row r="121" spans="1:7" ht="15.75" x14ac:dyDescent="0.25">
      <c r="A121" s="176" t="s">
        <v>180</v>
      </c>
      <c r="B121" s="67">
        <f>sunday!R115</f>
        <v>0</v>
      </c>
      <c r="C121" s="54" t="s">
        <v>87</v>
      </c>
      <c r="D121" s="132"/>
      <c r="E121" s="176" t="s">
        <v>160</v>
      </c>
      <c r="F121" s="67">
        <f>sunday!R92</f>
        <v>0</v>
      </c>
      <c r="G121" s="54" t="s">
        <v>87</v>
      </c>
    </row>
    <row r="122" spans="1:7" x14ac:dyDescent="0.2">
      <c r="B122" s="420" t="s">
        <v>91</v>
      </c>
      <c r="C122" s="420"/>
      <c r="D122" s="80"/>
      <c r="F122" s="417" t="s">
        <v>91</v>
      </c>
      <c r="G122" s="417"/>
    </row>
    <row r="123" spans="1:7" x14ac:dyDescent="0.2">
      <c r="A123" s="244" t="s">
        <v>10</v>
      </c>
      <c r="B123" s="247">
        <f>ROUND(recipe!B93*P.sunday!B131,1)</f>
        <v>0</v>
      </c>
      <c r="C123" s="245" t="s">
        <v>87</v>
      </c>
      <c r="D123" s="80"/>
      <c r="E123" s="8" t="s">
        <v>247</v>
      </c>
      <c r="F123" s="267">
        <f>ROUND(fmnp*P.sunday!F131,1)</f>
        <v>0</v>
      </c>
      <c r="G123" s="70" t="s">
        <v>87</v>
      </c>
    </row>
    <row r="124" spans="1:7" x14ac:dyDescent="0.2">
      <c r="A124" s="244" t="s">
        <v>237</v>
      </c>
      <c r="B124" s="247">
        <f>ROUND(recipe!C94*P.sunday!B123,2)</f>
        <v>0</v>
      </c>
      <c r="C124" s="245" t="s">
        <v>92</v>
      </c>
      <c r="D124" s="80"/>
      <c r="E124" s="9" t="s">
        <v>246</v>
      </c>
      <c r="F124" s="258">
        <f>ROUND(recipe!G94*P.sunday!F123,2)</f>
        <v>0</v>
      </c>
      <c r="G124" s="146" t="s">
        <v>87</v>
      </c>
    </row>
    <row r="125" spans="1:7" x14ac:dyDescent="0.2">
      <c r="A125" s="244" t="s">
        <v>238</v>
      </c>
      <c r="B125" s="247">
        <f>ROUND(recipe!C95*P.sunday!B123,2)</f>
        <v>0</v>
      </c>
      <c r="C125" s="245" t="s">
        <v>92</v>
      </c>
      <c r="D125" s="80"/>
      <c r="E125" s="9" t="s">
        <v>3</v>
      </c>
      <c r="F125" s="259">
        <f>ROUND(recipe!G95*P.sunday!F123,2)</f>
        <v>0</v>
      </c>
      <c r="G125" s="146" t="s">
        <v>92</v>
      </c>
    </row>
    <row r="126" spans="1:7" x14ac:dyDescent="0.2">
      <c r="A126" s="244" t="s">
        <v>16</v>
      </c>
      <c r="B126" s="247">
        <f>ROUND(recipe!C96*P.sunday!B123,2)</f>
        <v>0</v>
      </c>
      <c r="C126" s="245" t="s">
        <v>87</v>
      </c>
      <c r="D126" s="80"/>
      <c r="E126" s="9" t="s">
        <v>5</v>
      </c>
      <c r="F126" s="260">
        <f>ROUND(recipe!G96*P.sunday!F123,2)*1000</f>
        <v>0</v>
      </c>
      <c r="G126" s="146" t="s">
        <v>94</v>
      </c>
    </row>
    <row r="127" spans="1:7" x14ac:dyDescent="0.2">
      <c r="A127" s="244" t="s">
        <v>12</v>
      </c>
      <c r="B127" s="248">
        <f>ROUND(recipe!C97*P.sunday!B123,2)*1000</f>
        <v>0</v>
      </c>
      <c r="C127" s="245" t="s">
        <v>94</v>
      </c>
      <c r="D127" s="80"/>
      <c r="E127" s="9"/>
      <c r="F127" s="260">
        <f>ROUND(recipe!G97*P.sunday!F123,2)*1000</f>
        <v>0</v>
      </c>
      <c r="G127" s="146" t="s">
        <v>94</v>
      </c>
    </row>
    <row r="128" spans="1:7" x14ac:dyDescent="0.2">
      <c r="A128" s="244" t="s">
        <v>5</v>
      </c>
      <c r="B128" s="248">
        <f>ROUND(recipe!C98*P.sunday!B123,2)*1000</f>
        <v>0</v>
      </c>
      <c r="C128" s="245" t="s">
        <v>94</v>
      </c>
      <c r="D128" s="80"/>
      <c r="E128" s="9"/>
      <c r="F128" s="260">
        <f>ROUND(recipe!G98*P.sunday!F123,2)*1000</f>
        <v>0</v>
      </c>
      <c r="G128" s="146" t="s">
        <v>94</v>
      </c>
    </row>
    <row r="129" spans="1:7" x14ac:dyDescent="0.2">
      <c r="A129" s="244" t="s">
        <v>4</v>
      </c>
      <c r="B129" s="248">
        <f>ROUND(recipe!C99*P.sunday!B123,2)*1000</f>
        <v>0</v>
      </c>
      <c r="C129" s="246" t="s">
        <v>94</v>
      </c>
      <c r="D129" s="101"/>
      <c r="E129" s="9"/>
      <c r="F129" s="260">
        <f>ROUND(recipe!G99*P.sunday!F123,2)*1000</f>
        <v>0</v>
      </c>
      <c r="G129" s="146" t="s">
        <v>94</v>
      </c>
    </row>
    <row r="130" spans="1:7" x14ac:dyDescent="0.2">
      <c r="A130" s="244" t="s">
        <v>6</v>
      </c>
      <c r="B130" s="248">
        <f>ROUND(recipe!C100*P.sunday!B123,2)*1000</f>
        <v>0</v>
      </c>
      <c r="C130" s="246" t="s">
        <v>94</v>
      </c>
      <c r="D130" s="101"/>
      <c r="E130" s="9"/>
      <c r="F130" s="260">
        <f>ROUND(recipe!G100*P.sunday!F123,2)*1000</f>
        <v>0</v>
      </c>
      <c r="G130" s="146" t="s">
        <v>94</v>
      </c>
    </row>
    <row r="131" spans="1:7" hidden="1" x14ac:dyDescent="0.2">
      <c r="B131" s="172">
        <f>B121/recipe!B101</f>
        <v>0</v>
      </c>
      <c r="C131" s="173"/>
      <c r="D131" s="101"/>
      <c r="E131" s="59"/>
      <c r="F131" s="60">
        <f>F121/recipe!F101</f>
        <v>0</v>
      </c>
      <c r="G131" s="148"/>
    </row>
    <row r="132" spans="1:7" x14ac:dyDescent="0.2">
      <c r="B132" s="134"/>
      <c r="C132" s="135"/>
      <c r="G132" s="160"/>
    </row>
    <row r="133" spans="1:7" ht="15.75" x14ac:dyDescent="0.25">
      <c r="A133" s="176" t="s">
        <v>250</v>
      </c>
      <c r="B133" s="67">
        <f>sunday!R76</f>
        <v>0</v>
      </c>
      <c r="C133" s="54" t="s">
        <v>87</v>
      </c>
      <c r="D133" s="132"/>
      <c r="E133" s="176" t="s">
        <v>265</v>
      </c>
      <c r="F133" s="67"/>
      <c r="G133" s="54" t="s">
        <v>87</v>
      </c>
    </row>
    <row r="134" spans="1:7" x14ac:dyDescent="0.2">
      <c r="B134" s="417" t="s">
        <v>91</v>
      </c>
      <c r="C134" s="417"/>
      <c r="D134" s="80"/>
      <c r="F134" s="417" t="s">
        <v>91</v>
      </c>
      <c r="G134" s="417"/>
    </row>
    <row r="135" spans="1:7" x14ac:dyDescent="0.2">
      <c r="A135" s="2" t="s">
        <v>266</v>
      </c>
      <c r="B135" s="69">
        <f>ROUND(recipe!B155*P.sunday!B139,1)</f>
        <v>0</v>
      </c>
      <c r="C135" s="70" t="s">
        <v>87</v>
      </c>
      <c r="D135" s="101"/>
      <c r="E135" s="2" t="s">
        <v>248</v>
      </c>
      <c r="F135" s="69">
        <f>ROUND(recipe!B145*P.sunday!F139,1)</f>
        <v>0</v>
      </c>
      <c r="G135" s="70" t="s">
        <v>87</v>
      </c>
    </row>
    <row r="136" spans="1:7" x14ac:dyDescent="0.2">
      <c r="A136" s="5" t="s">
        <v>3</v>
      </c>
      <c r="B136" s="69">
        <f>ROUND(recipe!C156*P.sunday!B135,1)</f>
        <v>0</v>
      </c>
      <c r="C136" s="71" t="s">
        <v>92</v>
      </c>
      <c r="D136" s="101"/>
      <c r="E136" s="5" t="s">
        <v>3</v>
      </c>
      <c r="F136" s="69">
        <f>ROUND(recipe!C146*P.sunday!F135,1)</f>
        <v>0</v>
      </c>
      <c r="G136" s="71" t="s">
        <v>92</v>
      </c>
    </row>
    <row r="137" spans="1:7" x14ac:dyDescent="0.2">
      <c r="A137" s="5" t="s">
        <v>5</v>
      </c>
      <c r="B137" s="72">
        <f>ROUND(recipe!C157*P.sunday!B135,2)*1000</f>
        <v>0</v>
      </c>
      <c r="C137" s="146" t="s">
        <v>94</v>
      </c>
      <c r="D137" s="101"/>
      <c r="E137" s="5" t="s">
        <v>5</v>
      </c>
      <c r="F137" s="72">
        <f>ROUND(recipe!C147*P.sunday!F135,2)*1000</f>
        <v>0</v>
      </c>
      <c r="G137" s="146" t="s">
        <v>94</v>
      </c>
    </row>
    <row r="138" spans="1:7" x14ac:dyDescent="0.2">
      <c r="A138" s="63" t="s">
        <v>246</v>
      </c>
      <c r="B138" s="166">
        <f>ROUND(recipe!C158*P.sunday!B135,1)</f>
        <v>0</v>
      </c>
      <c r="C138" s="165" t="s">
        <v>87</v>
      </c>
      <c r="D138" s="101"/>
      <c r="E138" s="63" t="s">
        <v>246</v>
      </c>
      <c r="F138" s="166">
        <f>ROUND(recipe!C148*P.sunday!F135,1)</f>
        <v>0</v>
      </c>
      <c r="G138" s="165" t="s">
        <v>87</v>
      </c>
    </row>
    <row r="139" spans="1:7" hidden="1" x14ac:dyDescent="0.2">
      <c r="B139" s="166">
        <f>B133/recipe!B159</f>
        <v>0</v>
      </c>
      <c r="C139" s="148"/>
      <c r="D139" s="101"/>
      <c r="F139" s="166">
        <f>F133/recipe!B149</f>
        <v>0</v>
      </c>
      <c r="G139" s="148"/>
    </row>
    <row r="140" spans="1:7" x14ac:dyDescent="0.2">
      <c r="B140" s="134"/>
      <c r="C140" s="135"/>
      <c r="G140" s="160"/>
    </row>
    <row r="141" spans="1:7" ht="15.75" x14ac:dyDescent="0.25">
      <c r="A141" s="176" t="s">
        <v>156</v>
      </c>
      <c r="B141" s="68">
        <f>sunday!R48</f>
        <v>0</v>
      </c>
      <c r="C141" s="54" t="s">
        <v>87</v>
      </c>
      <c r="D141" s="132"/>
      <c r="E141" s="176" t="s">
        <v>164</v>
      </c>
      <c r="F141" s="67">
        <f>sunday!R33</f>
        <v>0</v>
      </c>
      <c r="G141" s="54" t="s">
        <v>87</v>
      </c>
    </row>
    <row r="142" spans="1:7" x14ac:dyDescent="0.2">
      <c r="B142" s="417" t="s">
        <v>91</v>
      </c>
      <c r="C142" s="417"/>
      <c r="D142" s="80"/>
      <c r="F142" s="417" t="s">
        <v>91</v>
      </c>
      <c r="G142" s="417"/>
    </row>
    <row r="143" spans="1:7" x14ac:dyDescent="0.2">
      <c r="A143" s="2" t="s">
        <v>251</v>
      </c>
      <c r="B143" s="69">
        <f>ROUND(fbpp*P.sunday!B147,1)</f>
        <v>0</v>
      </c>
      <c r="C143" s="70" t="s">
        <v>87</v>
      </c>
      <c r="D143" s="101"/>
      <c r="E143" s="8" t="s">
        <v>10</v>
      </c>
      <c r="F143" s="250">
        <f>ROUND(pssp*P.sunday!F147,1)</f>
        <v>0</v>
      </c>
      <c r="G143" s="154" t="s">
        <v>87</v>
      </c>
    </row>
    <row r="144" spans="1:7" x14ac:dyDescent="0.2">
      <c r="A144" s="5" t="s">
        <v>3</v>
      </c>
      <c r="B144" s="162">
        <f>ROUND(recipe!C109*P.sunday!B143,1)</f>
        <v>0</v>
      </c>
      <c r="C144" s="146" t="s">
        <v>92</v>
      </c>
      <c r="D144" s="101"/>
      <c r="E144" s="8" t="s">
        <v>170</v>
      </c>
      <c r="F144" s="262">
        <f>ROUND(recipe!G109*P.sunday!F143,1)</f>
        <v>0</v>
      </c>
      <c r="G144" s="100" t="s">
        <v>87</v>
      </c>
    </row>
    <row r="145" spans="1:8" x14ac:dyDescent="0.2">
      <c r="A145" s="5" t="s">
        <v>5</v>
      </c>
      <c r="B145" s="142">
        <f>ROUND(recipe!C110*P.sunday!B143,2)*1000</f>
        <v>0</v>
      </c>
      <c r="C145" s="146" t="s">
        <v>94</v>
      </c>
      <c r="D145" s="101"/>
      <c r="E145" s="8" t="s">
        <v>3</v>
      </c>
      <c r="F145" s="250">
        <f>ROUND(recipe!G110*P.sunday!F143,1)</f>
        <v>0</v>
      </c>
      <c r="G145" s="154" t="s">
        <v>87</v>
      </c>
    </row>
    <row r="146" spans="1:8" x14ac:dyDescent="0.2">
      <c r="A146" s="3" t="s">
        <v>246</v>
      </c>
      <c r="B146" s="151">
        <f>ROUND(recipe!C111*P.sunday!B143,1)</f>
        <v>0</v>
      </c>
      <c r="C146" s="163" t="s">
        <v>87</v>
      </c>
      <c r="D146" s="101"/>
      <c r="E146" s="8" t="s">
        <v>5</v>
      </c>
      <c r="F146" s="261">
        <f>ROUND(recipe!G111*P.sunday!F143,2)*1000</f>
        <v>0</v>
      </c>
      <c r="G146" s="100" t="s">
        <v>94</v>
      </c>
    </row>
    <row r="147" spans="1:8" hidden="1" x14ac:dyDescent="0.2">
      <c r="B147" s="134">
        <f>B141/recipe!B113</f>
        <v>0</v>
      </c>
      <c r="C147" s="135"/>
      <c r="F147" s="170">
        <f>F141/recipe!F114</f>
        <v>0</v>
      </c>
      <c r="G147" s="148"/>
    </row>
    <row r="148" spans="1:8" x14ac:dyDescent="0.2">
      <c r="B148" s="134"/>
      <c r="C148" s="135"/>
      <c r="F148" s="166"/>
      <c r="G148" s="148"/>
    </row>
    <row r="149" spans="1:8" ht="15.75" x14ac:dyDescent="0.25">
      <c r="A149" s="176" t="s">
        <v>281</v>
      </c>
      <c r="B149" s="53">
        <f>sunday!R105</f>
        <v>0</v>
      </c>
      <c r="C149" s="54" t="s">
        <v>87</v>
      </c>
      <c r="D149" s="132"/>
      <c r="E149" s="176" t="s">
        <v>13</v>
      </c>
      <c r="F149" s="64">
        <f>sunday!R153</f>
        <v>0</v>
      </c>
      <c r="G149" s="54" t="s">
        <v>87</v>
      </c>
      <c r="H149" s="57"/>
    </row>
    <row r="150" spans="1:8" x14ac:dyDescent="0.2">
      <c r="B150" s="417" t="s">
        <v>91</v>
      </c>
      <c r="C150" s="417"/>
      <c r="D150" s="80"/>
      <c r="F150" s="417" t="s">
        <v>91</v>
      </c>
      <c r="G150" s="417"/>
      <c r="H150" s="80"/>
    </row>
    <row r="151" spans="1:8" x14ac:dyDescent="0.2">
      <c r="A151" s="2" t="s">
        <v>10</v>
      </c>
      <c r="B151" s="161">
        <f>ROUND(fpsfgr*P.sunday!B158,0)</f>
        <v>0</v>
      </c>
      <c r="C151" s="154" t="s">
        <v>87</v>
      </c>
      <c r="D151" s="101"/>
      <c r="E151" s="2" t="s">
        <v>15</v>
      </c>
      <c r="F151" s="152">
        <f>ROUND(frr*P.sunday!F158,1)</f>
        <v>0</v>
      </c>
      <c r="G151" s="141" t="s">
        <v>87</v>
      </c>
      <c r="H151" s="101"/>
    </row>
    <row r="152" spans="1:8" x14ac:dyDescent="0.2">
      <c r="A152" s="5" t="s">
        <v>3</v>
      </c>
      <c r="B152" s="169">
        <f>ROUND(recipe!G156*P.sunday!B151,1)</f>
        <v>0</v>
      </c>
      <c r="C152" s="155" t="s">
        <v>92</v>
      </c>
      <c r="D152" s="101"/>
      <c r="E152" s="5" t="s">
        <v>3</v>
      </c>
      <c r="F152" s="144">
        <f>ROUND(recipe!C33*P.sunday!F151,1)</f>
        <v>0</v>
      </c>
      <c r="G152" s="143" t="s">
        <v>92</v>
      </c>
      <c r="H152" s="101"/>
    </row>
    <row r="153" spans="1:8" x14ac:dyDescent="0.2">
      <c r="A153" s="5" t="s">
        <v>205</v>
      </c>
      <c r="B153" s="169">
        <f>ROUND(recipe!G157*P.sunday!B151,1)</f>
        <v>0</v>
      </c>
      <c r="C153" s="155" t="s">
        <v>87</v>
      </c>
      <c r="D153" s="101"/>
      <c r="E153" s="5" t="s">
        <v>5</v>
      </c>
      <c r="F153" s="145">
        <f>ROUND(recipe!C34*P.sunday!F151,2)</f>
        <v>0</v>
      </c>
      <c r="G153" s="146" t="s">
        <v>87</v>
      </c>
      <c r="H153" s="101"/>
    </row>
    <row r="154" spans="1:8" x14ac:dyDescent="0.2">
      <c r="A154" s="5" t="s">
        <v>4</v>
      </c>
      <c r="B154" s="157">
        <f>ROUND(recipe!G158*P.sunday!B151,2)*1000</f>
        <v>0</v>
      </c>
      <c r="C154" s="155" t="s">
        <v>94</v>
      </c>
      <c r="D154" s="101"/>
      <c r="E154" s="5" t="s">
        <v>16</v>
      </c>
      <c r="F154" s="145">
        <f>ROUND(recipe!C35*P.sunday!F151,1)</f>
        <v>0</v>
      </c>
      <c r="G154" s="146" t="s">
        <v>87</v>
      </c>
      <c r="H154" s="101"/>
    </row>
    <row r="155" spans="1:8" ht="12.75" customHeight="1" x14ac:dyDescent="0.2">
      <c r="A155" s="5" t="s">
        <v>5</v>
      </c>
      <c r="B155" s="157">
        <f>ROUND(recipe!G159*P.sunday!B151,2)*1000</f>
        <v>0</v>
      </c>
      <c r="C155" s="155" t="s">
        <v>94</v>
      </c>
      <c r="D155" s="101"/>
      <c r="E155" s="65"/>
      <c r="F155" s="97"/>
      <c r="G155" s="143"/>
      <c r="H155" s="101"/>
    </row>
    <row r="156" spans="1:8" x14ac:dyDescent="0.2">
      <c r="A156" s="5" t="s">
        <v>6</v>
      </c>
      <c r="B156" s="157">
        <f>ROUND(recipe!G160*P.sunday!B151,2)*1000</f>
        <v>0</v>
      </c>
      <c r="C156" s="155" t="s">
        <v>94</v>
      </c>
      <c r="D156" s="101"/>
      <c r="E156" s="231"/>
      <c r="G156" s="156"/>
      <c r="H156" s="101"/>
    </row>
    <row r="157" spans="1:8" x14ac:dyDescent="0.2">
      <c r="A157" s="3" t="s">
        <v>12</v>
      </c>
      <c r="B157" s="157">
        <f>ROUND(recipe!G161*P.sunday!B151,1)*1000</f>
        <v>0</v>
      </c>
      <c r="C157" s="155" t="s">
        <v>94</v>
      </c>
      <c r="D157" s="101"/>
      <c r="E157" s="231"/>
      <c r="G157" s="156"/>
      <c r="H157" s="101"/>
    </row>
    <row r="158" spans="1:8" ht="25.9" hidden="1" customHeight="1" x14ac:dyDescent="0.2">
      <c r="B158" s="134">
        <f>B149/recipe!F162</f>
        <v>0</v>
      </c>
      <c r="C158" s="148"/>
      <c r="F158" s="134">
        <f>F149/recipe!B39</f>
        <v>0</v>
      </c>
      <c r="G158" s="160"/>
    </row>
    <row r="159" spans="1:8" ht="18" x14ac:dyDescent="0.25">
      <c r="A159" s="422" t="s">
        <v>97</v>
      </c>
      <c r="B159" s="365"/>
      <c r="C159" s="365"/>
      <c r="D159" s="366"/>
      <c r="E159" s="367"/>
      <c r="G159" s="160"/>
      <c r="H159" s="108"/>
    </row>
    <row r="160" spans="1:8" ht="18" x14ac:dyDescent="0.25">
      <c r="A160" s="422"/>
      <c r="B160" s="368"/>
      <c r="C160" s="368"/>
      <c r="D160" s="369"/>
      <c r="E160" s="370" t="s">
        <v>98</v>
      </c>
      <c r="G160" s="174"/>
      <c r="H160" s="103"/>
    </row>
    <row r="161" spans="1:10" ht="15.75" x14ac:dyDescent="0.2">
      <c r="A161" s="73"/>
      <c r="B161" s="175"/>
      <c r="C161" s="175"/>
      <c r="D161" s="103"/>
      <c r="E161" s="74"/>
      <c r="G161" s="174"/>
      <c r="H161" s="103"/>
    </row>
    <row r="162" spans="1:10" s="78" customFormat="1" ht="30" customHeight="1" x14ac:dyDescent="0.45">
      <c r="A162" s="423" t="s">
        <v>99</v>
      </c>
      <c r="B162" s="423"/>
      <c r="C162" s="423"/>
      <c r="D162" s="423"/>
      <c r="E162" s="371">
        <f>sunday!S122/15</f>
        <v>0</v>
      </c>
      <c r="F162" s="75"/>
      <c r="G162" s="76"/>
      <c r="H162" s="77"/>
      <c r="J162" s="179"/>
    </row>
    <row r="163" spans="1:10" s="78" customFormat="1" ht="30" customHeight="1" x14ac:dyDescent="0.45">
      <c r="A163" s="421" t="s">
        <v>100</v>
      </c>
      <c r="B163" s="421"/>
      <c r="C163" s="421"/>
      <c r="D163" s="421"/>
      <c r="E163" s="371">
        <f>sunday!S123/15</f>
        <v>0</v>
      </c>
      <c r="F163" s="75"/>
      <c r="G163" s="76"/>
      <c r="H163" s="77"/>
      <c r="J163" s="179"/>
    </row>
    <row r="164" spans="1:10" s="78" customFormat="1" ht="30" customHeight="1" x14ac:dyDescent="0.45">
      <c r="A164" s="421" t="s">
        <v>101</v>
      </c>
      <c r="B164" s="421"/>
      <c r="C164" s="421"/>
      <c r="D164" s="421"/>
      <c r="E164" s="371">
        <f>sunday!S124/15</f>
        <v>0</v>
      </c>
      <c r="F164" s="75"/>
      <c r="G164" s="76"/>
      <c r="H164" s="77"/>
      <c r="J164" s="179"/>
    </row>
    <row r="165" spans="1:10" s="78" customFormat="1" ht="30" customHeight="1" x14ac:dyDescent="0.45">
      <c r="A165" s="421" t="s">
        <v>209</v>
      </c>
      <c r="B165" s="421"/>
      <c r="C165" s="421"/>
      <c r="D165" s="421"/>
      <c r="E165" s="371">
        <f>sunday!S125/15</f>
        <v>0</v>
      </c>
      <c r="F165" s="75"/>
      <c r="G165" s="76"/>
      <c r="H165" s="77"/>
      <c r="J165" s="179"/>
    </row>
    <row r="166" spans="1:10" s="78" customFormat="1" ht="30" customHeight="1" x14ac:dyDescent="0.45">
      <c r="A166" s="421" t="s">
        <v>210</v>
      </c>
      <c r="B166" s="421"/>
      <c r="C166" s="421"/>
      <c r="D166" s="421"/>
      <c r="E166" s="371">
        <f>sunday!S121/30</f>
        <v>0</v>
      </c>
      <c r="F166" s="75"/>
      <c r="G166" s="79"/>
      <c r="J166" s="179"/>
    </row>
    <row r="167" spans="1:10" s="78" customFormat="1" ht="30" customHeight="1" x14ac:dyDescent="0.45">
      <c r="A167" s="421" t="s">
        <v>212</v>
      </c>
      <c r="B167" s="421"/>
      <c r="C167" s="421"/>
      <c r="D167" s="421"/>
      <c r="E167" s="371">
        <f>sunday!S126/30</f>
        <v>0</v>
      </c>
      <c r="F167" s="75"/>
      <c r="G167" s="79"/>
      <c r="J167" s="179"/>
    </row>
    <row r="168" spans="1:10" s="78" customFormat="1" ht="30" customHeight="1" x14ac:dyDescent="0.45">
      <c r="A168" s="421" t="s">
        <v>213</v>
      </c>
      <c r="B168" s="421"/>
      <c r="C168" s="421"/>
      <c r="D168" s="421"/>
      <c r="E168" s="371">
        <f>sunday!S127/30</f>
        <v>0</v>
      </c>
      <c r="F168" s="75"/>
      <c r="G168" s="79"/>
      <c r="J168" s="179"/>
    </row>
    <row r="169" spans="1:10" s="78" customFormat="1" ht="30" customHeight="1" x14ac:dyDescent="0.45">
      <c r="A169" s="363" t="s">
        <v>214</v>
      </c>
      <c r="B169" s="363"/>
      <c r="C169" s="363"/>
      <c r="D169" s="363"/>
      <c r="E169" s="371">
        <f>sunday!S128/30</f>
        <v>0</v>
      </c>
      <c r="F169" s="75"/>
      <c r="G169" s="79"/>
      <c r="J169" s="179"/>
    </row>
    <row r="170" spans="1:10" s="78" customFormat="1" ht="30" customHeight="1" x14ac:dyDescent="0.45">
      <c r="A170" s="363" t="s">
        <v>219</v>
      </c>
      <c r="B170" s="363"/>
      <c r="C170" s="363"/>
      <c r="D170" s="363"/>
      <c r="E170" s="371">
        <f>sunday!S129/12</f>
        <v>0</v>
      </c>
      <c r="F170" s="75"/>
      <c r="G170" s="79"/>
      <c r="J170" s="179"/>
    </row>
    <row r="171" spans="1:10" s="78" customFormat="1" ht="30" customHeight="1" x14ac:dyDescent="0.45">
      <c r="A171" s="363" t="s">
        <v>216</v>
      </c>
      <c r="B171" s="363"/>
      <c r="C171" s="363"/>
      <c r="D171" s="363"/>
      <c r="E171" s="372">
        <f>sunday!S131</f>
        <v>0</v>
      </c>
      <c r="F171" s="75"/>
      <c r="G171" s="79"/>
      <c r="J171" s="179"/>
    </row>
    <row r="172" spans="1:10" s="78" customFormat="1" ht="30" customHeight="1" x14ac:dyDescent="0.45">
      <c r="A172" s="364" t="s">
        <v>220</v>
      </c>
      <c r="B172" s="364"/>
      <c r="C172" s="364"/>
      <c r="D172" s="364"/>
      <c r="E172" s="371">
        <f>sunday!S134/15</f>
        <v>0</v>
      </c>
      <c r="F172" s="75"/>
      <c r="G172" s="79"/>
      <c r="J172" s="179"/>
    </row>
    <row r="173" spans="1:10" s="78" customFormat="1" ht="30" customHeight="1" x14ac:dyDescent="0.45">
      <c r="A173" s="364" t="s">
        <v>222</v>
      </c>
      <c r="B173" s="364"/>
      <c r="C173" s="364"/>
      <c r="D173" s="364"/>
      <c r="E173" s="371">
        <f>sunday!S135/12</f>
        <v>0</v>
      </c>
      <c r="F173" s="75"/>
      <c r="G173" s="79"/>
      <c r="J173" s="179"/>
    </row>
    <row r="174" spans="1:10" s="78" customFormat="1" ht="30" customHeight="1" x14ac:dyDescent="0.45">
      <c r="A174" s="363" t="s">
        <v>221</v>
      </c>
      <c r="B174" s="363"/>
      <c r="C174" s="363"/>
      <c r="D174" s="363"/>
      <c r="E174" s="371">
        <f>sunday!S136/15</f>
        <v>0</v>
      </c>
      <c r="F174" s="75"/>
      <c r="G174" s="79"/>
      <c r="J174" s="179"/>
    </row>
    <row r="175" spans="1:10" s="78" customFormat="1" ht="30" customHeight="1" x14ac:dyDescent="0.45">
      <c r="A175" s="363" t="s">
        <v>277</v>
      </c>
      <c r="B175" s="363"/>
      <c r="C175" s="363"/>
      <c r="D175" s="363"/>
      <c r="E175" s="371">
        <f>sunday!S137/15</f>
        <v>0</v>
      </c>
      <c r="F175" s="75"/>
      <c r="G175" s="79"/>
      <c r="J175" s="179"/>
    </row>
    <row r="176" spans="1:10" s="78" customFormat="1" ht="34.5" x14ac:dyDescent="0.45">
      <c r="A176" s="364" t="s">
        <v>278</v>
      </c>
      <c r="B176" s="364"/>
      <c r="C176" s="364"/>
      <c r="D176" s="364"/>
      <c r="E176" s="371">
        <f>sunday!S138/15</f>
        <v>0</v>
      </c>
      <c r="F176" s="75"/>
      <c r="G176" s="79"/>
      <c r="J176" s="179"/>
    </row>
    <row r="182" spans="2:2" x14ac:dyDescent="0.2">
      <c r="B182" s="97" t="s">
        <v>102</v>
      </c>
    </row>
  </sheetData>
  <sheetProtection password="C71F" sheet="1" objects="1" scenarios="1"/>
  <mergeCells count="38">
    <mergeCell ref="A165:D165"/>
    <mergeCell ref="A166:D166"/>
    <mergeCell ref="A167:D167"/>
    <mergeCell ref="A168:D168"/>
    <mergeCell ref="B150:C150"/>
    <mergeCell ref="F150:G150"/>
    <mergeCell ref="A159:A160"/>
    <mergeCell ref="A162:D162"/>
    <mergeCell ref="A163:D163"/>
    <mergeCell ref="A164:D164"/>
    <mergeCell ref="B142:C142"/>
    <mergeCell ref="F142:G142"/>
    <mergeCell ref="B60:C60"/>
    <mergeCell ref="F60:G60"/>
    <mergeCell ref="B71:C71"/>
    <mergeCell ref="F71:G71"/>
    <mergeCell ref="B100:C100"/>
    <mergeCell ref="F100:G100"/>
    <mergeCell ref="B110:C110"/>
    <mergeCell ref="F110:G110"/>
    <mergeCell ref="B122:C122"/>
    <mergeCell ref="F122:G122"/>
    <mergeCell ref="F134:G134"/>
    <mergeCell ref="B26:C26"/>
    <mergeCell ref="F26:G26"/>
    <mergeCell ref="B134:C134"/>
    <mergeCell ref="A4:E4"/>
    <mergeCell ref="B7:C7"/>
    <mergeCell ref="F7:G7"/>
    <mergeCell ref="B16:C16"/>
    <mergeCell ref="F16:G16"/>
    <mergeCell ref="B39:C39"/>
    <mergeCell ref="F39:G39"/>
    <mergeCell ref="B47:C47"/>
    <mergeCell ref="F47:G47"/>
    <mergeCell ref="B53:C53"/>
    <mergeCell ref="F53:G53"/>
    <mergeCell ref="F79:G79"/>
  </mergeCells>
  <printOptions horizontalCentered="1"/>
  <pageMargins left="0.196850393700787" right="0.196850393700787" top="0.39370078740157499" bottom="0.196850393700787" header="0.31496062992126" footer="0.31496062992126"/>
  <pageSetup paperSize="9" scale="78" orientation="portrait" r:id="rId1"/>
  <headerFooter alignWithMargins="0">
    <oddFooter>&amp;Lécole boulangerie&amp;CPage &amp;P</oddFooter>
  </headerFooter>
  <rowBreaks count="1" manualBreakCount="1">
    <brk id="158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50</vt:i4>
      </vt:variant>
    </vt:vector>
  </HeadingPairs>
  <TitlesOfParts>
    <vt:vector size="66" baseType="lpstr">
      <vt:lpstr>recipe</vt:lpstr>
      <vt:lpstr>PV</vt:lpstr>
      <vt:lpstr>Monday</vt:lpstr>
      <vt:lpstr>P.Monday</vt:lpstr>
      <vt:lpstr>tuesday</vt:lpstr>
      <vt:lpstr>P.tuesday</vt:lpstr>
      <vt:lpstr>wednesday</vt:lpstr>
      <vt:lpstr>P.wednesday</vt:lpstr>
      <vt:lpstr>thursday</vt:lpstr>
      <vt:lpstr>P.Thursday</vt:lpstr>
      <vt:lpstr>friday</vt:lpstr>
      <vt:lpstr>P.Friday</vt:lpstr>
      <vt:lpstr>Saturday</vt:lpstr>
      <vt:lpstr>P.Saturday</vt:lpstr>
      <vt:lpstr>sunday</vt:lpstr>
      <vt:lpstr>P.sunday</vt:lpstr>
      <vt:lpstr>cv</vt:lpstr>
      <vt:lpstr>CW</vt:lpstr>
      <vt:lpstr>CX</vt:lpstr>
      <vt:lpstr>farine</vt:lpstr>
      <vt:lpstr>fasr</vt:lpstr>
      <vt:lpstr>fbpp</vt:lpstr>
      <vt:lpstr>fbr</vt:lpstr>
      <vt:lpstr>fcr</vt:lpstr>
      <vt:lpstr>fcre</vt:lpstr>
      <vt:lpstr>flr</vt:lpstr>
      <vt:lpstr>fmnp</vt:lpstr>
      <vt:lpstr>fpbr</vt:lpstr>
      <vt:lpstr>fpcr</vt:lpstr>
      <vt:lpstr>fpsfgr</vt:lpstr>
      <vt:lpstr>frr</vt:lpstr>
      <vt:lpstr>ftf</vt:lpstr>
      <vt:lpstr>fvr</vt:lpstr>
      <vt:lpstr>friday!Print_Area</vt:lpstr>
      <vt:lpstr>Monday!Print_Area</vt:lpstr>
      <vt:lpstr>P.Friday!Print_Area</vt:lpstr>
      <vt:lpstr>P.Monday!Print_Area</vt:lpstr>
      <vt:lpstr>P.Saturday!Print_Area</vt:lpstr>
      <vt:lpstr>P.sunday!Print_Area</vt:lpstr>
      <vt:lpstr>P.Thursday!Print_Area</vt:lpstr>
      <vt:lpstr>P.tuesday!Print_Area</vt:lpstr>
      <vt:lpstr>P.wednesday!Print_Area</vt:lpstr>
      <vt:lpstr>recipe!Print_Area</vt:lpstr>
      <vt:lpstr>Saturday!Print_Area</vt:lpstr>
      <vt:lpstr>sunday!Print_Area</vt:lpstr>
      <vt:lpstr>thursday!Print_Area</vt:lpstr>
      <vt:lpstr>tuesday!Print_Area</vt:lpstr>
      <vt:lpstr>wednesday!Print_Area</vt:lpstr>
      <vt:lpstr>friday!Print_Titles</vt:lpstr>
      <vt:lpstr>Monday!Print_Titles</vt:lpstr>
      <vt:lpstr>P.Friday!Print_Titles</vt:lpstr>
      <vt:lpstr>P.Monday!Print_Titles</vt:lpstr>
      <vt:lpstr>P.Saturday!Print_Titles</vt:lpstr>
      <vt:lpstr>P.sunday!Print_Titles</vt:lpstr>
      <vt:lpstr>P.Thursday!Print_Titles</vt:lpstr>
      <vt:lpstr>P.tuesday!Print_Titles</vt:lpstr>
      <vt:lpstr>P.wednesday!Print_Titles</vt:lpstr>
      <vt:lpstr>Saturday!Print_Titles</vt:lpstr>
      <vt:lpstr>sunday!Print_Titles</vt:lpstr>
      <vt:lpstr>thursday!Print_Titles</vt:lpstr>
      <vt:lpstr>tuesday!Print_Titles</vt:lpstr>
      <vt:lpstr>wednesday!Print_Titles</vt:lpstr>
      <vt:lpstr>prnr</vt:lpstr>
      <vt:lpstr>prr</vt:lpstr>
      <vt:lpstr>psr</vt:lpstr>
      <vt:lpstr>pssp</vt:lpstr>
    </vt:vector>
  </TitlesOfParts>
  <Company>MAF HyperMarkets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GCC- Frederick Hameau</dc:creator>
  <cp:lastModifiedBy>Ghaith Bsaiso (UAE)</cp:lastModifiedBy>
  <cp:lastPrinted>2016-05-02T13:51:01Z</cp:lastPrinted>
  <dcterms:created xsi:type="dcterms:W3CDTF">2013-10-27T08:59:25Z</dcterms:created>
  <dcterms:modified xsi:type="dcterms:W3CDTF">2018-11-26T12:07:02Z</dcterms:modified>
</cp:coreProperties>
</file>