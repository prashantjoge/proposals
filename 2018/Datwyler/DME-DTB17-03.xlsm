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atshaabans\Documents\Presentations\Switzerland Global sales June 2017\"/>
    </mc:Choice>
  </mc:AlternateContent>
  <workbookProtection workbookAlgorithmName="SHA-512" workbookHashValue="Ey20/4qoVpFvZdCr+tHKWFv+qVtPHUgGZQlmkyvgEbCJs1d5ivd0PBvaemJ47PF7X5wlcpneJo9/n9HKcPQ4sg==" workbookSaltValue="KJYArdoYUgg8U+IZekDBqw==" workbookSpinCount="100000" lockStructure="1"/>
  <bookViews>
    <workbookView xWindow="0" yWindow="0" windowWidth="15360" windowHeight="7200" firstSheet="2" activeTab="2"/>
  </bookViews>
  <sheets>
    <sheet name="Full_data" sheetId="6" state="hidden" r:id="rId1"/>
    <sheet name="BoQ" sheetId="10" state="hidden" r:id="rId2"/>
    <sheet name="HOME" sheetId="7" r:id="rId3"/>
    <sheet name="Quote" sheetId="9" state="hidden" r:id="rId4"/>
    <sheet name="Input_Design" sheetId="11" state="hidden" r:id="rId5"/>
    <sheet name="Design" sheetId="12" state="hidden" r:id="rId6"/>
    <sheet name="Logistics" sheetId="15" state="hidden" r:id="rId7"/>
    <sheet name="FO" sheetId="13" state="hidden" r:id="rId8"/>
    <sheet name="CU" sheetId="14" state="hidden" r:id="rId9"/>
  </sheets>
  <functionGroups builtInGroupCount="18"/>
  <definedNames>
    <definedName name="_xlnm._FilterDatabase" localSheetId="0" hidden="1">Full_data!$A$8:$J$878</definedName>
    <definedName name="_xlnm._FilterDatabase" localSheetId="2" hidden="1">HOME!$B$5:$J$875</definedName>
    <definedName name="_xlnm._FilterDatabase" localSheetId="6" hidden="1">Logistics!$A$1:$O$534</definedName>
    <definedName name="_xlnm.Print_Area" localSheetId="5">Design!$F$1:$L$92</definedName>
    <definedName name="_xlnm.Print_Area" localSheetId="3">Quote!$B$2:$I$288</definedName>
    <definedName name="search_results.html?id_41_tx_kesearch_pi1_5Bsword_5D__tx_kesearch_pi1_5Bpage_5D_1_tx_kesearch_pi1_5BresetFilters_5D_0_tx_kesearch_pi1_5BsortByField_5D__tx_kesearch_pi1_5BsortByDir_5D" localSheetId="2">HOME!#REF!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0" l="1"/>
  <c r="O6" i="10"/>
  <c r="P504" i="10"/>
  <c r="O504" i="10"/>
  <c r="P503" i="10"/>
  <c r="O503" i="10"/>
  <c r="P502" i="10"/>
  <c r="O502" i="10"/>
  <c r="P501" i="10"/>
  <c r="O501" i="10"/>
  <c r="P500" i="10"/>
  <c r="O500" i="10"/>
  <c r="P499" i="10"/>
  <c r="O499" i="10"/>
  <c r="P498" i="10"/>
  <c r="O498" i="10"/>
  <c r="P497" i="10"/>
  <c r="O497" i="10"/>
  <c r="P496" i="10"/>
  <c r="O496" i="10"/>
  <c r="P495" i="10"/>
  <c r="O495" i="10"/>
  <c r="P494" i="10"/>
  <c r="O494" i="10"/>
  <c r="P493" i="10"/>
  <c r="O493" i="10"/>
  <c r="P492" i="10"/>
  <c r="O492" i="10"/>
  <c r="P491" i="10"/>
  <c r="O491" i="10"/>
  <c r="P490" i="10"/>
  <c r="O490" i="10"/>
  <c r="P489" i="10"/>
  <c r="O489" i="10"/>
  <c r="P488" i="10"/>
  <c r="O488" i="10"/>
  <c r="P487" i="10"/>
  <c r="O487" i="10"/>
  <c r="P486" i="10"/>
  <c r="O486" i="10"/>
  <c r="P485" i="10"/>
  <c r="O485" i="10"/>
  <c r="P484" i="10"/>
  <c r="O484" i="10"/>
  <c r="P483" i="10"/>
  <c r="O483" i="10"/>
  <c r="P482" i="10"/>
  <c r="O482" i="10"/>
  <c r="P481" i="10"/>
  <c r="O481" i="10"/>
  <c r="P480" i="10"/>
  <c r="O480" i="10"/>
  <c r="P479" i="10"/>
  <c r="O479" i="10"/>
  <c r="P478" i="10"/>
  <c r="O478" i="10"/>
  <c r="P477" i="10"/>
  <c r="O477" i="10"/>
  <c r="P476" i="10"/>
  <c r="O476" i="10"/>
  <c r="P475" i="10"/>
  <c r="O475" i="10"/>
  <c r="P474" i="10"/>
  <c r="O474" i="10"/>
  <c r="P473" i="10"/>
  <c r="O473" i="10"/>
  <c r="P472" i="10"/>
  <c r="O472" i="10"/>
  <c r="P471" i="10"/>
  <c r="O471" i="10"/>
  <c r="P470" i="10"/>
  <c r="O470" i="10"/>
  <c r="P469" i="10"/>
  <c r="O469" i="10"/>
  <c r="P468" i="10"/>
  <c r="O468" i="10"/>
  <c r="P467" i="10"/>
  <c r="O467" i="10"/>
  <c r="P466" i="10"/>
  <c r="O466" i="10"/>
  <c r="P465" i="10"/>
  <c r="O465" i="10"/>
  <c r="P464" i="10"/>
  <c r="O464" i="10"/>
  <c r="P463" i="10"/>
  <c r="O463" i="10"/>
  <c r="P462" i="10"/>
  <c r="O462" i="10"/>
  <c r="P461" i="10"/>
  <c r="O461" i="10"/>
  <c r="P460" i="10"/>
  <c r="O460" i="10"/>
  <c r="P459" i="10"/>
  <c r="O459" i="10"/>
  <c r="P458" i="10"/>
  <c r="O458" i="10"/>
  <c r="P457" i="10"/>
  <c r="O457" i="10"/>
  <c r="P456" i="10"/>
  <c r="O456" i="10"/>
  <c r="P455" i="10"/>
  <c r="O455" i="10"/>
  <c r="P454" i="10"/>
  <c r="O454" i="10"/>
  <c r="P453" i="10"/>
  <c r="O453" i="10"/>
  <c r="P452" i="10"/>
  <c r="O452" i="10"/>
  <c r="P451" i="10"/>
  <c r="O451" i="10"/>
  <c r="P450" i="10"/>
  <c r="O450" i="10"/>
  <c r="P449" i="10"/>
  <c r="O449" i="10"/>
  <c r="P448" i="10"/>
  <c r="O448" i="10"/>
  <c r="P447" i="10"/>
  <c r="O447" i="10"/>
  <c r="P446" i="10"/>
  <c r="O446" i="10"/>
  <c r="P445" i="10"/>
  <c r="O445" i="10"/>
  <c r="P444" i="10"/>
  <c r="O444" i="10"/>
  <c r="P443" i="10"/>
  <c r="O443" i="10"/>
  <c r="P442" i="10"/>
  <c r="O442" i="10"/>
  <c r="P441" i="10"/>
  <c r="O441" i="10"/>
  <c r="P440" i="10"/>
  <c r="O440" i="10"/>
  <c r="P439" i="10"/>
  <c r="O439" i="10"/>
  <c r="P438" i="10"/>
  <c r="O438" i="10"/>
  <c r="P437" i="10"/>
  <c r="O437" i="10"/>
  <c r="P436" i="10"/>
  <c r="O436" i="10"/>
  <c r="P435" i="10"/>
  <c r="O435" i="10"/>
  <c r="P434" i="10"/>
  <c r="O434" i="10"/>
  <c r="P433" i="10"/>
  <c r="O433" i="10"/>
  <c r="P432" i="10"/>
  <c r="O432" i="10"/>
  <c r="P431" i="10"/>
  <c r="O431" i="10"/>
  <c r="P430" i="10"/>
  <c r="O430" i="10"/>
  <c r="P429" i="10"/>
  <c r="O429" i="10"/>
  <c r="P428" i="10"/>
  <c r="O428" i="10"/>
  <c r="P427" i="10"/>
  <c r="O427" i="10"/>
  <c r="P426" i="10"/>
  <c r="O426" i="10"/>
  <c r="P425" i="10"/>
  <c r="O425" i="10"/>
  <c r="P424" i="10"/>
  <c r="O424" i="10"/>
  <c r="P423" i="10"/>
  <c r="O423" i="10"/>
  <c r="P422" i="10"/>
  <c r="O422" i="10"/>
  <c r="P421" i="10"/>
  <c r="O421" i="10"/>
  <c r="P420" i="10"/>
  <c r="O420" i="10"/>
  <c r="P419" i="10"/>
  <c r="O419" i="10"/>
  <c r="P418" i="10"/>
  <c r="O418" i="10"/>
  <c r="P417" i="10"/>
  <c r="O417" i="10"/>
  <c r="P416" i="10"/>
  <c r="O416" i="10"/>
  <c r="P415" i="10"/>
  <c r="O415" i="10"/>
  <c r="P414" i="10"/>
  <c r="O414" i="10"/>
  <c r="P413" i="10"/>
  <c r="O413" i="10"/>
  <c r="P412" i="10"/>
  <c r="O412" i="10"/>
  <c r="P411" i="10"/>
  <c r="O411" i="10"/>
  <c r="P410" i="10"/>
  <c r="O410" i="10"/>
  <c r="P409" i="10"/>
  <c r="O409" i="10"/>
  <c r="P408" i="10"/>
  <c r="O408" i="10"/>
  <c r="P407" i="10"/>
  <c r="O407" i="10"/>
  <c r="P406" i="10"/>
  <c r="O406" i="10"/>
  <c r="P405" i="10"/>
  <c r="O405" i="10"/>
  <c r="P404" i="10"/>
  <c r="O404" i="10"/>
  <c r="P403" i="10"/>
  <c r="O403" i="10"/>
  <c r="P402" i="10"/>
  <c r="O402" i="10"/>
  <c r="P401" i="10"/>
  <c r="O401" i="10"/>
  <c r="P400" i="10"/>
  <c r="O400" i="10"/>
  <c r="P399" i="10"/>
  <c r="O399" i="10"/>
  <c r="P398" i="10"/>
  <c r="O398" i="10"/>
  <c r="P397" i="10"/>
  <c r="O397" i="10"/>
  <c r="P396" i="10"/>
  <c r="O396" i="10"/>
  <c r="P395" i="10"/>
  <c r="O395" i="10"/>
  <c r="P394" i="10"/>
  <c r="O394" i="10"/>
  <c r="P393" i="10"/>
  <c r="O393" i="10"/>
  <c r="P392" i="10"/>
  <c r="O392" i="10"/>
  <c r="P391" i="10"/>
  <c r="O391" i="10"/>
  <c r="P390" i="10"/>
  <c r="O390" i="10"/>
  <c r="P389" i="10"/>
  <c r="O389" i="10"/>
  <c r="P388" i="10"/>
  <c r="O388" i="10"/>
  <c r="P387" i="10"/>
  <c r="O387" i="10"/>
  <c r="P386" i="10"/>
  <c r="O386" i="10"/>
  <c r="P385" i="10"/>
  <c r="O385" i="10"/>
  <c r="P384" i="10"/>
  <c r="O384" i="10"/>
  <c r="P383" i="10"/>
  <c r="O383" i="10"/>
  <c r="P382" i="10"/>
  <c r="O382" i="10"/>
  <c r="P381" i="10"/>
  <c r="O381" i="10"/>
  <c r="P380" i="10"/>
  <c r="O380" i="10"/>
  <c r="P379" i="10"/>
  <c r="O379" i="10"/>
  <c r="P378" i="10"/>
  <c r="O378" i="10"/>
  <c r="P377" i="10"/>
  <c r="O377" i="10"/>
  <c r="P376" i="10"/>
  <c r="O376" i="10"/>
  <c r="P375" i="10"/>
  <c r="O375" i="10"/>
  <c r="P374" i="10"/>
  <c r="O374" i="10"/>
  <c r="P373" i="10"/>
  <c r="O373" i="10"/>
  <c r="P372" i="10"/>
  <c r="O372" i="10"/>
  <c r="P371" i="10"/>
  <c r="O371" i="10"/>
  <c r="P370" i="10"/>
  <c r="O370" i="10"/>
  <c r="P369" i="10"/>
  <c r="O369" i="10"/>
  <c r="P368" i="10"/>
  <c r="O368" i="10"/>
  <c r="P367" i="10"/>
  <c r="O367" i="10"/>
  <c r="P366" i="10"/>
  <c r="O366" i="10"/>
  <c r="P365" i="10"/>
  <c r="O365" i="10"/>
  <c r="P364" i="10"/>
  <c r="O364" i="10"/>
  <c r="P363" i="10"/>
  <c r="O363" i="10"/>
  <c r="P362" i="10"/>
  <c r="O362" i="10"/>
  <c r="P361" i="10"/>
  <c r="O361" i="10"/>
  <c r="P360" i="10"/>
  <c r="O360" i="10"/>
  <c r="P359" i="10"/>
  <c r="O359" i="10"/>
  <c r="P358" i="10"/>
  <c r="O358" i="10"/>
  <c r="P357" i="10"/>
  <c r="O357" i="10"/>
  <c r="P356" i="10"/>
  <c r="O356" i="10"/>
  <c r="P355" i="10"/>
  <c r="O355" i="10"/>
  <c r="P354" i="10"/>
  <c r="O354" i="10"/>
  <c r="P353" i="10"/>
  <c r="O353" i="10"/>
  <c r="P352" i="10"/>
  <c r="O352" i="10"/>
  <c r="P351" i="10"/>
  <c r="O351" i="10"/>
  <c r="P350" i="10"/>
  <c r="O350" i="10"/>
  <c r="P349" i="10"/>
  <c r="O349" i="10"/>
  <c r="P348" i="10"/>
  <c r="O348" i="10"/>
  <c r="P347" i="10"/>
  <c r="O347" i="10"/>
  <c r="P346" i="10"/>
  <c r="O346" i="10"/>
  <c r="P345" i="10"/>
  <c r="O345" i="10"/>
  <c r="P344" i="10"/>
  <c r="O344" i="10"/>
  <c r="P343" i="10"/>
  <c r="O343" i="10"/>
  <c r="P342" i="10"/>
  <c r="O342" i="10"/>
  <c r="P341" i="10"/>
  <c r="O341" i="10"/>
  <c r="P340" i="10"/>
  <c r="O340" i="10"/>
  <c r="P339" i="10"/>
  <c r="O339" i="10"/>
  <c r="P338" i="10"/>
  <c r="O338" i="10"/>
  <c r="P337" i="10"/>
  <c r="O337" i="10"/>
  <c r="P336" i="10"/>
  <c r="O336" i="10"/>
  <c r="P335" i="10"/>
  <c r="O335" i="10"/>
  <c r="P334" i="10"/>
  <c r="O334" i="10"/>
  <c r="P333" i="10"/>
  <c r="O333" i="10"/>
  <c r="P332" i="10"/>
  <c r="O332" i="10"/>
  <c r="P331" i="10"/>
  <c r="O331" i="10"/>
  <c r="P330" i="10"/>
  <c r="O330" i="10"/>
  <c r="P329" i="10"/>
  <c r="O329" i="10"/>
  <c r="P328" i="10"/>
  <c r="O328" i="10"/>
  <c r="P327" i="10"/>
  <c r="O327" i="10"/>
  <c r="P326" i="10"/>
  <c r="O326" i="10"/>
  <c r="P325" i="10"/>
  <c r="O325" i="10"/>
  <c r="P324" i="10"/>
  <c r="O324" i="10"/>
  <c r="P323" i="10"/>
  <c r="O323" i="10"/>
  <c r="P322" i="10"/>
  <c r="O322" i="10"/>
  <c r="P321" i="10"/>
  <c r="O321" i="10"/>
  <c r="P320" i="10"/>
  <c r="O320" i="10"/>
  <c r="P319" i="10"/>
  <c r="O319" i="10"/>
  <c r="P318" i="10"/>
  <c r="O318" i="10"/>
  <c r="P317" i="10"/>
  <c r="O317" i="10"/>
  <c r="P316" i="10"/>
  <c r="O316" i="10"/>
  <c r="P315" i="10"/>
  <c r="O315" i="10"/>
  <c r="P314" i="10"/>
  <c r="O314" i="10"/>
  <c r="P313" i="10"/>
  <c r="O313" i="10"/>
  <c r="P312" i="10"/>
  <c r="O312" i="10"/>
  <c r="P311" i="10"/>
  <c r="O311" i="10"/>
  <c r="P310" i="10"/>
  <c r="O310" i="10"/>
  <c r="P309" i="10"/>
  <c r="O309" i="10"/>
  <c r="P308" i="10"/>
  <c r="O308" i="10"/>
  <c r="P307" i="10"/>
  <c r="O307" i="10"/>
  <c r="P306" i="10"/>
  <c r="O306" i="10"/>
  <c r="P305" i="10"/>
  <c r="O305" i="10"/>
  <c r="P304" i="10"/>
  <c r="O304" i="10"/>
  <c r="P303" i="10"/>
  <c r="O303" i="10"/>
  <c r="P302" i="10"/>
  <c r="O302" i="10"/>
  <c r="P301" i="10"/>
  <c r="O301" i="10"/>
  <c r="P300" i="10"/>
  <c r="O300" i="10"/>
  <c r="P299" i="10"/>
  <c r="O299" i="10"/>
  <c r="P298" i="10"/>
  <c r="O298" i="10"/>
  <c r="P297" i="10"/>
  <c r="O297" i="10"/>
  <c r="P296" i="10"/>
  <c r="O296" i="10"/>
  <c r="P295" i="10"/>
  <c r="O295" i="10"/>
  <c r="P294" i="10"/>
  <c r="O294" i="10"/>
  <c r="P293" i="10"/>
  <c r="O293" i="10"/>
  <c r="P292" i="10"/>
  <c r="O292" i="10"/>
  <c r="P291" i="10"/>
  <c r="O291" i="10"/>
  <c r="P290" i="10"/>
  <c r="O290" i="10"/>
  <c r="P289" i="10"/>
  <c r="O289" i="10"/>
  <c r="P288" i="10"/>
  <c r="O288" i="10"/>
  <c r="P287" i="10"/>
  <c r="O287" i="10"/>
  <c r="P286" i="10"/>
  <c r="O286" i="10"/>
  <c r="P285" i="10"/>
  <c r="O285" i="10"/>
  <c r="P284" i="10"/>
  <c r="O284" i="10"/>
  <c r="P283" i="10"/>
  <c r="O283" i="10"/>
  <c r="P282" i="10"/>
  <c r="O282" i="10"/>
  <c r="P281" i="10"/>
  <c r="O281" i="10"/>
  <c r="P280" i="10"/>
  <c r="O280" i="10"/>
  <c r="P279" i="10"/>
  <c r="O279" i="10"/>
  <c r="P278" i="10"/>
  <c r="O278" i="10"/>
  <c r="P277" i="10"/>
  <c r="O277" i="10"/>
  <c r="P276" i="10"/>
  <c r="O276" i="10"/>
  <c r="P275" i="10"/>
  <c r="O275" i="10"/>
  <c r="P274" i="10"/>
  <c r="O274" i="10"/>
  <c r="P273" i="10"/>
  <c r="O273" i="10"/>
  <c r="P272" i="10"/>
  <c r="O272" i="10"/>
  <c r="P271" i="10"/>
  <c r="O271" i="10"/>
  <c r="P270" i="10"/>
  <c r="O270" i="10"/>
  <c r="P269" i="10"/>
  <c r="O269" i="10"/>
  <c r="P268" i="10"/>
  <c r="O268" i="10"/>
  <c r="P267" i="10"/>
  <c r="O267" i="10"/>
  <c r="P266" i="10"/>
  <c r="O266" i="10"/>
  <c r="P265" i="10"/>
  <c r="O265" i="10"/>
  <c r="P264" i="10"/>
  <c r="O264" i="10"/>
  <c r="P263" i="10"/>
  <c r="O263" i="10"/>
  <c r="P262" i="10"/>
  <c r="O262" i="10"/>
  <c r="P261" i="10"/>
  <c r="O261" i="10"/>
  <c r="P260" i="10"/>
  <c r="O260" i="10"/>
  <c r="P259" i="10"/>
  <c r="O259" i="10"/>
  <c r="P258" i="10"/>
  <c r="O258" i="10"/>
  <c r="P257" i="10"/>
  <c r="O257" i="10"/>
  <c r="P256" i="10"/>
  <c r="O256" i="10"/>
  <c r="P255" i="10"/>
  <c r="O255" i="10"/>
  <c r="P254" i="10"/>
  <c r="O254" i="10"/>
  <c r="P253" i="10"/>
  <c r="O253" i="10"/>
  <c r="P252" i="10"/>
  <c r="O252" i="10"/>
  <c r="P251" i="10"/>
  <c r="O251" i="10"/>
  <c r="P250" i="10"/>
  <c r="O250" i="10"/>
  <c r="P249" i="10"/>
  <c r="O249" i="10"/>
  <c r="P248" i="10"/>
  <c r="O248" i="10"/>
  <c r="P247" i="10"/>
  <c r="O247" i="10"/>
  <c r="P246" i="10"/>
  <c r="O246" i="10"/>
  <c r="P245" i="10"/>
  <c r="O245" i="10"/>
  <c r="P244" i="10"/>
  <c r="O244" i="10"/>
  <c r="P243" i="10"/>
  <c r="O243" i="10"/>
  <c r="P242" i="10"/>
  <c r="O242" i="10"/>
  <c r="P241" i="10"/>
  <c r="O241" i="10"/>
  <c r="P240" i="10"/>
  <c r="O240" i="10"/>
  <c r="P239" i="10"/>
  <c r="O239" i="10"/>
  <c r="P238" i="10"/>
  <c r="O238" i="10"/>
  <c r="P237" i="10"/>
  <c r="O237" i="10"/>
  <c r="P236" i="10"/>
  <c r="O236" i="10"/>
  <c r="P235" i="10"/>
  <c r="O235" i="10"/>
  <c r="P234" i="10"/>
  <c r="O234" i="10"/>
  <c r="P233" i="10"/>
  <c r="O233" i="10"/>
  <c r="P232" i="10"/>
  <c r="O232" i="10"/>
  <c r="P231" i="10"/>
  <c r="O231" i="10"/>
  <c r="P230" i="10"/>
  <c r="O230" i="10"/>
  <c r="P229" i="10"/>
  <c r="O229" i="10"/>
  <c r="P228" i="10"/>
  <c r="O228" i="10"/>
  <c r="P227" i="10"/>
  <c r="O227" i="10"/>
  <c r="P226" i="10"/>
  <c r="O226" i="10"/>
  <c r="P225" i="10"/>
  <c r="O225" i="10"/>
  <c r="P224" i="10"/>
  <c r="O224" i="10"/>
  <c r="P223" i="10"/>
  <c r="O223" i="10"/>
  <c r="P222" i="10"/>
  <c r="O222" i="10"/>
  <c r="P221" i="10"/>
  <c r="O221" i="10"/>
  <c r="P220" i="10"/>
  <c r="O220" i="10"/>
  <c r="P219" i="10"/>
  <c r="O219" i="10"/>
  <c r="P218" i="10"/>
  <c r="O218" i="10"/>
  <c r="P217" i="10"/>
  <c r="O217" i="10"/>
  <c r="P216" i="10"/>
  <c r="O216" i="10"/>
  <c r="P215" i="10"/>
  <c r="O215" i="10"/>
  <c r="P214" i="10"/>
  <c r="O214" i="10"/>
  <c r="P213" i="10"/>
  <c r="O213" i="10"/>
  <c r="P212" i="10"/>
  <c r="O212" i="10"/>
  <c r="P211" i="10"/>
  <c r="O211" i="10"/>
  <c r="P210" i="10"/>
  <c r="O210" i="10"/>
  <c r="P209" i="10"/>
  <c r="O209" i="10"/>
  <c r="P208" i="10"/>
  <c r="O208" i="10"/>
  <c r="P207" i="10"/>
  <c r="O207" i="10"/>
  <c r="P206" i="10"/>
  <c r="O206" i="10"/>
  <c r="P205" i="10"/>
  <c r="O205" i="10"/>
  <c r="P204" i="10"/>
  <c r="O204" i="10"/>
  <c r="P203" i="10"/>
  <c r="O203" i="10"/>
  <c r="P202" i="10"/>
  <c r="O202" i="10"/>
  <c r="P201" i="10"/>
  <c r="O201" i="10"/>
  <c r="P200" i="10"/>
  <c r="O200" i="10"/>
  <c r="P199" i="10"/>
  <c r="O199" i="10"/>
  <c r="P198" i="10"/>
  <c r="O198" i="10"/>
  <c r="P197" i="10"/>
  <c r="O197" i="10"/>
  <c r="P196" i="10"/>
  <c r="O196" i="10"/>
  <c r="P195" i="10"/>
  <c r="O195" i="10"/>
  <c r="P194" i="10"/>
  <c r="O194" i="10"/>
  <c r="P193" i="10"/>
  <c r="O193" i="10"/>
  <c r="P192" i="10"/>
  <c r="O192" i="10"/>
  <c r="P191" i="10"/>
  <c r="O191" i="10"/>
  <c r="P190" i="10"/>
  <c r="O190" i="10"/>
  <c r="P189" i="10"/>
  <c r="O189" i="10"/>
  <c r="P188" i="10"/>
  <c r="O188" i="10"/>
  <c r="P187" i="10"/>
  <c r="O187" i="10"/>
  <c r="P186" i="10"/>
  <c r="O186" i="10"/>
  <c r="P185" i="10"/>
  <c r="O185" i="10"/>
  <c r="P184" i="10"/>
  <c r="O184" i="10"/>
  <c r="P183" i="10"/>
  <c r="O183" i="10"/>
  <c r="P182" i="10"/>
  <c r="O182" i="10"/>
  <c r="P181" i="10"/>
  <c r="O181" i="10"/>
  <c r="P180" i="10"/>
  <c r="O180" i="10"/>
  <c r="P179" i="10"/>
  <c r="O179" i="10"/>
  <c r="P178" i="10"/>
  <c r="O178" i="10"/>
  <c r="P177" i="10"/>
  <c r="O177" i="10"/>
  <c r="P176" i="10"/>
  <c r="O176" i="10"/>
  <c r="P175" i="10"/>
  <c r="O175" i="10"/>
  <c r="P174" i="10"/>
  <c r="O174" i="10"/>
  <c r="P173" i="10"/>
  <c r="O173" i="10"/>
  <c r="P172" i="10"/>
  <c r="O172" i="10"/>
  <c r="P171" i="10"/>
  <c r="O171" i="10"/>
  <c r="P170" i="10"/>
  <c r="O170" i="10"/>
  <c r="P169" i="10"/>
  <c r="O169" i="10"/>
  <c r="P168" i="10"/>
  <c r="O168" i="10"/>
  <c r="P167" i="10"/>
  <c r="O167" i="10"/>
  <c r="P166" i="10"/>
  <c r="O166" i="10"/>
  <c r="P165" i="10"/>
  <c r="O165" i="10"/>
  <c r="P164" i="10"/>
  <c r="O164" i="10"/>
  <c r="P163" i="10"/>
  <c r="O163" i="10"/>
  <c r="P162" i="10"/>
  <c r="O162" i="10"/>
  <c r="P161" i="10"/>
  <c r="O161" i="10"/>
  <c r="P160" i="10"/>
  <c r="O160" i="10"/>
  <c r="P159" i="10"/>
  <c r="O159" i="10"/>
  <c r="P158" i="10"/>
  <c r="O158" i="10"/>
  <c r="P157" i="10"/>
  <c r="O157" i="10"/>
  <c r="P156" i="10"/>
  <c r="O156" i="10"/>
  <c r="P155" i="10"/>
  <c r="O155" i="10"/>
  <c r="P154" i="10"/>
  <c r="O154" i="10"/>
  <c r="P153" i="10"/>
  <c r="O153" i="10"/>
  <c r="P152" i="10"/>
  <c r="O152" i="10"/>
  <c r="P151" i="10"/>
  <c r="O151" i="10"/>
  <c r="P150" i="10"/>
  <c r="O150" i="10"/>
  <c r="P149" i="10"/>
  <c r="O149" i="10"/>
  <c r="P148" i="10"/>
  <c r="O148" i="10"/>
  <c r="P147" i="10"/>
  <c r="O147" i="10"/>
  <c r="P146" i="10"/>
  <c r="O146" i="10"/>
  <c r="P145" i="10"/>
  <c r="O145" i="10"/>
  <c r="P144" i="10"/>
  <c r="O144" i="10"/>
  <c r="P143" i="10"/>
  <c r="O143" i="10"/>
  <c r="P142" i="10"/>
  <c r="O142" i="10"/>
  <c r="P141" i="10"/>
  <c r="O141" i="10"/>
  <c r="P140" i="10"/>
  <c r="O140" i="10"/>
  <c r="P139" i="10"/>
  <c r="O139" i="10"/>
  <c r="P138" i="10"/>
  <c r="O138" i="10"/>
  <c r="P137" i="10"/>
  <c r="O137" i="10"/>
  <c r="P136" i="10"/>
  <c r="O136" i="10"/>
  <c r="P135" i="10"/>
  <c r="O135" i="10"/>
  <c r="P134" i="10"/>
  <c r="O134" i="10"/>
  <c r="P133" i="10"/>
  <c r="O133" i="10"/>
  <c r="P132" i="10"/>
  <c r="O132" i="10"/>
  <c r="P131" i="10"/>
  <c r="O131" i="10"/>
  <c r="P130" i="10"/>
  <c r="O130" i="10"/>
  <c r="P129" i="10"/>
  <c r="O129" i="10"/>
  <c r="P128" i="10"/>
  <c r="O128" i="10"/>
  <c r="P127" i="10"/>
  <c r="O127" i="10"/>
  <c r="P126" i="10"/>
  <c r="O126" i="10"/>
  <c r="P125" i="10"/>
  <c r="O125" i="10"/>
  <c r="P124" i="10"/>
  <c r="O124" i="10"/>
  <c r="P123" i="10"/>
  <c r="O123" i="10"/>
  <c r="P122" i="10"/>
  <c r="O122" i="10"/>
  <c r="P121" i="10"/>
  <c r="O121" i="10"/>
  <c r="P120" i="10"/>
  <c r="O120" i="10"/>
  <c r="P119" i="10"/>
  <c r="O119" i="10"/>
  <c r="P118" i="10"/>
  <c r="O118" i="10"/>
  <c r="P117" i="10"/>
  <c r="O117" i="10"/>
  <c r="P116" i="10"/>
  <c r="O116" i="10"/>
  <c r="P115" i="10"/>
  <c r="O115" i="10"/>
  <c r="P114" i="10"/>
  <c r="O114" i="10"/>
  <c r="P113" i="10"/>
  <c r="O113" i="10"/>
  <c r="P112" i="10"/>
  <c r="O112" i="10"/>
  <c r="P111" i="10"/>
  <c r="O111" i="10"/>
  <c r="P110" i="10"/>
  <c r="O110" i="10"/>
  <c r="P109" i="10"/>
  <c r="O109" i="10"/>
  <c r="P108" i="10"/>
  <c r="O108" i="10"/>
  <c r="P107" i="10"/>
  <c r="O107" i="10"/>
  <c r="P106" i="10"/>
  <c r="O106" i="10"/>
  <c r="P105" i="10"/>
  <c r="O105" i="10"/>
  <c r="P104" i="10"/>
  <c r="O104" i="10"/>
  <c r="P103" i="10"/>
  <c r="O103" i="10"/>
  <c r="P102" i="10"/>
  <c r="O102" i="10"/>
  <c r="P101" i="10"/>
  <c r="O101" i="10"/>
  <c r="P100" i="10"/>
  <c r="O100" i="10"/>
  <c r="P99" i="10"/>
  <c r="O99" i="10"/>
  <c r="P98" i="10"/>
  <c r="O98" i="10"/>
  <c r="P97" i="10"/>
  <c r="O97" i="10"/>
  <c r="P96" i="10"/>
  <c r="O96" i="10"/>
  <c r="P95" i="10"/>
  <c r="O95" i="10"/>
  <c r="P94" i="10"/>
  <c r="O94" i="10"/>
  <c r="P93" i="10"/>
  <c r="O93" i="10"/>
  <c r="P92" i="10"/>
  <c r="O92" i="10"/>
  <c r="P91" i="10"/>
  <c r="O91" i="10"/>
  <c r="P90" i="10"/>
  <c r="O90" i="10"/>
  <c r="P89" i="10"/>
  <c r="O89" i="10"/>
  <c r="P88" i="10"/>
  <c r="O88" i="10"/>
  <c r="P87" i="10"/>
  <c r="O87" i="10"/>
  <c r="P86" i="10"/>
  <c r="O86" i="10"/>
  <c r="P85" i="10"/>
  <c r="O85" i="10"/>
  <c r="P84" i="10"/>
  <c r="O84" i="10"/>
  <c r="P83" i="10"/>
  <c r="O83" i="10"/>
  <c r="P82" i="10"/>
  <c r="O82" i="10"/>
  <c r="P81" i="10"/>
  <c r="O81" i="10"/>
  <c r="P80" i="10"/>
  <c r="O80" i="10"/>
  <c r="P79" i="10"/>
  <c r="O79" i="10"/>
  <c r="P78" i="10"/>
  <c r="O78" i="10"/>
  <c r="P77" i="10"/>
  <c r="O77" i="10"/>
  <c r="P76" i="10"/>
  <c r="O76" i="10"/>
  <c r="P75" i="10"/>
  <c r="O75" i="10"/>
  <c r="P74" i="10"/>
  <c r="O74" i="10"/>
  <c r="P73" i="10"/>
  <c r="O73" i="10"/>
  <c r="P72" i="10"/>
  <c r="O72" i="10"/>
  <c r="P71" i="10"/>
  <c r="O71" i="10"/>
  <c r="P70" i="10"/>
  <c r="O70" i="10"/>
  <c r="P69" i="10"/>
  <c r="O69" i="10"/>
  <c r="P68" i="10"/>
  <c r="O68" i="10"/>
  <c r="P67" i="10"/>
  <c r="O67" i="10"/>
  <c r="P66" i="10"/>
  <c r="O66" i="10"/>
  <c r="P65" i="10"/>
  <c r="O65" i="10"/>
  <c r="P64" i="10"/>
  <c r="O64" i="10"/>
  <c r="P63" i="10"/>
  <c r="O63" i="10"/>
  <c r="P62" i="10"/>
  <c r="O62" i="10"/>
  <c r="P61" i="10"/>
  <c r="O61" i="10"/>
  <c r="P60" i="10"/>
  <c r="O60" i="10"/>
  <c r="P59" i="10"/>
  <c r="O59" i="10"/>
  <c r="P58" i="10"/>
  <c r="O58" i="10"/>
  <c r="P57" i="10"/>
  <c r="O57" i="10"/>
  <c r="P56" i="10"/>
  <c r="O56" i="10"/>
  <c r="P55" i="10"/>
  <c r="O55" i="10"/>
  <c r="P54" i="10"/>
  <c r="O54" i="10"/>
  <c r="P53" i="10"/>
  <c r="O53" i="10"/>
  <c r="P52" i="10"/>
  <c r="O52" i="10"/>
  <c r="P51" i="10"/>
  <c r="O51" i="10"/>
  <c r="P50" i="10"/>
  <c r="O50" i="10"/>
  <c r="P49" i="10"/>
  <c r="O49" i="10"/>
  <c r="P48" i="10"/>
  <c r="O48" i="10"/>
  <c r="P47" i="10"/>
  <c r="O47" i="10"/>
  <c r="P46" i="10"/>
  <c r="O46" i="10"/>
  <c r="P45" i="10"/>
  <c r="O45" i="10"/>
  <c r="P44" i="10"/>
  <c r="O44" i="10"/>
  <c r="P43" i="10"/>
  <c r="O43" i="10"/>
  <c r="P42" i="10"/>
  <c r="O42" i="10"/>
  <c r="P41" i="10"/>
  <c r="O41" i="10"/>
  <c r="P40" i="10"/>
  <c r="O40" i="10"/>
  <c r="P39" i="10"/>
  <c r="O39" i="10"/>
  <c r="P38" i="10"/>
  <c r="O38" i="10"/>
  <c r="P37" i="10"/>
  <c r="O37" i="10"/>
  <c r="P36" i="10"/>
  <c r="O36" i="10"/>
  <c r="P35" i="10"/>
  <c r="O35" i="10"/>
  <c r="P34" i="10"/>
  <c r="O34" i="10"/>
  <c r="P33" i="10"/>
  <c r="O33" i="10"/>
  <c r="P32" i="10"/>
  <c r="O32" i="10"/>
  <c r="P31" i="10"/>
  <c r="O31" i="10"/>
  <c r="P30" i="10"/>
  <c r="O30" i="10"/>
  <c r="P29" i="10"/>
  <c r="O29" i="10"/>
  <c r="P28" i="10"/>
  <c r="O28" i="10"/>
  <c r="P27" i="10"/>
  <c r="O27" i="10"/>
  <c r="P26" i="10"/>
  <c r="O26" i="10"/>
  <c r="P25" i="10"/>
  <c r="O25" i="10"/>
  <c r="P24" i="10"/>
  <c r="O24" i="10"/>
  <c r="P23" i="10"/>
  <c r="O23" i="10"/>
  <c r="P22" i="10"/>
  <c r="O22" i="10"/>
  <c r="P21" i="10"/>
  <c r="O21" i="10"/>
  <c r="P20" i="10"/>
  <c r="O20" i="10"/>
  <c r="P19" i="10"/>
  <c r="O19" i="10"/>
  <c r="P18" i="10"/>
  <c r="O18" i="10"/>
  <c r="P17" i="10"/>
  <c r="O17" i="10"/>
  <c r="P16" i="10"/>
  <c r="O16" i="10"/>
  <c r="P15" i="10"/>
  <c r="O15" i="10"/>
  <c r="P14" i="10"/>
  <c r="O14" i="10"/>
  <c r="P13" i="10"/>
  <c r="O13" i="10"/>
  <c r="P12" i="10"/>
  <c r="O12" i="10"/>
  <c r="P11" i="10"/>
  <c r="O11" i="10"/>
  <c r="P10" i="10"/>
  <c r="O10" i="10"/>
  <c r="P9" i="10"/>
  <c r="O9" i="10"/>
  <c r="P8" i="10"/>
  <c r="O8" i="10"/>
  <c r="P7" i="10"/>
  <c r="O7" i="10"/>
  <c r="P6" i="10"/>
  <c r="P5" i="10"/>
  <c r="M46" i="11"/>
  <c r="L46" i="11"/>
  <c r="M45" i="11"/>
  <c r="O45" i="11" s="1"/>
  <c r="L45" i="11"/>
  <c r="M44" i="11"/>
  <c r="L44" i="11"/>
  <c r="M43" i="11"/>
  <c r="O43" i="11" s="1"/>
  <c r="L43" i="11"/>
  <c r="M42" i="11"/>
  <c r="L42" i="11"/>
  <c r="M41" i="11"/>
  <c r="O41" i="11" s="1"/>
  <c r="L41" i="11"/>
  <c r="M40" i="11"/>
  <c r="L40" i="11"/>
  <c r="M39" i="11"/>
  <c r="O39" i="11" s="1"/>
  <c r="L39" i="11"/>
  <c r="M38" i="11"/>
  <c r="L38" i="11"/>
  <c r="M37" i="11"/>
  <c r="O37" i="11" s="1"/>
  <c r="L37" i="11"/>
  <c r="M36" i="11"/>
  <c r="L36" i="11"/>
  <c r="M35" i="11"/>
  <c r="O35" i="11" s="1"/>
  <c r="L35" i="11"/>
  <c r="M34" i="11"/>
  <c r="L34" i="11"/>
  <c r="M33" i="11"/>
  <c r="O33" i="11" s="1"/>
  <c r="L33" i="11"/>
  <c r="M32" i="11"/>
  <c r="L32" i="11"/>
  <c r="M31" i="11"/>
  <c r="O31" i="11" s="1"/>
  <c r="L31" i="11"/>
  <c r="M30" i="11"/>
  <c r="L30" i="11"/>
  <c r="M29" i="11"/>
  <c r="O29" i="11" s="1"/>
  <c r="L29" i="11"/>
  <c r="M28" i="11"/>
  <c r="L28" i="11"/>
  <c r="M27" i="11"/>
  <c r="O27" i="11" s="1"/>
  <c r="L27" i="11"/>
  <c r="M26" i="11"/>
  <c r="L26" i="11"/>
  <c r="M25" i="11"/>
  <c r="O25" i="11" s="1"/>
  <c r="L25" i="11"/>
  <c r="M24" i="11"/>
  <c r="L24" i="11"/>
  <c r="M23" i="11"/>
  <c r="O23" i="11" s="1"/>
  <c r="L23" i="11"/>
  <c r="M22" i="11"/>
  <c r="L22" i="11"/>
  <c r="M20" i="11"/>
  <c r="L20" i="11"/>
  <c r="M19" i="11"/>
  <c r="O19" i="11" s="1"/>
  <c r="L19" i="11"/>
  <c r="N19" i="11"/>
  <c r="N20" i="11"/>
  <c r="O20" i="11"/>
  <c r="N22" i="11"/>
  <c r="O22" i="11"/>
  <c r="N23" i="11"/>
  <c r="N24" i="11"/>
  <c r="O24" i="11"/>
  <c r="N25" i="11"/>
  <c r="N26" i="11"/>
  <c r="O26" i="11"/>
  <c r="N27" i="11"/>
  <c r="N28" i="11"/>
  <c r="O28" i="11"/>
  <c r="N29" i="11"/>
  <c r="N30" i="11"/>
  <c r="O30" i="11"/>
  <c r="N31" i="11"/>
  <c r="N32" i="11"/>
  <c r="O32" i="11"/>
  <c r="N33" i="11"/>
  <c r="N34" i="11"/>
  <c r="O34" i="11"/>
  <c r="N35" i="11"/>
  <c r="N36" i="11"/>
  <c r="O36" i="11"/>
  <c r="N37" i="11"/>
  <c r="N38" i="11"/>
  <c r="O38" i="11"/>
  <c r="N39" i="11"/>
  <c r="N40" i="11"/>
  <c r="O40" i="11"/>
  <c r="N41" i="11"/>
  <c r="N42" i="11"/>
  <c r="O42" i="11"/>
  <c r="N43" i="11"/>
  <c r="N44" i="11"/>
  <c r="O44" i="11"/>
  <c r="N45" i="11"/>
  <c r="N46" i="11"/>
  <c r="O46" i="11"/>
  <c r="G539" i="15"/>
  <c r="E539" i="15"/>
  <c r="J534" i="15" l="1"/>
  <c r="J533" i="15"/>
  <c r="J532" i="15"/>
  <c r="J531" i="15"/>
  <c r="J530" i="15"/>
  <c r="J529" i="15"/>
  <c r="J528" i="15"/>
  <c r="J527" i="15"/>
  <c r="J526" i="15"/>
  <c r="J525" i="15"/>
  <c r="J524" i="15"/>
  <c r="J523" i="15"/>
  <c r="J522" i="15"/>
  <c r="J521" i="15"/>
  <c r="J520" i="15"/>
  <c r="J519" i="15"/>
  <c r="J518" i="15"/>
  <c r="J517" i="15"/>
  <c r="J516" i="15"/>
  <c r="J515" i="15"/>
  <c r="J514" i="15"/>
  <c r="J513" i="15"/>
  <c r="J512" i="15"/>
  <c r="J511" i="15"/>
  <c r="J510" i="15"/>
  <c r="J509" i="15"/>
  <c r="J508" i="15"/>
  <c r="J507" i="15"/>
  <c r="J506" i="15"/>
  <c r="J505" i="15"/>
  <c r="J504" i="15"/>
  <c r="J503" i="15"/>
  <c r="J502" i="15"/>
  <c r="J501" i="15"/>
  <c r="J500" i="15"/>
  <c r="J499" i="15"/>
  <c r="J498" i="15"/>
  <c r="J497" i="15"/>
  <c r="J496" i="15"/>
  <c r="J495" i="15"/>
  <c r="J494" i="15"/>
  <c r="J493" i="15"/>
  <c r="J492" i="15"/>
  <c r="J491" i="15"/>
  <c r="J490" i="15"/>
  <c r="J489" i="15"/>
  <c r="J488" i="15"/>
  <c r="J487" i="15"/>
  <c r="J486" i="15"/>
  <c r="J485" i="15"/>
  <c r="J484" i="15"/>
  <c r="J483" i="15"/>
  <c r="J482" i="15"/>
  <c r="J481" i="15"/>
  <c r="J480" i="15"/>
  <c r="J479" i="15"/>
  <c r="J478" i="15"/>
  <c r="J477" i="15"/>
  <c r="J476" i="15"/>
  <c r="J475" i="15"/>
  <c r="J474" i="15"/>
  <c r="J473" i="15"/>
  <c r="J472" i="15"/>
  <c r="J471" i="15"/>
  <c r="J470" i="15"/>
  <c r="J469" i="15"/>
  <c r="J468" i="15"/>
  <c r="J467" i="15"/>
  <c r="J466" i="15"/>
  <c r="J465" i="15"/>
  <c r="J464" i="15"/>
  <c r="J463" i="15"/>
  <c r="J462" i="15"/>
  <c r="J461" i="15"/>
  <c r="J460" i="15"/>
  <c r="J459" i="15"/>
  <c r="J458" i="15"/>
  <c r="J457" i="15"/>
  <c r="J456" i="15"/>
  <c r="J455" i="15"/>
  <c r="J454" i="15"/>
  <c r="J453" i="15"/>
  <c r="J452" i="15"/>
  <c r="J451" i="15"/>
  <c r="J450" i="15"/>
  <c r="J449" i="15"/>
  <c r="J448" i="15"/>
  <c r="J447" i="15"/>
  <c r="J446" i="15"/>
  <c r="J445" i="15"/>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J415" i="15"/>
  <c r="J414" i="15"/>
  <c r="J413" i="15"/>
  <c r="J412" i="15"/>
  <c r="J411" i="15"/>
  <c r="J410" i="15"/>
  <c r="J409" i="15"/>
  <c r="J408" i="15"/>
  <c r="J407" i="15"/>
  <c r="J406" i="15"/>
  <c r="J405" i="15"/>
  <c r="J404" i="15"/>
  <c r="J403" i="15"/>
  <c r="J402" i="15"/>
  <c r="J401" i="15"/>
  <c r="J400" i="15"/>
  <c r="J399" i="15"/>
  <c r="J398" i="15"/>
  <c r="J397" i="15"/>
  <c r="J396" i="15"/>
  <c r="J395" i="15"/>
  <c r="J394" i="15"/>
  <c r="J393" i="15"/>
  <c r="J392" i="15"/>
  <c r="J391" i="15"/>
  <c r="J390" i="15"/>
  <c r="J389" i="15"/>
  <c r="J388" i="15"/>
  <c r="J387" i="15"/>
  <c r="J386" i="15"/>
  <c r="J385" i="15"/>
  <c r="J384" i="15"/>
  <c r="J383" i="15"/>
  <c r="J382" i="15"/>
  <c r="J381" i="15"/>
  <c r="J380" i="15"/>
  <c r="J379" i="15"/>
  <c r="J378" i="15"/>
  <c r="J377" i="15"/>
  <c r="J376" i="15"/>
  <c r="J375" i="15"/>
  <c r="J374" i="15"/>
  <c r="J373" i="15"/>
  <c r="J372" i="15"/>
  <c r="J371" i="15"/>
  <c r="J370" i="15"/>
  <c r="J369" i="15"/>
  <c r="J368" i="15"/>
  <c r="J367" i="15"/>
  <c r="J366" i="15"/>
  <c r="J365" i="15"/>
  <c r="J364" i="15"/>
  <c r="J363" i="15"/>
  <c r="J362" i="15"/>
  <c r="J361" i="15"/>
  <c r="J360" i="15"/>
  <c r="J359" i="15"/>
  <c r="J358" i="15"/>
  <c r="J357" i="15"/>
  <c r="J356" i="15"/>
  <c r="J355" i="15"/>
  <c r="J354" i="15"/>
  <c r="J353" i="15"/>
  <c r="J352" i="15"/>
  <c r="J351" i="15"/>
  <c r="J350" i="15"/>
  <c r="J349" i="15"/>
  <c r="J348" i="15"/>
  <c r="J347" i="15"/>
  <c r="J346" i="15"/>
  <c r="J345" i="15"/>
  <c r="J344" i="15"/>
  <c r="J343" i="15"/>
  <c r="J342" i="15"/>
  <c r="J341" i="15"/>
  <c r="J340" i="15"/>
  <c r="J339" i="15"/>
  <c r="J338" i="15"/>
  <c r="J337" i="15"/>
  <c r="J336" i="15"/>
  <c r="J335" i="15"/>
  <c r="J334" i="15"/>
  <c r="J333" i="15"/>
  <c r="J332" i="15"/>
  <c r="J331" i="15"/>
  <c r="J330" i="15"/>
  <c r="J329" i="15"/>
  <c r="J328" i="15"/>
  <c r="J327" i="15"/>
  <c r="J326" i="15"/>
  <c r="J325" i="15"/>
  <c r="J324" i="15"/>
  <c r="J323" i="15"/>
  <c r="J322" i="15"/>
  <c r="J321" i="15"/>
  <c r="J320" i="15"/>
  <c r="J319" i="15"/>
  <c r="J318" i="15"/>
  <c r="J317" i="15"/>
  <c r="J316" i="15"/>
  <c r="J315" i="15"/>
  <c r="J314" i="15"/>
  <c r="J313" i="15"/>
  <c r="J312" i="15"/>
  <c r="J311" i="15"/>
  <c r="J310" i="15"/>
  <c r="J309" i="15"/>
  <c r="J308" i="15"/>
  <c r="J307" i="15"/>
  <c r="J306" i="15"/>
  <c r="J305" i="15"/>
  <c r="J304" i="15"/>
  <c r="J303" i="15"/>
  <c r="J302" i="15"/>
  <c r="J301" i="15"/>
  <c r="J300" i="15"/>
  <c r="J299" i="15"/>
  <c r="J298" i="15"/>
  <c r="J297" i="15"/>
  <c r="J296" i="15"/>
  <c r="J295" i="15"/>
  <c r="J294" i="15"/>
  <c r="J293" i="15"/>
  <c r="J292" i="15"/>
  <c r="J291" i="15"/>
  <c r="J290" i="15"/>
  <c r="J289" i="15"/>
  <c r="J288" i="15"/>
  <c r="J287" i="15"/>
  <c r="J286" i="15"/>
  <c r="J285" i="15"/>
  <c r="J284" i="15"/>
  <c r="J283" i="15"/>
  <c r="J282" i="15"/>
  <c r="J281" i="15"/>
  <c r="J280" i="15"/>
  <c r="J279" i="15"/>
  <c r="J278" i="15"/>
  <c r="J277" i="15"/>
  <c r="J276" i="15"/>
  <c r="J275" i="15"/>
  <c r="J274" i="15"/>
  <c r="J273" i="15"/>
  <c r="J272" i="15"/>
  <c r="J271" i="15"/>
  <c r="J270" i="15"/>
  <c r="J269" i="15"/>
  <c r="J268" i="15"/>
  <c r="J267" i="15"/>
  <c r="J266" i="15"/>
  <c r="J265" i="15"/>
  <c r="J264" i="15"/>
  <c r="J263" i="15"/>
  <c r="J262" i="15"/>
  <c r="J261" i="15"/>
  <c r="J260" i="15"/>
  <c r="J259" i="15"/>
  <c r="J258" i="15"/>
  <c r="J257" i="15"/>
  <c r="J256" i="15"/>
  <c r="J255" i="15"/>
  <c r="J254" i="15"/>
  <c r="J253" i="15"/>
  <c r="J252" i="15"/>
  <c r="J251" i="15"/>
  <c r="J250" i="15"/>
  <c r="J249" i="15"/>
  <c r="J248" i="15"/>
  <c r="J247" i="15"/>
  <c r="J246" i="15"/>
  <c r="J245" i="15"/>
  <c r="J244" i="15"/>
  <c r="J243" i="15"/>
  <c r="J242" i="15"/>
  <c r="J241" i="15"/>
  <c r="J240" i="15"/>
  <c r="J239" i="15"/>
  <c r="J238" i="15"/>
  <c r="J237" i="15"/>
  <c r="J236" i="15"/>
  <c r="J235" i="15"/>
  <c r="J234" i="15"/>
  <c r="J233" i="15"/>
  <c r="J232" i="15"/>
  <c r="J231" i="15"/>
  <c r="J230" i="15"/>
  <c r="J229" i="15"/>
  <c r="J228" i="15"/>
  <c r="J227" i="15"/>
  <c r="J226" i="15"/>
  <c r="J225" i="15"/>
  <c r="J224" i="15"/>
  <c r="J223" i="15"/>
  <c r="J222" i="15"/>
  <c r="J221" i="15"/>
  <c r="J220" i="15"/>
  <c r="J219" i="15"/>
  <c r="J218" i="15"/>
  <c r="J217" i="15"/>
  <c r="J216" i="15"/>
  <c r="J215" i="15"/>
  <c r="J214" i="15"/>
  <c r="J213" i="15"/>
  <c r="J212" i="15"/>
  <c r="J211" i="15"/>
  <c r="J210" i="15"/>
  <c r="J209" i="15"/>
  <c r="J208" i="15"/>
  <c r="J207" i="15"/>
  <c r="J206" i="15"/>
  <c r="J205" i="15"/>
  <c r="J204" i="15"/>
  <c r="J203" i="15"/>
  <c r="J202" i="15"/>
  <c r="J201" i="15"/>
  <c r="J200" i="15"/>
  <c r="J199" i="15"/>
  <c r="J198" i="15"/>
  <c r="J197" i="15"/>
  <c r="J196" i="15"/>
  <c r="J195" i="15"/>
  <c r="J194" i="15"/>
  <c r="J193" i="15"/>
  <c r="J192" i="15"/>
  <c r="J191" i="15"/>
  <c r="J190" i="15"/>
  <c r="J189" i="15"/>
  <c r="J188" i="15"/>
  <c r="J187" i="15"/>
  <c r="J186" i="15"/>
  <c r="J185" i="15"/>
  <c r="J184" i="15"/>
  <c r="J183" i="15"/>
  <c r="J182" i="15"/>
  <c r="J181" i="15"/>
  <c r="J180" i="15"/>
  <c r="J179" i="15"/>
  <c r="J178" i="15"/>
  <c r="J177" i="15"/>
  <c r="J176" i="15"/>
  <c r="J175" i="15"/>
  <c r="J174" i="15"/>
  <c r="J173" i="15"/>
  <c r="J172" i="15"/>
  <c r="J171" i="15"/>
  <c r="J170" i="15"/>
  <c r="J169" i="15"/>
  <c r="J168" i="15"/>
  <c r="J167" i="15"/>
  <c r="J166" i="15"/>
  <c r="J165" i="15"/>
  <c r="J164" i="15"/>
  <c r="J163" i="15"/>
  <c r="J162" i="15"/>
  <c r="J161" i="15"/>
  <c r="J160" i="15"/>
  <c r="J159" i="15"/>
  <c r="J158" i="15"/>
  <c r="J157" i="15"/>
  <c r="J156" i="15"/>
  <c r="J155" i="15"/>
  <c r="J154" i="15"/>
  <c r="J153" i="15"/>
  <c r="J152" i="15"/>
  <c r="J151" i="15"/>
  <c r="J150" i="15"/>
  <c r="J149" i="15"/>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J3" i="15"/>
  <c r="J2" i="15"/>
  <c r="P505" i="10" l="1"/>
  <c r="H271" i="9" s="1"/>
  <c r="O505" i="10"/>
  <c r="H270" i="9" s="1"/>
  <c r="G6" i="9"/>
  <c r="J19" i="11" l="1"/>
  <c r="J21" i="10" l="1"/>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J322" i="10"/>
  <c r="J323" i="10"/>
  <c r="J324" i="10"/>
  <c r="J325" i="10"/>
  <c r="J326" i="10"/>
  <c r="J327" i="10"/>
  <c r="J328" i="10"/>
  <c r="J329" i="10"/>
  <c r="J330" i="10"/>
  <c r="J331" i="10"/>
  <c r="J332" i="10"/>
  <c r="J333" i="10"/>
  <c r="J334" i="10"/>
  <c r="J335" i="10"/>
  <c r="J336" i="10"/>
  <c r="J337" i="10"/>
  <c r="J338" i="10"/>
  <c r="J339" i="10"/>
  <c r="J340" i="10"/>
  <c r="J341" i="10"/>
  <c r="J342" i="10"/>
  <c r="J343" i="10"/>
  <c r="J344" i="10"/>
  <c r="J345" i="10"/>
  <c r="J346" i="10"/>
  <c r="J347" i="10"/>
  <c r="J348" i="10"/>
  <c r="J349" i="10"/>
  <c r="J350" i="10"/>
  <c r="J351" i="10"/>
  <c r="J352" i="10"/>
  <c r="J353" i="10"/>
  <c r="J354" i="10"/>
  <c r="J355" i="10"/>
  <c r="J356" i="10"/>
  <c r="J357" i="10"/>
  <c r="J358" i="10"/>
  <c r="J359" i="10"/>
  <c r="J360" i="10"/>
  <c r="J361" i="10"/>
  <c r="J362" i="10"/>
  <c r="J363" i="10"/>
  <c r="J364" i="10"/>
  <c r="J365" i="10"/>
  <c r="J366" i="10"/>
  <c r="J367" i="10"/>
  <c r="J368" i="10"/>
  <c r="J369" i="10"/>
  <c r="J370" i="10"/>
  <c r="J371" i="10"/>
  <c r="J372" i="10"/>
  <c r="J373" i="10"/>
  <c r="J374" i="10"/>
  <c r="J375" i="10"/>
  <c r="J376" i="10"/>
  <c r="J377" i="10"/>
  <c r="J378" i="10"/>
  <c r="J379" i="10"/>
  <c r="J380" i="10"/>
  <c r="J381" i="10"/>
  <c r="J382" i="10"/>
  <c r="J383" i="10"/>
  <c r="J384" i="10"/>
  <c r="J385" i="10"/>
  <c r="J386" i="10"/>
  <c r="J387" i="10"/>
  <c r="J388" i="10"/>
  <c r="J389" i="10"/>
  <c r="J390" i="10"/>
  <c r="J391" i="10"/>
  <c r="J392" i="10"/>
  <c r="J393" i="10"/>
  <c r="J394" i="10"/>
  <c r="J395" i="10"/>
  <c r="J396" i="10"/>
  <c r="J397" i="10"/>
  <c r="J398" i="10"/>
  <c r="J399" i="10"/>
  <c r="J400" i="10"/>
  <c r="J401" i="10"/>
  <c r="J402" i="10"/>
  <c r="J403" i="10"/>
  <c r="J404" i="10"/>
  <c r="J405" i="10"/>
  <c r="J406" i="10"/>
  <c r="J407" i="10"/>
  <c r="J408" i="10"/>
  <c r="J409" i="10"/>
  <c r="J410" i="10"/>
  <c r="J411" i="10"/>
  <c r="J412" i="10"/>
  <c r="J413" i="10"/>
  <c r="J414" i="10"/>
  <c r="J415" i="10"/>
  <c r="J416" i="10"/>
  <c r="J417" i="10"/>
  <c r="J418" i="10"/>
  <c r="J419" i="10"/>
  <c r="J420" i="10"/>
  <c r="J421" i="10"/>
  <c r="J422" i="10"/>
  <c r="J423" i="10"/>
  <c r="J424" i="10"/>
  <c r="J425" i="10"/>
  <c r="J426" i="10"/>
  <c r="J427" i="10"/>
  <c r="J428" i="10"/>
  <c r="J429" i="10"/>
  <c r="J430" i="10"/>
  <c r="J431" i="10"/>
  <c r="J432" i="10"/>
  <c r="J433" i="10"/>
  <c r="J434" i="10"/>
  <c r="J435" i="10"/>
  <c r="J436" i="10"/>
  <c r="J437" i="10"/>
  <c r="J438" i="10"/>
  <c r="J439" i="10"/>
  <c r="J440" i="10"/>
  <c r="J441" i="10"/>
  <c r="J442" i="10"/>
  <c r="J443" i="10"/>
  <c r="J444" i="10"/>
  <c r="J445" i="10"/>
  <c r="J446" i="10"/>
  <c r="J447" i="10"/>
  <c r="J448" i="10"/>
  <c r="J449" i="10"/>
  <c r="J450" i="10"/>
  <c r="J451" i="10"/>
  <c r="J452" i="10"/>
  <c r="J453" i="10"/>
  <c r="J454" i="10"/>
  <c r="J455" i="10"/>
  <c r="J456" i="10"/>
  <c r="J457" i="10"/>
  <c r="J458" i="10"/>
  <c r="J459" i="10"/>
  <c r="J460" i="10"/>
  <c r="J461" i="10"/>
  <c r="J462" i="10"/>
  <c r="J463" i="10"/>
  <c r="J464" i="10"/>
  <c r="J465" i="10"/>
  <c r="J466" i="10"/>
  <c r="J467" i="10"/>
  <c r="J468" i="10"/>
  <c r="J469" i="10"/>
  <c r="J470" i="10"/>
  <c r="J471" i="10"/>
  <c r="J472" i="10"/>
  <c r="J473" i="10"/>
  <c r="J474" i="10"/>
  <c r="J475" i="10"/>
  <c r="J476" i="10"/>
  <c r="J477" i="10"/>
  <c r="J478" i="10"/>
  <c r="J479" i="10"/>
  <c r="J480" i="10"/>
  <c r="J481" i="10"/>
  <c r="J482" i="10"/>
  <c r="J483" i="10"/>
  <c r="J484" i="10"/>
  <c r="J485" i="10"/>
  <c r="J486" i="10"/>
  <c r="J487" i="10"/>
  <c r="J488" i="10"/>
  <c r="J489" i="10"/>
  <c r="J490" i="10"/>
  <c r="J491" i="10"/>
  <c r="J492" i="10"/>
  <c r="J493" i="10"/>
  <c r="J494" i="10"/>
  <c r="J495" i="10"/>
  <c r="J496" i="10"/>
  <c r="J497" i="10"/>
  <c r="J498" i="10"/>
  <c r="J499" i="10"/>
  <c r="J500" i="10"/>
  <c r="J501" i="10"/>
  <c r="J502" i="10"/>
  <c r="J503" i="10"/>
  <c r="J504" i="10"/>
  <c r="F23" i="11" l="1"/>
  <c r="F24" i="11"/>
  <c r="F25" i="11"/>
  <c r="F26" i="11"/>
  <c r="F27" i="11"/>
  <c r="F28" i="11"/>
  <c r="F29" i="11"/>
  <c r="F30" i="11"/>
  <c r="F31" i="11"/>
  <c r="F32" i="11"/>
  <c r="F33" i="11"/>
  <c r="F34" i="11"/>
  <c r="F35" i="11"/>
  <c r="F36" i="11"/>
  <c r="F37" i="11"/>
  <c r="F38" i="11"/>
  <c r="F39" i="11"/>
  <c r="F40" i="11"/>
  <c r="F41" i="11"/>
  <c r="F42" i="11"/>
  <c r="F43" i="11"/>
  <c r="F44" i="11"/>
  <c r="F45" i="11"/>
  <c r="F46" i="11"/>
  <c r="F22" i="11"/>
  <c r="F20" i="11"/>
  <c r="F19" i="11"/>
  <c r="H10" i="13" l="1"/>
  <c r="H12" i="13" s="1"/>
  <c r="H11" i="13" l="1"/>
  <c r="D36" i="10"/>
  <c r="E36" i="10"/>
  <c r="F36" i="10"/>
  <c r="G36" i="10"/>
  <c r="H36" i="10"/>
  <c r="I36" i="10"/>
  <c r="D37" i="10"/>
  <c r="E37" i="10"/>
  <c r="F37" i="10"/>
  <c r="G37" i="10"/>
  <c r="H37" i="10"/>
  <c r="I37" i="10"/>
  <c r="D38" i="10"/>
  <c r="E38" i="10"/>
  <c r="F38" i="10"/>
  <c r="G38" i="10"/>
  <c r="H38" i="10"/>
  <c r="I38" i="10"/>
  <c r="D39" i="10"/>
  <c r="E39" i="10"/>
  <c r="F39" i="10"/>
  <c r="G39" i="10"/>
  <c r="H39" i="10"/>
  <c r="I39" i="10"/>
  <c r="D40" i="10"/>
  <c r="E40" i="10"/>
  <c r="F40" i="10"/>
  <c r="G40" i="10"/>
  <c r="H40" i="10"/>
  <c r="I40" i="10"/>
  <c r="D41" i="10"/>
  <c r="E41" i="10"/>
  <c r="F41" i="10"/>
  <c r="G41" i="10"/>
  <c r="H41" i="10"/>
  <c r="I41" i="10"/>
  <c r="D42" i="10"/>
  <c r="E42" i="10"/>
  <c r="F42" i="10"/>
  <c r="G42" i="10"/>
  <c r="H42" i="10"/>
  <c r="I42" i="10"/>
  <c r="D43" i="10"/>
  <c r="E43" i="10"/>
  <c r="F43" i="10"/>
  <c r="G43" i="10"/>
  <c r="H43" i="10"/>
  <c r="I43" i="10"/>
  <c r="D44" i="10"/>
  <c r="E44" i="10"/>
  <c r="F44" i="10"/>
  <c r="G44" i="10"/>
  <c r="H44" i="10"/>
  <c r="I44" i="10"/>
  <c r="D45" i="10"/>
  <c r="E45" i="10"/>
  <c r="F45" i="10"/>
  <c r="G45" i="10"/>
  <c r="H45" i="10"/>
  <c r="I45" i="10"/>
  <c r="D46" i="10"/>
  <c r="E46" i="10"/>
  <c r="F46" i="10"/>
  <c r="G46" i="10"/>
  <c r="H46" i="10"/>
  <c r="I46" i="10"/>
  <c r="D47" i="10"/>
  <c r="E47" i="10"/>
  <c r="F47" i="10"/>
  <c r="G47" i="10"/>
  <c r="H47" i="10"/>
  <c r="I47" i="10"/>
  <c r="D48" i="10"/>
  <c r="E48" i="10"/>
  <c r="F48" i="10"/>
  <c r="G48" i="10"/>
  <c r="H48" i="10"/>
  <c r="I48" i="10"/>
  <c r="D49" i="10"/>
  <c r="E49" i="10"/>
  <c r="F49" i="10"/>
  <c r="G49" i="10"/>
  <c r="H49" i="10"/>
  <c r="I49" i="10"/>
  <c r="D50" i="10"/>
  <c r="E50" i="10"/>
  <c r="F50" i="10"/>
  <c r="G50" i="10"/>
  <c r="H50" i="10"/>
  <c r="I50" i="10"/>
  <c r="D51" i="10"/>
  <c r="E51" i="10"/>
  <c r="F51" i="10"/>
  <c r="G51" i="10"/>
  <c r="H51" i="10"/>
  <c r="I51" i="10"/>
  <c r="D52" i="10"/>
  <c r="E52" i="10"/>
  <c r="F52" i="10"/>
  <c r="G52" i="10"/>
  <c r="H52" i="10"/>
  <c r="I52" i="10"/>
  <c r="D53" i="10"/>
  <c r="E53" i="10"/>
  <c r="F53" i="10"/>
  <c r="G53" i="10"/>
  <c r="H53" i="10"/>
  <c r="I53" i="10"/>
  <c r="D54" i="10"/>
  <c r="E54" i="10"/>
  <c r="F54" i="10"/>
  <c r="G54" i="10"/>
  <c r="H54" i="10"/>
  <c r="I54" i="10"/>
  <c r="D55" i="10"/>
  <c r="E55" i="10"/>
  <c r="F55" i="10"/>
  <c r="G55" i="10"/>
  <c r="H55" i="10"/>
  <c r="I55" i="10"/>
  <c r="D56" i="10"/>
  <c r="E56" i="10"/>
  <c r="F56" i="10"/>
  <c r="G56" i="10"/>
  <c r="H56" i="10"/>
  <c r="I56" i="10"/>
  <c r="D57" i="10"/>
  <c r="E57" i="10"/>
  <c r="F57" i="10"/>
  <c r="G57" i="10"/>
  <c r="H57" i="10"/>
  <c r="I57" i="10"/>
  <c r="D58" i="10"/>
  <c r="E58" i="10"/>
  <c r="F58" i="10"/>
  <c r="G58" i="10"/>
  <c r="H58" i="10"/>
  <c r="I58" i="10"/>
  <c r="D59" i="10"/>
  <c r="E59" i="10"/>
  <c r="F59" i="10"/>
  <c r="G59" i="10"/>
  <c r="H59" i="10"/>
  <c r="I59" i="10"/>
  <c r="D60" i="10"/>
  <c r="E60" i="10"/>
  <c r="F60" i="10"/>
  <c r="G60" i="10"/>
  <c r="H60" i="10"/>
  <c r="I60" i="10"/>
  <c r="D61" i="10"/>
  <c r="E61" i="10"/>
  <c r="F61" i="10"/>
  <c r="G61" i="10"/>
  <c r="H61" i="10"/>
  <c r="I61" i="10"/>
  <c r="D62" i="10"/>
  <c r="E62" i="10"/>
  <c r="F62" i="10"/>
  <c r="G62" i="10"/>
  <c r="H62" i="10"/>
  <c r="I62" i="10"/>
  <c r="D63" i="10"/>
  <c r="E63" i="10"/>
  <c r="F63" i="10"/>
  <c r="G63" i="10"/>
  <c r="H63" i="10"/>
  <c r="I63" i="10"/>
  <c r="D64" i="10"/>
  <c r="E64" i="10"/>
  <c r="F64" i="10"/>
  <c r="G64" i="10"/>
  <c r="H64" i="10"/>
  <c r="I64" i="10"/>
  <c r="D65" i="10"/>
  <c r="E65" i="10"/>
  <c r="F65" i="10"/>
  <c r="G65" i="10"/>
  <c r="H65" i="10"/>
  <c r="I65" i="10"/>
  <c r="D66" i="10"/>
  <c r="E66" i="10"/>
  <c r="F66" i="10"/>
  <c r="G66" i="10"/>
  <c r="H66" i="10"/>
  <c r="I66" i="10"/>
  <c r="D67" i="10"/>
  <c r="E67" i="10"/>
  <c r="F67" i="10"/>
  <c r="G67" i="10"/>
  <c r="H67" i="10"/>
  <c r="I67" i="10"/>
  <c r="D68" i="10"/>
  <c r="E68" i="10"/>
  <c r="F68" i="10"/>
  <c r="G68" i="10"/>
  <c r="H68" i="10"/>
  <c r="I68" i="10"/>
  <c r="D69" i="10"/>
  <c r="E69" i="10"/>
  <c r="F69" i="10"/>
  <c r="G69" i="10"/>
  <c r="H69" i="10"/>
  <c r="I69" i="10"/>
  <c r="D70" i="10"/>
  <c r="E70" i="10"/>
  <c r="F70" i="10"/>
  <c r="G70" i="10"/>
  <c r="H70" i="10"/>
  <c r="I70" i="10"/>
  <c r="D71" i="10"/>
  <c r="E71" i="10"/>
  <c r="F71" i="10"/>
  <c r="G71" i="10"/>
  <c r="H71" i="10"/>
  <c r="I71" i="10"/>
  <c r="D72" i="10"/>
  <c r="E72" i="10"/>
  <c r="F72" i="10"/>
  <c r="G72" i="10"/>
  <c r="H72" i="10"/>
  <c r="I72" i="10"/>
  <c r="D73" i="10"/>
  <c r="E73" i="10"/>
  <c r="F73" i="10"/>
  <c r="G73" i="10"/>
  <c r="H73" i="10"/>
  <c r="I73" i="10"/>
  <c r="D74" i="10"/>
  <c r="E74" i="10"/>
  <c r="F74" i="10"/>
  <c r="G74" i="10"/>
  <c r="H74" i="10"/>
  <c r="I74" i="10"/>
  <c r="D75" i="10"/>
  <c r="E75" i="10"/>
  <c r="F75" i="10"/>
  <c r="G75" i="10"/>
  <c r="H75" i="10"/>
  <c r="I75" i="10"/>
  <c r="D76" i="10"/>
  <c r="E76" i="10"/>
  <c r="F76" i="10"/>
  <c r="G76" i="10"/>
  <c r="H76" i="10"/>
  <c r="I76" i="10"/>
  <c r="D77" i="10"/>
  <c r="E77" i="10"/>
  <c r="F77" i="10"/>
  <c r="G77" i="10"/>
  <c r="H77" i="10"/>
  <c r="I77" i="10"/>
  <c r="D78" i="10"/>
  <c r="E78" i="10"/>
  <c r="F78" i="10"/>
  <c r="G78" i="10"/>
  <c r="H78" i="10"/>
  <c r="I78" i="10"/>
  <c r="D79" i="10"/>
  <c r="E79" i="10"/>
  <c r="F79" i="10"/>
  <c r="G79" i="10"/>
  <c r="H79" i="10"/>
  <c r="I79" i="10"/>
  <c r="D80" i="10"/>
  <c r="E80" i="10"/>
  <c r="F80" i="10"/>
  <c r="G80" i="10"/>
  <c r="H80" i="10"/>
  <c r="I80" i="10"/>
  <c r="D81" i="10"/>
  <c r="E81" i="10"/>
  <c r="F81" i="10"/>
  <c r="G81" i="10"/>
  <c r="H81" i="10"/>
  <c r="I81" i="10"/>
  <c r="D82" i="10"/>
  <c r="E82" i="10"/>
  <c r="F82" i="10"/>
  <c r="G82" i="10"/>
  <c r="H82" i="10"/>
  <c r="I82" i="10"/>
  <c r="D83" i="10"/>
  <c r="E83" i="10"/>
  <c r="F83" i="10"/>
  <c r="G83" i="10"/>
  <c r="H83" i="10"/>
  <c r="I83" i="10"/>
  <c r="D84" i="10"/>
  <c r="E84" i="10"/>
  <c r="F84" i="10"/>
  <c r="G84" i="10"/>
  <c r="H84" i="10"/>
  <c r="I84" i="10"/>
  <c r="D85" i="10"/>
  <c r="E85" i="10"/>
  <c r="F85" i="10"/>
  <c r="G85" i="10"/>
  <c r="H85" i="10"/>
  <c r="I85" i="10"/>
  <c r="D86" i="10"/>
  <c r="E86" i="10"/>
  <c r="F86" i="10"/>
  <c r="G86" i="10"/>
  <c r="H86" i="10"/>
  <c r="I86" i="10"/>
  <c r="D87" i="10"/>
  <c r="E87" i="10"/>
  <c r="F87" i="10"/>
  <c r="G87" i="10"/>
  <c r="H87" i="10"/>
  <c r="I87" i="10"/>
  <c r="D88" i="10"/>
  <c r="E88" i="10"/>
  <c r="F88" i="10"/>
  <c r="G88" i="10"/>
  <c r="H88" i="10"/>
  <c r="I88" i="10"/>
  <c r="D89" i="10"/>
  <c r="E89" i="10"/>
  <c r="F89" i="10"/>
  <c r="G89" i="10"/>
  <c r="H89" i="10"/>
  <c r="I89" i="10"/>
  <c r="D90" i="10"/>
  <c r="E90" i="10"/>
  <c r="F90" i="10"/>
  <c r="G90" i="10"/>
  <c r="H90" i="10"/>
  <c r="I90" i="10"/>
  <c r="D91" i="10"/>
  <c r="E91" i="10"/>
  <c r="F91" i="10"/>
  <c r="G91" i="10"/>
  <c r="H91" i="10"/>
  <c r="I91" i="10"/>
  <c r="D92" i="10"/>
  <c r="E92" i="10"/>
  <c r="F92" i="10"/>
  <c r="G92" i="10"/>
  <c r="H92" i="10"/>
  <c r="I92" i="10"/>
  <c r="D93" i="10"/>
  <c r="E93" i="10"/>
  <c r="F93" i="10"/>
  <c r="G93" i="10"/>
  <c r="H93" i="10"/>
  <c r="I93" i="10"/>
  <c r="D94" i="10"/>
  <c r="E94" i="10"/>
  <c r="F94" i="10"/>
  <c r="G94" i="10"/>
  <c r="H94" i="10"/>
  <c r="I94" i="10"/>
  <c r="D95" i="10"/>
  <c r="E95" i="10"/>
  <c r="F95" i="10"/>
  <c r="G95" i="10"/>
  <c r="H95" i="10"/>
  <c r="I95" i="10"/>
  <c r="D96" i="10"/>
  <c r="E96" i="10"/>
  <c r="F96" i="10"/>
  <c r="G96" i="10"/>
  <c r="H96" i="10"/>
  <c r="I96" i="10"/>
  <c r="D97" i="10"/>
  <c r="E97" i="10"/>
  <c r="F97" i="10"/>
  <c r="G97" i="10"/>
  <c r="H97" i="10"/>
  <c r="I97" i="10"/>
  <c r="D98" i="10"/>
  <c r="E98" i="10"/>
  <c r="F98" i="10"/>
  <c r="G98" i="10"/>
  <c r="H98" i="10"/>
  <c r="I98" i="10"/>
  <c r="D99" i="10"/>
  <c r="E99" i="10"/>
  <c r="F99" i="10"/>
  <c r="G99" i="10"/>
  <c r="H99" i="10"/>
  <c r="I99" i="10"/>
  <c r="D100" i="10"/>
  <c r="E100" i="10"/>
  <c r="F100" i="10"/>
  <c r="G100" i="10"/>
  <c r="H100" i="10"/>
  <c r="I100" i="10"/>
  <c r="D101" i="10"/>
  <c r="E101" i="10"/>
  <c r="F101" i="10"/>
  <c r="G101" i="10"/>
  <c r="H101" i="10"/>
  <c r="I101" i="10"/>
  <c r="D102" i="10"/>
  <c r="E102" i="10"/>
  <c r="F102" i="10"/>
  <c r="G102" i="10"/>
  <c r="H102" i="10"/>
  <c r="I102" i="10"/>
  <c r="D103" i="10"/>
  <c r="E103" i="10"/>
  <c r="F103" i="10"/>
  <c r="G103" i="10"/>
  <c r="H103" i="10"/>
  <c r="I103" i="10"/>
  <c r="D104" i="10"/>
  <c r="E104" i="10"/>
  <c r="F104" i="10"/>
  <c r="G104" i="10"/>
  <c r="H104" i="10"/>
  <c r="I104" i="10"/>
  <c r="D105" i="10"/>
  <c r="E105" i="10"/>
  <c r="F105" i="10"/>
  <c r="G105" i="10"/>
  <c r="H105" i="10"/>
  <c r="I105" i="10"/>
  <c r="D106" i="10"/>
  <c r="E106" i="10"/>
  <c r="F106" i="10"/>
  <c r="G106" i="10"/>
  <c r="H106" i="10"/>
  <c r="I106" i="10"/>
  <c r="D107" i="10"/>
  <c r="E107" i="10"/>
  <c r="F107" i="10"/>
  <c r="G107" i="10"/>
  <c r="H107" i="10"/>
  <c r="I107" i="10"/>
  <c r="D108" i="10"/>
  <c r="E108" i="10"/>
  <c r="F108" i="10"/>
  <c r="G108" i="10"/>
  <c r="H108" i="10"/>
  <c r="I108" i="10"/>
  <c r="D109" i="10"/>
  <c r="E109" i="10"/>
  <c r="F109" i="10"/>
  <c r="G109" i="10"/>
  <c r="H109" i="10"/>
  <c r="I109" i="10"/>
  <c r="D110" i="10"/>
  <c r="E110" i="10"/>
  <c r="F110" i="10"/>
  <c r="G110" i="10"/>
  <c r="H110" i="10"/>
  <c r="I110" i="10"/>
  <c r="D111" i="10"/>
  <c r="E111" i="10"/>
  <c r="F111" i="10"/>
  <c r="G111" i="10"/>
  <c r="H111" i="10"/>
  <c r="I111" i="10"/>
  <c r="D112" i="10"/>
  <c r="E112" i="10"/>
  <c r="F112" i="10"/>
  <c r="G112" i="10"/>
  <c r="H112" i="10"/>
  <c r="I112" i="10"/>
  <c r="D113" i="10"/>
  <c r="E113" i="10"/>
  <c r="F113" i="10"/>
  <c r="G113" i="10"/>
  <c r="H113" i="10"/>
  <c r="I113" i="10"/>
  <c r="D114" i="10"/>
  <c r="E114" i="10"/>
  <c r="F114" i="10"/>
  <c r="G114" i="10"/>
  <c r="H114" i="10"/>
  <c r="I114" i="10"/>
  <c r="D115" i="10"/>
  <c r="E115" i="10"/>
  <c r="F115" i="10"/>
  <c r="G115" i="10"/>
  <c r="H115" i="10"/>
  <c r="I115" i="10"/>
  <c r="D116" i="10"/>
  <c r="E116" i="10"/>
  <c r="F116" i="10"/>
  <c r="G116" i="10"/>
  <c r="H116" i="10"/>
  <c r="I116" i="10"/>
  <c r="D117" i="10"/>
  <c r="E117" i="10"/>
  <c r="F117" i="10"/>
  <c r="G117" i="10"/>
  <c r="H117" i="10"/>
  <c r="I117" i="10"/>
  <c r="D118" i="10"/>
  <c r="E118" i="10"/>
  <c r="F118" i="10"/>
  <c r="G118" i="10"/>
  <c r="H118" i="10"/>
  <c r="I118" i="10"/>
  <c r="D119" i="10"/>
  <c r="E119" i="10"/>
  <c r="F119" i="10"/>
  <c r="G119" i="10"/>
  <c r="H119" i="10"/>
  <c r="I119" i="10"/>
  <c r="D120" i="10"/>
  <c r="E120" i="10"/>
  <c r="F120" i="10"/>
  <c r="G120" i="10"/>
  <c r="H120" i="10"/>
  <c r="I120" i="10"/>
  <c r="D121" i="10"/>
  <c r="E121" i="10"/>
  <c r="F121" i="10"/>
  <c r="G121" i="10"/>
  <c r="H121" i="10"/>
  <c r="I121" i="10"/>
  <c r="D122" i="10"/>
  <c r="E122" i="10"/>
  <c r="F122" i="10"/>
  <c r="G122" i="10"/>
  <c r="H122" i="10"/>
  <c r="I122" i="10"/>
  <c r="D123" i="10"/>
  <c r="E123" i="10"/>
  <c r="F123" i="10"/>
  <c r="G123" i="10"/>
  <c r="H123" i="10"/>
  <c r="I123" i="10"/>
  <c r="D124" i="10"/>
  <c r="E124" i="10"/>
  <c r="F124" i="10"/>
  <c r="G124" i="10"/>
  <c r="H124" i="10"/>
  <c r="I124" i="10"/>
  <c r="D125" i="10"/>
  <c r="E125" i="10"/>
  <c r="F125" i="10"/>
  <c r="G125" i="10"/>
  <c r="H125" i="10"/>
  <c r="I125" i="10"/>
  <c r="D126" i="10"/>
  <c r="E126" i="10"/>
  <c r="F126" i="10"/>
  <c r="G126" i="10"/>
  <c r="H126" i="10"/>
  <c r="I126" i="10"/>
  <c r="D127" i="10"/>
  <c r="E127" i="10"/>
  <c r="F127" i="10"/>
  <c r="G127" i="10"/>
  <c r="H127" i="10"/>
  <c r="I127" i="10"/>
  <c r="D128" i="10"/>
  <c r="E128" i="10"/>
  <c r="F128" i="10"/>
  <c r="G128" i="10"/>
  <c r="H128" i="10"/>
  <c r="I128" i="10"/>
  <c r="D129" i="10"/>
  <c r="E129" i="10"/>
  <c r="F129" i="10"/>
  <c r="G129" i="10"/>
  <c r="H129" i="10"/>
  <c r="I129" i="10"/>
  <c r="D130" i="10"/>
  <c r="E130" i="10"/>
  <c r="F130" i="10"/>
  <c r="G130" i="10"/>
  <c r="H130" i="10"/>
  <c r="I130" i="10"/>
  <c r="D131" i="10"/>
  <c r="E131" i="10"/>
  <c r="F131" i="10"/>
  <c r="G131" i="10"/>
  <c r="H131" i="10"/>
  <c r="I131" i="10"/>
  <c r="D132" i="10"/>
  <c r="E132" i="10"/>
  <c r="F132" i="10"/>
  <c r="G132" i="10"/>
  <c r="H132" i="10"/>
  <c r="I132" i="10"/>
  <c r="D133" i="10"/>
  <c r="E133" i="10"/>
  <c r="F133" i="10"/>
  <c r="G133" i="10"/>
  <c r="H133" i="10"/>
  <c r="I133" i="10"/>
  <c r="D134" i="10"/>
  <c r="E134" i="10"/>
  <c r="F134" i="10"/>
  <c r="G134" i="10"/>
  <c r="H134" i="10"/>
  <c r="I134" i="10"/>
  <c r="D135" i="10"/>
  <c r="E135" i="10"/>
  <c r="F135" i="10"/>
  <c r="G135" i="10"/>
  <c r="H135" i="10"/>
  <c r="I135" i="10"/>
  <c r="D136" i="10"/>
  <c r="E136" i="10"/>
  <c r="F136" i="10"/>
  <c r="G136" i="10"/>
  <c r="H136" i="10"/>
  <c r="I136" i="10"/>
  <c r="D137" i="10"/>
  <c r="E137" i="10"/>
  <c r="F137" i="10"/>
  <c r="G137" i="10"/>
  <c r="H137" i="10"/>
  <c r="I137" i="10"/>
  <c r="D138" i="10"/>
  <c r="E138" i="10"/>
  <c r="F138" i="10"/>
  <c r="G138" i="10"/>
  <c r="H138" i="10"/>
  <c r="I138" i="10"/>
  <c r="D139" i="10"/>
  <c r="E139" i="10"/>
  <c r="F139" i="10"/>
  <c r="G139" i="10"/>
  <c r="H139" i="10"/>
  <c r="I139" i="10"/>
  <c r="D140" i="10"/>
  <c r="E140" i="10"/>
  <c r="F140" i="10"/>
  <c r="G140" i="10"/>
  <c r="H140" i="10"/>
  <c r="I140" i="10"/>
  <c r="D141" i="10"/>
  <c r="E141" i="10"/>
  <c r="F141" i="10"/>
  <c r="G141" i="10"/>
  <c r="H141" i="10"/>
  <c r="I141" i="10"/>
  <c r="D142" i="10"/>
  <c r="E142" i="10"/>
  <c r="F142" i="10"/>
  <c r="G142" i="10"/>
  <c r="H142" i="10"/>
  <c r="I142" i="10"/>
  <c r="D143" i="10"/>
  <c r="E143" i="10"/>
  <c r="F143" i="10"/>
  <c r="G143" i="10"/>
  <c r="H143" i="10"/>
  <c r="I143" i="10"/>
  <c r="D144" i="10"/>
  <c r="E144" i="10"/>
  <c r="F144" i="10"/>
  <c r="G144" i="10"/>
  <c r="H144" i="10"/>
  <c r="I144" i="10"/>
  <c r="D145" i="10"/>
  <c r="E145" i="10"/>
  <c r="F145" i="10"/>
  <c r="G145" i="10"/>
  <c r="H145" i="10"/>
  <c r="I145" i="10"/>
  <c r="D146" i="10"/>
  <c r="E146" i="10"/>
  <c r="F146" i="10"/>
  <c r="G146" i="10"/>
  <c r="H146" i="10"/>
  <c r="I146" i="10"/>
  <c r="D147" i="10"/>
  <c r="E147" i="10"/>
  <c r="F147" i="10"/>
  <c r="G147" i="10"/>
  <c r="H147" i="10"/>
  <c r="I147" i="10"/>
  <c r="D148" i="10"/>
  <c r="E148" i="10"/>
  <c r="F148" i="10"/>
  <c r="G148" i="10"/>
  <c r="H148" i="10"/>
  <c r="I148" i="10"/>
  <c r="D149" i="10"/>
  <c r="E149" i="10"/>
  <c r="F149" i="10"/>
  <c r="G149" i="10"/>
  <c r="H149" i="10"/>
  <c r="I149" i="10"/>
  <c r="D150" i="10"/>
  <c r="E150" i="10"/>
  <c r="F150" i="10"/>
  <c r="G150" i="10"/>
  <c r="H150" i="10"/>
  <c r="I150" i="10"/>
  <c r="D151" i="10"/>
  <c r="E151" i="10"/>
  <c r="F151" i="10"/>
  <c r="G151" i="10"/>
  <c r="H151" i="10"/>
  <c r="I151" i="10"/>
  <c r="D152" i="10"/>
  <c r="E152" i="10"/>
  <c r="F152" i="10"/>
  <c r="G152" i="10"/>
  <c r="H152" i="10"/>
  <c r="I152" i="10"/>
  <c r="D153" i="10"/>
  <c r="E153" i="10"/>
  <c r="F153" i="10"/>
  <c r="G153" i="10"/>
  <c r="H153" i="10"/>
  <c r="I153" i="10"/>
  <c r="D154" i="10"/>
  <c r="E154" i="10"/>
  <c r="F154" i="10"/>
  <c r="G154" i="10"/>
  <c r="H154" i="10"/>
  <c r="I154" i="10"/>
  <c r="D155" i="10"/>
  <c r="E155" i="10"/>
  <c r="F155" i="10"/>
  <c r="G155" i="10"/>
  <c r="H155" i="10"/>
  <c r="I155" i="10"/>
  <c r="D156" i="10"/>
  <c r="E156" i="10"/>
  <c r="F156" i="10"/>
  <c r="G156" i="10"/>
  <c r="H156" i="10"/>
  <c r="I156" i="10"/>
  <c r="D157" i="10"/>
  <c r="E157" i="10"/>
  <c r="F157" i="10"/>
  <c r="G157" i="10"/>
  <c r="H157" i="10"/>
  <c r="I157" i="10"/>
  <c r="D158" i="10"/>
  <c r="E158" i="10"/>
  <c r="F158" i="10"/>
  <c r="G158" i="10"/>
  <c r="H158" i="10"/>
  <c r="I158" i="10"/>
  <c r="D159" i="10"/>
  <c r="E159" i="10"/>
  <c r="F159" i="10"/>
  <c r="G159" i="10"/>
  <c r="H159" i="10"/>
  <c r="I159" i="10"/>
  <c r="D160" i="10"/>
  <c r="E160" i="10"/>
  <c r="F160" i="10"/>
  <c r="G160" i="10"/>
  <c r="H160" i="10"/>
  <c r="I160" i="10"/>
  <c r="D161" i="10"/>
  <c r="E161" i="10"/>
  <c r="F161" i="10"/>
  <c r="G161" i="10"/>
  <c r="H161" i="10"/>
  <c r="I161" i="10"/>
  <c r="D162" i="10"/>
  <c r="E162" i="10"/>
  <c r="F162" i="10"/>
  <c r="G162" i="10"/>
  <c r="H162" i="10"/>
  <c r="I162" i="10"/>
  <c r="D163" i="10"/>
  <c r="E163" i="10"/>
  <c r="F163" i="10"/>
  <c r="G163" i="10"/>
  <c r="H163" i="10"/>
  <c r="I163" i="10"/>
  <c r="D164" i="10"/>
  <c r="E164" i="10"/>
  <c r="F164" i="10"/>
  <c r="G164" i="10"/>
  <c r="H164" i="10"/>
  <c r="I164" i="10"/>
  <c r="D165" i="10"/>
  <c r="E165" i="10"/>
  <c r="F165" i="10"/>
  <c r="G165" i="10"/>
  <c r="H165" i="10"/>
  <c r="I165" i="10"/>
  <c r="D166" i="10"/>
  <c r="E166" i="10"/>
  <c r="F166" i="10"/>
  <c r="G166" i="10"/>
  <c r="H166" i="10"/>
  <c r="I166" i="10"/>
  <c r="D167" i="10"/>
  <c r="E167" i="10"/>
  <c r="F167" i="10"/>
  <c r="G167" i="10"/>
  <c r="H167" i="10"/>
  <c r="I167" i="10"/>
  <c r="D168" i="10"/>
  <c r="E168" i="10"/>
  <c r="F168" i="10"/>
  <c r="G168" i="10"/>
  <c r="H168" i="10"/>
  <c r="I168" i="10"/>
  <c r="D169" i="10"/>
  <c r="E169" i="10"/>
  <c r="F169" i="10"/>
  <c r="G169" i="10"/>
  <c r="H169" i="10"/>
  <c r="I169" i="10"/>
  <c r="D170" i="10"/>
  <c r="E170" i="10"/>
  <c r="F170" i="10"/>
  <c r="G170" i="10"/>
  <c r="H170" i="10"/>
  <c r="I170" i="10"/>
  <c r="D171" i="10"/>
  <c r="E171" i="10"/>
  <c r="F171" i="10"/>
  <c r="G171" i="10"/>
  <c r="H171" i="10"/>
  <c r="I171" i="10"/>
  <c r="D172" i="10"/>
  <c r="E172" i="10"/>
  <c r="F172" i="10"/>
  <c r="G172" i="10"/>
  <c r="H172" i="10"/>
  <c r="I172" i="10"/>
  <c r="D173" i="10"/>
  <c r="E173" i="10"/>
  <c r="F173" i="10"/>
  <c r="G173" i="10"/>
  <c r="H173" i="10"/>
  <c r="I173" i="10"/>
  <c r="D174" i="10"/>
  <c r="E174" i="10"/>
  <c r="F174" i="10"/>
  <c r="G174" i="10"/>
  <c r="H174" i="10"/>
  <c r="I174" i="10"/>
  <c r="D175" i="10"/>
  <c r="E175" i="10"/>
  <c r="F175" i="10"/>
  <c r="G175" i="10"/>
  <c r="H175" i="10"/>
  <c r="I175" i="10"/>
  <c r="D176" i="10"/>
  <c r="E176" i="10"/>
  <c r="F176" i="10"/>
  <c r="G176" i="10"/>
  <c r="H176" i="10"/>
  <c r="I176" i="10"/>
  <c r="D177" i="10"/>
  <c r="E177" i="10"/>
  <c r="F177" i="10"/>
  <c r="G177" i="10"/>
  <c r="H177" i="10"/>
  <c r="I177" i="10"/>
  <c r="D178" i="10"/>
  <c r="E178" i="10"/>
  <c r="F178" i="10"/>
  <c r="G178" i="10"/>
  <c r="H178" i="10"/>
  <c r="I178" i="10"/>
  <c r="D179" i="10"/>
  <c r="E179" i="10"/>
  <c r="F179" i="10"/>
  <c r="G179" i="10"/>
  <c r="H179" i="10"/>
  <c r="I179" i="10"/>
  <c r="D180" i="10"/>
  <c r="E180" i="10"/>
  <c r="F180" i="10"/>
  <c r="G180" i="10"/>
  <c r="H180" i="10"/>
  <c r="I180" i="10"/>
  <c r="D181" i="10"/>
  <c r="E181" i="10"/>
  <c r="F181" i="10"/>
  <c r="G181" i="10"/>
  <c r="H181" i="10"/>
  <c r="I181" i="10"/>
  <c r="D182" i="10"/>
  <c r="E182" i="10"/>
  <c r="F182" i="10"/>
  <c r="G182" i="10"/>
  <c r="H182" i="10"/>
  <c r="I182" i="10"/>
  <c r="D183" i="10"/>
  <c r="E183" i="10"/>
  <c r="F183" i="10"/>
  <c r="G183" i="10"/>
  <c r="H183" i="10"/>
  <c r="I183" i="10"/>
  <c r="D184" i="10"/>
  <c r="E184" i="10"/>
  <c r="F184" i="10"/>
  <c r="G184" i="10"/>
  <c r="H184" i="10"/>
  <c r="I184" i="10"/>
  <c r="D185" i="10"/>
  <c r="E185" i="10"/>
  <c r="F185" i="10"/>
  <c r="G185" i="10"/>
  <c r="H185" i="10"/>
  <c r="I185" i="10"/>
  <c r="D186" i="10"/>
  <c r="E186" i="10"/>
  <c r="F186" i="10"/>
  <c r="G186" i="10"/>
  <c r="H186" i="10"/>
  <c r="I186" i="10"/>
  <c r="D187" i="10"/>
  <c r="E187" i="10"/>
  <c r="F187" i="10"/>
  <c r="G187" i="10"/>
  <c r="H187" i="10"/>
  <c r="I187" i="10"/>
  <c r="D188" i="10"/>
  <c r="E188" i="10"/>
  <c r="F188" i="10"/>
  <c r="G188" i="10"/>
  <c r="H188" i="10"/>
  <c r="I188" i="10"/>
  <c r="D189" i="10"/>
  <c r="E189" i="10"/>
  <c r="F189" i="10"/>
  <c r="G189" i="10"/>
  <c r="H189" i="10"/>
  <c r="I189" i="10"/>
  <c r="D190" i="10"/>
  <c r="E190" i="10"/>
  <c r="F190" i="10"/>
  <c r="G190" i="10"/>
  <c r="H190" i="10"/>
  <c r="I190" i="10"/>
  <c r="D191" i="10"/>
  <c r="E191" i="10"/>
  <c r="F191" i="10"/>
  <c r="G191" i="10"/>
  <c r="H191" i="10"/>
  <c r="I191" i="10"/>
  <c r="D192" i="10"/>
  <c r="E192" i="10"/>
  <c r="F192" i="10"/>
  <c r="G192" i="10"/>
  <c r="H192" i="10"/>
  <c r="I192" i="10"/>
  <c r="D193" i="10"/>
  <c r="E193" i="10"/>
  <c r="F193" i="10"/>
  <c r="G193" i="10"/>
  <c r="H193" i="10"/>
  <c r="I193" i="10"/>
  <c r="D194" i="10"/>
  <c r="E194" i="10"/>
  <c r="F194" i="10"/>
  <c r="G194" i="10"/>
  <c r="H194" i="10"/>
  <c r="I194" i="10"/>
  <c r="D195" i="10"/>
  <c r="E195" i="10"/>
  <c r="F195" i="10"/>
  <c r="G195" i="10"/>
  <c r="H195" i="10"/>
  <c r="I195" i="10"/>
  <c r="D196" i="10"/>
  <c r="E196" i="10"/>
  <c r="F196" i="10"/>
  <c r="G196" i="10"/>
  <c r="H196" i="10"/>
  <c r="I196" i="10"/>
  <c r="D197" i="10"/>
  <c r="E197" i="10"/>
  <c r="F197" i="10"/>
  <c r="G197" i="10"/>
  <c r="H197" i="10"/>
  <c r="I197" i="10"/>
  <c r="D198" i="10"/>
  <c r="E198" i="10"/>
  <c r="F198" i="10"/>
  <c r="G198" i="10"/>
  <c r="H198" i="10"/>
  <c r="I198" i="10"/>
  <c r="D199" i="10"/>
  <c r="E199" i="10"/>
  <c r="F199" i="10"/>
  <c r="G199" i="10"/>
  <c r="H199" i="10"/>
  <c r="I199" i="10"/>
  <c r="D200" i="10"/>
  <c r="E200" i="10"/>
  <c r="F200" i="10"/>
  <c r="G200" i="10"/>
  <c r="H200" i="10"/>
  <c r="I200" i="10"/>
  <c r="D201" i="10"/>
  <c r="E201" i="10"/>
  <c r="F201" i="10"/>
  <c r="G201" i="10"/>
  <c r="H201" i="10"/>
  <c r="I201" i="10"/>
  <c r="D202" i="10"/>
  <c r="E202" i="10"/>
  <c r="F202" i="10"/>
  <c r="G202" i="10"/>
  <c r="H202" i="10"/>
  <c r="I202" i="10"/>
  <c r="D203" i="10"/>
  <c r="E203" i="10"/>
  <c r="F203" i="10"/>
  <c r="G203" i="10"/>
  <c r="H203" i="10"/>
  <c r="I203" i="10"/>
  <c r="D204" i="10"/>
  <c r="E204" i="10"/>
  <c r="F204" i="10"/>
  <c r="G204" i="10"/>
  <c r="H204" i="10"/>
  <c r="I204" i="10"/>
  <c r="D205" i="10"/>
  <c r="E205" i="10"/>
  <c r="F205" i="10"/>
  <c r="G205" i="10"/>
  <c r="H205" i="10"/>
  <c r="I205" i="10"/>
  <c r="D206" i="10"/>
  <c r="E206" i="10"/>
  <c r="F206" i="10"/>
  <c r="G206" i="10"/>
  <c r="H206" i="10"/>
  <c r="I206" i="10"/>
  <c r="D207" i="10"/>
  <c r="E207" i="10"/>
  <c r="F207" i="10"/>
  <c r="G207" i="10"/>
  <c r="H207" i="10"/>
  <c r="I207" i="10"/>
  <c r="D208" i="10"/>
  <c r="E208" i="10"/>
  <c r="F208" i="10"/>
  <c r="G208" i="10"/>
  <c r="H208" i="10"/>
  <c r="I208" i="10"/>
  <c r="D209" i="10"/>
  <c r="E209" i="10"/>
  <c r="F209" i="10"/>
  <c r="G209" i="10"/>
  <c r="H209" i="10"/>
  <c r="I209" i="10"/>
  <c r="D210" i="10"/>
  <c r="E210" i="10"/>
  <c r="F210" i="10"/>
  <c r="G210" i="10"/>
  <c r="H210" i="10"/>
  <c r="I210" i="10"/>
  <c r="D211" i="10"/>
  <c r="E211" i="10"/>
  <c r="F211" i="10"/>
  <c r="G211" i="10"/>
  <c r="H211" i="10"/>
  <c r="I211" i="10"/>
  <c r="D212" i="10"/>
  <c r="E212" i="10"/>
  <c r="F212" i="10"/>
  <c r="G212" i="10"/>
  <c r="H212" i="10"/>
  <c r="I212" i="10"/>
  <c r="D213" i="10"/>
  <c r="E213" i="10"/>
  <c r="F213" i="10"/>
  <c r="G213" i="10"/>
  <c r="H213" i="10"/>
  <c r="I213" i="10"/>
  <c r="D214" i="10"/>
  <c r="E214" i="10"/>
  <c r="F214" i="10"/>
  <c r="G214" i="10"/>
  <c r="H214" i="10"/>
  <c r="I214" i="10"/>
  <c r="D215" i="10"/>
  <c r="E215" i="10"/>
  <c r="F215" i="10"/>
  <c r="G215" i="10"/>
  <c r="H215" i="10"/>
  <c r="I215" i="10"/>
  <c r="D216" i="10"/>
  <c r="E216" i="10"/>
  <c r="F216" i="10"/>
  <c r="G216" i="10"/>
  <c r="H216" i="10"/>
  <c r="I216" i="10"/>
  <c r="D217" i="10"/>
  <c r="E217" i="10"/>
  <c r="F217" i="10"/>
  <c r="G217" i="10"/>
  <c r="H217" i="10"/>
  <c r="I217" i="10"/>
  <c r="D218" i="10"/>
  <c r="E218" i="10"/>
  <c r="F218" i="10"/>
  <c r="G218" i="10"/>
  <c r="H218" i="10"/>
  <c r="I218" i="10"/>
  <c r="D219" i="10"/>
  <c r="E219" i="10"/>
  <c r="F219" i="10"/>
  <c r="G219" i="10"/>
  <c r="H219" i="10"/>
  <c r="I219" i="10"/>
  <c r="D220" i="10"/>
  <c r="E220" i="10"/>
  <c r="F220" i="10"/>
  <c r="G220" i="10"/>
  <c r="H220" i="10"/>
  <c r="I220" i="10"/>
  <c r="D221" i="10"/>
  <c r="E221" i="10"/>
  <c r="F221" i="10"/>
  <c r="G221" i="10"/>
  <c r="H221" i="10"/>
  <c r="I221" i="10"/>
  <c r="D222" i="10"/>
  <c r="E222" i="10"/>
  <c r="F222" i="10"/>
  <c r="G222" i="10"/>
  <c r="H222" i="10"/>
  <c r="I222" i="10"/>
  <c r="D223" i="10"/>
  <c r="E223" i="10"/>
  <c r="F223" i="10"/>
  <c r="G223" i="10"/>
  <c r="H223" i="10"/>
  <c r="I223" i="10"/>
  <c r="D224" i="10"/>
  <c r="E224" i="10"/>
  <c r="F224" i="10"/>
  <c r="G224" i="10"/>
  <c r="H224" i="10"/>
  <c r="I224" i="10"/>
  <c r="D225" i="10"/>
  <c r="E225" i="10"/>
  <c r="F225" i="10"/>
  <c r="G225" i="10"/>
  <c r="H225" i="10"/>
  <c r="I225" i="10"/>
  <c r="D226" i="10"/>
  <c r="E226" i="10"/>
  <c r="F226" i="10"/>
  <c r="G226" i="10"/>
  <c r="H226" i="10"/>
  <c r="I226" i="10"/>
  <c r="D227" i="10"/>
  <c r="E227" i="10"/>
  <c r="F227" i="10"/>
  <c r="G227" i="10"/>
  <c r="H227" i="10"/>
  <c r="I227" i="10"/>
  <c r="D228" i="10"/>
  <c r="E228" i="10"/>
  <c r="F228" i="10"/>
  <c r="G228" i="10"/>
  <c r="H228" i="10"/>
  <c r="I228" i="10"/>
  <c r="D229" i="10"/>
  <c r="E229" i="10"/>
  <c r="F229" i="10"/>
  <c r="G229" i="10"/>
  <c r="H229" i="10"/>
  <c r="I229" i="10"/>
  <c r="D230" i="10"/>
  <c r="E230" i="10"/>
  <c r="F230" i="10"/>
  <c r="G230" i="10"/>
  <c r="H230" i="10"/>
  <c r="I230" i="10"/>
  <c r="D231" i="10"/>
  <c r="E231" i="10"/>
  <c r="F231" i="10"/>
  <c r="G231" i="10"/>
  <c r="H231" i="10"/>
  <c r="I231" i="10"/>
  <c r="D232" i="10"/>
  <c r="E232" i="10"/>
  <c r="F232" i="10"/>
  <c r="G232" i="10"/>
  <c r="H232" i="10"/>
  <c r="I232" i="10"/>
  <c r="D233" i="10"/>
  <c r="E233" i="10"/>
  <c r="F233" i="10"/>
  <c r="G233" i="10"/>
  <c r="H233" i="10"/>
  <c r="I233" i="10"/>
  <c r="D234" i="10"/>
  <c r="E234" i="10"/>
  <c r="F234" i="10"/>
  <c r="G234" i="10"/>
  <c r="H234" i="10"/>
  <c r="I234" i="10"/>
  <c r="D235" i="10"/>
  <c r="E235" i="10"/>
  <c r="F235" i="10"/>
  <c r="G235" i="10"/>
  <c r="H235" i="10"/>
  <c r="I235" i="10"/>
  <c r="D236" i="10"/>
  <c r="E236" i="10"/>
  <c r="F236" i="10"/>
  <c r="G236" i="10"/>
  <c r="H236" i="10"/>
  <c r="I236" i="10"/>
  <c r="D237" i="10"/>
  <c r="E237" i="10"/>
  <c r="F237" i="10"/>
  <c r="G237" i="10"/>
  <c r="H237" i="10"/>
  <c r="I237" i="10"/>
  <c r="D238" i="10"/>
  <c r="E238" i="10"/>
  <c r="F238" i="10"/>
  <c r="G238" i="10"/>
  <c r="H238" i="10"/>
  <c r="I238" i="10"/>
  <c r="D239" i="10"/>
  <c r="E239" i="10"/>
  <c r="F239" i="10"/>
  <c r="G239" i="10"/>
  <c r="H239" i="10"/>
  <c r="I239" i="10"/>
  <c r="D240" i="10"/>
  <c r="E240" i="10"/>
  <c r="F240" i="10"/>
  <c r="G240" i="10"/>
  <c r="H240" i="10"/>
  <c r="I240" i="10"/>
  <c r="D241" i="10"/>
  <c r="E241" i="10"/>
  <c r="F241" i="10"/>
  <c r="G241" i="10"/>
  <c r="H241" i="10"/>
  <c r="I241" i="10"/>
  <c r="D242" i="10"/>
  <c r="E242" i="10"/>
  <c r="F242" i="10"/>
  <c r="G242" i="10"/>
  <c r="H242" i="10"/>
  <c r="I242" i="10"/>
  <c r="D243" i="10"/>
  <c r="E243" i="10"/>
  <c r="F243" i="10"/>
  <c r="G243" i="10"/>
  <c r="H243" i="10"/>
  <c r="I243" i="10"/>
  <c r="D244" i="10"/>
  <c r="E244" i="10"/>
  <c r="F244" i="10"/>
  <c r="G244" i="10"/>
  <c r="H244" i="10"/>
  <c r="I244" i="10"/>
  <c r="D245" i="10"/>
  <c r="E245" i="10"/>
  <c r="F245" i="10"/>
  <c r="G245" i="10"/>
  <c r="H245" i="10"/>
  <c r="I245" i="10"/>
  <c r="D246" i="10"/>
  <c r="E246" i="10"/>
  <c r="F246" i="10"/>
  <c r="G246" i="10"/>
  <c r="H246" i="10"/>
  <c r="I246" i="10"/>
  <c r="D247" i="10"/>
  <c r="E247" i="10"/>
  <c r="F247" i="10"/>
  <c r="G247" i="10"/>
  <c r="H247" i="10"/>
  <c r="I247" i="10"/>
  <c r="D248" i="10"/>
  <c r="E248" i="10"/>
  <c r="F248" i="10"/>
  <c r="G248" i="10"/>
  <c r="H248" i="10"/>
  <c r="I248" i="10"/>
  <c r="D249" i="10"/>
  <c r="E249" i="10"/>
  <c r="F249" i="10"/>
  <c r="G249" i="10"/>
  <c r="H249" i="10"/>
  <c r="I249" i="10"/>
  <c r="D250" i="10"/>
  <c r="E250" i="10"/>
  <c r="F250" i="10"/>
  <c r="G250" i="10"/>
  <c r="H250" i="10"/>
  <c r="I250" i="10"/>
  <c r="D251" i="10"/>
  <c r="E251" i="10"/>
  <c r="F251" i="10"/>
  <c r="G251" i="10"/>
  <c r="H251" i="10"/>
  <c r="I251" i="10"/>
  <c r="D252" i="10"/>
  <c r="E252" i="10"/>
  <c r="F252" i="10"/>
  <c r="G252" i="10"/>
  <c r="H252" i="10"/>
  <c r="I252" i="10"/>
  <c r="D253" i="10"/>
  <c r="E253" i="10"/>
  <c r="F253" i="10"/>
  <c r="G253" i="10"/>
  <c r="H253" i="10"/>
  <c r="I253" i="10"/>
  <c r="D254" i="10"/>
  <c r="E254" i="10"/>
  <c r="F254" i="10"/>
  <c r="G254" i="10"/>
  <c r="H254" i="10"/>
  <c r="I254" i="10"/>
  <c r="D255" i="10"/>
  <c r="E255" i="10"/>
  <c r="F255" i="10"/>
  <c r="G255" i="10"/>
  <c r="H255" i="10"/>
  <c r="I255" i="10"/>
  <c r="D256" i="10"/>
  <c r="E256" i="10"/>
  <c r="F256" i="10"/>
  <c r="G256" i="10"/>
  <c r="H256" i="10"/>
  <c r="I256" i="10"/>
  <c r="D257" i="10"/>
  <c r="E257" i="10"/>
  <c r="F257" i="10"/>
  <c r="G257" i="10"/>
  <c r="H257" i="10"/>
  <c r="I257" i="10"/>
  <c r="D258" i="10"/>
  <c r="E258" i="10"/>
  <c r="F258" i="10"/>
  <c r="G258" i="10"/>
  <c r="H258" i="10"/>
  <c r="I258" i="10"/>
  <c r="D259" i="10"/>
  <c r="E259" i="10"/>
  <c r="F259" i="10"/>
  <c r="G259" i="10"/>
  <c r="H259" i="10"/>
  <c r="I259" i="10"/>
  <c r="D260" i="10"/>
  <c r="E260" i="10"/>
  <c r="F260" i="10"/>
  <c r="G260" i="10"/>
  <c r="H260" i="10"/>
  <c r="I260" i="10"/>
  <c r="D261" i="10"/>
  <c r="E261" i="10"/>
  <c r="F261" i="10"/>
  <c r="G261" i="10"/>
  <c r="H261" i="10"/>
  <c r="I261" i="10"/>
  <c r="D262" i="10"/>
  <c r="E262" i="10"/>
  <c r="F262" i="10"/>
  <c r="G262" i="10"/>
  <c r="H262" i="10"/>
  <c r="I262" i="10"/>
  <c r="D263" i="10"/>
  <c r="E263" i="10"/>
  <c r="F263" i="10"/>
  <c r="G263" i="10"/>
  <c r="H263" i="10"/>
  <c r="I263" i="10"/>
  <c r="D264" i="10"/>
  <c r="E264" i="10"/>
  <c r="F264" i="10"/>
  <c r="G264" i="10"/>
  <c r="H264" i="10"/>
  <c r="I264" i="10"/>
  <c r="D265" i="10"/>
  <c r="E265" i="10"/>
  <c r="F265" i="10"/>
  <c r="G265" i="10"/>
  <c r="H265" i="10"/>
  <c r="I265" i="10"/>
  <c r="D266" i="10"/>
  <c r="E266" i="10"/>
  <c r="F266" i="10"/>
  <c r="G266" i="10"/>
  <c r="H266" i="10"/>
  <c r="I266" i="10"/>
  <c r="D267" i="10"/>
  <c r="E267" i="10"/>
  <c r="F267" i="10"/>
  <c r="G267" i="10"/>
  <c r="H267" i="10"/>
  <c r="I267" i="10"/>
  <c r="D268" i="10"/>
  <c r="E268" i="10"/>
  <c r="F268" i="10"/>
  <c r="G268" i="10"/>
  <c r="H268" i="10"/>
  <c r="I268" i="10"/>
  <c r="D269" i="10"/>
  <c r="E269" i="10"/>
  <c r="F269" i="10"/>
  <c r="G269" i="10"/>
  <c r="H269" i="10"/>
  <c r="I269" i="10"/>
  <c r="D270" i="10"/>
  <c r="E270" i="10"/>
  <c r="F270" i="10"/>
  <c r="G270" i="10"/>
  <c r="H270" i="10"/>
  <c r="I270" i="10"/>
  <c r="D271" i="10"/>
  <c r="E271" i="10"/>
  <c r="F271" i="10"/>
  <c r="G271" i="10"/>
  <c r="H271" i="10"/>
  <c r="I271" i="10"/>
  <c r="D272" i="10"/>
  <c r="E272" i="10"/>
  <c r="F272" i="10"/>
  <c r="G272" i="10"/>
  <c r="H272" i="10"/>
  <c r="I272" i="10"/>
  <c r="D273" i="10"/>
  <c r="E273" i="10"/>
  <c r="F273" i="10"/>
  <c r="G273" i="10"/>
  <c r="H273" i="10"/>
  <c r="I273" i="10"/>
  <c r="D274" i="10"/>
  <c r="E274" i="10"/>
  <c r="F274" i="10"/>
  <c r="G274" i="10"/>
  <c r="H274" i="10"/>
  <c r="I274" i="10"/>
  <c r="D275" i="10"/>
  <c r="E275" i="10"/>
  <c r="F275" i="10"/>
  <c r="G275" i="10"/>
  <c r="H275" i="10"/>
  <c r="I275" i="10"/>
  <c r="D276" i="10"/>
  <c r="E276" i="10"/>
  <c r="F276" i="10"/>
  <c r="G276" i="10"/>
  <c r="H276" i="10"/>
  <c r="I276" i="10"/>
  <c r="D277" i="10"/>
  <c r="E277" i="10"/>
  <c r="F277" i="10"/>
  <c r="G277" i="10"/>
  <c r="H277" i="10"/>
  <c r="I277" i="10"/>
  <c r="D278" i="10"/>
  <c r="E278" i="10"/>
  <c r="F278" i="10"/>
  <c r="G278" i="10"/>
  <c r="H278" i="10"/>
  <c r="I278" i="10"/>
  <c r="D279" i="10"/>
  <c r="E279" i="10"/>
  <c r="F279" i="10"/>
  <c r="G279" i="10"/>
  <c r="H279" i="10"/>
  <c r="I279" i="10"/>
  <c r="D280" i="10"/>
  <c r="E280" i="10"/>
  <c r="F280" i="10"/>
  <c r="G280" i="10"/>
  <c r="H280" i="10"/>
  <c r="I280" i="10"/>
  <c r="D281" i="10"/>
  <c r="E281" i="10"/>
  <c r="F281" i="10"/>
  <c r="G281" i="10"/>
  <c r="H281" i="10"/>
  <c r="I281" i="10"/>
  <c r="D282" i="10"/>
  <c r="E282" i="10"/>
  <c r="F282" i="10"/>
  <c r="G282" i="10"/>
  <c r="H282" i="10"/>
  <c r="I282" i="10"/>
  <c r="D283" i="10"/>
  <c r="E283" i="10"/>
  <c r="F283" i="10"/>
  <c r="G283" i="10"/>
  <c r="H283" i="10"/>
  <c r="I283" i="10"/>
  <c r="D284" i="10"/>
  <c r="E284" i="10"/>
  <c r="F284" i="10"/>
  <c r="G284" i="10"/>
  <c r="H284" i="10"/>
  <c r="I284" i="10"/>
  <c r="D285" i="10"/>
  <c r="E285" i="10"/>
  <c r="F285" i="10"/>
  <c r="G285" i="10"/>
  <c r="H285" i="10"/>
  <c r="I285" i="10"/>
  <c r="D286" i="10"/>
  <c r="E286" i="10"/>
  <c r="F286" i="10"/>
  <c r="G286" i="10"/>
  <c r="H286" i="10"/>
  <c r="I286" i="10"/>
  <c r="D287" i="10"/>
  <c r="E287" i="10"/>
  <c r="F287" i="10"/>
  <c r="G287" i="10"/>
  <c r="H287" i="10"/>
  <c r="I287" i="10"/>
  <c r="D288" i="10"/>
  <c r="E288" i="10"/>
  <c r="F288" i="10"/>
  <c r="G288" i="10"/>
  <c r="H288" i="10"/>
  <c r="I288" i="10"/>
  <c r="D289" i="10"/>
  <c r="E289" i="10"/>
  <c r="F289" i="10"/>
  <c r="G289" i="10"/>
  <c r="H289" i="10"/>
  <c r="I289" i="10"/>
  <c r="D290" i="10"/>
  <c r="E290" i="10"/>
  <c r="F290" i="10"/>
  <c r="G290" i="10"/>
  <c r="H290" i="10"/>
  <c r="I290" i="10"/>
  <c r="D291" i="10"/>
  <c r="E291" i="10"/>
  <c r="F291" i="10"/>
  <c r="G291" i="10"/>
  <c r="H291" i="10"/>
  <c r="I291" i="10"/>
  <c r="D292" i="10"/>
  <c r="E292" i="10"/>
  <c r="F292" i="10"/>
  <c r="G292" i="10"/>
  <c r="H292" i="10"/>
  <c r="I292" i="10"/>
  <c r="D293" i="10"/>
  <c r="E293" i="10"/>
  <c r="F293" i="10"/>
  <c r="G293" i="10"/>
  <c r="H293" i="10"/>
  <c r="I293" i="10"/>
  <c r="D294" i="10"/>
  <c r="E294" i="10"/>
  <c r="F294" i="10"/>
  <c r="G294" i="10"/>
  <c r="H294" i="10"/>
  <c r="I294" i="10"/>
  <c r="D295" i="10"/>
  <c r="E295" i="10"/>
  <c r="F295" i="10"/>
  <c r="G295" i="10"/>
  <c r="H295" i="10"/>
  <c r="I295" i="10"/>
  <c r="D296" i="10"/>
  <c r="E296" i="10"/>
  <c r="F296" i="10"/>
  <c r="G296" i="10"/>
  <c r="H296" i="10"/>
  <c r="I296" i="10"/>
  <c r="D297" i="10"/>
  <c r="E297" i="10"/>
  <c r="F297" i="10"/>
  <c r="G297" i="10"/>
  <c r="H297" i="10"/>
  <c r="I297" i="10"/>
  <c r="D298" i="10"/>
  <c r="E298" i="10"/>
  <c r="F298" i="10"/>
  <c r="G298" i="10"/>
  <c r="H298" i="10"/>
  <c r="I298" i="10"/>
  <c r="D299" i="10"/>
  <c r="E299" i="10"/>
  <c r="F299" i="10"/>
  <c r="G299" i="10"/>
  <c r="H299" i="10"/>
  <c r="I299" i="10"/>
  <c r="D300" i="10"/>
  <c r="E300" i="10"/>
  <c r="F300" i="10"/>
  <c r="G300" i="10"/>
  <c r="H300" i="10"/>
  <c r="I300" i="10"/>
  <c r="D301" i="10"/>
  <c r="E301" i="10"/>
  <c r="F301" i="10"/>
  <c r="G301" i="10"/>
  <c r="H301" i="10"/>
  <c r="I301" i="10"/>
  <c r="D302" i="10"/>
  <c r="E302" i="10"/>
  <c r="F302" i="10"/>
  <c r="G302" i="10"/>
  <c r="H302" i="10"/>
  <c r="I302" i="10"/>
  <c r="D303" i="10"/>
  <c r="E303" i="10"/>
  <c r="F303" i="10"/>
  <c r="G303" i="10"/>
  <c r="H303" i="10"/>
  <c r="I303" i="10"/>
  <c r="D304" i="10"/>
  <c r="E304" i="10"/>
  <c r="F304" i="10"/>
  <c r="G304" i="10"/>
  <c r="H304" i="10"/>
  <c r="I304" i="10"/>
  <c r="D305" i="10"/>
  <c r="E305" i="10"/>
  <c r="F305" i="10"/>
  <c r="G305" i="10"/>
  <c r="H305" i="10"/>
  <c r="I305" i="10"/>
  <c r="D306" i="10"/>
  <c r="E306" i="10"/>
  <c r="F306" i="10"/>
  <c r="G306" i="10"/>
  <c r="H306" i="10"/>
  <c r="I306" i="10"/>
  <c r="D307" i="10"/>
  <c r="E307" i="10"/>
  <c r="F307" i="10"/>
  <c r="G307" i="10"/>
  <c r="H307" i="10"/>
  <c r="I307" i="10"/>
  <c r="D308" i="10"/>
  <c r="E308" i="10"/>
  <c r="F308" i="10"/>
  <c r="G308" i="10"/>
  <c r="H308" i="10"/>
  <c r="I308" i="10"/>
  <c r="D309" i="10"/>
  <c r="E309" i="10"/>
  <c r="F309" i="10"/>
  <c r="G309" i="10"/>
  <c r="H309" i="10"/>
  <c r="I309" i="10"/>
  <c r="D310" i="10"/>
  <c r="E310" i="10"/>
  <c r="F310" i="10"/>
  <c r="G310" i="10"/>
  <c r="H310" i="10"/>
  <c r="I310" i="10"/>
  <c r="D311" i="10"/>
  <c r="E311" i="10"/>
  <c r="F311" i="10"/>
  <c r="G311" i="10"/>
  <c r="H311" i="10"/>
  <c r="I311" i="10"/>
  <c r="D312" i="10"/>
  <c r="E312" i="10"/>
  <c r="F312" i="10"/>
  <c r="G312" i="10"/>
  <c r="H312" i="10"/>
  <c r="I312" i="10"/>
  <c r="D313" i="10"/>
  <c r="E313" i="10"/>
  <c r="F313" i="10"/>
  <c r="G313" i="10"/>
  <c r="H313" i="10"/>
  <c r="I313" i="10"/>
  <c r="D314" i="10"/>
  <c r="E314" i="10"/>
  <c r="F314" i="10"/>
  <c r="G314" i="10"/>
  <c r="H314" i="10"/>
  <c r="I314" i="10"/>
  <c r="D315" i="10"/>
  <c r="E315" i="10"/>
  <c r="F315" i="10"/>
  <c r="G315" i="10"/>
  <c r="H315" i="10"/>
  <c r="I315" i="10"/>
  <c r="D316" i="10"/>
  <c r="E316" i="10"/>
  <c r="F316" i="10"/>
  <c r="G316" i="10"/>
  <c r="H316" i="10"/>
  <c r="I316" i="10"/>
  <c r="D317" i="10"/>
  <c r="E317" i="10"/>
  <c r="F317" i="10"/>
  <c r="G317" i="10"/>
  <c r="H317" i="10"/>
  <c r="I317" i="10"/>
  <c r="D318" i="10"/>
  <c r="E318" i="10"/>
  <c r="F318" i="10"/>
  <c r="G318" i="10"/>
  <c r="H318" i="10"/>
  <c r="I318" i="10"/>
  <c r="D319" i="10"/>
  <c r="E319" i="10"/>
  <c r="F319" i="10"/>
  <c r="G319" i="10"/>
  <c r="H319" i="10"/>
  <c r="I319" i="10"/>
  <c r="D320" i="10"/>
  <c r="E320" i="10"/>
  <c r="F320" i="10"/>
  <c r="G320" i="10"/>
  <c r="H320" i="10"/>
  <c r="I320" i="10"/>
  <c r="D321" i="10"/>
  <c r="E321" i="10"/>
  <c r="F321" i="10"/>
  <c r="G321" i="10"/>
  <c r="H321" i="10"/>
  <c r="I321" i="10"/>
  <c r="D322" i="10"/>
  <c r="E322" i="10"/>
  <c r="F322" i="10"/>
  <c r="G322" i="10"/>
  <c r="H322" i="10"/>
  <c r="I322" i="10"/>
  <c r="D323" i="10"/>
  <c r="E323" i="10"/>
  <c r="F323" i="10"/>
  <c r="G323" i="10"/>
  <c r="H323" i="10"/>
  <c r="I323" i="10"/>
  <c r="D324" i="10"/>
  <c r="E324" i="10"/>
  <c r="F324" i="10"/>
  <c r="G324" i="10"/>
  <c r="H324" i="10"/>
  <c r="I324" i="10"/>
  <c r="D325" i="10"/>
  <c r="E325" i="10"/>
  <c r="F325" i="10"/>
  <c r="G325" i="10"/>
  <c r="H325" i="10"/>
  <c r="I325" i="10"/>
  <c r="D326" i="10"/>
  <c r="E326" i="10"/>
  <c r="F326" i="10"/>
  <c r="G326" i="10"/>
  <c r="H326" i="10"/>
  <c r="I326" i="10"/>
  <c r="D327" i="10"/>
  <c r="E327" i="10"/>
  <c r="F327" i="10"/>
  <c r="G327" i="10"/>
  <c r="H327" i="10"/>
  <c r="I327" i="10"/>
  <c r="D328" i="10"/>
  <c r="E328" i="10"/>
  <c r="F328" i="10"/>
  <c r="G328" i="10"/>
  <c r="H328" i="10"/>
  <c r="I328" i="10"/>
  <c r="D329" i="10"/>
  <c r="E329" i="10"/>
  <c r="F329" i="10"/>
  <c r="G329" i="10"/>
  <c r="H329" i="10"/>
  <c r="I329" i="10"/>
  <c r="D330" i="10"/>
  <c r="E330" i="10"/>
  <c r="F330" i="10"/>
  <c r="G330" i="10"/>
  <c r="H330" i="10"/>
  <c r="I330" i="10"/>
  <c r="D331" i="10"/>
  <c r="E331" i="10"/>
  <c r="F331" i="10"/>
  <c r="G331" i="10"/>
  <c r="H331" i="10"/>
  <c r="I331" i="10"/>
  <c r="D332" i="10"/>
  <c r="E332" i="10"/>
  <c r="F332" i="10"/>
  <c r="G332" i="10"/>
  <c r="H332" i="10"/>
  <c r="I332" i="10"/>
  <c r="D333" i="10"/>
  <c r="E333" i="10"/>
  <c r="F333" i="10"/>
  <c r="G333" i="10"/>
  <c r="H333" i="10"/>
  <c r="I333" i="10"/>
  <c r="D334" i="10"/>
  <c r="E334" i="10"/>
  <c r="F334" i="10"/>
  <c r="G334" i="10"/>
  <c r="H334" i="10"/>
  <c r="I334" i="10"/>
  <c r="D335" i="10"/>
  <c r="E335" i="10"/>
  <c r="F335" i="10"/>
  <c r="G335" i="10"/>
  <c r="H335" i="10"/>
  <c r="I335" i="10"/>
  <c r="D336" i="10"/>
  <c r="E336" i="10"/>
  <c r="F336" i="10"/>
  <c r="G336" i="10"/>
  <c r="H336" i="10"/>
  <c r="I336" i="10"/>
  <c r="D337" i="10"/>
  <c r="E337" i="10"/>
  <c r="F337" i="10"/>
  <c r="G337" i="10"/>
  <c r="H337" i="10"/>
  <c r="I337" i="10"/>
  <c r="D338" i="10"/>
  <c r="E338" i="10"/>
  <c r="F338" i="10"/>
  <c r="G338" i="10"/>
  <c r="H338" i="10"/>
  <c r="I338" i="10"/>
  <c r="D339" i="10"/>
  <c r="E339" i="10"/>
  <c r="F339" i="10"/>
  <c r="G339" i="10"/>
  <c r="H339" i="10"/>
  <c r="I339" i="10"/>
  <c r="D340" i="10"/>
  <c r="E340" i="10"/>
  <c r="F340" i="10"/>
  <c r="G340" i="10"/>
  <c r="H340" i="10"/>
  <c r="I340" i="10"/>
  <c r="D341" i="10"/>
  <c r="E341" i="10"/>
  <c r="F341" i="10"/>
  <c r="G341" i="10"/>
  <c r="H341" i="10"/>
  <c r="I341" i="10"/>
  <c r="D342" i="10"/>
  <c r="E342" i="10"/>
  <c r="F342" i="10"/>
  <c r="G342" i="10"/>
  <c r="H342" i="10"/>
  <c r="I342" i="10"/>
  <c r="D343" i="10"/>
  <c r="E343" i="10"/>
  <c r="F343" i="10"/>
  <c r="G343" i="10"/>
  <c r="H343" i="10"/>
  <c r="I343" i="10"/>
  <c r="D344" i="10"/>
  <c r="E344" i="10"/>
  <c r="F344" i="10"/>
  <c r="G344" i="10"/>
  <c r="H344" i="10"/>
  <c r="I344" i="10"/>
  <c r="D345" i="10"/>
  <c r="E345" i="10"/>
  <c r="F345" i="10"/>
  <c r="G345" i="10"/>
  <c r="H345" i="10"/>
  <c r="I345" i="10"/>
  <c r="D346" i="10"/>
  <c r="E346" i="10"/>
  <c r="F346" i="10"/>
  <c r="G346" i="10"/>
  <c r="H346" i="10"/>
  <c r="I346" i="10"/>
  <c r="D347" i="10"/>
  <c r="E347" i="10"/>
  <c r="F347" i="10"/>
  <c r="G347" i="10"/>
  <c r="H347" i="10"/>
  <c r="I347" i="10"/>
  <c r="D348" i="10"/>
  <c r="E348" i="10"/>
  <c r="F348" i="10"/>
  <c r="G348" i="10"/>
  <c r="H348" i="10"/>
  <c r="I348" i="10"/>
  <c r="D349" i="10"/>
  <c r="E349" i="10"/>
  <c r="F349" i="10"/>
  <c r="G349" i="10"/>
  <c r="H349" i="10"/>
  <c r="I349" i="10"/>
  <c r="D350" i="10"/>
  <c r="E350" i="10"/>
  <c r="F350" i="10"/>
  <c r="G350" i="10"/>
  <c r="H350" i="10"/>
  <c r="I350" i="10"/>
  <c r="D351" i="10"/>
  <c r="E351" i="10"/>
  <c r="F351" i="10"/>
  <c r="G351" i="10"/>
  <c r="H351" i="10"/>
  <c r="I351" i="10"/>
  <c r="D352" i="10"/>
  <c r="E352" i="10"/>
  <c r="F352" i="10"/>
  <c r="G352" i="10"/>
  <c r="H352" i="10"/>
  <c r="I352" i="10"/>
  <c r="D353" i="10"/>
  <c r="E353" i="10"/>
  <c r="F353" i="10"/>
  <c r="G353" i="10"/>
  <c r="H353" i="10"/>
  <c r="I353" i="10"/>
  <c r="D354" i="10"/>
  <c r="E354" i="10"/>
  <c r="F354" i="10"/>
  <c r="G354" i="10"/>
  <c r="H354" i="10"/>
  <c r="I354" i="10"/>
  <c r="D355" i="10"/>
  <c r="E355" i="10"/>
  <c r="F355" i="10"/>
  <c r="G355" i="10"/>
  <c r="H355" i="10"/>
  <c r="I355" i="10"/>
  <c r="D356" i="10"/>
  <c r="E356" i="10"/>
  <c r="F356" i="10"/>
  <c r="G356" i="10"/>
  <c r="H356" i="10"/>
  <c r="I356" i="10"/>
  <c r="D357" i="10"/>
  <c r="E357" i="10"/>
  <c r="F357" i="10"/>
  <c r="G357" i="10"/>
  <c r="H357" i="10"/>
  <c r="I357" i="10"/>
  <c r="D358" i="10"/>
  <c r="E358" i="10"/>
  <c r="F358" i="10"/>
  <c r="G358" i="10"/>
  <c r="H358" i="10"/>
  <c r="I358" i="10"/>
  <c r="D359" i="10"/>
  <c r="E359" i="10"/>
  <c r="F359" i="10"/>
  <c r="G359" i="10"/>
  <c r="H359" i="10"/>
  <c r="I359" i="10"/>
  <c r="D360" i="10"/>
  <c r="E360" i="10"/>
  <c r="F360" i="10"/>
  <c r="G360" i="10"/>
  <c r="H360" i="10"/>
  <c r="I360" i="10"/>
  <c r="D361" i="10"/>
  <c r="E361" i="10"/>
  <c r="F361" i="10"/>
  <c r="G361" i="10"/>
  <c r="H361" i="10"/>
  <c r="I361" i="10"/>
  <c r="D362" i="10"/>
  <c r="E362" i="10"/>
  <c r="F362" i="10"/>
  <c r="G362" i="10"/>
  <c r="H362" i="10"/>
  <c r="I362" i="10"/>
  <c r="D363" i="10"/>
  <c r="E363" i="10"/>
  <c r="F363" i="10"/>
  <c r="G363" i="10"/>
  <c r="H363" i="10"/>
  <c r="I363" i="10"/>
  <c r="D364" i="10"/>
  <c r="E364" i="10"/>
  <c r="F364" i="10"/>
  <c r="G364" i="10"/>
  <c r="H364" i="10"/>
  <c r="I364" i="10"/>
  <c r="D365" i="10"/>
  <c r="E365" i="10"/>
  <c r="F365" i="10"/>
  <c r="G365" i="10"/>
  <c r="H365" i="10"/>
  <c r="I365" i="10"/>
  <c r="D366" i="10"/>
  <c r="E366" i="10"/>
  <c r="F366" i="10"/>
  <c r="G366" i="10"/>
  <c r="H366" i="10"/>
  <c r="I366" i="10"/>
  <c r="D367" i="10"/>
  <c r="E367" i="10"/>
  <c r="F367" i="10"/>
  <c r="G367" i="10"/>
  <c r="H367" i="10"/>
  <c r="I367" i="10"/>
  <c r="D368" i="10"/>
  <c r="E368" i="10"/>
  <c r="F368" i="10"/>
  <c r="G368" i="10"/>
  <c r="H368" i="10"/>
  <c r="I368" i="10"/>
  <c r="D369" i="10"/>
  <c r="E369" i="10"/>
  <c r="F369" i="10"/>
  <c r="G369" i="10"/>
  <c r="H369" i="10"/>
  <c r="I369" i="10"/>
  <c r="D370" i="10"/>
  <c r="E370" i="10"/>
  <c r="F370" i="10"/>
  <c r="G370" i="10"/>
  <c r="H370" i="10"/>
  <c r="I370" i="10"/>
  <c r="D371" i="10"/>
  <c r="E371" i="10"/>
  <c r="F371" i="10"/>
  <c r="G371" i="10"/>
  <c r="H371" i="10"/>
  <c r="I371" i="10"/>
  <c r="D372" i="10"/>
  <c r="E372" i="10"/>
  <c r="F372" i="10"/>
  <c r="G372" i="10"/>
  <c r="H372" i="10"/>
  <c r="I372" i="10"/>
  <c r="D373" i="10"/>
  <c r="E373" i="10"/>
  <c r="F373" i="10"/>
  <c r="G373" i="10"/>
  <c r="H373" i="10"/>
  <c r="I373" i="10"/>
  <c r="D374" i="10"/>
  <c r="E374" i="10"/>
  <c r="F374" i="10"/>
  <c r="G374" i="10"/>
  <c r="H374" i="10"/>
  <c r="I374" i="10"/>
  <c r="D375" i="10"/>
  <c r="E375" i="10"/>
  <c r="F375" i="10"/>
  <c r="G375" i="10"/>
  <c r="H375" i="10"/>
  <c r="I375" i="10"/>
  <c r="D376" i="10"/>
  <c r="E376" i="10"/>
  <c r="F376" i="10"/>
  <c r="G376" i="10"/>
  <c r="H376" i="10"/>
  <c r="I376" i="10"/>
  <c r="D377" i="10"/>
  <c r="E377" i="10"/>
  <c r="F377" i="10"/>
  <c r="G377" i="10"/>
  <c r="H377" i="10"/>
  <c r="I377" i="10"/>
  <c r="D378" i="10"/>
  <c r="E378" i="10"/>
  <c r="F378" i="10"/>
  <c r="G378" i="10"/>
  <c r="H378" i="10"/>
  <c r="I378" i="10"/>
  <c r="D379" i="10"/>
  <c r="E379" i="10"/>
  <c r="F379" i="10"/>
  <c r="G379" i="10"/>
  <c r="H379" i="10"/>
  <c r="I379" i="10"/>
  <c r="D380" i="10"/>
  <c r="E380" i="10"/>
  <c r="F380" i="10"/>
  <c r="G380" i="10"/>
  <c r="H380" i="10"/>
  <c r="I380" i="10"/>
  <c r="D381" i="10"/>
  <c r="E381" i="10"/>
  <c r="F381" i="10"/>
  <c r="G381" i="10"/>
  <c r="H381" i="10"/>
  <c r="I381" i="10"/>
  <c r="D382" i="10"/>
  <c r="E382" i="10"/>
  <c r="F382" i="10"/>
  <c r="G382" i="10"/>
  <c r="H382" i="10"/>
  <c r="I382" i="10"/>
  <c r="D383" i="10"/>
  <c r="E383" i="10"/>
  <c r="F383" i="10"/>
  <c r="G383" i="10"/>
  <c r="H383" i="10"/>
  <c r="I383" i="10"/>
  <c r="D384" i="10"/>
  <c r="E384" i="10"/>
  <c r="F384" i="10"/>
  <c r="G384" i="10"/>
  <c r="H384" i="10"/>
  <c r="I384" i="10"/>
  <c r="D385" i="10"/>
  <c r="E385" i="10"/>
  <c r="F385" i="10"/>
  <c r="G385" i="10"/>
  <c r="H385" i="10"/>
  <c r="I385" i="10"/>
  <c r="D386" i="10"/>
  <c r="E386" i="10"/>
  <c r="F386" i="10"/>
  <c r="G386" i="10"/>
  <c r="H386" i="10"/>
  <c r="I386" i="10"/>
  <c r="D387" i="10"/>
  <c r="E387" i="10"/>
  <c r="F387" i="10"/>
  <c r="G387" i="10"/>
  <c r="H387" i="10"/>
  <c r="I387" i="10"/>
  <c r="D388" i="10"/>
  <c r="E388" i="10"/>
  <c r="F388" i="10"/>
  <c r="G388" i="10"/>
  <c r="H388" i="10"/>
  <c r="I388" i="10"/>
  <c r="D389" i="10"/>
  <c r="E389" i="10"/>
  <c r="F389" i="10"/>
  <c r="G389" i="10"/>
  <c r="H389" i="10"/>
  <c r="I389" i="10"/>
  <c r="D390" i="10"/>
  <c r="E390" i="10"/>
  <c r="F390" i="10"/>
  <c r="G390" i="10"/>
  <c r="H390" i="10"/>
  <c r="I390" i="10"/>
  <c r="D391" i="10"/>
  <c r="E391" i="10"/>
  <c r="F391" i="10"/>
  <c r="G391" i="10"/>
  <c r="H391" i="10"/>
  <c r="I391" i="10"/>
  <c r="D392" i="10"/>
  <c r="E392" i="10"/>
  <c r="F392" i="10"/>
  <c r="G392" i="10"/>
  <c r="H392" i="10"/>
  <c r="I392" i="10"/>
  <c r="D393" i="10"/>
  <c r="E393" i="10"/>
  <c r="F393" i="10"/>
  <c r="G393" i="10"/>
  <c r="H393" i="10"/>
  <c r="I393" i="10"/>
  <c r="D394" i="10"/>
  <c r="E394" i="10"/>
  <c r="F394" i="10"/>
  <c r="G394" i="10"/>
  <c r="H394" i="10"/>
  <c r="I394" i="10"/>
  <c r="D395" i="10"/>
  <c r="E395" i="10"/>
  <c r="F395" i="10"/>
  <c r="G395" i="10"/>
  <c r="H395" i="10"/>
  <c r="I395" i="10"/>
  <c r="D396" i="10"/>
  <c r="E396" i="10"/>
  <c r="F396" i="10"/>
  <c r="G396" i="10"/>
  <c r="H396" i="10"/>
  <c r="I396" i="10"/>
  <c r="D397" i="10"/>
  <c r="E397" i="10"/>
  <c r="F397" i="10"/>
  <c r="G397" i="10"/>
  <c r="H397" i="10"/>
  <c r="I397" i="10"/>
  <c r="D398" i="10"/>
  <c r="E398" i="10"/>
  <c r="F398" i="10"/>
  <c r="G398" i="10"/>
  <c r="H398" i="10"/>
  <c r="I398" i="10"/>
  <c r="D399" i="10"/>
  <c r="E399" i="10"/>
  <c r="F399" i="10"/>
  <c r="G399" i="10"/>
  <c r="H399" i="10"/>
  <c r="I399" i="10"/>
  <c r="D400" i="10"/>
  <c r="E400" i="10"/>
  <c r="F400" i="10"/>
  <c r="G400" i="10"/>
  <c r="H400" i="10"/>
  <c r="I400" i="10"/>
  <c r="D401" i="10"/>
  <c r="E401" i="10"/>
  <c r="F401" i="10"/>
  <c r="G401" i="10"/>
  <c r="H401" i="10"/>
  <c r="I401" i="10"/>
  <c r="D402" i="10"/>
  <c r="E402" i="10"/>
  <c r="F402" i="10"/>
  <c r="G402" i="10"/>
  <c r="H402" i="10"/>
  <c r="I402" i="10"/>
  <c r="D403" i="10"/>
  <c r="E403" i="10"/>
  <c r="F403" i="10"/>
  <c r="G403" i="10"/>
  <c r="H403" i="10"/>
  <c r="I403" i="10"/>
  <c r="D404" i="10"/>
  <c r="E404" i="10"/>
  <c r="F404" i="10"/>
  <c r="G404" i="10"/>
  <c r="H404" i="10"/>
  <c r="I404" i="10"/>
  <c r="D405" i="10"/>
  <c r="E405" i="10"/>
  <c r="F405" i="10"/>
  <c r="G405" i="10"/>
  <c r="H405" i="10"/>
  <c r="I405" i="10"/>
  <c r="D406" i="10"/>
  <c r="E406" i="10"/>
  <c r="F406" i="10"/>
  <c r="G406" i="10"/>
  <c r="H406" i="10"/>
  <c r="I406" i="10"/>
  <c r="D407" i="10"/>
  <c r="E407" i="10"/>
  <c r="F407" i="10"/>
  <c r="G407" i="10"/>
  <c r="H407" i="10"/>
  <c r="I407" i="10"/>
  <c r="D408" i="10"/>
  <c r="E408" i="10"/>
  <c r="F408" i="10"/>
  <c r="G408" i="10"/>
  <c r="H408" i="10"/>
  <c r="I408" i="10"/>
  <c r="D409" i="10"/>
  <c r="E409" i="10"/>
  <c r="F409" i="10"/>
  <c r="G409" i="10"/>
  <c r="H409" i="10"/>
  <c r="I409" i="10"/>
  <c r="D410" i="10"/>
  <c r="E410" i="10"/>
  <c r="F410" i="10"/>
  <c r="G410" i="10"/>
  <c r="H410" i="10"/>
  <c r="I410" i="10"/>
  <c r="D411" i="10"/>
  <c r="E411" i="10"/>
  <c r="F411" i="10"/>
  <c r="G411" i="10"/>
  <c r="H411" i="10"/>
  <c r="I411" i="10"/>
  <c r="D412" i="10"/>
  <c r="E412" i="10"/>
  <c r="F412" i="10"/>
  <c r="G412" i="10"/>
  <c r="H412" i="10"/>
  <c r="I412" i="10"/>
  <c r="D413" i="10"/>
  <c r="E413" i="10"/>
  <c r="F413" i="10"/>
  <c r="G413" i="10"/>
  <c r="H413" i="10"/>
  <c r="I413" i="10"/>
  <c r="D414" i="10"/>
  <c r="E414" i="10"/>
  <c r="F414" i="10"/>
  <c r="G414" i="10"/>
  <c r="H414" i="10"/>
  <c r="I414" i="10"/>
  <c r="D415" i="10"/>
  <c r="E415" i="10"/>
  <c r="F415" i="10"/>
  <c r="G415" i="10"/>
  <c r="H415" i="10"/>
  <c r="I415" i="10"/>
  <c r="D416" i="10"/>
  <c r="E416" i="10"/>
  <c r="F416" i="10"/>
  <c r="G416" i="10"/>
  <c r="H416" i="10"/>
  <c r="I416" i="10"/>
  <c r="D417" i="10"/>
  <c r="E417" i="10"/>
  <c r="F417" i="10"/>
  <c r="G417" i="10"/>
  <c r="H417" i="10"/>
  <c r="I417" i="10"/>
  <c r="D418" i="10"/>
  <c r="E418" i="10"/>
  <c r="F418" i="10"/>
  <c r="G418" i="10"/>
  <c r="H418" i="10"/>
  <c r="I418" i="10"/>
  <c r="D419" i="10"/>
  <c r="E419" i="10"/>
  <c r="F419" i="10"/>
  <c r="G419" i="10"/>
  <c r="H419" i="10"/>
  <c r="I419" i="10"/>
  <c r="D420" i="10"/>
  <c r="E420" i="10"/>
  <c r="F420" i="10"/>
  <c r="G420" i="10"/>
  <c r="H420" i="10"/>
  <c r="I420" i="10"/>
  <c r="D421" i="10"/>
  <c r="E421" i="10"/>
  <c r="F421" i="10"/>
  <c r="G421" i="10"/>
  <c r="H421" i="10"/>
  <c r="I421" i="10"/>
  <c r="D422" i="10"/>
  <c r="E422" i="10"/>
  <c r="F422" i="10"/>
  <c r="G422" i="10"/>
  <c r="H422" i="10"/>
  <c r="I422" i="10"/>
  <c r="D423" i="10"/>
  <c r="E423" i="10"/>
  <c r="F423" i="10"/>
  <c r="G423" i="10"/>
  <c r="H423" i="10"/>
  <c r="I423" i="10"/>
  <c r="D424" i="10"/>
  <c r="E424" i="10"/>
  <c r="F424" i="10"/>
  <c r="G424" i="10"/>
  <c r="H424" i="10"/>
  <c r="I424" i="10"/>
  <c r="D425" i="10"/>
  <c r="E425" i="10"/>
  <c r="F425" i="10"/>
  <c r="G425" i="10"/>
  <c r="H425" i="10"/>
  <c r="I425" i="10"/>
  <c r="D426" i="10"/>
  <c r="E426" i="10"/>
  <c r="F426" i="10"/>
  <c r="G426" i="10"/>
  <c r="H426" i="10"/>
  <c r="I426" i="10"/>
  <c r="D427" i="10"/>
  <c r="E427" i="10"/>
  <c r="F427" i="10"/>
  <c r="G427" i="10"/>
  <c r="H427" i="10"/>
  <c r="I427" i="10"/>
  <c r="D428" i="10"/>
  <c r="E428" i="10"/>
  <c r="F428" i="10"/>
  <c r="G428" i="10"/>
  <c r="H428" i="10"/>
  <c r="I428" i="10"/>
  <c r="D429" i="10"/>
  <c r="E429" i="10"/>
  <c r="F429" i="10"/>
  <c r="G429" i="10"/>
  <c r="H429" i="10"/>
  <c r="I429" i="10"/>
  <c r="D430" i="10"/>
  <c r="E430" i="10"/>
  <c r="F430" i="10"/>
  <c r="G430" i="10"/>
  <c r="H430" i="10"/>
  <c r="I430" i="10"/>
  <c r="D431" i="10"/>
  <c r="E431" i="10"/>
  <c r="F431" i="10"/>
  <c r="G431" i="10"/>
  <c r="H431" i="10"/>
  <c r="I431" i="10"/>
  <c r="D432" i="10"/>
  <c r="E432" i="10"/>
  <c r="F432" i="10"/>
  <c r="G432" i="10"/>
  <c r="H432" i="10"/>
  <c r="I432" i="10"/>
  <c r="D433" i="10"/>
  <c r="E433" i="10"/>
  <c r="F433" i="10"/>
  <c r="G433" i="10"/>
  <c r="H433" i="10"/>
  <c r="I433" i="10"/>
  <c r="D434" i="10"/>
  <c r="E434" i="10"/>
  <c r="F434" i="10"/>
  <c r="G434" i="10"/>
  <c r="H434" i="10"/>
  <c r="I434" i="10"/>
  <c r="D435" i="10"/>
  <c r="E435" i="10"/>
  <c r="F435" i="10"/>
  <c r="G435" i="10"/>
  <c r="H435" i="10"/>
  <c r="I435" i="10"/>
  <c r="D436" i="10"/>
  <c r="E436" i="10"/>
  <c r="F436" i="10"/>
  <c r="G436" i="10"/>
  <c r="H436" i="10"/>
  <c r="I436" i="10"/>
  <c r="D437" i="10"/>
  <c r="E437" i="10"/>
  <c r="F437" i="10"/>
  <c r="G437" i="10"/>
  <c r="H437" i="10"/>
  <c r="I437" i="10"/>
  <c r="D438" i="10"/>
  <c r="E438" i="10"/>
  <c r="F438" i="10"/>
  <c r="G438" i="10"/>
  <c r="H438" i="10"/>
  <c r="I438" i="10"/>
  <c r="D439" i="10"/>
  <c r="E439" i="10"/>
  <c r="F439" i="10"/>
  <c r="G439" i="10"/>
  <c r="H439" i="10"/>
  <c r="I439" i="10"/>
  <c r="D440" i="10"/>
  <c r="E440" i="10"/>
  <c r="F440" i="10"/>
  <c r="G440" i="10"/>
  <c r="H440" i="10"/>
  <c r="I440" i="10"/>
  <c r="D441" i="10"/>
  <c r="E441" i="10"/>
  <c r="F441" i="10"/>
  <c r="G441" i="10"/>
  <c r="H441" i="10"/>
  <c r="I441" i="10"/>
  <c r="D442" i="10"/>
  <c r="E442" i="10"/>
  <c r="F442" i="10"/>
  <c r="G442" i="10"/>
  <c r="H442" i="10"/>
  <c r="I442" i="10"/>
  <c r="D443" i="10"/>
  <c r="E443" i="10"/>
  <c r="F443" i="10"/>
  <c r="G443" i="10"/>
  <c r="H443" i="10"/>
  <c r="I443" i="10"/>
  <c r="D444" i="10"/>
  <c r="E444" i="10"/>
  <c r="F444" i="10"/>
  <c r="G444" i="10"/>
  <c r="H444" i="10"/>
  <c r="I444" i="10"/>
  <c r="D445" i="10"/>
  <c r="E445" i="10"/>
  <c r="F445" i="10"/>
  <c r="G445" i="10"/>
  <c r="H445" i="10"/>
  <c r="I445" i="10"/>
  <c r="D446" i="10"/>
  <c r="E446" i="10"/>
  <c r="F446" i="10"/>
  <c r="G446" i="10"/>
  <c r="H446" i="10"/>
  <c r="I446" i="10"/>
  <c r="D447" i="10"/>
  <c r="E447" i="10"/>
  <c r="F447" i="10"/>
  <c r="G447" i="10"/>
  <c r="H447" i="10"/>
  <c r="I447" i="10"/>
  <c r="D448" i="10"/>
  <c r="E448" i="10"/>
  <c r="F448" i="10"/>
  <c r="G448" i="10"/>
  <c r="H448" i="10"/>
  <c r="I448" i="10"/>
  <c r="D449" i="10"/>
  <c r="E449" i="10"/>
  <c r="F449" i="10"/>
  <c r="G449" i="10"/>
  <c r="H449" i="10"/>
  <c r="I449" i="10"/>
  <c r="D450" i="10"/>
  <c r="E450" i="10"/>
  <c r="F450" i="10"/>
  <c r="G450" i="10"/>
  <c r="H450" i="10"/>
  <c r="I450" i="10"/>
  <c r="D451" i="10"/>
  <c r="E451" i="10"/>
  <c r="F451" i="10"/>
  <c r="G451" i="10"/>
  <c r="H451" i="10"/>
  <c r="I451" i="10"/>
  <c r="D452" i="10"/>
  <c r="E452" i="10"/>
  <c r="F452" i="10"/>
  <c r="G452" i="10"/>
  <c r="H452" i="10"/>
  <c r="I452" i="10"/>
  <c r="D453" i="10"/>
  <c r="E453" i="10"/>
  <c r="F453" i="10"/>
  <c r="G453" i="10"/>
  <c r="H453" i="10"/>
  <c r="I453" i="10"/>
  <c r="D454" i="10"/>
  <c r="E454" i="10"/>
  <c r="F454" i="10"/>
  <c r="G454" i="10"/>
  <c r="H454" i="10"/>
  <c r="I454" i="10"/>
  <c r="D455" i="10"/>
  <c r="E455" i="10"/>
  <c r="F455" i="10"/>
  <c r="G455" i="10"/>
  <c r="H455" i="10"/>
  <c r="I455" i="10"/>
  <c r="D456" i="10"/>
  <c r="E456" i="10"/>
  <c r="F456" i="10"/>
  <c r="G456" i="10"/>
  <c r="H456" i="10"/>
  <c r="I456" i="10"/>
  <c r="D457" i="10"/>
  <c r="E457" i="10"/>
  <c r="F457" i="10"/>
  <c r="G457" i="10"/>
  <c r="H457" i="10"/>
  <c r="I457" i="10"/>
  <c r="D458" i="10"/>
  <c r="E458" i="10"/>
  <c r="F458" i="10"/>
  <c r="G458" i="10"/>
  <c r="H458" i="10"/>
  <c r="I458" i="10"/>
  <c r="D459" i="10"/>
  <c r="E459" i="10"/>
  <c r="F459" i="10"/>
  <c r="G459" i="10"/>
  <c r="H459" i="10"/>
  <c r="I459" i="10"/>
  <c r="D460" i="10"/>
  <c r="E460" i="10"/>
  <c r="F460" i="10"/>
  <c r="G460" i="10"/>
  <c r="H460" i="10"/>
  <c r="I460" i="10"/>
  <c r="D461" i="10"/>
  <c r="E461" i="10"/>
  <c r="F461" i="10"/>
  <c r="G461" i="10"/>
  <c r="H461" i="10"/>
  <c r="I461" i="10"/>
  <c r="D462" i="10"/>
  <c r="E462" i="10"/>
  <c r="F462" i="10"/>
  <c r="G462" i="10"/>
  <c r="H462" i="10"/>
  <c r="I462" i="10"/>
  <c r="D463" i="10"/>
  <c r="E463" i="10"/>
  <c r="F463" i="10"/>
  <c r="G463" i="10"/>
  <c r="H463" i="10"/>
  <c r="I463" i="10"/>
  <c r="D464" i="10"/>
  <c r="E464" i="10"/>
  <c r="F464" i="10"/>
  <c r="G464" i="10"/>
  <c r="H464" i="10"/>
  <c r="I464" i="10"/>
  <c r="D465" i="10"/>
  <c r="E465" i="10"/>
  <c r="F465" i="10"/>
  <c r="G465" i="10"/>
  <c r="H465" i="10"/>
  <c r="I465" i="10"/>
  <c r="D466" i="10"/>
  <c r="E466" i="10"/>
  <c r="F466" i="10"/>
  <c r="G466" i="10"/>
  <c r="H466" i="10"/>
  <c r="I466" i="10"/>
  <c r="D467" i="10"/>
  <c r="E467" i="10"/>
  <c r="F467" i="10"/>
  <c r="G467" i="10"/>
  <c r="H467" i="10"/>
  <c r="I467" i="10"/>
  <c r="D468" i="10"/>
  <c r="E468" i="10"/>
  <c r="F468" i="10"/>
  <c r="G468" i="10"/>
  <c r="H468" i="10"/>
  <c r="I468" i="10"/>
  <c r="D469" i="10"/>
  <c r="E469" i="10"/>
  <c r="F469" i="10"/>
  <c r="G469" i="10"/>
  <c r="H469" i="10"/>
  <c r="I469" i="10"/>
  <c r="D470" i="10"/>
  <c r="E470" i="10"/>
  <c r="F470" i="10"/>
  <c r="G470" i="10"/>
  <c r="H470" i="10"/>
  <c r="I470" i="10"/>
  <c r="D471" i="10"/>
  <c r="E471" i="10"/>
  <c r="F471" i="10"/>
  <c r="G471" i="10"/>
  <c r="H471" i="10"/>
  <c r="I471" i="10"/>
  <c r="D472" i="10"/>
  <c r="E472" i="10"/>
  <c r="F472" i="10"/>
  <c r="G472" i="10"/>
  <c r="H472" i="10"/>
  <c r="I472" i="10"/>
  <c r="D473" i="10"/>
  <c r="E473" i="10"/>
  <c r="F473" i="10"/>
  <c r="G473" i="10"/>
  <c r="H473" i="10"/>
  <c r="I473" i="10"/>
  <c r="D474" i="10"/>
  <c r="E474" i="10"/>
  <c r="F474" i="10"/>
  <c r="G474" i="10"/>
  <c r="H474" i="10"/>
  <c r="I474" i="10"/>
  <c r="D475" i="10"/>
  <c r="E475" i="10"/>
  <c r="F475" i="10"/>
  <c r="G475" i="10"/>
  <c r="H475" i="10"/>
  <c r="I475" i="10"/>
  <c r="D476" i="10"/>
  <c r="E476" i="10"/>
  <c r="F476" i="10"/>
  <c r="G476" i="10"/>
  <c r="H476" i="10"/>
  <c r="I476" i="10"/>
  <c r="D477" i="10"/>
  <c r="E477" i="10"/>
  <c r="F477" i="10"/>
  <c r="G477" i="10"/>
  <c r="H477" i="10"/>
  <c r="I477" i="10"/>
  <c r="D478" i="10"/>
  <c r="E478" i="10"/>
  <c r="F478" i="10"/>
  <c r="G478" i="10"/>
  <c r="H478" i="10"/>
  <c r="I478" i="10"/>
  <c r="D479" i="10"/>
  <c r="E479" i="10"/>
  <c r="F479" i="10"/>
  <c r="G479" i="10"/>
  <c r="H479" i="10"/>
  <c r="I479" i="10"/>
  <c r="D480" i="10"/>
  <c r="E480" i="10"/>
  <c r="F480" i="10"/>
  <c r="G480" i="10"/>
  <c r="H480" i="10"/>
  <c r="I480" i="10"/>
  <c r="D481" i="10"/>
  <c r="E481" i="10"/>
  <c r="F481" i="10"/>
  <c r="G481" i="10"/>
  <c r="H481" i="10"/>
  <c r="I481" i="10"/>
  <c r="D482" i="10"/>
  <c r="E482" i="10"/>
  <c r="F482" i="10"/>
  <c r="G482" i="10"/>
  <c r="H482" i="10"/>
  <c r="I482" i="10"/>
  <c r="D483" i="10"/>
  <c r="E483" i="10"/>
  <c r="F483" i="10"/>
  <c r="G483" i="10"/>
  <c r="H483" i="10"/>
  <c r="I483" i="10"/>
  <c r="D484" i="10"/>
  <c r="E484" i="10"/>
  <c r="F484" i="10"/>
  <c r="G484" i="10"/>
  <c r="H484" i="10"/>
  <c r="I484" i="10"/>
  <c r="D485" i="10"/>
  <c r="E485" i="10"/>
  <c r="F485" i="10"/>
  <c r="G485" i="10"/>
  <c r="H485" i="10"/>
  <c r="I485" i="10"/>
  <c r="D486" i="10"/>
  <c r="E486" i="10"/>
  <c r="F486" i="10"/>
  <c r="G486" i="10"/>
  <c r="H486" i="10"/>
  <c r="I486" i="10"/>
  <c r="D487" i="10"/>
  <c r="E487" i="10"/>
  <c r="F487" i="10"/>
  <c r="G487" i="10"/>
  <c r="H487" i="10"/>
  <c r="I487" i="10"/>
  <c r="D488" i="10"/>
  <c r="E488" i="10"/>
  <c r="F488" i="10"/>
  <c r="G488" i="10"/>
  <c r="H488" i="10"/>
  <c r="I488" i="10"/>
  <c r="D489" i="10"/>
  <c r="E489" i="10"/>
  <c r="F489" i="10"/>
  <c r="G489" i="10"/>
  <c r="H489" i="10"/>
  <c r="I489" i="10"/>
  <c r="D490" i="10"/>
  <c r="E490" i="10"/>
  <c r="F490" i="10"/>
  <c r="G490" i="10"/>
  <c r="H490" i="10"/>
  <c r="I490" i="10"/>
  <c r="D491" i="10"/>
  <c r="E491" i="10"/>
  <c r="F491" i="10"/>
  <c r="G491" i="10"/>
  <c r="H491" i="10"/>
  <c r="I491" i="10"/>
  <c r="D492" i="10"/>
  <c r="E492" i="10"/>
  <c r="F492" i="10"/>
  <c r="G492" i="10"/>
  <c r="H492" i="10"/>
  <c r="I492" i="10"/>
  <c r="D493" i="10"/>
  <c r="E493" i="10"/>
  <c r="F493" i="10"/>
  <c r="G493" i="10"/>
  <c r="H493" i="10"/>
  <c r="I493" i="10"/>
  <c r="D494" i="10"/>
  <c r="E494" i="10"/>
  <c r="F494" i="10"/>
  <c r="G494" i="10"/>
  <c r="H494" i="10"/>
  <c r="I494" i="10"/>
  <c r="D495" i="10"/>
  <c r="E495" i="10"/>
  <c r="F495" i="10"/>
  <c r="G495" i="10"/>
  <c r="H495" i="10"/>
  <c r="I495" i="10"/>
  <c r="D496" i="10"/>
  <c r="E496" i="10"/>
  <c r="F496" i="10"/>
  <c r="G496" i="10"/>
  <c r="H496" i="10"/>
  <c r="I496" i="10"/>
  <c r="D497" i="10"/>
  <c r="E497" i="10"/>
  <c r="F497" i="10"/>
  <c r="G497" i="10"/>
  <c r="H497" i="10"/>
  <c r="I497" i="10"/>
  <c r="D498" i="10"/>
  <c r="E498" i="10"/>
  <c r="F498" i="10"/>
  <c r="G498" i="10"/>
  <c r="H498" i="10"/>
  <c r="I498" i="10"/>
  <c r="D499" i="10"/>
  <c r="E499" i="10"/>
  <c r="F499" i="10"/>
  <c r="G499" i="10"/>
  <c r="H499" i="10"/>
  <c r="I499" i="10"/>
  <c r="D500" i="10"/>
  <c r="E500" i="10"/>
  <c r="F500" i="10"/>
  <c r="G500" i="10"/>
  <c r="H500" i="10"/>
  <c r="I500" i="10"/>
  <c r="D501" i="10"/>
  <c r="E501" i="10"/>
  <c r="F501" i="10"/>
  <c r="G501" i="10"/>
  <c r="H501" i="10"/>
  <c r="I501" i="10"/>
  <c r="D502" i="10"/>
  <c r="E502" i="10"/>
  <c r="F502" i="10"/>
  <c r="G502" i="10"/>
  <c r="H502" i="10"/>
  <c r="I502" i="10"/>
  <c r="D503" i="10"/>
  <c r="E503" i="10"/>
  <c r="F503" i="10"/>
  <c r="G503" i="10"/>
  <c r="H503" i="10"/>
  <c r="I503" i="10"/>
  <c r="D504" i="10"/>
  <c r="E504" i="10"/>
  <c r="F504" i="10"/>
  <c r="G504" i="10"/>
  <c r="H504" i="10"/>
  <c r="I504" i="10"/>
  <c r="D7" i="10"/>
  <c r="E7" i="10"/>
  <c r="F7" i="10"/>
  <c r="G7" i="10"/>
  <c r="H7" i="10"/>
  <c r="I7" i="10"/>
  <c r="D8" i="10"/>
  <c r="E8" i="10"/>
  <c r="F8" i="10"/>
  <c r="G8" i="10"/>
  <c r="H8" i="10"/>
  <c r="I8" i="10"/>
  <c r="D9" i="10"/>
  <c r="E9" i="10"/>
  <c r="F9" i="10"/>
  <c r="G9" i="10"/>
  <c r="H9" i="10"/>
  <c r="I9" i="10"/>
  <c r="D10" i="10"/>
  <c r="E10" i="10"/>
  <c r="F10" i="10"/>
  <c r="G10" i="10"/>
  <c r="H10" i="10"/>
  <c r="I10" i="10"/>
  <c r="D11" i="10"/>
  <c r="E11" i="10"/>
  <c r="F11" i="10"/>
  <c r="G11" i="10"/>
  <c r="H11" i="10"/>
  <c r="I11" i="10"/>
  <c r="D12" i="10"/>
  <c r="E12" i="10"/>
  <c r="F12" i="10"/>
  <c r="G12" i="10"/>
  <c r="H12" i="10"/>
  <c r="I12" i="10"/>
  <c r="D13" i="10"/>
  <c r="E13" i="10"/>
  <c r="F13" i="10"/>
  <c r="G13" i="10"/>
  <c r="H13" i="10"/>
  <c r="I13" i="10"/>
  <c r="D14" i="10"/>
  <c r="E14" i="10"/>
  <c r="F14" i="10"/>
  <c r="G14" i="10"/>
  <c r="H14" i="10"/>
  <c r="I14" i="10"/>
  <c r="D15" i="10"/>
  <c r="E15" i="10"/>
  <c r="F15" i="10"/>
  <c r="G15" i="10"/>
  <c r="H15" i="10"/>
  <c r="I15" i="10"/>
  <c r="D16" i="10"/>
  <c r="E16" i="10"/>
  <c r="F16" i="10"/>
  <c r="G16" i="10"/>
  <c r="H16" i="10"/>
  <c r="I16" i="10"/>
  <c r="D17" i="10"/>
  <c r="E17" i="10"/>
  <c r="F17" i="10"/>
  <c r="G17" i="10"/>
  <c r="H17" i="10"/>
  <c r="I17" i="10"/>
  <c r="D18" i="10"/>
  <c r="E18" i="10"/>
  <c r="F18" i="10"/>
  <c r="G18" i="10"/>
  <c r="H18" i="10"/>
  <c r="I18" i="10"/>
  <c r="D19" i="10"/>
  <c r="E19" i="10"/>
  <c r="F19" i="10"/>
  <c r="G19" i="10"/>
  <c r="H19" i="10"/>
  <c r="I19" i="10"/>
  <c r="D20" i="10"/>
  <c r="E20" i="10"/>
  <c r="F20" i="10"/>
  <c r="G20" i="10"/>
  <c r="H20" i="10"/>
  <c r="I20" i="10"/>
  <c r="D21" i="10"/>
  <c r="E21" i="10"/>
  <c r="F21" i="10"/>
  <c r="G21" i="10"/>
  <c r="H21" i="10"/>
  <c r="I21" i="10"/>
  <c r="D22" i="10"/>
  <c r="E22" i="10"/>
  <c r="F22" i="10"/>
  <c r="G22" i="10"/>
  <c r="H22" i="10"/>
  <c r="I22" i="10"/>
  <c r="D23" i="10"/>
  <c r="E23" i="10"/>
  <c r="F23" i="10"/>
  <c r="G23" i="10"/>
  <c r="H23" i="10"/>
  <c r="I23" i="10"/>
  <c r="D24" i="10"/>
  <c r="E24" i="10"/>
  <c r="F24" i="10"/>
  <c r="G24" i="10"/>
  <c r="H24" i="10"/>
  <c r="I24" i="10"/>
  <c r="D25" i="10"/>
  <c r="E25" i="10"/>
  <c r="F25" i="10"/>
  <c r="G25" i="10"/>
  <c r="H25" i="10"/>
  <c r="I25" i="10"/>
  <c r="D26" i="10"/>
  <c r="E26" i="10"/>
  <c r="F26" i="10"/>
  <c r="G26" i="10"/>
  <c r="H26" i="10"/>
  <c r="I26" i="10"/>
  <c r="D27" i="10"/>
  <c r="E27" i="10"/>
  <c r="F27" i="10"/>
  <c r="G27" i="10"/>
  <c r="H27" i="10"/>
  <c r="I27" i="10"/>
  <c r="D28" i="10"/>
  <c r="E28" i="10"/>
  <c r="F28" i="10"/>
  <c r="G28" i="10"/>
  <c r="H28" i="10"/>
  <c r="I28" i="10"/>
  <c r="D29" i="10"/>
  <c r="E29" i="10"/>
  <c r="F29" i="10"/>
  <c r="G29" i="10"/>
  <c r="H29" i="10"/>
  <c r="I29" i="10"/>
  <c r="D30" i="10"/>
  <c r="E30" i="10"/>
  <c r="F30" i="10"/>
  <c r="G30" i="10"/>
  <c r="H30" i="10"/>
  <c r="I30" i="10"/>
  <c r="D31" i="10"/>
  <c r="E31" i="10"/>
  <c r="F31" i="10"/>
  <c r="G31" i="10"/>
  <c r="H31" i="10"/>
  <c r="I31" i="10"/>
  <c r="D32" i="10"/>
  <c r="E32" i="10"/>
  <c r="F32" i="10"/>
  <c r="G32" i="10"/>
  <c r="H32" i="10"/>
  <c r="I32" i="10"/>
  <c r="D33" i="10"/>
  <c r="E33" i="10"/>
  <c r="F33" i="10"/>
  <c r="G33" i="10"/>
  <c r="H33" i="10"/>
  <c r="I33" i="10"/>
  <c r="D34" i="10"/>
  <c r="E34" i="10"/>
  <c r="F34" i="10"/>
  <c r="G34" i="10"/>
  <c r="H34" i="10"/>
  <c r="I34" i="10"/>
  <c r="D35" i="10"/>
  <c r="E35" i="10"/>
  <c r="F35" i="10"/>
  <c r="G35" i="10"/>
  <c r="H35" i="10"/>
  <c r="I35" i="10"/>
  <c r="D5" i="10"/>
  <c r="E5" i="10"/>
  <c r="F5" i="10"/>
  <c r="G5" i="10"/>
  <c r="H5" i="10"/>
  <c r="I5" i="10"/>
  <c r="I6" i="10"/>
  <c r="F6" i="10"/>
  <c r="E6" i="10"/>
  <c r="D6" i="10"/>
  <c r="L158" i="10" l="1"/>
  <c r="L150" i="10"/>
  <c r="L142" i="10"/>
  <c r="L134" i="10"/>
  <c r="L126" i="10"/>
  <c r="L118" i="10"/>
  <c r="L110" i="10"/>
  <c r="L102" i="10"/>
  <c r="L94" i="10"/>
  <c r="L86" i="10"/>
  <c r="L78" i="10"/>
  <c r="L70" i="10"/>
  <c r="L62" i="10"/>
  <c r="L54" i="10"/>
  <c r="L46" i="10"/>
  <c r="L152" i="10"/>
  <c r="L144" i="10"/>
  <c r="L136" i="10"/>
  <c r="L128" i="10"/>
  <c r="L120" i="10"/>
  <c r="L112" i="10"/>
  <c r="L104" i="10"/>
  <c r="L96" i="10"/>
  <c r="L88" i="10"/>
  <c r="L80" i="10"/>
  <c r="L72" i="10"/>
  <c r="L64" i="10"/>
  <c r="L56" i="10"/>
  <c r="L154" i="10"/>
  <c r="L146" i="10"/>
  <c r="L138" i="10"/>
  <c r="L130" i="10"/>
  <c r="L122" i="10"/>
  <c r="L114" i="10"/>
  <c r="L106" i="10"/>
  <c r="L98" i="10"/>
  <c r="L90" i="10"/>
  <c r="L82" i="10"/>
  <c r="L74" i="10"/>
  <c r="L66" i="10"/>
  <c r="L58" i="10"/>
  <c r="L50" i="10"/>
  <c r="L42" i="10"/>
  <c r="L155" i="10"/>
  <c r="L147" i="10"/>
  <c r="L139" i="10"/>
  <c r="L131" i="10"/>
  <c r="L123" i="10"/>
  <c r="L115" i="10"/>
  <c r="L107" i="10"/>
  <c r="L99" i="10"/>
  <c r="L91" i="10"/>
  <c r="L83" i="10"/>
  <c r="L75" i="10"/>
  <c r="L67" i="10"/>
  <c r="L59" i="10"/>
  <c r="L51" i="10"/>
  <c r="L43" i="10"/>
  <c r="L157" i="10"/>
  <c r="L149" i="10"/>
  <c r="L500" i="10"/>
  <c r="L492" i="10"/>
  <c r="L484" i="10"/>
  <c r="L476" i="10"/>
  <c r="L412" i="10"/>
  <c r="L404" i="10"/>
  <c r="L396" i="10"/>
  <c r="L388" i="10"/>
  <c r="L380" i="10"/>
  <c r="L372" i="10"/>
  <c r="L364" i="10"/>
  <c r="L356" i="10"/>
  <c r="L348" i="10"/>
  <c r="L340" i="10"/>
  <c r="L332" i="10"/>
  <c r="L156" i="10"/>
  <c r="L148" i="10"/>
  <c r="L140" i="10"/>
  <c r="L132" i="10"/>
  <c r="L124" i="10"/>
  <c r="L36" i="10"/>
  <c r="L141" i="10"/>
  <c r="L133" i="10"/>
  <c r="L125" i="10"/>
  <c r="L151" i="10"/>
  <c r="L143" i="10"/>
  <c r="L135" i="10"/>
  <c r="L127" i="10"/>
  <c r="L329" i="10"/>
  <c r="L177" i="10"/>
  <c r="L169" i="10"/>
  <c r="L161" i="10"/>
  <c r="L153" i="10"/>
  <c r="L145" i="10"/>
  <c r="L137" i="10"/>
  <c r="L129" i="10"/>
  <c r="L121" i="10"/>
  <c r="L49" i="10"/>
  <c r="L41" i="10"/>
  <c r="L116" i="10"/>
  <c r="L108" i="10"/>
  <c r="L100" i="10"/>
  <c r="L92" i="10"/>
  <c r="L84" i="10"/>
  <c r="L76" i="10"/>
  <c r="L68" i="10"/>
  <c r="L60" i="10"/>
  <c r="L52" i="10"/>
  <c r="L44" i="10"/>
  <c r="L499" i="10"/>
  <c r="L491" i="10"/>
  <c r="L483" i="10"/>
  <c r="L475" i="10"/>
  <c r="L467" i="10"/>
  <c r="L459" i="10"/>
  <c r="L451" i="10"/>
  <c r="L443" i="10"/>
  <c r="L435" i="10"/>
  <c r="L427" i="10"/>
  <c r="L419" i="10"/>
  <c r="L331" i="10"/>
  <c r="L323" i="10"/>
  <c r="L315" i="10"/>
  <c r="L307" i="10"/>
  <c r="L299" i="10"/>
  <c r="L291" i="10"/>
  <c r="L283" i="10"/>
  <c r="L275" i="10"/>
  <c r="L267" i="10"/>
  <c r="L259" i="10"/>
  <c r="L251" i="10"/>
  <c r="L171" i="10"/>
  <c r="L163" i="10"/>
  <c r="L117" i="10"/>
  <c r="L109" i="10"/>
  <c r="L101" i="10"/>
  <c r="L93" i="10"/>
  <c r="L85" i="10"/>
  <c r="L77" i="10"/>
  <c r="L69" i="10"/>
  <c r="L61" i="10"/>
  <c r="L53" i="10"/>
  <c r="L45" i="10"/>
  <c r="L37" i="10"/>
  <c r="L38" i="10"/>
  <c r="L414" i="10"/>
  <c r="L261" i="10"/>
  <c r="L253" i="10"/>
  <c r="L245" i="10"/>
  <c r="L237" i="10"/>
  <c r="L229" i="10"/>
  <c r="L221" i="10"/>
  <c r="L213" i="10"/>
  <c r="L205" i="10"/>
  <c r="L197" i="10"/>
  <c r="L189" i="10"/>
  <c r="L181" i="10"/>
  <c r="L173" i="10"/>
  <c r="L165" i="10"/>
  <c r="L119" i="10"/>
  <c r="L111" i="10"/>
  <c r="L103" i="10"/>
  <c r="L95" i="10"/>
  <c r="L87" i="10"/>
  <c r="L79" i="10"/>
  <c r="L71" i="10"/>
  <c r="L63" i="10"/>
  <c r="L55" i="10"/>
  <c r="L47" i="10"/>
  <c r="L39" i="10"/>
  <c r="L48" i="10"/>
  <c r="L40" i="10"/>
  <c r="L471" i="10"/>
  <c r="L463" i="10"/>
  <c r="L455" i="10"/>
  <c r="L447" i="10"/>
  <c r="L439" i="10"/>
  <c r="L431" i="10"/>
  <c r="L423" i="10"/>
  <c r="L327" i="10"/>
  <c r="L319" i="10"/>
  <c r="L311" i="10"/>
  <c r="L303" i="10"/>
  <c r="L295" i="10"/>
  <c r="L287" i="10"/>
  <c r="L279" i="10"/>
  <c r="L271" i="10"/>
  <c r="L263" i="10"/>
  <c r="L255" i="10"/>
  <c r="L175" i="10"/>
  <c r="L167" i="10"/>
  <c r="L159" i="10"/>
  <c r="L113" i="10"/>
  <c r="L105" i="10"/>
  <c r="L97" i="10"/>
  <c r="L89" i="10"/>
  <c r="L81" i="10"/>
  <c r="L73" i="10"/>
  <c r="L65" i="10"/>
  <c r="L57" i="10"/>
  <c r="L469" i="10"/>
  <c r="L461" i="10"/>
  <c r="L453" i="10"/>
  <c r="L445" i="10"/>
  <c r="L437" i="10"/>
  <c r="L429" i="10"/>
  <c r="L421" i="10"/>
  <c r="L413" i="10"/>
  <c r="L405" i="10"/>
  <c r="L397" i="10"/>
  <c r="L389" i="10"/>
  <c r="L381" i="10"/>
  <c r="L373" i="10"/>
  <c r="L365" i="10"/>
  <c r="L357" i="10"/>
  <c r="L349" i="10"/>
  <c r="L341" i="10"/>
  <c r="L333" i="10"/>
  <c r="L325" i="10"/>
  <c r="L317" i="10"/>
  <c r="L309" i="10"/>
  <c r="L301" i="10"/>
  <c r="L293" i="10"/>
  <c r="L285" i="10"/>
  <c r="L277" i="10"/>
  <c r="L269" i="10"/>
  <c r="L503" i="10"/>
  <c r="L495" i="10"/>
  <c r="L487" i="10"/>
  <c r="L479" i="10"/>
  <c r="L247" i="10"/>
  <c r="L31" i="10"/>
  <c r="L23" i="10"/>
  <c r="L501" i="10"/>
  <c r="L244" i="10"/>
  <c r="L236" i="10"/>
  <c r="L228" i="10"/>
  <c r="L220" i="10"/>
  <c r="L212" i="10"/>
  <c r="L204" i="10"/>
  <c r="L196" i="10"/>
  <c r="L188" i="10"/>
  <c r="L180" i="10"/>
  <c r="L172" i="10"/>
  <c r="L164" i="10"/>
  <c r="L35" i="10"/>
  <c r="L27" i="10"/>
  <c r="L502" i="10"/>
  <c r="L246" i="10"/>
  <c r="L174" i="10"/>
  <c r="L166" i="10"/>
  <c r="L30" i="10"/>
  <c r="L22" i="10"/>
  <c r="L504" i="10"/>
  <c r="L408" i="10"/>
  <c r="L400" i="10"/>
  <c r="L392" i="10"/>
  <c r="L384" i="10"/>
  <c r="L376" i="10"/>
  <c r="L368" i="10"/>
  <c r="L360" i="10"/>
  <c r="L352" i="10"/>
  <c r="L344" i="10"/>
  <c r="L336" i="10"/>
  <c r="L272" i="10"/>
  <c r="L264" i="10"/>
  <c r="L256" i="10"/>
  <c r="L248" i="10"/>
  <c r="L176" i="10"/>
  <c r="L168" i="10"/>
  <c r="L160" i="10"/>
  <c r="L32" i="10"/>
  <c r="L24" i="10"/>
  <c r="L330" i="10"/>
  <c r="L242" i="10"/>
  <c r="L234" i="10"/>
  <c r="L226" i="10"/>
  <c r="L218" i="10"/>
  <c r="L210" i="10"/>
  <c r="L202" i="10"/>
  <c r="L194" i="10"/>
  <c r="L186" i="10"/>
  <c r="L178" i="10"/>
  <c r="L170" i="10"/>
  <c r="L162" i="10"/>
  <c r="L485" i="10"/>
  <c r="L477" i="10"/>
  <c r="L34" i="10"/>
  <c r="L26" i="10"/>
  <c r="L494" i="10"/>
  <c r="L486" i="10"/>
  <c r="L478" i="10"/>
  <c r="L470" i="10"/>
  <c r="L462" i="10"/>
  <c r="L454" i="10"/>
  <c r="L446" i="10"/>
  <c r="L438" i="10"/>
  <c r="L430" i="10"/>
  <c r="L422" i="10"/>
  <c r="L415" i="10"/>
  <c r="L33" i="10"/>
  <c r="L25" i="10"/>
  <c r="L28" i="10"/>
  <c r="L496" i="10"/>
  <c r="L488" i="10"/>
  <c r="L480" i="10"/>
  <c r="L472" i="10"/>
  <c r="L464" i="10"/>
  <c r="L456" i="10"/>
  <c r="L448" i="10"/>
  <c r="L440" i="10"/>
  <c r="L432" i="10"/>
  <c r="L424" i="10"/>
  <c r="L416" i="10"/>
  <c r="L493" i="10"/>
  <c r="L29" i="10"/>
  <c r="L21" i="10"/>
  <c r="L497" i="10"/>
  <c r="L489" i="10"/>
  <c r="L481" i="10"/>
  <c r="L473" i="10"/>
  <c r="L465" i="10"/>
  <c r="L457" i="10"/>
  <c r="L449" i="10"/>
  <c r="L441" i="10"/>
  <c r="L433" i="10"/>
  <c r="L425" i="10"/>
  <c r="L417" i="10"/>
  <c r="L498" i="10"/>
  <c r="L490" i="10"/>
  <c r="L482" i="10"/>
  <c r="L474" i="10"/>
  <c r="L466" i="10"/>
  <c r="L458" i="10"/>
  <c r="L450" i="10"/>
  <c r="L442" i="10"/>
  <c r="L434" i="10"/>
  <c r="L426" i="10"/>
  <c r="L418" i="10"/>
  <c r="L468" i="10"/>
  <c r="L460" i="10"/>
  <c r="L452" i="10"/>
  <c r="L444" i="10"/>
  <c r="L436" i="10"/>
  <c r="L428" i="10"/>
  <c r="L420" i="10"/>
  <c r="L406" i="10"/>
  <c r="L398" i="10"/>
  <c r="L390" i="10"/>
  <c r="L382" i="10"/>
  <c r="L374" i="10"/>
  <c r="L366" i="10"/>
  <c r="L358" i="10"/>
  <c r="L350" i="10"/>
  <c r="L342" i="10"/>
  <c r="L334" i="10"/>
  <c r="L407" i="10"/>
  <c r="L399" i="10"/>
  <c r="L391" i="10"/>
  <c r="L383" i="10"/>
  <c r="L375" i="10"/>
  <c r="L367" i="10"/>
  <c r="L359" i="10"/>
  <c r="L351" i="10"/>
  <c r="L343" i="10"/>
  <c r="L335" i="10"/>
  <c r="L409" i="10"/>
  <c r="L401" i="10"/>
  <c r="L393" i="10"/>
  <c r="L385" i="10"/>
  <c r="L377" i="10"/>
  <c r="L369" i="10"/>
  <c r="L361" i="10"/>
  <c r="L353" i="10"/>
  <c r="L345" i="10"/>
  <c r="L337" i="10"/>
  <c r="L410" i="10"/>
  <c r="L402" i="10"/>
  <c r="L394" i="10"/>
  <c r="L386" i="10"/>
  <c r="L378" i="10"/>
  <c r="L370" i="10"/>
  <c r="L362" i="10"/>
  <c r="L354" i="10"/>
  <c r="L346" i="10"/>
  <c r="L338" i="10"/>
  <c r="L411" i="10"/>
  <c r="L403" i="10"/>
  <c r="L395" i="10"/>
  <c r="L387" i="10"/>
  <c r="L379" i="10"/>
  <c r="L371" i="10"/>
  <c r="L363" i="10"/>
  <c r="L355" i="10"/>
  <c r="L347" i="10"/>
  <c r="L339" i="10"/>
  <c r="L326" i="10"/>
  <c r="L318" i="10"/>
  <c r="L310" i="10"/>
  <c r="L302" i="10"/>
  <c r="L294" i="10"/>
  <c r="L286" i="10"/>
  <c r="L278" i="10"/>
  <c r="L270" i="10"/>
  <c r="L262" i="10"/>
  <c r="L254" i="10"/>
  <c r="L328" i="10"/>
  <c r="L320" i="10"/>
  <c r="L312" i="10"/>
  <c r="L304" i="10"/>
  <c r="L296" i="10"/>
  <c r="L288" i="10"/>
  <c r="L280" i="10"/>
  <c r="L321" i="10"/>
  <c r="L313" i="10"/>
  <c r="L305" i="10"/>
  <c r="L297" i="10"/>
  <c r="L289" i="10"/>
  <c r="L281" i="10"/>
  <c r="L273" i="10"/>
  <c r="L265" i="10"/>
  <c r="L257" i="10"/>
  <c r="L249" i="10"/>
  <c r="L322" i="10"/>
  <c r="L314" i="10"/>
  <c r="L306" i="10"/>
  <c r="L298" i="10"/>
  <c r="L290" i="10"/>
  <c r="L282" i="10"/>
  <c r="L274" i="10"/>
  <c r="L266" i="10"/>
  <c r="L258" i="10"/>
  <c r="L250" i="10"/>
  <c r="L324" i="10"/>
  <c r="L316" i="10"/>
  <c r="L308" i="10"/>
  <c r="L300" i="10"/>
  <c r="L292" i="10"/>
  <c r="L284" i="10"/>
  <c r="L276" i="10"/>
  <c r="L268" i="10"/>
  <c r="L260" i="10"/>
  <c r="L252" i="10"/>
  <c r="L238" i="10"/>
  <c r="L230" i="10"/>
  <c r="L222" i="10"/>
  <c r="L214" i="10"/>
  <c r="L206" i="10"/>
  <c r="L198" i="10"/>
  <c r="L190" i="10"/>
  <c r="L182" i="10"/>
  <c r="L239" i="10"/>
  <c r="L231" i="10"/>
  <c r="L223" i="10"/>
  <c r="L215" i="10"/>
  <c r="L207" i="10"/>
  <c r="L199" i="10"/>
  <c r="L191" i="10"/>
  <c r="L183" i="10"/>
  <c r="L240" i="10"/>
  <c r="L232" i="10"/>
  <c r="L224" i="10"/>
  <c r="L216" i="10"/>
  <c r="L208" i="10"/>
  <c r="L200" i="10"/>
  <c r="L192" i="10"/>
  <c r="L184" i="10"/>
  <c r="L241" i="10"/>
  <c r="L233" i="10"/>
  <c r="L225" i="10"/>
  <c r="L217" i="10"/>
  <c r="L209" i="10"/>
  <c r="L201" i="10"/>
  <c r="L193" i="10"/>
  <c r="L185" i="10"/>
  <c r="L243" i="10"/>
  <c r="L235" i="10"/>
  <c r="L227" i="10"/>
  <c r="L219" i="10"/>
  <c r="L211" i="10"/>
  <c r="L203" i="10"/>
  <c r="L195" i="10"/>
  <c r="L187" i="10"/>
  <c r="L179" i="10"/>
  <c r="L31" i="14"/>
  <c r="L33" i="14" s="1"/>
  <c r="P33" i="14" s="1"/>
  <c r="L34" i="14" l="1"/>
  <c r="P34" i="14" s="1"/>
  <c r="I17" i="14"/>
  <c r="F41" i="14"/>
  <c r="J17" i="14"/>
  <c r="J16" i="14"/>
  <c r="I16" i="14"/>
  <c r="J15" i="14"/>
  <c r="I15" i="14"/>
  <c r="J14" i="14"/>
  <c r="I14" i="14"/>
  <c r="J13" i="14"/>
  <c r="I13" i="14"/>
  <c r="J12" i="14"/>
  <c r="I12" i="14"/>
  <c r="J11" i="14"/>
  <c r="I11" i="14"/>
  <c r="J10" i="14"/>
  <c r="I10" i="14"/>
  <c r="J9" i="14"/>
  <c r="I9" i="14"/>
  <c r="C19" i="14" s="1"/>
  <c r="K31" i="13"/>
  <c r="I31" i="13"/>
  <c r="K30" i="13"/>
  <c r="I30" i="13"/>
  <c r="K29" i="13"/>
  <c r="I29" i="13"/>
  <c r="K28" i="13"/>
  <c r="I28" i="13"/>
  <c r="K27" i="13"/>
  <c r="I27" i="13"/>
  <c r="K26" i="13"/>
  <c r="I26" i="13"/>
  <c r="K25" i="13"/>
  <c r="I25" i="13"/>
  <c r="K24" i="13"/>
  <c r="I24" i="13"/>
  <c r="K23" i="13"/>
  <c r="I23" i="13"/>
  <c r="F5" i="13"/>
  <c r="E5" i="13"/>
  <c r="F91" i="12"/>
  <c r="H1" i="11"/>
  <c r="E46" i="11"/>
  <c r="D46" i="11"/>
  <c r="C46" i="11"/>
  <c r="E45" i="11"/>
  <c r="D45" i="11"/>
  <c r="C45" i="11"/>
  <c r="E44" i="11"/>
  <c r="D44" i="11"/>
  <c r="C44" i="11"/>
  <c r="E43" i="11"/>
  <c r="D43" i="11"/>
  <c r="C43" i="11"/>
  <c r="E42" i="11"/>
  <c r="D42" i="11"/>
  <c r="C42" i="11"/>
  <c r="E41" i="11"/>
  <c r="D41" i="11"/>
  <c r="C41" i="11"/>
  <c r="E40" i="11"/>
  <c r="D40" i="11"/>
  <c r="C40" i="11"/>
  <c r="E39" i="11"/>
  <c r="D39" i="11"/>
  <c r="C39" i="11"/>
  <c r="E38" i="11"/>
  <c r="D38" i="11"/>
  <c r="C38" i="11"/>
  <c r="E37" i="11"/>
  <c r="D37" i="11"/>
  <c r="C37" i="11"/>
  <c r="E36" i="11"/>
  <c r="D36" i="11"/>
  <c r="C36" i="11"/>
  <c r="E35" i="11"/>
  <c r="D35" i="11"/>
  <c r="C35" i="11"/>
  <c r="E34" i="11"/>
  <c r="D34" i="11"/>
  <c r="C34" i="11"/>
  <c r="E33" i="11"/>
  <c r="D33" i="11"/>
  <c r="C33" i="11"/>
  <c r="E32" i="11"/>
  <c r="D32" i="11"/>
  <c r="C32" i="11"/>
  <c r="E31" i="11"/>
  <c r="D31" i="11"/>
  <c r="C31" i="11"/>
  <c r="E30" i="11"/>
  <c r="D30" i="11"/>
  <c r="C30" i="11"/>
  <c r="E29" i="11"/>
  <c r="D29" i="11"/>
  <c r="C29" i="11"/>
  <c r="E28" i="11"/>
  <c r="D28" i="11"/>
  <c r="C28" i="11"/>
  <c r="E27" i="11"/>
  <c r="D27" i="11"/>
  <c r="C27" i="11"/>
  <c r="E26" i="11"/>
  <c r="D26" i="11"/>
  <c r="C26" i="11"/>
  <c r="E25" i="11"/>
  <c r="D25" i="11"/>
  <c r="C25" i="11"/>
  <c r="E24" i="11"/>
  <c r="D24" i="11"/>
  <c r="C24" i="11"/>
  <c r="E23" i="11"/>
  <c r="D23" i="11"/>
  <c r="C23" i="11"/>
  <c r="E22" i="11"/>
  <c r="D22" i="11"/>
  <c r="C22" i="11"/>
  <c r="E20" i="11"/>
  <c r="D20" i="11"/>
  <c r="C20" i="11"/>
  <c r="E19" i="11"/>
  <c r="D19" i="11"/>
  <c r="C19" i="11"/>
  <c r="D82" i="14" l="1"/>
  <c r="D81" i="14"/>
  <c r="D80" i="14"/>
  <c r="D77" i="14"/>
  <c r="C67" i="14"/>
  <c r="D79" i="14" s="1"/>
  <c r="B50" i="14"/>
  <c r="C41" i="14"/>
  <c r="C38" i="14"/>
  <c r="B6" i="11" s="1"/>
  <c r="L21" i="14"/>
  <c r="D35" i="14"/>
  <c r="C43" i="14"/>
  <c r="B11" i="11" s="1"/>
  <c r="C36" i="14"/>
  <c r="B4" i="11" s="1"/>
  <c r="C30" i="14"/>
  <c r="C21" i="14"/>
  <c r="D37" i="14" s="1"/>
  <c r="C20" i="14"/>
  <c r="D36" i="14" s="1"/>
  <c r="B6" i="14"/>
  <c r="H21" i="13"/>
  <c r="C11" i="13"/>
  <c r="B17" i="11" s="1"/>
  <c r="G21" i="13"/>
  <c r="C9" i="13"/>
  <c r="B15" i="11" s="1"/>
  <c r="C14" i="13"/>
  <c r="O25" i="13"/>
  <c r="P28" i="13" s="1"/>
  <c r="I34" i="13"/>
  <c r="J34" i="13" s="1"/>
  <c r="D21" i="13"/>
  <c r="B21" i="13"/>
  <c r="E22" i="13"/>
  <c r="F21" i="13"/>
  <c r="C21" i="13"/>
  <c r="C17" i="13"/>
  <c r="D11" i="13" s="1"/>
  <c r="K25" i="12"/>
  <c r="J25" i="12" s="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0" i="11"/>
  <c r="H19" i="11"/>
  <c r="G19" i="11"/>
  <c r="H18" i="11"/>
  <c r="H17" i="11"/>
  <c r="H16" i="11"/>
  <c r="H15" i="11"/>
  <c r="H14" i="11"/>
  <c r="H13" i="11"/>
  <c r="H12" i="11"/>
  <c r="H11" i="11"/>
  <c r="H10" i="11"/>
  <c r="H9" i="11"/>
  <c r="H8" i="11"/>
  <c r="H7" i="11"/>
  <c r="H6" i="11"/>
  <c r="H5" i="11"/>
  <c r="H4" i="11"/>
  <c r="H3" i="11"/>
  <c r="H46" i="11"/>
  <c r="M15" i="11" l="1"/>
  <c r="L15" i="11"/>
  <c r="L17" i="11"/>
  <c r="M17" i="11"/>
  <c r="M6" i="11"/>
  <c r="L6" i="11"/>
  <c r="M4" i="11"/>
  <c r="L4" i="11"/>
  <c r="M11" i="11"/>
  <c r="L11" i="11"/>
  <c r="F6" i="11"/>
  <c r="F4" i="11"/>
  <c r="I25" i="12"/>
  <c r="L25" i="12" s="1"/>
  <c r="J17" i="11"/>
  <c r="J4" i="11"/>
  <c r="K5" i="12" s="1"/>
  <c r="J5" i="11"/>
  <c r="K6" i="12" s="1"/>
  <c r="J3" i="11"/>
  <c r="K4" i="12" s="1"/>
  <c r="G15" i="11"/>
  <c r="F15" i="11"/>
  <c r="G17" i="11"/>
  <c r="F17" i="11"/>
  <c r="G11" i="11"/>
  <c r="F11" i="11"/>
  <c r="G25" i="12"/>
  <c r="B21" i="11"/>
  <c r="B9" i="11"/>
  <c r="E6" i="11"/>
  <c r="G7" i="12"/>
  <c r="D6" i="11"/>
  <c r="H7" i="12" s="1"/>
  <c r="C6" i="11"/>
  <c r="J7" i="12" s="1"/>
  <c r="G17" i="12"/>
  <c r="D15" i="11"/>
  <c r="H17" i="12" s="1"/>
  <c r="E15" i="11"/>
  <c r="C15" i="11"/>
  <c r="J17" i="12" s="1"/>
  <c r="E4" i="11"/>
  <c r="D4" i="11"/>
  <c r="H5" i="12" s="1"/>
  <c r="G5" i="12"/>
  <c r="C4" i="11"/>
  <c r="J5" i="12" s="1"/>
  <c r="G6" i="11"/>
  <c r="D11" i="11"/>
  <c r="H12" i="12" s="1"/>
  <c r="G12" i="12"/>
  <c r="E11" i="11"/>
  <c r="C11" i="11"/>
  <c r="J12" i="12" s="1"/>
  <c r="D17" i="11"/>
  <c r="H19" i="12" s="1"/>
  <c r="C17" i="11"/>
  <c r="J19" i="12" s="1"/>
  <c r="E17" i="11"/>
  <c r="G19" i="12"/>
  <c r="C31" i="14"/>
  <c r="C39" i="14" s="1"/>
  <c r="B7" i="11" s="1"/>
  <c r="C37" i="14"/>
  <c r="B5" i="11" s="1"/>
  <c r="C40" i="14"/>
  <c r="B8" i="11" s="1"/>
  <c r="C35" i="14"/>
  <c r="B3" i="11" s="1"/>
  <c r="C22" i="14"/>
  <c r="C42" i="14"/>
  <c r="B10" i="11" s="1"/>
  <c r="E31" i="13"/>
  <c r="E30" i="13"/>
  <c r="E32" i="13"/>
  <c r="E29" i="13"/>
  <c r="F37" i="13"/>
  <c r="M34" i="13"/>
  <c r="L34" i="13" s="1"/>
  <c r="L36" i="13" s="1"/>
  <c r="D8" i="13" s="1"/>
  <c r="K34" i="13"/>
  <c r="I36" i="13" s="1"/>
  <c r="D6" i="13"/>
  <c r="G12" i="13"/>
  <c r="C10" i="13"/>
  <c r="B16" i="11" s="1"/>
  <c r="C15" i="13"/>
  <c r="C16" i="13" s="1"/>
  <c r="C18" i="13" s="1"/>
  <c r="I33" i="13"/>
  <c r="J33" i="13" s="1"/>
  <c r="E21" i="13"/>
  <c r="C37" i="13" s="1"/>
  <c r="N25" i="13"/>
  <c r="H25" i="12"/>
  <c r="I46" i="11"/>
  <c r="K46" i="11" s="1"/>
  <c r="H20" i="11"/>
  <c r="I20" i="11" s="1"/>
  <c r="K20" i="11" s="1"/>
  <c r="G4" i="11"/>
  <c r="H21" i="11"/>
  <c r="H22" i="11"/>
  <c r="I22" i="11" s="1"/>
  <c r="K22" i="11" s="1"/>
  <c r="H23" i="11"/>
  <c r="I23" i="11" s="1"/>
  <c r="K23" i="11" s="1"/>
  <c r="H24" i="11"/>
  <c r="I24" i="11" s="1"/>
  <c r="K24" i="11" s="1"/>
  <c r="H25" i="11"/>
  <c r="I25" i="11" s="1"/>
  <c r="K25" i="11" s="1"/>
  <c r="H26" i="11"/>
  <c r="I26" i="11" s="1"/>
  <c r="K26" i="11" s="1"/>
  <c r="H27" i="11"/>
  <c r="I27" i="11" s="1"/>
  <c r="K27" i="11" s="1"/>
  <c r="H28" i="11"/>
  <c r="I28" i="11" s="1"/>
  <c r="K28" i="11" s="1"/>
  <c r="H29" i="11"/>
  <c r="I29" i="11" s="1"/>
  <c r="K29" i="11" s="1"/>
  <c r="H30" i="11"/>
  <c r="I30" i="11" s="1"/>
  <c r="K30" i="11" s="1"/>
  <c r="H31" i="11"/>
  <c r="I31" i="11" s="1"/>
  <c r="K31" i="11" s="1"/>
  <c r="H32" i="11"/>
  <c r="I32" i="11" s="1"/>
  <c r="K32" i="11" s="1"/>
  <c r="H33" i="11"/>
  <c r="I33" i="11" s="1"/>
  <c r="K33" i="11" s="1"/>
  <c r="H34" i="11"/>
  <c r="I34" i="11" s="1"/>
  <c r="K34" i="11" s="1"/>
  <c r="H35" i="11"/>
  <c r="I35" i="11" s="1"/>
  <c r="K35" i="11" s="1"/>
  <c r="H36" i="11"/>
  <c r="I36" i="11" s="1"/>
  <c r="K36" i="11" s="1"/>
  <c r="H37" i="11"/>
  <c r="I37" i="11" s="1"/>
  <c r="K37" i="11" s="1"/>
  <c r="H38" i="11"/>
  <c r="I38" i="11" s="1"/>
  <c r="K38" i="11" s="1"/>
  <c r="H39" i="11"/>
  <c r="I39" i="11" s="1"/>
  <c r="K39" i="11" s="1"/>
  <c r="H40" i="11"/>
  <c r="H41" i="11"/>
  <c r="I41" i="11" s="1"/>
  <c r="K41" i="11" s="1"/>
  <c r="H42" i="11"/>
  <c r="I42" i="11" s="1"/>
  <c r="K42" i="11" s="1"/>
  <c r="H43" i="11"/>
  <c r="I43" i="11" s="1"/>
  <c r="K43" i="11" s="1"/>
  <c r="H44" i="11"/>
  <c r="I44" i="11" s="1"/>
  <c r="K44" i="11" s="1"/>
  <c r="H45" i="11"/>
  <c r="I45" i="11" s="1"/>
  <c r="K45" i="11" s="1"/>
  <c r="N4" i="11" l="1"/>
  <c r="M16" i="11"/>
  <c r="L16" i="11"/>
  <c r="M3" i="11"/>
  <c r="O3" i="11" s="1"/>
  <c r="L3" i="11"/>
  <c r="N3" i="11" s="1"/>
  <c r="M8" i="11"/>
  <c r="L8" i="11"/>
  <c r="L5" i="11"/>
  <c r="N5" i="11" s="1"/>
  <c r="M5" i="11"/>
  <c r="O5" i="11" s="1"/>
  <c r="M7" i="11"/>
  <c r="L7" i="11"/>
  <c r="O4" i="11"/>
  <c r="K19" i="12"/>
  <c r="N17" i="11"/>
  <c r="O17" i="11"/>
  <c r="M10" i="11"/>
  <c r="L10" i="11"/>
  <c r="L9" i="11"/>
  <c r="M9" i="11"/>
  <c r="L21" i="11"/>
  <c r="N21" i="11" s="1"/>
  <c r="M21" i="11"/>
  <c r="O21" i="11" s="1"/>
  <c r="F16" i="11"/>
  <c r="F9" i="11"/>
  <c r="F8" i="11"/>
  <c r="F5" i="11"/>
  <c r="F21" i="11"/>
  <c r="F3" i="11"/>
  <c r="F10" i="11"/>
  <c r="F7" i="11"/>
  <c r="J14" i="11"/>
  <c r="K16" i="12" s="1"/>
  <c r="J12" i="11"/>
  <c r="G18" i="12"/>
  <c r="E16" i="11"/>
  <c r="D16" i="11"/>
  <c r="H18" i="12" s="1"/>
  <c r="C16" i="11"/>
  <c r="J18" i="12" s="1"/>
  <c r="G6" i="12"/>
  <c r="C5" i="11"/>
  <c r="J6" i="12" s="1"/>
  <c r="D5" i="11"/>
  <c r="H6" i="12" s="1"/>
  <c r="E5" i="11"/>
  <c r="G5" i="11"/>
  <c r="G9" i="12"/>
  <c r="E8" i="11"/>
  <c r="D8" i="11"/>
  <c r="H9" i="12" s="1"/>
  <c r="C8" i="11"/>
  <c r="J9" i="12" s="1"/>
  <c r="G11" i="12"/>
  <c r="E10" i="11"/>
  <c r="D10" i="11"/>
  <c r="H11" i="12" s="1"/>
  <c r="C10" i="11"/>
  <c r="J11" i="12" s="1"/>
  <c r="G10" i="11"/>
  <c r="G16" i="11"/>
  <c r="D9" i="11"/>
  <c r="H10" i="12" s="1"/>
  <c r="E9" i="11"/>
  <c r="G10" i="12"/>
  <c r="C9" i="11"/>
  <c r="J10" i="12" s="1"/>
  <c r="G9" i="11"/>
  <c r="D7" i="11"/>
  <c r="H8" i="12" s="1"/>
  <c r="E7" i="11"/>
  <c r="C7" i="11"/>
  <c r="J8" i="12" s="1"/>
  <c r="G8" i="12"/>
  <c r="G7" i="11"/>
  <c r="D21" i="11"/>
  <c r="C21" i="11"/>
  <c r="E21" i="11"/>
  <c r="G21" i="11"/>
  <c r="G8" i="11"/>
  <c r="D3" i="11"/>
  <c r="H4" i="12" s="1"/>
  <c r="E3" i="11"/>
  <c r="G4" i="12"/>
  <c r="C3" i="11"/>
  <c r="J4" i="12" s="1"/>
  <c r="G3" i="11"/>
  <c r="D23" i="14"/>
  <c r="C25" i="14"/>
  <c r="D42" i="14" s="1"/>
  <c r="C27" i="14"/>
  <c r="D38" i="14"/>
  <c r="J6" i="11" s="1"/>
  <c r="N6" i="11" s="1"/>
  <c r="C26" i="14"/>
  <c r="D43" i="14" s="1"/>
  <c r="E23" i="14"/>
  <c r="C23" i="14" s="1"/>
  <c r="C32" i="14"/>
  <c r="D37" i="13"/>
  <c r="C6" i="13" s="1"/>
  <c r="B12" i="11" s="1"/>
  <c r="E36" i="13"/>
  <c r="D36" i="13"/>
  <c r="C36" i="13"/>
  <c r="E37" i="13"/>
  <c r="F36" i="13"/>
  <c r="H37" i="13"/>
  <c r="E12" i="13" s="1"/>
  <c r="G37" i="13"/>
  <c r="C12" i="13" s="1"/>
  <c r="B18" i="11" s="1"/>
  <c r="H36" i="13"/>
  <c r="G36" i="13"/>
  <c r="K33" i="13"/>
  <c r="I37" i="13" s="1"/>
  <c r="L31" i="13"/>
  <c r="L33" i="13" s="1"/>
  <c r="L37" i="13" s="1"/>
  <c r="D7" i="13" s="1"/>
  <c r="D12" i="13"/>
  <c r="G11" i="13"/>
  <c r="G17" i="13" s="1"/>
  <c r="H17" i="13" s="1"/>
  <c r="D10" i="13"/>
  <c r="D9" i="13"/>
  <c r="Q25" i="13"/>
  <c r="Q26" i="13" s="1"/>
  <c r="Q27" i="13" s="1"/>
  <c r="S26" i="13" s="1"/>
  <c r="S25" i="13" s="1"/>
  <c r="P25" i="13"/>
  <c r="P26" i="13" s="1"/>
  <c r="P27" i="13" s="1"/>
  <c r="K36" i="13"/>
  <c r="C8" i="13" s="1"/>
  <c r="B14" i="11" s="1"/>
  <c r="J36" i="13"/>
  <c r="E8" i="13" s="1"/>
  <c r="K14" i="12" l="1"/>
  <c r="O6" i="11"/>
  <c r="M18" i="11"/>
  <c r="L18" i="11"/>
  <c r="M14" i="11"/>
  <c r="O14" i="11" s="1"/>
  <c r="L14" i="11"/>
  <c r="N14" i="11" s="1"/>
  <c r="L12" i="11"/>
  <c r="N12" i="11" s="1"/>
  <c r="M12" i="11"/>
  <c r="O12" i="11" s="1"/>
  <c r="F18" i="11"/>
  <c r="F14" i="11"/>
  <c r="F12" i="11"/>
  <c r="J18" i="11"/>
  <c r="J13" i="11"/>
  <c r="K15" i="12" s="1"/>
  <c r="J16" i="11"/>
  <c r="J15" i="11"/>
  <c r="J11" i="11"/>
  <c r="J10" i="11"/>
  <c r="K11" i="12" s="1"/>
  <c r="E14" i="11"/>
  <c r="D14" i="11"/>
  <c r="H16" i="12" s="1"/>
  <c r="G16" i="12"/>
  <c r="C14" i="11"/>
  <c r="J16" i="12" s="1"/>
  <c r="G14" i="11"/>
  <c r="K33" i="14"/>
  <c r="E12" i="11"/>
  <c r="D12" i="11"/>
  <c r="H14" i="12" s="1"/>
  <c r="C12" i="11"/>
  <c r="J14" i="12" s="1"/>
  <c r="G14" i="12"/>
  <c r="G12" i="11"/>
  <c r="E18" i="11"/>
  <c r="D18" i="11"/>
  <c r="H20" i="12" s="1"/>
  <c r="C18" i="11"/>
  <c r="J20" i="12" s="1"/>
  <c r="G20" i="12"/>
  <c r="G18" i="11"/>
  <c r="C24" i="14"/>
  <c r="D40" i="14" s="1"/>
  <c r="D39" i="14"/>
  <c r="C29" i="14"/>
  <c r="C28" i="14"/>
  <c r="K34" i="14"/>
  <c r="K37" i="13"/>
  <c r="C7" i="13" s="1"/>
  <c r="B13" i="11" s="1"/>
  <c r="J37" i="13"/>
  <c r="E7" i="13" s="1"/>
  <c r="H6" i="10"/>
  <c r="G6" i="10"/>
  <c r="O10" i="11" l="1"/>
  <c r="K12" i="12"/>
  <c r="N11" i="11"/>
  <c r="O11" i="11"/>
  <c r="N10" i="11"/>
  <c r="M13" i="11"/>
  <c r="O13" i="11" s="1"/>
  <c r="L13" i="11"/>
  <c r="N13" i="11" s="1"/>
  <c r="K17" i="12"/>
  <c r="N15" i="11"/>
  <c r="O15" i="11"/>
  <c r="K18" i="12"/>
  <c r="O16" i="11"/>
  <c r="N16" i="11"/>
  <c r="K20" i="12"/>
  <c r="O18" i="11"/>
  <c r="N18" i="11"/>
  <c r="F13" i="11"/>
  <c r="J8" i="11"/>
  <c r="J7" i="11"/>
  <c r="D41" i="14"/>
  <c r="D13" i="11"/>
  <c r="H15" i="12" s="1"/>
  <c r="C13" i="11"/>
  <c r="J15" i="12" s="1"/>
  <c r="G15" i="12"/>
  <c r="E13" i="11"/>
  <c r="G13" i="11"/>
  <c r="K39" i="14"/>
  <c r="L39" i="14" s="1"/>
  <c r="K7" i="12"/>
  <c r="I21" i="7"/>
  <c r="J21" i="7" s="1"/>
  <c r="I20" i="7"/>
  <c r="J20" i="7" s="1"/>
  <c r="I19" i="7"/>
  <c r="J19" i="7" s="1"/>
  <c r="I18" i="7"/>
  <c r="J18" i="7" s="1"/>
  <c r="I81" i="7"/>
  <c r="J81" i="7" s="1"/>
  <c r="I65" i="7"/>
  <c r="J65" i="7" s="1"/>
  <c r="I38" i="7"/>
  <c r="J38" i="7" s="1"/>
  <c r="I62" i="7"/>
  <c r="J62" i="7" s="1"/>
  <c r="I47" i="7"/>
  <c r="J47" i="7" s="1"/>
  <c r="I420" i="7"/>
  <c r="J420" i="7" s="1"/>
  <c r="I400" i="7"/>
  <c r="J400" i="7" s="1"/>
  <c r="I364" i="7"/>
  <c r="J364" i="7" s="1"/>
  <c r="I470" i="7"/>
  <c r="J470" i="7" s="1"/>
  <c r="I406" i="7"/>
  <c r="J406" i="7" s="1"/>
  <c r="I870" i="7"/>
  <c r="J870" i="7" s="1"/>
  <c r="I444" i="7"/>
  <c r="J444" i="7" s="1"/>
  <c r="I307" i="7"/>
  <c r="J307" i="7" s="1"/>
  <c r="I409" i="7"/>
  <c r="J409" i="7" s="1"/>
  <c r="I439" i="7"/>
  <c r="J439" i="7" s="1"/>
  <c r="I866" i="7"/>
  <c r="J866" i="7" s="1"/>
  <c r="I447" i="7"/>
  <c r="J447" i="7" s="1"/>
  <c r="I363" i="7"/>
  <c r="J363" i="7" s="1"/>
  <c r="I430" i="7"/>
  <c r="J430" i="7" s="1"/>
  <c r="I401" i="7"/>
  <c r="J401" i="7" s="1"/>
  <c r="I419" i="7"/>
  <c r="J419" i="7" s="1"/>
  <c r="I421" i="7"/>
  <c r="J421" i="7" s="1"/>
  <c r="I306" i="7"/>
  <c r="J306" i="7" s="1"/>
  <c r="I418" i="7"/>
  <c r="J418" i="7" s="1"/>
  <c r="I263" i="7"/>
  <c r="J263" i="7" s="1"/>
  <c r="I489" i="7"/>
  <c r="J489" i="7" s="1"/>
  <c r="I405" i="7"/>
  <c r="J405" i="7" s="1"/>
  <c r="I864" i="7"/>
  <c r="J864" i="7" s="1"/>
  <c r="I437" i="7"/>
  <c r="J437" i="7" s="1"/>
  <c r="I300" i="7"/>
  <c r="J300" i="7" s="1"/>
  <c r="I431" i="7"/>
  <c r="J431" i="7" s="1"/>
  <c r="I504" i="7"/>
  <c r="J504" i="7" s="1"/>
  <c r="I388" i="7"/>
  <c r="J388" i="7" s="1"/>
  <c r="I294" i="7"/>
  <c r="J294" i="7" s="1"/>
  <c r="I865" i="7"/>
  <c r="J865" i="7" s="1"/>
  <c r="I379" i="7"/>
  <c r="J379" i="7" s="1"/>
  <c r="I325" i="7"/>
  <c r="J325" i="7" s="1"/>
  <c r="I332" i="7"/>
  <c r="J332" i="7" s="1"/>
  <c r="I434" i="7"/>
  <c r="J434" i="7" s="1"/>
  <c r="I354" i="7"/>
  <c r="J354" i="7" s="1"/>
  <c r="I392" i="7"/>
  <c r="J392" i="7" s="1"/>
  <c r="I339" i="7"/>
  <c r="J339" i="7" s="1"/>
  <c r="I502" i="7"/>
  <c r="J502" i="7" s="1"/>
  <c r="I509" i="7"/>
  <c r="J509" i="7" s="1"/>
  <c r="I387" i="7"/>
  <c r="J387" i="7" s="1"/>
  <c r="I863" i="7"/>
  <c r="J863" i="7" s="1"/>
  <c r="I391" i="7"/>
  <c r="J391" i="7" s="1"/>
  <c r="I874" i="7"/>
  <c r="J874" i="7" s="1"/>
  <c r="I425" i="7"/>
  <c r="J425" i="7" s="1"/>
  <c r="I362" i="7"/>
  <c r="J362" i="7" s="1"/>
  <c r="I261" i="7"/>
  <c r="J261" i="7" s="1"/>
  <c r="I445" i="7"/>
  <c r="J445" i="7" s="1"/>
  <c r="I353" i="7"/>
  <c r="J353" i="7" s="1"/>
  <c r="I856" i="7"/>
  <c r="J856" i="7" s="1"/>
  <c r="I412" i="7"/>
  <c r="J412" i="7" s="1"/>
  <c r="I361" i="7"/>
  <c r="J361" i="7" s="1"/>
  <c r="I327" i="7"/>
  <c r="J327" i="7" s="1"/>
  <c r="I386" i="7"/>
  <c r="J386" i="7" s="1"/>
  <c r="I861" i="7"/>
  <c r="J861" i="7" s="1"/>
  <c r="I390" i="7"/>
  <c r="J390" i="7" s="1"/>
  <c r="I463" i="7"/>
  <c r="J463" i="7" s="1"/>
  <c r="I292" i="7"/>
  <c r="J292" i="7" s="1"/>
  <c r="I324" i="7"/>
  <c r="J324" i="7" s="1"/>
  <c r="I320" i="7"/>
  <c r="J320" i="7" s="1"/>
  <c r="I404" i="7"/>
  <c r="J404" i="7" s="1"/>
  <c r="I322" i="7"/>
  <c r="J322" i="7" s="1"/>
  <c r="I352" i="7"/>
  <c r="J352" i="7" s="1"/>
  <c r="I309" i="7"/>
  <c r="J309" i="7" s="1"/>
  <c r="I282" i="7"/>
  <c r="J282" i="7" s="1"/>
  <c r="I329" i="7"/>
  <c r="J329" i="7" s="1"/>
  <c r="I500" i="7"/>
  <c r="J500" i="7" s="1"/>
  <c r="I498" i="7"/>
  <c r="J498" i="7" s="1"/>
  <c r="I262" i="7"/>
  <c r="J262" i="7" s="1"/>
  <c r="I389" i="7"/>
  <c r="J389" i="7" s="1"/>
  <c r="I289" i="7"/>
  <c r="J289" i="7" s="1"/>
  <c r="I875" i="7"/>
  <c r="J875" i="7" s="1"/>
  <c r="I308" i="7"/>
  <c r="J308" i="7" s="1"/>
  <c r="I285" i="7"/>
  <c r="J285" i="7" s="1"/>
  <c r="I366" i="7"/>
  <c r="J366" i="7" s="1"/>
  <c r="I466" i="7"/>
  <c r="J466" i="7" s="1"/>
  <c r="I859" i="7"/>
  <c r="J859" i="7" s="1"/>
  <c r="I385" i="7"/>
  <c r="J385" i="7" s="1"/>
  <c r="I290" i="7"/>
  <c r="J290" i="7" s="1"/>
  <c r="I462" i="7"/>
  <c r="J462" i="7" s="1"/>
  <c r="I506" i="7"/>
  <c r="J506" i="7" s="1"/>
  <c r="I301" i="7"/>
  <c r="J301" i="7" s="1"/>
  <c r="I378" i="7"/>
  <c r="J378" i="7" s="1"/>
  <c r="I312" i="7"/>
  <c r="J312" i="7" s="1"/>
  <c r="I501" i="7"/>
  <c r="J501" i="7" s="1"/>
  <c r="I103" i="7"/>
  <c r="J103" i="7" s="1"/>
  <c r="I360" i="7"/>
  <c r="J360" i="7" s="1"/>
  <c r="I359" i="7"/>
  <c r="J359" i="7" s="1"/>
  <c r="I351" i="7"/>
  <c r="J351" i="7" s="1"/>
  <c r="I64" i="7"/>
  <c r="J64" i="7" s="1"/>
  <c r="I505" i="7"/>
  <c r="J505" i="7" s="1"/>
  <c r="I873" i="7"/>
  <c r="J873" i="7" s="1"/>
  <c r="I452" i="7"/>
  <c r="J452" i="7" s="1"/>
  <c r="I468" i="7"/>
  <c r="J468" i="7" s="1"/>
  <c r="I503" i="7"/>
  <c r="J503" i="7" s="1"/>
  <c r="I102" i="7"/>
  <c r="J102" i="7" s="1"/>
  <c r="I397" i="7"/>
  <c r="J397" i="7" s="1"/>
  <c r="I451" i="7"/>
  <c r="J451" i="7" s="1"/>
  <c r="I872" i="7"/>
  <c r="J872" i="7" s="1"/>
  <c r="I384" i="7"/>
  <c r="J384" i="7" s="1"/>
  <c r="I365" i="7"/>
  <c r="J365" i="7" s="1"/>
  <c r="I433" i="7"/>
  <c r="J433" i="7" s="1"/>
  <c r="I317" i="7"/>
  <c r="J317" i="7" s="1"/>
  <c r="I291" i="7"/>
  <c r="J291" i="7" s="1"/>
  <c r="I467" i="7"/>
  <c r="J467" i="7" s="1"/>
  <c r="I413" i="7"/>
  <c r="J413" i="7" s="1"/>
  <c r="I383" i="7"/>
  <c r="J383" i="7" s="1"/>
  <c r="I453" i="7"/>
  <c r="J453" i="7" s="1"/>
  <c r="I318" i="7"/>
  <c r="J318" i="7" s="1"/>
  <c r="I396" i="7"/>
  <c r="J396" i="7" s="1"/>
  <c r="I293" i="7"/>
  <c r="J293" i="7" s="1"/>
  <c r="I377" i="7"/>
  <c r="J377" i="7" s="1"/>
  <c r="I337" i="7"/>
  <c r="J337" i="7" s="1"/>
  <c r="I350" i="7"/>
  <c r="J350" i="7" s="1"/>
  <c r="I328" i="7"/>
  <c r="J328" i="7" s="1"/>
  <c r="I340" i="7"/>
  <c r="J340" i="7" s="1"/>
  <c r="I281" i="7"/>
  <c r="J281" i="7" s="1"/>
  <c r="I370" i="7"/>
  <c r="J370" i="7" s="1"/>
  <c r="I868" i="7"/>
  <c r="J868" i="7" s="1"/>
  <c r="I417" i="7"/>
  <c r="J417" i="7" s="1"/>
  <c r="I855" i="7"/>
  <c r="J855" i="7" s="1"/>
  <c r="I349" i="7"/>
  <c r="J349" i="7" s="1"/>
  <c r="I869" i="7"/>
  <c r="J869" i="7" s="1"/>
  <c r="I395" i="7"/>
  <c r="J395" i="7" s="1"/>
  <c r="I461" i="7"/>
  <c r="J461" i="7" s="1"/>
  <c r="I314" i="7"/>
  <c r="J314" i="7" s="1"/>
  <c r="I42" i="7"/>
  <c r="J42" i="7" s="1"/>
  <c r="I321" i="7"/>
  <c r="J321" i="7" s="1"/>
  <c r="I369" i="7"/>
  <c r="J369" i="7" s="1"/>
  <c r="I313" i="7"/>
  <c r="J313" i="7" s="1"/>
  <c r="I254" i="7"/>
  <c r="J254" i="7" s="1"/>
  <c r="I499" i="7"/>
  <c r="J499" i="7" s="1"/>
  <c r="I333" i="7"/>
  <c r="J333" i="7" s="1"/>
  <c r="I394" i="7"/>
  <c r="J394" i="7" s="1"/>
  <c r="I382" i="7"/>
  <c r="J382" i="7" s="1"/>
  <c r="I871" i="7"/>
  <c r="J871" i="7" s="1"/>
  <c r="I326" i="7"/>
  <c r="J326" i="7" s="1"/>
  <c r="I465" i="7"/>
  <c r="J465" i="7" s="1"/>
  <c r="I497" i="7"/>
  <c r="J497" i="7" s="1"/>
  <c r="I426" i="7"/>
  <c r="J426" i="7" s="1"/>
  <c r="I319" i="7"/>
  <c r="J319" i="7" s="1"/>
  <c r="I492" i="7"/>
  <c r="J492" i="7" s="1"/>
  <c r="I424" i="7"/>
  <c r="J424" i="7" s="1"/>
  <c r="I343" i="7"/>
  <c r="J343" i="7" s="1"/>
  <c r="I311" i="7"/>
  <c r="J311" i="7" s="1"/>
  <c r="I50" i="7"/>
  <c r="J50" i="7" s="1"/>
  <c r="I283" i="7"/>
  <c r="J283" i="7" s="1"/>
  <c r="I256" i="7"/>
  <c r="J256" i="7" s="1"/>
  <c r="I271" i="7"/>
  <c r="J271" i="7" s="1"/>
  <c r="I407" i="7"/>
  <c r="J407" i="7" s="1"/>
  <c r="I416" i="7"/>
  <c r="J416" i="7" s="1"/>
  <c r="I341" i="7"/>
  <c r="J341" i="7" s="1"/>
  <c r="I335" i="7"/>
  <c r="J335" i="7" s="1"/>
  <c r="I315" i="7"/>
  <c r="J315" i="7" s="1"/>
  <c r="I345" i="7"/>
  <c r="J345" i="7" s="1"/>
  <c r="I259" i="7"/>
  <c r="J259" i="7" s="1"/>
  <c r="I346" i="7"/>
  <c r="J346" i="7" s="1"/>
  <c r="I858" i="7"/>
  <c r="J858" i="7" s="1"/>
  <c r="I411" i="7"/>
  <c r="J411" i="7" s="1"/>
  <c r="I511" i="7"/>
  <c r="J511" i="7" s="1"/>
  <c r="I408" i="7"/>
  <c r="J408" i="7" s="1"/>
  <c r="I338" i="7"/>
  <c r="J338" i="7" s="1"/>
  <c r="I854" i="7"/>
  <c r="J854" i="7" s="1"/>
  <c r="I429" i="7"/>
  <c r="J429" i="7" s="1"/>
  <c r="I507" i="7"/>
  <c r="J507" i="7" s="1"/>
  <c r="I258" i="7"/>
  <c r="J258" i="7" s="1"/>
  <c r="I279" i="7"/>
  <c r="J279" i="7" s="1"/>
  <c r="I862" i="7"/>
  <c r="J862" i="7" s="1"/>
  <c r="I428" i="7"/>
  <c r="J428" i="7" s="1"/>
  <c r="I402" i="7"/>
  <c r="J402" i="7" s="1"/>
  <c r="I316" i="7"/>
  <c r="J316" i="7" s="1"/>
  <c r="I342" i="7"/>
  <c r="J342" i="7" s="1"/>
  <c r="I275" i="7"/>
  <c r="J275" i="7" s="1"/>
  <c r="I284" i="7"/>
  <c r="J284" i="7" s="1"/>
  <c r="I330" i="7"/>
  <c r="J330" i="7" s="1"/>
  <c r="I255" i="7"/>
  <c r="J255" i="7" s="1"/>
  <c r="I99" i="7"/>
  <c r="J99" i="7" s="1"/>
  <c r="I422" i="7"/>
  <c r="J422" i="7" s="1"/>
  <c r="I381" i="7"/>
  <c r="J381" i="7" s="1"/>
  <c r="I257" i="7"/>
  <c r="J257" i="7" s="1"/>
  <c r="I867" i="7"/>
  <c r="J867" i="7" s="1"/>
  <c r="I415" i="7"/>
  <c r="J415" i="7" s="1"/>
  <c r="I101" i="7"/>
  <c r="J101" i="7" s="1"/>
  <c r="I450" i="7"/>
  <c r="J450" i="7" s="1"/>
  <c r="I264" i="7"/>
  <c r="J264" i="7" s="1"/>
  <c r="I303" i="7"/>
  <c r="J303" i="7" s="1"/>
  <c r="I469" i="7"/>
  <c r="J469" i="7" s="1"/>
  <c r="I299" i="7"/>
  <c r="J299" i="7" s="1"/>
  <c r="I323" i="7"/>
  <c r="J323" i="7" s="1"/>
  <c r="I373" i="7"/>
  <c r="J373" i="7" s="1"/>
  <c r="I260" i="7"/>
  <c r="J260" i="7" s="1"/>
  <c r="I508" i="7"/>
  <c r="J508" i="7" s="1"/>
  <c r="I423" i="7"/>
  <c r="J423" i="7" s="1"/>
  <c r="I310" i="7"/>
  <c r="J310" i="7" s="1"/>
  <c r="I272" i="7"/>
  <c r="J272" i="7" s="1"/>
  <c r="I464" i="7"/>
  <c r="J464" i="7" s="1"/>
  <c r="I269" i="7"/>
  <c r="J269" i="7" s="1"/>
  <c r="I336" i="7"/>
  <c r="J336" i="7" s="1"/>
  <c r="I267" i="7"/>
  <c r="J267" i="7" s="1"/>
  <c r="I348" i="7"/>
  <c r="J348" i="7" s="1"/>
  <c r="I372" i="7"/>
  <c r="J372" i="7" s="1"/>
  <c r="I298" i="7"/>
  <c r="J298" i="7" s="1"/>
  <c r="I331" i="7"/>
  <c r="J331" i="7" s="1"/>
  <c r="I371" i="7"/>
  <c r="J371" i="7" s="1"/>
  <c r="I280" i="7"/>
  <c r="J280" i="7" s="1"/>
  <c r="I490" i="7"/>
  <c r="J490" i="7" s="1"/>
  <c r="I268" i="7"/>
  <c r="J268" i="7" s="1"/>
  <c r="I510" i="7"/>
  <c r="J510" i="7" s="1"/>
  <c r="I853" i="7"/>
  <c r="J853" i="7" s="1"/>
  <c r="I347" i="7"/>
  <c r="J347" i="7" s="1"/>
  <c r="I304" i="7"/>
  <c r="J304" i="7" s="1"/>
  <c r="I438" i="7"/>
  <c r="J438" i="7" s="1"/>
  <c r="I427" i="7"/>
  <c r="J427" i="7" s="1"/>
  <c r="I368" i="7"/>
  <c r="J368" i="7" s="1"/>
  <c r="I296" i="7"/>
  <c r="J296" i="7" s="1"/>
  <c r="I380" i="7"/>
  <c r="J380" i="7" s="1"/>
  <c r="I860" i="7"/>
  <c r="J860" i="7" s="1"/>
  <c r="I100" i="7"/>
  <c r="J100" i="7" s="1"/>
  <c r="I446" i="7"/>
  <c r="J446" i="7" s="1"/>
  <c r="I302" i="7"/>
  <c r="J302" i="7" s="1"/>
  <c r="I288" i="7"/>
  <c r="J288" i="7" s="1"/>
  <c r="I443" i="7"/>
  <c r="J443" i="7" s="1"/>
  <c r="I266" i="7"/>
  <c r="J266" i="7" s="1"/>
  <c r="I334" i="7"/>
  <c r="J334" i="7" s="1"/>
  <c r="I403" i="7"/>
  <c r="J403" i="7" s="1"/>
  <c r="I297" i="7"/>
  <c r="J297" i="7" s="1"/>
  <c r="I344" i="7"/>
  <c r="J344" i="7" s="1"/>
  <c r="I410" i="7"/>
  <c r="J410" i="7" s="1"/>
  <c r="I278" i="7"/>
  <c r="J278" i="7" s="1"/>
  <c r="I274" i="7"/>
  <c r="J274" i="7" s="1"/>
  <c r="I277" i="7"/>
  <c r="J277" i="7" s="1"/>
  <c r="I273" i="7"/>
  <c r="J273" i="7" s="1"/>
  <c r="I432" i="7"/>
  <c r="J432" i="7" s="1"/>
  <c r="I358" i="7"/>
  <c r="J358" i="7" s="1"/>
  <c r="I357" i="7"/>
  <c r="J357" i="7" s="1"/>
  <c r="I295" i="7"/>
  <c r="J295" i="7" s="1"/>
  <c r="I436" i="7"/>
  <c r="J436" i="7" s="1"/>
  <c r="I356" i="7"/>
  <c r="J356" i="7" s="1"/>
  <c r="I355" i="7"/>
  <c r="J355" i="7" s="1"/>
  <c r="I367" i="7"/>
  <c r="J367" i="7" s="1"/>
  <c r="I270" i="7"/>
  <c r="J270" i="7" s="1"/>
  <c r="I265" i="7"/>
  <c r="J265" i="7" s="1"/>
  <c r="I487" i="7"/>
  <c r="J487" i="7" s="1"/>
  <c r="I442" i="7"/>
  <c r="J442" i="7" s="1"/>
  <c r="I376" i="7"/>
  <c r="J376" i="7" s="1"/>
  <c r="I33" i="7"/>
  <c r="J33" i="7" s="1"/>
  <c r="I305" i="7"/>
  <c r="J305" i="7" s="1"/>
  <c r="I375" i="7"/>
  <c r="J375" i="7" s="1"/>
  <c r="I98" i="7"/>
  <c r="J98" i="7" s="1"/>
  <c r="I75" i="7"/>
  <c r="J75" i="7" s="1"/>
  <c r="I435" i="7"/>
  <c r="J435" i="7" s="1"/>
  <c r="I374" i="7"/>
  <c r="J374" i="7" s="1"/>
  <c r="I73" i="7"/>
  <c r="J73" i="7" s="1"/>
  <c r="I482" i="7"/>
  <c r="J482" i="7" s="1"/>
  <c r="I488" i="7"/>
  <c r="J488" i="7" s="1"/>
  <c r="I440" i="7"/>
  <c r="J440" i="7" s="1"/>
  <c r="I393" i="7"/>
  <c r="J393" i="7" s="1"/>
  <c r="I449" i="7"/>
  <c r="J449" i="7" s="1"/>
  <c r="I483" i="7"/>
  <c r="J483" i="7" s="1"/>
  <c r="I486" i="7"/>
  <c r="J486" i="7" s="1"/>
  <c r="I7" i="7"/>
  <c r="J7" i="7" s="1"/>
  <c r="I485" i="7"/>
  <c r="J485" i="7" s="1"/>
  <c r="I484" i="7"/>
  <c r="J484" i="7" s="1"/>
  <c r="I44" i="7"/>
  <c r="J44" i="7" s="1"/>
  <c r="I34" i="7"/>
  <c r="J34" i="7" s="1"/>
  <c r="I857" i="7"/>
  <c r="J857" i="7" s="1"/>
  <c r="I494" i="7"/>
  <c r="J494" i="7" s="1"/>
  <c r="I74" i="7"/>
  <c r="J74" i="7" s="1"/>
  <c r="I459" i="7"/>
  <c r="J459" i="7" s="1"/>
  <c r="I448" i="7"/>
  <c r="J448" i="7" s="1"/>
  <c r="I852" i="7"/>
  <c r="J852" i="7" s="1"/>
  <c r="I851" i="7"/>
  <c r="J851" i="7" s="1"/>
  <c r="I850" i="7"/>
  <c r="J850" i="7" s="1"/>
  <c r="I481" i="7"/>
  <c r="J481" i="7" s="1"/>
  <c r="I849" i="7"/>
  <c r="J849" i="7" s="1"/>
  <c r="I517" i="7"/>
  <c r="J517" i="7" s="1"/>
  <c r="I455" i="7"/>
  <c r="J455" i="7" s="1"/>
  <c r="I848" i="7"/>
  <c r="J848" i="7" s="1"/>
  <c r="I276" i="7"/>
  <c r="J276" i="7" s="1"/>
  <c r="I8" i="7"/>
  <c r="J8" i="7" s="1"/>
  <c r="I14" i="7"/>
  <c r="J14" i="7" s="1"/>
  <c r="I13" i="7"/>
  <c r="J13" i="7" s="1"/>
  <c r="I15" i="7"/>
  <c r="J15" i="7" s="1"/>
  <c r="I12" i="7"/>
  <c r="J12" i="7" s="1"/>
  <c r="I414" i="7"/>
  <c r="J414" i="7" s="1"/>
  <c r="I63" i="7"/>
  <c r="J63" i="7" s="1"/>
  <c r="I495" i="7"/>
  <c r="J495" i="7" s="1"/>
  <c r="I67" i="7"/>
  <c r="J67" i="7" s="1"/>
  <c r="I846" i="7"/>
  <c r="J846" i="7" s="1"/>
  <c r="I480" i="7"/>
  <c r="J480" i="7" s="1"/>
  <c r="I479" i="7"/>
  <c r="J479" i="7" s="1"/>
  <c r="I71" i="7"/>
  <c r="J71" i="7" s="1"/>
  <c r="I9" i="7"/>
  <c r="J9" i="7" s="1"/>
  <c r="I287" i="7"/>
  <c r="J287" i="7" s="1"/>
  <c r="I457" i="7"/>
  <c r="J457" i="7" s="1"/>
  <c r="I70" i="7"/>
  <c r="J70" i="7" s="1"/>
  <c r="I845" i="7"/>
  <c r="J845" i="7" s="1"/>
  <c r="I844" i="7"/>
  <c r="J844" i="7" s="1"/>
  <c r="I515" i="7"/>
  <c r="J515" i="7" s="1"/>
  <c r="I513" i="7"/>
  <c r="J513" i="7" s="1"/>
  <c r="I456" i="7"/>
  <c r="J456" i="7" s="1"/>
  <c r="I843" i="7"/>
  <c r="J843" i="7" s="1"/>
  <c r="I49" i="7"/>
  <c r="J49" i="7" s="1"/>
  <c r="I460" i="7"/>
  <c r="J460" i="7" s="1"/>
  <c r="I46" i="7"/>
  <c r="J46" i="7" s="1"/>
  <c r="I840" i="7"/>
  <c r="J840" i="7" s="1"/>
  <c r="I458" i="7"/>
  <c r="J458" i="7" s="1"/>
  <c r="I35" i="7"/>
  <c r="J35" i="7" s="1"/>
  <c r="I6" i="7"/>
  <c r="J6" i="7" s="1"/>
  <c r="I496" i="7"/>
  <c r="J496" i="7" s="1"/>
  <c r="I286" i="7"/>
  <c r="J286" i="7" s="1"/>
  <c r="I174" i="7"/>
  <c r="J174" i="7" s="1"/>
  <c r="I476" i="7"/>
  <c r="J476" i="7" s="1"/>
  <c r="I475" i="7"/>
  <c r="J475" i="7" s="1"/>
  <c r="I399" i="7"/>
  <c r="J399" i="7" s="1"/>
  <c r="I398" i="7"/>
  <c r="J398" i="7" s="1"/>
  <c r="I37" i="7"/>
  <c r="J37" i="7" s="1"/>
  <c r="I173" i="7"/>
  <c r="J173" i="7" s="1"/>
  <c r="I72" i="7"/>
  <c r="J72" i="7" s="1"/>
  <c r="I172" i="7"/>
  <c r="J172" i="7" s="1"/>
  <c r="I36" i="7"/>
  <c r="J36" i="7" s="1"/>
  <c r="I478" i="7"/>
  <c r="J478" i="7" s="1"/>
  <c r="I43" i="7"/>
  <c r="J43" i="7" s="1"/>
  <c r="I32" i="7"/>
  <c r="J32" i="7" s="1"/>
  <c r="I45" i="7"/>
  <c r="J45" i="7" s="1"/>
  <c r="I454" i="7"/>
  <c r="J454" i="7" s="1"/>
  <c r="I441" i="7"/>
  <c r="J441" i="7" s="1"/>
  <c r="I151" i="7"/>
  <c r="J151" i="7" s="1"/>
  <c r="I150" i="7"/>
  <c r="J150" i="7" s="1"/>
  <c r="I477" i="7"/>
  <c r="J477" i="7" s="1"/>
  <c r="I149" i="7"/>
  <c r="J149" i="7" s="1"/>
  <c r="I493" i="7"/>
  <c r="J493" i="7" s="1"/>
  <c r="I491" i="7"/>
  <c r="J491" i="7" s="1"/>
  <c r="I148" i="7"/>
  <c r="J148" i="7" s="1"/>
  <c r="I145" i="7"/>
  <c r="J145" i="7" s="1"/>
  <c r="I144" i="7"/>
  <c r="J144" i="7" s="1"/>
  <c r="I473" i="7"/>
  <c r="J473" i="7" s="1"/>
  <c r="I39" i="7"/>
  <c r="J39" i="7" s="1"/>
  <c r="I516" i="7"/>
  <c r="J516" i="7" s="1"/>
  <c r="I143" i="7"/>
  <c r="J143" i="7" s="1"/>
  <c r="I142" i="7"/>
  <c r="J142" i="7" s="1"/>
  <c r="I141" i="7"/>
  <c r="J141" i="7" s="1"/>
  <c r="I140" i="7"/>
  <c r="J140" i="7" s="1"/>
  <c r="I138" i="7"/>
  <c r="J138" i="7" s="1"/>
  <c r="I629" i="7"/>
  <c r="J629" i="7" s="1"/>
  <c r="I628" i="7"/>
  <c r="J628" i="7" s="1"/>
  <c r="I627" i="7"/>
  <c r="J627" i="7" s="1"/>
  <c r="I626" i="7"/>
  <c r="J626" i="7" s="1"/>
  <c r="I66" i="7"/>
  <c r="J66" i="7" s="1"/>
  <c r="I474" i="7"/>
  <c r="J474" i="7" s="1"/>
  <c r="I69" i="7"/>
  <c r="J69" i="7" s="1"/>
  <c r="I621" i="7"/>
  <c r="J621" i="7" s="1"/>
  <c r="I68" i="7"/>
  <c r="J68" i="7" s="1"/>
  <c r="I48" i="7"/>
  <c r="J48" i="7" s="1"/>
  <c r="I620" i="7"/>
  <c r="J620" i="7" s="1"/>
  <c r="I619" i="7"/>
  <c r="J619" i="7" s="1"/>
  <c r="I618" i="7"/>
  <c r="J618" i="7" s="1"/>
  <c r="I40" i="7"/>
  <c r="J40" i="7" s="1"/>
  <c r="I514" i="7"/>
  <c r="J514" i="7" s="1"/>
  <c r="I512" i="7"/>
  <c r="J512" i="7" s="1"/>
  <c r="I617" i="7"/>
  <c r="J617" i="7" s="1"/>
  <c r="I616" i="7"/>
  <c r="J616" i="7" s="1"/>
  <c r="I615" i="7"/>
  <c r="J615" i="7" s="1"/>
  <c r="I41" i="7"/>
  <c r="J41" i="7" s="1"/>
  <c r="I614" i="7"/>
  <c r="J614" i="7" s="1"/>
  <c r="I613" i="7"/>
  <c r="J613" i="7" s="1"/>
  <c r="I612" i="7"/>
  <c r="J612" i="7" s="1"/>
  <c r="I610" i="7"/>
  <c r="J610" i="7" s="1"/>
  <c r="I609" i="7"/>
  <c r="J609" i="7" s="1"/>
  <c r="I606" i="7"/>
  <c r="J606" i="7" s="1"/>
  <c r="I472" i="7"/>
  <c r="J472" i="7" s="1"/>
  <c r="I471" i="7"/>
  <c r="J471" i="7" s="1"/>
  <c r="I10" i="7"/>
  <c r="J10" i="7" s="1"/>
  <c r="I605" i="7"/>
  <c r="J605" i="7" s="1"/>
  <c r="I604" i="7"/>
  <c r="J604" i="7" s="1"/>
  <c r="I603" i="7"/>
  <c r="J603" i="7" s="1"/>
  <c r="I602" i="7"/>
  <c r="J602" i="7" s="1"/>
  <c r="I11" i="7"/>
  <c r="J11" i="7" s="1"/>
  <c r="I601" i="7"/>
  <c r="J601" i="7" s="1"/>
  <c r="I600" i="7"/>
  <c r="J600" i="7" s="1"/>
  <c r="I599" i="7"/>
  <c r="J599" i="7" s="1"/>
  <c r="I22" i="7"/>
  <c r="J22" i="7" s="1"/>
  <c r="I598" i="7"/>
  <c r="J598" i="7" s="1"/>
  <c r="I597" i="7"/>
  <c r="J597" i="7" s="1"/>
  <c r="I596" i="7"/>
  <c r="J596" i="7" s="1"/>
  <c r="I595" i="7"/>
  <c r="J595" i="7" s="1"/>
  <c r="I594" i="7"/>
  <c r="J594" i="7" s="1"/>
  <c r="I593" i="7"/>
  <c r="J593" i="7" s="1"/>
  <c r="I592" i="7"/>
  <c r="J592" i="7" s="1"/>
  <c r="I591" i="7"/>
  <c r="J591" i="7" s="1"/>
  <c r="I590" i="7"/>
  <c r="J590" i="7" s="1"/>
  <c r="I589" i="7"/>
  <c r="J589" i="7" s="1"/>
  <c r="I588" i="7"/>
  <c r="J588" i="7" s="1"/>
  <c r="I587" i="7"/>
  <c r="J587" i="7" s="1"/>
  <c r="I586" i="7"/>
  <c r="J586" i="7" s="1"/>
  <c r="I585" i="7"/>
  <c r="J585" i="7" s="1"/>
  <c r="I584" i="7"/>
  <c r="J584" i="7" s="1"/>
  <c r="I583" i="7"/>
  <c r="J583" i="7" s="1"/>
  <c r="I582" i="7"/>
  <c r="J582" i="7" s="1"/>
  <c r="I581" i="7"/>
  <c r="J581" i="7" s="1"/>
  <c r="I580" i="7"/>
  <c r="J580" i="7" s="1"/>
  <c r="I579" i="7"/>
  <c r="J579" i="7" s="1"/>
  <c r="I578" i="7"/>
  <c r="J578" i="7" s="1"/>
  <c r="I577" i="7"/>
  <c r="J577" i="7" s="1"/>
  <c r="I576" i="7"/>
  <c r="J576" i="7" s="1"/>
  <c r="I575" i="7"/>
  <c r="J575" i="7" s="1"/>
  <c r="I574" i="7"/>
  <c r="J574" i="7" s="1"/>
  <c r="I573" i="7"/>
  <c r="J573" i="7" s="1"/>
  <c r="I572" i="7"/>
  <c r="J572" i="7" s="1"/>
  <c r="I571" i="7"/>
  <c r="J571" i="7" s="1"/>
  <c r="I847" i="7"/>
  <c r="J847" i="7" s="1"/>
  <c r="I570" i="7"/>
  <c r="J570" i="7" s="1"/>
  <c r="I569" i="7"/>
  <c r="J569" i="7" s="1"/>
  <c r="I76" i="7"/>
  <c r="J76" i="7" s="1"/>
  <c r="I568" i="7"/>
  <c r="J568" i="7" s="1"/>
  <c r="I567" i="7"/>
  <c r="J567" i="7" s="1"/>
  <c r="I566" i="7"/>
  <c r="J566" i="7" s="1"/>
  <c r="I565" i="7"/>
  <c r="J565" i="7" s="1"/>
  <c r="I564" i="7"/>
  <c r="J564" i="7" s="1"/>
  <c r="I563" i="7"/>
  <c r="J563" i="7" s="1"/>
  <c r="I562" i="7"/>
  <c r="J562" i="7" s="1"/>
  <c r="I561" i="7"/>
  <c r="J561" i="7" s="1"/>
  <c r="I560" i="7"/>
  <c r="J560" i="7" s="1"/>
  <c r="I559" i="7"/>
  <c r="J559" i="7" s="1"/>
  <c r="I558" i="7"/>
  <c r="J558" i="7" s="1"/>
  <c r="I557" i="7"/>
  <c r="J557" i="7" s="1"/>
  <c r="I556" i="7"/>
  <c r="J556" i="7" s="1"/>
  <c r="I555" i="7"/>
  <c r="J555" i="7" s="1"/>
  <c r="I554" i="7"/>
  <c r="J554" i="7" s="1"/>
  <c r="I553" i="7"/>
  <c r="J553" i="7" s="1"/>
  <c r="I552" i="7"/>
  <c r="J552" i="7" s="1"/>
  <c r="I551" i="7"/>
  <c r="J551" i="7" s="1"/>
  <c r="I550" i="7"/>
  <c r="J550" i="7" s="1"/>
  <c r="I842" i="7"/>
  <c r="J842" i="7" s="1"/>
  <c r="I78" i="7"/>
  <c r="J78" i="7" s="1"/>
  <c r="I549" i="7"/>
  <c r="J549" i="7" s="1"/>
  <c r="I171" i="7"/>
  <c r="J171" i="7" s="1"/>
  <c r="I548" i="7"/>
  <c r="J548" i="7" s="1"/>
  <c r="I547" i="7"/>
  <c r="J547" i="7" s="1"/>
  <c r="I80" i="7"/>
  <c r="J80" i="7" s="1"/>
  <c r="I546" i="7"/>
  <c r="J546" i="7" s="1"/>
  <c r="I79" i="7"/>
  <c r="J79" i="7" s="1"/>
  <c r="I545" i="7"/>
  <c r="J545" i="7" s="1"/>
  <c r="I544" i="7"/>
  <c r="J544" i="7" s="1"/>
  <c r="I543" i="7"/>
  <c r="J543" i="7" s="1"/>
  <c r="I841" i="7"/>
  <c r="J841" i="7" s="1"/>
  <c r="I542" i="7"/>
  <c r="J542" i="7" s="1"/>
  <c r="I541" i="7"/>
  <c r="J541" i="7" s="1"/>
  <c r="I540" i="7"/>
  <c r="J540" i="7" s="1"/>
  <c r="I539" i="7"/>
  <c r="J539" i="7" s="1"/>
  <c r="I538" i="7"/>
  <c r="J538" i="7" s="1"/>
  <c r="I537" i="7"/>
  <c r="J537" i="7" s="1"/>
  <c r="I536" i="7"/>
  <c r="J536" i="7" s="1"/>
  <c r="I522" i="7"/>
  <c r="J522" i="7" s="1"/>
  <c r="I521" i="7"/>
  <c r="J521" i="7" s="1"/>
  <c r="I520" i="7"/>
  <c r="J520" i="7" s="1"/>
  <c r="I535" i="7"/>
  <c r="J535" i="7" s="1"/>
  <c r="I534" i="7"/>
  <c r="J534" i="7" s="1"/>
  <c r="I519" i="7"/>
  <c r="J519" i="7" s="1"/>
  <c r="I518" i="7"/>
  <c r="J518" i="7" s="1"/>
  <c r="I116" i="7"/>
  <c r="J116" i="7" s="1"/>
  <c r="I136" i="7"/>
  <c r="J136" i="7" s="1"/>
  <c r="I77" i="7"/>
  <c r="J77" i="7" s="1"/>
  <c r="I132" i="7"/>
  <c r="J132" i="7" s="1"/>
  <c r="I775" i="7"/>
  <c r="J775" i="7" s="1"/>
  <c r="I23" i="7"/>
  <c r="J23" i="7" s="1"/>
  <c r="I240" i="7"/>
  <c r="J240" i="7" s="1"/>
  <c r="I238" i="7"/>
  <c r="J238" i="7" s="1"/>
  <c r="I773" i="7"/>
  <c r="J773" i="7" s="1"/>
  <c r="I767" i="7"/>
  <c r="J767" i="7" s="1"/>
  <c r="I766" i="7"/>
  <c r="J766" i="7" s="1"/>
  <c r="I756" i="7"/>
  <c r="J756" i="7" s="1"/>
  <c r="I758" i="7"/>
  <c r="J758" i="7" s="1"/>
  <c r="I744" i="7"/>
  <c r="J744" i="7" s="1"/>
  <c r="I809" i="7"/>
  <c r="J809" i="7" s="1"/>
  <c r="I702" i="7"/>
  <c r="J702" i="7" s="1"/>
  <c r="I701" i="7"/>
  <c r="J701" i="7" s="1"/>
  <c r="I695" i="7"/>
  <c r="J695" i="7" s="1"/>
  <c r="I697" i="7"/>
  <c r="J697" i="7" s="1"/>
  <c r="I683" i="7"/>
  <c r="J683" i="7" s="1"/>
  <c r="I787" i="7"/>
  <c r="J787" i="7" s="1"/>
  <c r="I765" i="7"/>
  <c r="J765" i="7" s="1"/>
  <c r="I757" i="7"/>
  <c r="J757" i="7" s="1"/>
  <c r="I696" i="7"/>
  <c r="J696" i="7" s="1"/>
  <c r="I133" i="7"/>
  <c r="J133" i="7" s="1"/>
  <c r="I237" i="7"/>
  <c r="J237" i="7" s="1"/>
  <c r="I169" i="7"/>
  <c r="J169" i="7" s="1"/>
  <c r="I54" i="7"/>
  <c r="J54" i="7" s="1"/>
  <c r="I168" i="7"/>
  <c r="J168" i="7" s="1"/>
  <c r="I105" i="7"/>
  <c r="J105" i="7" s="1"/>
  <c r="I611" i="7"/>
  <c r="J611" i="7" s="1"/>
  <c r="I104" i="7"/>
  <c r="J104" i="7" s="1"/>
  <c r="I167" i="7"/>
  <c r="J167" i="7" s="1"/>
  <c r="I170" i="7"/>
  <c r="J170" i="7" s="1"/>
  <c r="I236" i="7"/>
  <c r="J236" i="7" s="1"/>
  <c r="I106" i="7"/>
  <c r="J106" i="7" s="1"/>
  <c r="I235" i="7"/>
  <c r="J235" i="7" s="1"/>
  <c r="I234" i="7"/>
  <c r="J234" i="7" s="1"/>
  <c r="I55" i="7"/>
  <c r="J55" i="7" s="1"/>
  <c r="I137" i="7"/>
  <c r="J137" i="7" s="1"/>
  <c r="I772" i="7"/>
  <c r="J772" i="7" s="1"/>
  <c r="I233" i="7"/>
  <c r="J233" i="7" s="1"/>
  <c r="I166" i="7"/>
  <c r="J166" i="7" s="1"/>
  <c r="I165" i="7"/>
  <c r="J165" i="7" s="1"/>
  <c r="I130" i="7"/>
  <c r="J130" i="7" s="1"/>
  <c r="I129" i="7"/>
  <c r="J129" i="7" s="1"/>
  <c r="I232" i="7"/>
  <c r="J232" i="7" s="1"/>
  <c r="I231" i="7"/>
  <c r="J231" i="7" s="1"/>
  <c r="I230" i="7"/>
  <c r="J230" i="7" s="1"/>
  <c r="I52" i="7"/>
  <c r="J52" i="7" s="1"/>
  <c r="I229" i="7"/>
  <c r="J229" i="7" s="1"/>
  <c r="I624" i="7"/>
  <c r="J624" i="7" s="1"/>
  <c r="I228" i="7"/>
  <c r="J228" i="7" s="1"/>
  <c r="I227" i="7"/>
  <c r="J227" i="7" s="1"/>
  <c r="I625" i="7"/>
  <c r="J625" i="7" s="1"/>
  <c r="I226" i="7"/>
  <c r="J226" i="7" s="1"/>
  <c r="I225" i="7"/>
  <c r="J225" i="7" s="1"/>
  <c r="I118" i="7"/>
  <c r="J118" i="7" s="1"/>
  <c r="I224" i="7"/>
  <c r="J224" i="7" s="1"/>
  <c r="I633" i="7"/>
  <c r="J633" i="7" s="1"/>
  <c r="I223" i="7"/>
  <c r="J223" i="7" s="1"/>
  <c r="I222" i="7"/>
  <c r="J222" i="7" s="1"/>
  <c r="I221" i="7"/>
  <c r="J221" i="7" s="1"/>
  <c r="I220" i="7"/>
  <c r="J220" i="7" s="1"/>
  <c r="I219" i="7"/>
  <c r="J219" i="7" s="1"/>
  <c r="I218" i="7"/>
  <c r="J218" i="7" s="1"/>
  <c r="I217" i="7"/>
  <c r="J217" i="7" s="1"/>
  <c r="I216" i="7"/>
  <c r="J216" i="7" s="1"/>
  <c r="I215" i="7"/>
  <c r="J215" i="7" s="1"/>
  <c r="I213" i="7"/>
  <c r="J213" i="7" s="1"/>
  <c r="I211" i="7"/>
  <c r="J211" i="7" s="1"/>
  <c r="I206" i="7"/>
  <c r="J206" i="7" s="1"/>
  <c r="I214" i="7"/>
  <c r="J214" i="7" s="1"/>
  <c r="I212" i="7"/>
  <c r="J212" i="7" s="1"/>
  <c r="I210" i="7"/>
  <c r="J210" i="7" s="1"/>
  <c r="I209" i="7"/>
  <c r="J209" i="7" s="1"/>
  <c r="I208" i="7"/>
  <c r="J208" i="7" s="1"/>
  <c r="I207" i="7"/>
  <c r="J207" i="7" s="1"/>
  <c r="I205" i="7"/>
  <c r="J205" i="7" s="1"/>
  <c r="I204" i="7"/>
  <c r="J204" i="7" s="1"/>
  <c r="I128" i="7"/>
  <c r="J128" i="7" s="1"/>
  <c r="I203" i="7"/>
  <c r="J203" i="7" s="1"/>
  <c r="I202" i="7"/>
  <c r="J202" i="7" s="1"/>
  <c r="I201" i="7"/>
  <c r="J201" i="7" s="1"/>
  <c r="I135" i="7"/>
  <c r="J135" i="7" s="1"/>
  <c r="I200" i="7"/>
  <c r="J200" i="7" s="1"/>
  <c r="I199" i="7"/>
  <c r="J199" i="7" s="1"/>
  <c r="I198" i="7"/>
  <c r="J198" i="7" s="1"/>
  <c r="I637" i="7"/>
  <c r="J637" i="7" s="1"/>
  <c r="I197" i="7"/>
  <c r="J197" i="7" s="1"/>
  <c r="I243" i="7"/>
  <c r="J243" i="7" s="1"/>
  <c r="I196" i="7"/>
  <c r="J196" i="7" s="1"/>
  <c r="I195" i="7"/>
  <c r="J195" i="7" s="1"/>
  <c r="I194" i="7"/>
  <c r="J194" i="7" s="1"/>
  <c r="I134" i="7"/>
  <c r="J134" i="7" s="1"/>
  <c r="I53" i="7"/>
  <c r="J53" i="7" s="1"/>
  <c r="I193" i="7"/>
  <c r="J193" i="7" s="1"/>
  <c r="I192" i="7"/>
  <c r="J192" i="7" s="1"/>
  <c r="I191" i="7"/>
  <c r="J191" i="7" s="1"/>
  <c r="I190" i="7"/>
  <c r="J190" i="7" s="1"/>
  <c r="I117" i="7"/>
  <c r="J117" i="7" s="1"/>
  <c r="I189" i="7"/>
  <c r="J189" i="7" s="1"/>
  <c r="I188" i="7"/>
  <c r="J188" i="7" s="1"/>
  <c r="I607" i="7"/>
  <c r="J607" i="7" s="1"/>
  <c r="I187" i="7"/>
  <c r="J187" i="7" s="1"/>
  <c r="I186" i="7"/>
  <c r="J186" i="7" s="1"/>
  <c r="I185" i="7"/>
  <c r="J185" i="7" s="1"/>
  <c r="I184" i="7"/>
  <c r="J184" i="7" s="1"/>
  <c r="I183" i="7"/>
  <c r="J183" i="7" s="1"/>
  <c r="I182" i="7"/>
  <c r="J182" i="7" s="1"/>
  <c r="I164" i="7"/>
  <c r="J164" i="7" s="1"/>
  <c r="I635" i="7"/>
  <c r="J635" i="7" s="1"/>
  <c r="I181" i="7"/>
  <c r="J181" i="7" s="1"/>
  <c r="I180" i="7"/>
  <c r="J180" i="7" s="1"/>
  <c r="I179" i="7"/>
  <c r="J179" i="7" s="1"/>
  <c r="I178" i="7"/>
  <c r="J178" i="7" s="1"/>
  <c r="I25" i="7"/>
  <c r="J25" i="7" s="1"/>
  <c r="I177" i="7"/>
  <c r="J177" i="7" s="1"/>
  <c r="I176" i="7"/>
  <c r="J176" i="7" s="1"/>
  <c r="I163" i="7"/>
  <c r="J163" i="7" s="1"/>
  <c r="I175" i="7"/>
  <c r="J175" i="7" s="1"/>
  <c r="I622" i="7"/>
  <c r="J622" i="7" s="1"/>
  <c r="I162" i="7"/>
  <c r="J162" i="7" s="1"/>
  <c r="I785" i="7"/>
  <c r="J785" i="7" s="1"/>
  <c r="I784" i="7"/>
  <c r="J784" i="7" s="1"/>
  <c r="I783" i="7"/>
  <c r="J783" i="7" s="1"/>
  <c r="I782" i="7"/>
  <c r="J782" i="7" s="1"/>
  <c r="I781" i="7"/>
  <c r="J781" i="7" s="1"/>
  <c r="I780" i="7"/>
  <c r="J780" i="7" s="1"/>
  <c r="I779" i="7"/>
  <c r="J779" i="7" s="1"/>
  <c r="I778" i="7"/>
  <c r="J778" i="7" s="1"/>
  <c r="I777" i="7"/>
  <c r="J777" i="7" s="1"/>
  <c r="I776" i="7"/>
  <c r="J776" i="7" s="1"/>
  <c r="I797" i="7"/>
  <c r="J797" i="7" s="1"/>
  <c r="I796" i="7"/>
  <c r="J796" i="7" s="1"/>
  <c r="I795" i="7"/>
  <c r="J795" i="7" s="1"/>
  <c r="I794" i="7"/>
  <c r="J794" i="7" s="1"/>
  <c r="I793" i="7"/>
  <c r="J793" i="7" s="1"/>
  <c r="I792" i="7"/>
  <c r="J792" i="7" s="1"/>
  <c r="I791" i="7"/>
  <c r="J791" i="7" s="1"/>
  <c r="I790" i="7"/>
  <c r="J790" i="7" s="1"/>
  <c r="I789" i="7"/>
  <c r="J789" i="7" s="1"/>
  <c r="I788" i="7"/>
  <c r="J788" i="7" s="1"/>
  <c r="I807" i="7"/>
  <c r="J807" i="7" s="1"/>
  <c r="I806" i="7"/>
  <c r="J806" i="7" s="1"/>
  <c r="I805" i="7"/>
  <c r="J805" i="7" s="1"/>
  <c r="I804" i="7"/>
  <c r="J804" i="7" s="1"/>
  <c r="I803" i="7"/>
  <c r="J803" i="7" s="1"/>
  <c r="I802" i="7"/>
  <c r="J802" i="7" s="1"/>
  <c r="I801" i="7"/>
  <c r="J801" i="7" s="1"/>
  <c r="I800" i="7"/>
  <c r="J800" i="7" s="1"/>
  <c r="I799" i="7"/>
  <c r="J799" i="7" s="1"/>
  <c r="I798" i="7"/>
  <c r="J798" i="7" s="1"/>
  <c r="I839" i="7"/>
  <c r="J839" i="7" s="1"/>
  <c r="I838" i="7"/>
  <c r="J838" i="7" s="1"/>
  <c r="I837" i="7"/>
  <c r="J837" i="7" s="1"/>
  <c r="I836" i="7"/>
  <c r="J836" i="7" s="1"/>
  <c r="I835" i="7"/>
  <c r="J835" i="7" s="1"/>
  <c r="I834" i="7"/>
  <c r="J834" i="7" s="1"/>
  <c r="I833" i="7"/>
  <c r="J833" i="7" s="1"/>
  <c r="I832" i="7"/>
  <c r="J832" i="7" s="1"/>
  <c r="I831" i="7"/>
  <c r="J831" i="7" s="1"/>
  <c r="I830" i="7"/>
  <c r="J830" i="7" s="1"/>
  <c r="I819" i="7"/>
  <c r="J819" i="7" s="1"/>
  <c r="I818" i="7"/>
  <c r="J818" i="7" s="1"/>
  <c r="I817" i="7"/>
  <c r="J817" i="7" s="1"/>
  <c r="I816" i="7"/>
  <c r="J816" i="7" s="1"/>
  <c r="I815" i="7"/>
  <c r="J815" i="7" s="1"/>
  <c r="I814" i="7"/>
  <c r="J814" i="7" s="1"/>
  <c r="I813" i="7"/>
  <c r="J813" i="7" s="1"/>
  <c r="I812" i="7"/>
  <c r="J812" i="7" s="1"/>
  <c r="I811" i="7"/>
  <c r="J811" i="7" s="1"/>
  <c r="I810" i="7"/>
  <c r="J810" i="7" s="1"/>
  <c r="I829" i="7"/>
  <c r="J829" i="7" s="1"/>
  <c r="I828" i="7"/>
  <c r="J828" i="7" s="1"/>
  <c r="I827" i="7"/>
  <c r="J827" i="7" s="1"/>
  <c r="I826" i="7"/>
  <c r="J826" i="7" s="1"/>
  <c r="I825" i="7"/>
  <c r="J825" i="7" s="1"/>
  <c r="I824" i="7"/>
  <c r="J824" i="7" s="1"/>
  <c r="I823" i="7"/>
  <c r="J823" i="7" s="1"/>
  <c r="I822" i="7"/>
  <c r="J822" i="7" s="1"/>
  <c r="I821" i="7"/>
  <c r="J821" i="7" s="1"/>
  <c r="I820" i="7"/>
  <c r="J820" i="7" s="1"/>
  <c r="I774" i="7"/>
  <c r="J774" i="7" s="1"/>
  <c r="I630" i="7"/>
  <c r="J630" i="7" s="1"/>
  <c r="I771" i="7"/>
  <c r="J771" i="7" s="1"/>
  <c r="I241" i="7"/>
  <c r="J241" i="7" s="1"/>
  <c r="I770" i="7"/>
  <c r="J770" i="7" s="1"/>
  <c r="I769" i="7"/>
  <c r="J769" i="7" s="1"/>
  <c r="I632" i="7"/>
  <c r="J632" i="7" s="1"/>
  <c r="I631" i="7"/>
  <c r="J631" i="7" s="1"/>
  <c r="I768" i="7"/>
  <c r="J768" i="7" s="1"/>
  <c r="I764" i="7"/>
  <c r="J764" i="7" s="1"/>
  <c r="I608" i="7"/>
  <c r="J608" i="7" s="1"/>
  <c r="I634" i="7"/>
  <c r="J634" i="7" s="1"/>
  <c r="I121" i="7"/>
  <c r="J121" i="7" s="1"/>
  <c r="I763" i="7"/>
  <c r="J763" i="7" s="1"/>
  <c r="I762" i="7"/>
  <c r="J762" i="7" s="1"/>
  <c r="I761" i="7"/>
  <c r="J761" i="7" s="1"/>
  <c r="I636" i="7"/>
  <c r="J636" i="7" s="1"/>
  <c r="I760" i="7"/>
  <c r="J760" i="7" s="1"/>
  <c r="I759" i="7"/>
  <c r="J759" i="7" s="1"/>
  <c r="I754" i="7"/>
  <c r="J754" i="7" s="1"/>
  <c r="I753" i="7"/>
  <c r="J753" i="7" s="1"/>
  <c r="I752" i="7"/>
  <c r="J752" i="7" s="1"/>
  <c r="I751" i="7"/>
  <c r="J751" i="7" s="1"/>
  <c r="I750" i="7"/>
  <c r="J750" i="7" s="1"/>
  <c r="I748" i="7"/>
  <c r="J748" i="7" s="1"/>
  <c r="I749" i="7"/>
  <c r="J749" i="7" s="1"/>
  <c r="I747" i="7"/>
  <c r="J747" i="7" s="1"/>
  <c r="I746" i="7"/>
  <c r="J746" i="7" s="1"/>
  <c r="I56" i="7"/>
  <c r="J56" i="7" s="1"/>
  <c r="I745" i="7"/>
  <c r="J745" i="7" s="1"/>
  <c r="I242" i="7"/>
  <c r="J242" i="7" s="1"/>
  <c r="I742" i="7"/>
  <c r="J742" i="7" s="1"/>
  <c r="I741" i="7"/>
  <c r="J741" i="7" s="1"/>
  <c r="I740" i="7"/>
  <c r="J740" i="7" s="1"/>
  <c r="I739" i="7"/>
  <c r="J739" i="7" s="1"/>
  <c r="I738" i="7"/>
  <c r="J738" i="7" s="1"/>
  <c r="I736" i="7"/>
  <c r="J736" i="7" s="1"/>
  <c r="I523" i="7"/>
  <c r="J523" i="7" s="1"/>
  <c r="I737" i="7"/>
  <c r="J737" i="7" s="1"/>
  <c r="I735" i="7"/>
  <c r="J735" i="7" s="1"/>
  <c r="I734" i="7"/>
  <c r="J734" i="7" s="1"/>
  <c r="I733" i="7"/>
  <c r="J733" i="7" s="1"/>
  <c r="I731" i="7"/>
  <c r="J731" i="7" s="1"/>
  <c r="I730" i="7"/>
  <c r="J730" i="7" s="1"/>
  <c r="I729" i="7"/>
  <c r="J729" i="7" s="1"/>
  <c r="I728" i="7"/>
  <c r="J728" i="7" s="1"/>
  <c r="I727" i="7"/>
  <c r="J727" i="7" s="1"/>
  <c r="I726" i="7"/>
  <c r="J726" i="7" s="1"/>
  <c r="I725" i="7"/>
  <c r="J725" i="7" s="1"/>
  <c r="I161" i="7"/>
  <c r="J161" i="7" s="1"/>
  <c r="I724" i="7"/>
  <c r="J724" i="7" s="1"/>
  <c r="I723" i="7"/>
  <c r="J723" i="7" s="1"/>
  <c r="I722" i="7"/>
  <c r="J722" i="7" s="1"/>
  <c r="I721" i="7"/>
  <c r="J721" i="7" s="1"/>
  <c r="I720" i="7"/>
  <c r="J720" i="7" s="1"/>
  <c r="I719" i="7"/>
  <c r="J719" i="7" s="1"/>
  <c r="I717" i="7"/>
  <c r="J717" i="7" s="1"/>
  <c r="I718" i="7"/>
  <c r="J718" i="7" s="1"/>
  <c r="I716" i="7"/>
  <c r="J716" i="7" s="1"/>
  <c r="I715" i="7"/>
  <c r="J715" i="7" s="1"/>
  <c r="I714" i="7"/>
  <c r="J714" i="7" s="1"/>
  <c r="I713" i="7"/>
  <c r="J713" i="7" s="1"/>
  <c r="I712" i="7"/>
  <c r="J712" i="7" s="1"/>
  <c r="I711" i="7"/>
  <c r="J711" i="7" s="1"/>
  <c r="I710" i="7"/>
  <c r="J710" i="7" s="1"/>
  <c r="I709" i="7"/>
  <c r="J709" i="7" s="1"/>
  <c r="I708" i="7"/>
  <c r="J708" i="7" s="1"/>
  <c r="I707" i="7"/>
  <c r="J707" i="7" s="1"/>
  <c r="I706" i="7"/>
  <c r="J706" i="7" s="1"/>
  <c r="I705" i="7"/>
  <c r="J705" i="7" s="1"/>
  <c r="I704" i="7"/>
  <c r="J704" i="7" s="1"/>
  <c r="I703" i="7"/>
  <c r="J703" i="7" s="1"/>
  <c r="I699" i="7"/>
  <c r="J699" i="7" s="1"/>
  <c r="I698" i="7"/>
  <c r="J698" i="7" s="1"/>
  <c r="I693" i="7"/>
  <c r="J693" i="7" s="1"/>
  <c r="I692" i="7"/>
  <c r="J692" i="7" s="1"/>
  <c r="I691" i="7"/>
  <c r="J691" i="7" s="1"/>
  <c r="I690" i="7"/>
  <c r="J690" i="7" s="1"/>
  <c r="I689" i="7"/>
  <c r="J689" i="7" s="1"/>
  <c r="I688" i="7"/>
  <c r="J688" i="7" s="1"/>
  <c r="I687" i="7"/>
  <c r="J687" i="7" s="1"/>
  <c r="I686" i="7"/>
  <c r="J686" i="7" s="1"/>
  <c r="I685" i="7"/>
  <c r="J685" i="7" s="1"/>
  <c r="I684" i="7"/>
  <c r="J684" i="7" s="1"/>
  <c r="I681" i="7"/>
  <c r="J681" i="7" s="1"/>
  <c r="I680" i="7"/>
  <c r="J680" i="7" s="1"/>
  <c r="I679" i="7"/>
  <c r="J679" i="7" s="1"/>
  <c r="I678" i="7"/>
  <c r="J678" i="7" s="1"/>
  <c r="I677" i="7"/>
  <c r="J677" i="7" s="1"/>
  <c r="I676" i="7"/>
  <c r="J676" i="7" s="1"/>
  <c r="I675" i="7"/>
  <c r="J675" i="7" s="1"/>
  <c r="I639" i="7"/>
  <c r="J639" i="7" s="1"/>
  <c r="I674" i="7"/>
  <c r="J674" i="7" s="1"/>
  <c r="I673" i="7"/>
  <c r="J673" i="7" s="1"/>
  <c r="I672" i="7"/>
  <c r="J672" i="7" s="1"/>
  <c r="I126" i="7"/>
  <c r="J126" i="7" s="1"/>
  <c r="I125" i="7"/>
  <c r="J125" i="7" s="1"/>
  <c r="I156" i="7"/>
  <c r="J156" i="7" s="1"/>
  <c r="I533" i="7"/>
  <c r="J533" i="7" s="1"/>
  <c r="I808" i="7"/>
  <c r="J808" i="7" s="1"/>
  <c r="I532" i="7"/>
  <c r="J532" i="7" s="1"/>
  <c r="I531" i="7"/>
  <c r="J531" i="7" s="1"/>
  <c r="I530" i="7"/>
  <c r="J530" i="7" s="1"/>
  <c r="I529" i="7"/>
  <c r="J529" i="7" s="1"/>
  <c r="I528" i="7"/>
  <c r="J528" i="7" s="1"/>
  <c r="I527" i="7"/>
  <c r="J527" i="7" s="1"/>
  <c r="I526" i="7"/>
  <c r="J526" i="7" s="1"/>
  <c r="I525" i="7"/>
  <c r="J525" i="7" s="1"/>
  <c r="I524" i="7"/>
  <c r="J524" i="7" s="1"/>
  <c r="I120" i="7"/>
  <c r="J120" i="7" s="1"/>
  <c r="I119" i="7"/>
  <c r="J119" i="7" s="1"/>
  <c r="I115" i="7"/>
  <c r="J115" i="7" s="1"/>
  <c r="I114" i="7"/>
  <c r="J114" i="7" s="1"/>
  <c r="I113" i="7"/>
  <c r="J113" i="7" s="1"/>
  <c r="I112" i="7"/>
  <c r="J112" i="7" s="1"/>
  <c r="I111" i="7"/>
  <c r="J111" i="7" s="1"/>
  <c r="I110" i="7"/>
  <c r="J110" i="7" s="1"/>
  <c r="I109" i="7"/>
  <c r="J109" i="7" s="1"/>
  <c r="I108" i="7"/>
  <c r="J108" i="7" s="1"/>
  <c r="I623" i="7"/>
  <c r="J623" i="7" s="1"/>
  <c r="I107" i="7"/>
  <c r="J107" i="7" s="1"/>
  <c r="I743" i="7"/>
  <c r="J743" i="7" s="1"/>
  <c r="I755" i="7"/>
  <c r="J755" i="7" s="1"/>
  <c r="I97" i="7"/>
  <c r="J97" i="7" s="1"/>
  <c r="I160" i="7"/>
  <c r="J160" i="7" s="1"/>
  <c r="I159" i="7"/>
  <c r="J159" i="7" s="1"/>
  <c r="I682" i="7"/>
  <c r="J682" i="7" s="1"/>
  <c r="I30" i="7"/>
  <c r="J30" i="7" s="1"/>
  <c r="I158" i="7"/>
  <c r="J158" i="7" s="1"/>
  <c r="I96" i="7"/>
  <c r="J96" i="7" s="1"/>
  <c r="I694" i="7"/>
  <c r="J694" i="7" s="1"/>
  <c r="I732" i="7"/>
  <c r="J732" i="7" s="1"/>
  <c r="I95" i="7"/>
  <c r="J95" i="7" s="1"/>
  <c r="I638" i="7"/>
  <c r="J638" i="7" s="1"/>
  <c r="I244" i="7"/>
  <c r="J244" i="7" s="1"/>
  <c r="I640" i="7"/>
  <c r="J640" i="7" s="1"/>
  <c r="I29" i="7"/>
  <c r="J29" i="7" s="1"/>
  <c r="I94" i="7"/>
  <c r="J94" i="7" s="1"/>
  <c r="I245" i="7"/>
  <c r="J245" i="7" s="1"/>
  <c r="I152" i="7"/>
  <c r="J152" i="7" s="1"/>
  <c r="I700" i="7"/>
  <c r="J700" i="7" s="1"/>
  <c r="I157" i="7"/>
  <c r="J157" i="7" s="1"/>
  <c r="I154" i="7"/>
  <c r="J154" i="7" s="1"/>
  <c r="I17" i="7"/>
  <c r="J17" i="7" s="1"/>
  <c r="I85" i="7"/>
  <c r="J85" i="7" s="1"/>
  <c r="I93" i="7"/>
  <c r="J93" i="7" s="1"/>
  <c r="I87" i="7"/>
  <c r="J87" i="7" s="1"/>
  <c r="I83" i="7"/>
  <c r="J83" i="7" s="1"/>
  <c r="I786" i="7"/>
  <c r="J786" i="7" s="1"/>
  <c r="I92" i="7"/>
  <c r="J92" i="7" s="1"/>
  <c r="I16" i="7"/>
  <c r="J16" i="7" s="1"/>
  <c r="I84" i="7"/>
  <c r="J84" i="7" s="1"/>
  <c r="I86" i="7"/>
  <c r="J86" i="7" s="1"/>
  <c r="I82" i="7"/>
  <c r="J82" i="7" s="1"/>
  <c r="I61" i="7"/>
  <c r="J61" i="7" s="1"/>
  <c r="I90" i="7"/>
  <c r="J90" i="7" s="1"/>
  <c r="I147" i="7"/>
  <c r="J147" i="7" s="1"/>
  <c r="I146" i="7"/>
  <c r="J146" i="7" s="1"/>
  <c r="I155" i="7"/>
  <c r="J155" i="7" s="1"/>
  <c r="I91" i="7"/>
  <c r="J91" i="7" s="1"/>
  <c r="I60" i="7"/>
  <c r="J60" i="7" s="1"/>
  <c r="I247" i="7"/>
  <c r="J247" i="7" s="1"/>
  <c r="I239" i="7"/>
  <c r="J239" i="7" s="1"/>
  <c r="I246" i="7"/>
  <c r="J246" i="7" s="1"/>
  <c r="I59" i="7"/>
  <c r="J59" i="7" s="1"/>
  <c r="I89" i="7"/>
  <c r="J89" i="7" s="1"/>
  <c r="I24" i="7"/>
  <c r="J24" i="7" s="1"/>
  <c r="I248" i="7"/>
  <c r="J248" i="7" s="1"/>
  <c r="I58" i="7"/>
  <c r="J58" i="7" s="1"/>
  <c r="I139" i="7"/>
  <c r="J139" i="7" s="1"/>
  <c r="I250" i="7"/>
  <c r="J250" i="7" s="1"/>
  <c r="I249" i="7"/>
  <c r="J249" i="7" s="1"/>
  <c r="I661" i="7"/>
  <c r="J661" i="7" s="1"/>
  <c r="I660" i="7"/>
  <c r="J660" i="7" s="1"/>
  <c r="I659" i="7"/>
  <c r="J659" i="7" s="1"/>
  <c r="I658" i="7"/>
  <c r="J658" i="7" s="1"/>
  <c r="I253" i="7"/>
  <c r="J253" i="7" s="1"/>
  <c r="I252" i="7"/>
  <c r="J252" i="7" s="1"/>
  <c r="I671" i="7"/>
  <c r="J671" i="7" s="1"/>
  <c r="I646" i="7"/>
  <c r="J646" i="7" s="1"/>
  <c r="I644" i="7"/>
  <c r="J644" i="7" s="1"/>
  <c r="I641" i="7"/>
  <c r="J641" i="7" s="1"/>
  <c r="I664" i="7"/>
  <c r="J664" i="7" s="1"/>
  <c r="I663" i="7"/>
  <c r="J663" i="7" s="1"/>
  <c r="I670" i="7"/>
  <c r="J670" i="7" s="1"/>
  <c r="I665" i="7"/>
  <c r="J665" i="7" s="1"/>
  <c r="I662" i="7"/>
  <c r="J662" i="7" s="1"/>
  <c r="I657" i="7"/>
  <c r="J657" i="7" s="1"/>
  <c r="I656" i="7"/>
  <c r="J656" i="7" s="1"/>
  <c r="I667" i="7"/>
  <c r="J667" i="7" s="1"/>
  <c r="I655" i="7"/>
  <c r="J655" i="7" s="1"/>
  <c r="I654" i="7"/>
  <c r="J654" i="7" s="1"/>
  <c r="I652" i="7"/>
  <c r="J652" i="7" s="1"/>
  <c r="I651" i="7"/>
  <c r="J651" i="7" s="1"/>
  <c r="I668" i="7"/>
  <c r="J668" i="7" s="1"/>
  <c r="I653" i="7"/>
  <c r="J653" i="7" s="1"/>
  <c r="I650" i="7"/>
  <c r="J650" i="7" s="1"/>
  <c r="I649" i="7"/>
  <c r="J649" i="7" s="1"/>
  <c r="I648" i="7"/>
  <c r="J648" i="7" s="1"/>
  <c r="I669" i="7"/>
  <c r="J669" i="7" s="1"/>
  <c r="I647" i="7"/>
  <c r="J647" i="7" s="1"/>
  <c r="I645" i="7"/>
  <c r="J645" i="7" s="1"/>
  <c r="I643" i="7"/>
  <c r="J643" i="7" s="1"/>
  <c r="I642" i="7"/>
  <c r="J642" i="7" s="1"/>
  <c r="I666" i="7"/>
  <c r="J666" i="7" s="1"/>
  <c r="I131" i="7"/>
  <c r="J131" i="7" s="1"/>
  <c r="I28" i="7"/>
  <c r="J28" i="7" s="1"/>
  <c r="I88" i="7"/>
  <c r="J88" i="7" s="1"/>
  <c r="I57" i="7"/>
  <c r="J57" i="7" s="1"/>
  <c r="I124" i="7"/>
  <c r="J124" i="7" s="1"/>
  <c r="I123" i="7"/>
  <c r="J123" i="7" s="1"/>
  <c r="I122" i="7"/>
  <c r="J122" i="7" s="1"/>
  <c r="I51" i="7"/>
  <c r="J51" i="7" s="1"/>
  <c r="I31" i="7"/>
  <c r="J31" i="7" s="1"/>
  <c r="I27" i="7"/>
  <c r="J27" i="7" s="1"/>
  <c r="I153" i="7"/>
  <c r="J153" i="7" s="1"/>
  <c r="I127" i="7"/>
  <c r="J127" i="7" s="1"/>
  <c r="I251" i="7"/>
  <c r="J251" i="7" s="1"/>
  <c r="I26" i="7"/>
  <c r="J26" i="7" s="1"/>
  <c r="I507" i="6"/>
  <c r="J507" i="6" s="1"/>
  <c r="I23" i="6"/>
  <c r="J23" i="6" s="1"/>
  <c r="I511" i="6"/>
  <c r="J511" i="6" s="1"/>
  <c r="I570" i="6"/>
  <c r="J570" i="6" s="1"/>
  <c r="I536" i="6"/>
  <c r="J536" i="6" s="1"/>
  <c r="I485" i="6"/>
  <c r="J485" i="6" s="1"/>
  <c r="I58" i="6"/>
  <c r="J58" i="6" s="1"/>
  <c r="I544" i="6"/>
  <c r="J544" i="6" s="1"/>
  <c r="I452" i="6"/>
  <c r="J452" i="6" s="1"/>
  <c r="I636" i="6"/>
  <c r="J636" i="6" s="1"/>
  <c r="I535" i="6"/>
  <c r="J535" i="6" s="1"/>
  <c r="I472" i="6"/>
  <c r="J472" i="6" s="1"/>
  <c r="I10" i="6"/>
  <c r="J10" i="6" s="1"/>
  <c r="I506" i="6"/>
  <c r="J506" i="6" s="1"/>
  <c r="I21" i="6"/>
  <c r="J21" i="6" s="1"/>
  <c r="I510" i="6"/>
  <c r="J510" i="6" s="1"/>
  <c r="I388" i="6"/>
  <c r="J388" i="6" s="1"/>
  <c r="I395" i="6"/>
  <c r="J395" i="6" s="1"/>
  <c r="I558" i="6"/>
  <c r="J558" i="6" s="1"/>
  <c r="I505" i="6"/>
  <c r="J505" i="6" s="1"/>
  <c r="I543" i="6"/>
  <c r="J543" i="6" s="1"/>
  <c r="I463" i="6"/>
  <c r="J463" i="6" s="1"/>
  <c r="I565" i="6"/>
  <c r="J565" i="6" s="1"/>
  <c r="I572" i="6"/>
  <c r="J572" i="6" s="1"/>
  <c r="I518" i="6"/>
  <c r="J518" i="6" s="1"/>
  <c r="I19" i="6"/>
  <c r="J19" i="6" s="1"/>
  <c r="I603" i="6"/>
  <c r="J603" i="6" s="1"/>
  <c r="I509" i="6"/>
  <c r="J509" i="6" s="1"/>
  <c r="I393" i="6"/>
  <c r="J393" i="6" s="1"/>
  <c r="I466" i="6"/>
  <c r="J466" i="6" s="1"/>
  <c r="I597" i="6"/>
  <c r="J597" i="6" s="1"/>
  <c r="I460" i="6"/>
  <c r="J460" i="6" s="1"/>
  <c r="I20" i="6"/>
  <c r="J20" i="6" s="1"/>
  <c r="I492" i="6"/>
  <c r="J492" i="6" s="1"/>
  <c r="I408" i="6"/>
  <c r="J408" i="6" s="1"/>
  <c r="I634" i="6"/>
  <c r="J634" i="6" s="1"/>
  <c r="I479" i="6"/>
  <c r="J479" i="6" s="1"/>
  <c r="I591" i="6"/>
  <c r="J591" i="6" s="1"/>
  <c r="I476" i="6"/>
  <c r="J476" i="6" s="1"/>
  <c r="I478" i="6"/>
  <c r="J478" i="6" s="1"/>
  <c r="I496" i="6"/>
  <c r="J496" i="6" s="1"/>
  <c r="I467" i="6"/>
  <c r="J467" i="6" s="1"/>
  <c r="I534" i="6"/>
  <c r="J534" i="6" s="1"/>
  <c r="I450" i="6"/>
  <c r="J450" i="6" s="1"/>
  <c r="I18" i="6"/>
  <c r="J18" i="6" s="1"/>
  <c r="I458" i="6"/>
  <c r="J458" i="6" s="1"/>
  <c r="I488" i="6"/>
  <c r="J488" i="6" s="1"/>
  <c r="I590" i="6"/>
  <c r="J590" i="6" s="1"/>
  <c r="I453" i="6"/>
  <c r="J453" i="6" s="1"/>
  <c r="I14" i="6"/>
  <c r="J14" i="6" s="1"/>
  <c r="I491" i="6"/>
  <c r="J491" i="6" s="1"/>
  <c r="I427" i="6"/>
  <c r="J427" i="6" s="1"/>
  <c r="I533" i="6"/>
  <c r="J533" i="6" s="1"/>
  <c r="I497" i="6"/>
  <c r="J497" i="6" s="1"/>
  <c r="I477" i="6"/>
  <c r="J477" i="6" s="1"/>
  <c r="I847" i="6"/>
  <c r="J847" i="6" s="1"/>
  <c r="I832" i="6"/>
  <c r="J832" i="6" s="1"/>
  <c r="I856" i="6"/>
  <c r="I829" i="6"/>
  <c r="J829" i="6" s="1"/>
  <c r="I813" i="6"/>
  <c r="J813" i="6" s="1"/>
  <c r="I865" i="6"/>
  <c r="J865" i="6" s="1"/>
  <c r="I864" i="6"/>
  <c r="J864" i="6" s="1"/>
  <c r="I863" i="6"/>
  <c r="J863" i="6" s="1"/>
  <c r="I866" i="6"/>
  <c r="K8" i="12" l="1"/>
  <c r="O7" i="11"/>
  <c r="N7" i="11"/>
  <c r="K9" i="12"/>
  <c r="N8" i="11"/>
  <c r="O8" i="11"/>
  <c r="J9" i="11"/>
  <c r="J866" i="6"/>
  <c r="J856" i="6"/>
  <c r="J7" i="10"/>
  <c r="L7" i="10" s="1"/>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5" i="10"/>
  <c r="AA66" i="10"/>
  <c r="AA67" i="10"/>
  <c r="AA68" i="10"/>
  <c r="AA69" i="10"/>
  <c r="AA70" i="10"/>
  <c r="AA71" i="10"/>
  <c r="AA72" i="10"/>
  <c r="AA73" i="10"/>
  <c r="AA74" i="10"/>
  <c r="AA75" i="10"/>
  <c r="AA76" i="10"/>
  <c r="AA77" i="10"/>
  <c r="AA78" i="10"/>
  <c r="AA79" i="10"/>
  <c r="AA80" i="10"/>
  <c r="AA81" i="10"/>
  <c r="AA82" i="10"/>
  <c r="AA83" i="10"/>
  <c r="AA84" i="10"/>
  <c r="AA85" i="10"/>
  <c r="AA86" i="10"/>
  <c r="AA87" i="10"/>
  <c r="AA88" i="10"/>
  <c r="AA89" i="10"/>
  <c r="AA90" i="10"/>
  <c r="AA91" i="10"/>
  <c r="AA92" i="10"/>
  <c r="AA93" i="10"/>
  <c r="AA94" i="10"/>
  <c r="AA95" i="10"/>
  <c r="AA96" i="10"/>
  <c r="AA97" i="10"/>
  <c r="AA98" i="10"/>
  <c r="AA99" i="10"/>
  <c r="AA100" i="10"/>
  <c r="AA101" i="10"/>
  <c r="AA102" i="10"/>
  <c r="AA103" i="10"/>
  <c r="AA104" i="10"/>
  <c r="AA105" i="10"/>
  <c r="AA106" i="10"/>
  <c r="AA107" i="10"/>
  <c r="AA108" i="10"/>
  <c r="AA109" i="10"/>
  <c r="AA110" i="10"/>
  <c r="AA111" i="10"/>
  <c r="AA112" i="10"/>
  <c r="AA113" i="10"/>
  <c r="AA114" i="10"/>
  <c r="AA115" i="10"/>
  <c r="AA116" i="10"/>
  <c r="AA117" i="10"/>
  <c r="AA118" i="10"/>
  <c r="AA119" i="10"/>
  <c r="AA120" i="10"/>
  <c r="AA121" i="10"/>
  <c r="AA122" i="10"/>
  <c r="AA123" i="10"/>
  <c r="AA124" i="10"/>
  <c r="AA125" i="10"/>
  <c r="AA126" i="10"/>
  <c r="AA127" i="10"/>
  <c r="AA128" i="10"/>
  <c r="AA129" i="10"/>
  <c r="AA130" i="10"/>
  <c r="AA131" i="10"/>
  <c r="AA132" i="10"/>
  <c r="AA133" i="10"/>
  <c r="AA134" i="10"/>
  <c r="AA135" i="10"/>
  <c r="AA136" i="10"/>
  <c r="AA137" i="10"/>
  <c r="AA138" i="10"/>
  <c r="AA139" i="10"/>
  <c r="AA140" i="10"/>
  <c r="AA141" i="10"/>
  <c r="AA142" i="10"/>
  <c r="AA143" i="10"/>
  <c r="AA144" i="10"/>
  <c r="AA145" i="10"/>
  <c r="AA146" i="10"/>
  <c r="AA147" i="10"/>
  <c r="AA148" i="10"/>
  <c r="AA149" i="10"/>
  <c r="AA150" i="10"/>
  <c r="AA151" i="10"/>
  <c r="AA152" i="10"/>
  <c r="AA153" i="10"/>
  <c r="AA154" i="10"/>
  <c r="AA155" i="10"/>
  <c r="AA156" i="10"/>
  <c r="AA157" i="10"/>
  <c r="AA158" i="10"/>
  <c r="AA159" i="10"/>
  <c r="AA160" i="10"/>
  <c r="AA161" i="10"/>
  <c r="AA162" i="10"/>
  <c r="AA163" i="10"/>
  <c r="AA164" i="10"/>
  <c r="AA165" i="10"/>
  <c r="AA166" i="10"/>
  <c r="AA167" i="10"/>
  <c r="AA168" i="10"/>
  <c r="AA169" i="10"/>
  <c r="AA170" i="10"/>
  <c r="AA171" i="10"/>
  <c r="AA172" i="10"/>
  <c r="AA173" i="10"/>
  <c r="AA174" i="10"/>
  <c r="AA175" i="10"/>
  <c r="AA176" i="10"/>
  <c r="AA177" i="10"/>
  <c r="AA178" i="10"/>
  <c r="AA179" i="10"/>
  <c r="AA180" i="10"/>
  <c r="AA181" i="10"/>
  <c r="AA182" i="10"/>
  <c r="AA183" i="10"/>
  <c r="AA184" i="10"/>
  <c r="AA185" i="10"/>
  <c r="AA186" i="10"/>
  <c r="AA187" i="10"/>
  <c r="AA188" i="10"/>
  <c r="AA189" i="10"/>
  <c r="AA190" i="10"/>
  <c r="AA191" i="10"/>
  <c r="AA192" i="10"/>
  <c r="AA193" i="10"/>
  <c r="AA194" i="10"/>
  <c r="AA195" i="10"/>
  <c r="AA196" i="10"/>
  <c r="AA197" i="10"/>
  <c r="AA198" i="10"/>
  <c r="AA199" i="10"/>
  <c r="AA200" i="10"/>
  <c r="AA201" i="10"/>
  <c r="AA202" i="10"/>
  <c r="AA203" i="10"/>
  <c r="AA204" i="10"/>
  <c r="AA205" i="10"/>
  <c r="AA206" i="10"/>
  <c r="AA207" i="10"/>
  <c r="AA208" i="10"/>
  <c r="AA209" i="10"/>
  <c r="AA210" i="10"/>
  <c r="AA211" i="10"/>
  <c r="AA212" i="10"/>
  <c r="AA213" i="10"/>
  <c r="AA214" i="10"/>
  <c r="AA215" i="10"/>
  <c r="AA216" i="10"/>
  <c r="AA217" i="10"/>
  <c r="AA218" i="10"/>
  <c r="AA219" i="10"/>
  <c r="AA220" i="10"/>
  <c r="AA221" i="10"/>
  <c r="AA222" i="10"/>
  <c r="AA223" i="10"/>
  <c r="AA224" i="10"/>
  <c r="AA225" i="10"/>
  <c r="AA226" i="10"/>
  <c r="AA227" i="10"/>
  <c r="AA228" i="10"/>
  <c r="AA229" i="10"/>
  <c r="AA230" i="10"/>
  <c r="AA231" i="10"/>
  <c r="AA232" i="10"/>
  <c r="AA233" i="10"/>
  <c r="AA234" i="10"/>
  <c r="AA235" i="10"/>
  <c r="AA236" i="10"/>
  <c r="AA237" i="10"/>
  <c r="AA238" i="10"/>
  <c r="AA239" i="10"/>
  <c r="AA240" i="10"/>
  <c r="AA241" i="10"/>
  <c r="AA242" i="10"/>
  <c r="AA243" i="10"/>
  <c r="AA244" i="10"/>
  <c r="AA245" i="10"/>
  <c r="AA246" i="10"/>
  <c r="AA247" i="10"/>
  <c r="AA248" i="10"/>
  <c r="AA249" i="10"/>
  <c r="AA250" i="10"/>
  <c r="AA251" i="10"/>
  <c r="AA252" i="10"/>
  <c r="AA253" i="10"/>
  <c r="AA254" i="10"/>
  <c r="AA255" i="10"/>
  <c r="AA256" i="10"/>
  <c r="AA257" i="10"/>
  <c r="AA258" i="10"/>
  <c r="AA259" i="10"/>
  <c r="AA260" i="10"/>
  <c r="AA261" i="10"/>
  <c r="AA262" i="10"/>
  <c r="AA263" i="10"/>
  <c r="AA264" i="10"/>
  <c r="AA265" i="10"/>
  <c r="AA266" i="10"/>
  <c r="AA267" i="10"/>
  <c r="AA268" i="10"/>
  <c r="AA269" i="10"/>
  <c r="AA270" i="10"/>
  <c r="AA271" i="10"/>
  <c r="AA272" i="10"/>
  <c r="AA273" i="10"/>
  <c r="AA274" i="10"/>
  <c r="AA275" i="10"/>
  <c r="AA276" i="10"/>
  <c r="AA277" i="10"/>
  <c r="AA278" i="10"/>
  <c r="AA279" i="10"/>
  <c r="AA280" i="10"/>
  <c r="AA281" i="10"/>
  <c r="AA282" i="10"/>
  <c r="AA283" i="10"/>
  <c r="AA284" i="10"/>
  <c r="AA285" i="10"/>
  <c r="AA286" i="10"/>
  <c r="AA287" i="10"/>
  <c r="AA288" i="10"/>
  <c r="AA289" i="10"/>
  <c r="AA290" i="10"/>
  <c r="AA291" i="10"/>
  <c r="AA292" i="10"/>
  <c r="AA293" i="10"/>
  <c r="AA294" i="10"/>
  <c r="AA295" i="10"/>
  <c r="AA296" i="10"/>
  <c r="AA297" i="10"/>
  <c r="AA298" i="10"/>
  <c r="AA299" i="10"/>
  <c r="AA300" i="10"/>
  <c r="AA301" i="10"/>
  <c r="AA302" i="10"/>
  <c r="AA303" i="10"/>
  <c r="AA304" i="10"/>
  <c r="AA305" i="10"/>
  <c r="AA306" i="10"/>
  <c r="AA307" i="10"/>
  <c r="AA308" i="10"/>
  <c r="AA309" i="10"/>
  <c r="AA310" i="10"/>
  <c r="AA311" i="10"/>
  <c r="AA312" i="10"/>
  <c r="AA313" i="10"/>
  <c r="AA314" i="10"/>
  <c r="AA315" i="10"/>
  <c r="AA316" i="10"/>
  <c r="AA317" i="10"/>
  <c r="AA318" i="10"/>
  <c r="AA319" i="10"/>
  <c r="AA320" i="10"/>
  <c r="AA321" i="10"/>
  <c r="AA322" i="10"/>
  <c r="AA323" i="10"/>
  <c r="AA324" i="10"/>
  <c r="AA325" i="10"/>
  <c r="AA326" i="10"/>
  <c r="AA327" i="10"/>
  <c r="AA328" i="10"/>
  <c r="AA329" i="10"/>
  <c r="AA330" i="10"/>
  <c r="AA331" i="10"/>
  <c r="AA332" i="10"/>
  <c r="AA333" i="10"/>
  <c r="AA334" i="10"/>
  <c r="AA335" i="10"/>
  <c r="AA336" i="10"/>
  <c r="AA337" i="10"/>
  <c r="AA338" i="10"/>
  <c r="AA339" i="10"/>
  <c r="AA340" i="10"/>
  <c r="AA341" i="10"/>
  <c r="AA342" i="10"/>
  <c r="AA343" i="10"/>
  <c r="AA344" i="10"/>
  <c r="AA345" i="10"/>
  <c r="AA346" i="10"/>
  <c r="AA347" i="10"/>
  <c r="AA348" i="10"/>
  <c r="AA349" i="10"/>
  <c r="AA350" i="10"/>
  <c r="AA351" i="10"/>
  <c r="AA352" i="10"/>
  <c r="AA353" i="10"/>
  <c r="AA354" i="10"/>
  <c r="AA355" i="10"/>
  <c r="AA356" i="10"/>
  <c r="AA357" i="10"/>
  <c r="AA358" i="10"/>
  <c r="AA359" i="10"/>
  <c r="AA360" i="10"/>
  <c r="AA361" i="10"/>
  <c r="AA362" i="10"/>
  <c r="AA363" i="10"/>
  <c r="AA364" i="10"/>
  <c r="AA365" i="10"/>
  <c r="AA366" i="10"/>
  <c r="AA367" i="10"/>
  <c r="AA368" i="10"/>
  <c r="AA369" i="10"/>
  <c r="AA370" i="10"/>
  <c r="AA371" i="10"/>
  <c r="AA372" i="10"/>
  <c r="AA373" i="10"/>
  <c r="AA374" i="10"/>
  <c r="AA375" i="10"/>
  <c r="AA376" i="10"/>
  <c r="AA377" i="10"/>
  <c r="AA378" i="10"/>
  <c r="AA379" i="10"/>
  <c r="AA380" i="10"/>
  <c r="AA381" i="10"/>
  <c r="AA382" i="10"/>
  <c r="AA383" i="10"/>
  <c r="AA384" i="10"/>
  <c r="AA385" i="10"/>
  <c r="AA386" i="10"/>
  <c r="AA387" i="10"/>
  <c r="AA388" i="10"/>
  <c r="AA389" i="10"/>
  <c r="AA390" i="10"/>
  <c r="AA391" i="10"/>
  <c r="AA392" i="10"/>
  <c r="AA393" i="10"/>
  <c r="AA394" i="10"/>
  <c r="AA395" i="10"/>
  <c r="AA396" i="10"/>
  <c r="AA397" i="10"/>
  <c r="AA398" i="10"/>
  <c r="AA399" i="10"/>
  <c r="AA400" i="10"/>
  <c r="AA401" i="10"/>
  <c r="AA402" i="10"/>
  <c r="AA403" i="10"/>
  <c r="AA404" i="10"/>
  <c r="AA405" i="10"/>
  <c r="AA406" i="10"/>
  <c r="AA407" i="10"/>
  <c r="AA408" i="10"/>
  <c r="AA409" i="10"/>
  <c r="AA410" i="10"/>
  <c r="AA411" i="10"/>
  <c r="AA412" i="10"/>
  <c r="AA413" i="10"/>
  <c r="AA414" i="10"/>
  <c r="AA415" i="10"/>
  <c r="AA416" i="10"/>
  <c r="AA417" i="10"/>
  <c r="AA418" i="10"/>
  <c r="AA419" i="10"/>
  <c r="AA420" i="10"/>
  <c r="AA421" i="10"/>
  <c r="AA422" i="10"/>
  <c r="AA423" i="10"/>
  <c r="AA424" i="10"/>
  <c r="AA425" i="10"/>
  <c r="AA426" i="10"/>
  <c r="AA427" i="10"/>
  <c r="AA428" i="10"/>
  <c r="AA429" i="10"/>
  <c r="AA430" i="10"/>
  <c r="AA431" i="10"/>
  <c r="AA432" i="10"/>
  <c r="AA433" i="10"/>
  <c r="AA434" i="10"/>
  <c r="AA435" i="10"/>
  <c r="AA436" i="10"/>
  <c r="AA437" i="10"/>
  <c r="AA438" i="10"/>
  <c r="AA439" i="10"/>
  <c r="AA440" i="10"/>
  <c r="AA441" i="10"/>
  <c r="AA442" i="10"/>
  <c r="AA443" i="10"/>
  <c r="AA444" i="10"/>
  <c r="AA445" i="10"/>
  <c r="AA446" i="10"/>
  <c r="AA447" i="10"/>
  <c r="AA448" i="10"/>
  <c r="AA449" i="10"/>
  <c r="AA450" i="10"/>
  <c r="AA451" i="10"/>
  <c r="AA452" i="10"/>
  <c r="AA453" i="10"/>
  <c r="AA454" i="10"/>
  <c r="AA455" i="10"/>
  <c r="AA456" i="10"/>
  <c r="AA457" i="10"/>
  <c r="AA458" i="10"/>
  <c r="AA459" i="10"/>
  <c r="AA460" i="10"/>
  <c r="AA461" i="10"/>
  <c r="AA462" i="10"/>
  <c r="AA463" i="10"/>
  <c r="AA464" i="10"/>
  <c r="AA465" i="10"/>
  <c r="AA466" i="10"/>
  <c r="AA467" i="10"/>
  <c r="AA468" i="10"/>
  <c r="AA469" i="10"/>
  <c r="AA470" i="10"/>
  <c r="AA471" i="10"/>
  <c r="AA472" i="10"/>
  <c r="AA473" i="10"/>
  <c r="AA474" i="10"/>
  <c r="AA475" i="10"/>
  <c r="AA476" i="10"/>
  <c r="AA477" i="10"/>
  <c r="AA478" i="10"/>
  <c r="AA479" i="10"/>
  <c r="AA480" i="10"/>
  <c r="AA481" i="10"/>
  <c r="AA482" i="10"/>
  <c r="AA483" i="10"/>
  <c r="AA484" i="10"/>
  <c r="AA485" i="10"/>
  <c r="AA486" i="10"/>
  <c r="AA487" i="10"/>
  <c r="AA488" i="10"/>
  <c r="AA489" i="10"/>
  <c r="AA490" i="10"/>
  <c r="AA491" i="10"/>
  <c r="AA492" i="10"/>
  <c r="AA493" i="10"/>
  <c r="AA494" i="10"/>
  <c r="AA495" i="10"/>
  <c r="AA496" i="10"/>
  <c r="AA497" i="10"/>
  <c r="AA498" i="10"/>
  <c r="AA499" i="10"/>
  <c r="AA500" i="10"/>
  <c r="AA501" i="10"/>
  <c r="AA502" i="10"/>
  <c r="AA503" i="10"/>
  <c r="AA504" i="10"/>
  <c r="AA505" i="10"/>
  <c r="AA5" i="10"/>
  <c r="O9" i="11" l="1"/>
  <c r="O47" i="11" s="1"/>
  <c r="L31" i="12" s="1"/>
  <c r="N9" i="11"/>
  <c r="N47" i="11" s="1"/>
  <c r="L30" i="12" s="1"/>
  <c r="K10" i="12"/>
  <c r="C16" i="9"/>
  <c r="G16" i="9"/>
  <c r="C17" i="9"/>
  <c r="G17" i="9"/>
  <c r="C18" i="9"/>
  <c r="G18" i="9"/>
  <c r="C19" i="9"/>
  <c r="G19" i="9"/>
  <c r="C20" i="9"/>
  <c r="G20" i="9"/>
  <c r="C21" i="9"/>
  <c r="G21" i="9"/>
  <c r="C22" i="9"/>
  <c r="G22" i="9"/>
  <c r="C23" i="9"/>
  <c r="G23" i="9"/>
  <c r="C24" i="9"/>
  <c r="G24" i="9"/>
  <c r="C25" i="9"/>
  <c r="G25" i="9"/>
  <c r="C26" i="9"/>
  <c r="G26" i="9"/>
  <c r="C27" i="9"/>
  <c r="G27" i="9"/>
  <c r="C28" i="9"/>
  <c r="G28" i="9"/>
  <c r="C29" i="9"/>
  <c r="G29" i="9"/>
  <c r="C30" i="9"/>
  <c r="G30" i="9"/>
  <c r="C31" i="9"/>
  <c r="G31" i="9"/>
  <c r="C32" i="9"/>
  <c r="G32" i="9"/>
  <c r="C33" i="9"/>
  <c r="G33" i="9"/>
  <c r="C34" i="9"/>
  <c r="G34" i="9"/>
  <c r="C35" i="9"/>
  <c r="G35" i="9"/>
  <c r="C36" i="9"/>
  <c r="G36" i="9"/>
  <c r="C37" i="9"/>
  <c r="G37" i="9"/>
  <c r="C38" i="9"/>
  <c r="G38" i="9"/>
  <c r="C39" i="9"/>
  <c r="G39" i="9"/>
  <c r="C40" i="9"/>
  <c r="G40" i="9"/>
  <c r="C41" i="9"/>
  <c r="G41" i="9"/>
  <c r="C42" i="9"/>
  <c r="G42" i="9"/>
  <c r="C43" i="9"/>
  <c r="G43" i="9"/>
  <c r="C44" i="9"/>
  <c r="G44" i="9"/>
  <c r="C45" i="9"/>
  <c r="G45" i="9"/>
  <c r="C46" i="9"/>
  <c r="G46" i="9"/>
  <c r="C47" i="9"/>
  <c r="G47" i="9"/>
  <c r="C48" i="9"/>
  <c r="G48" i="9"/>
  <c r="C49" i="9"/>
  <c r="G49" i="9"/>
  <c r="C50" i="9"/>
  <c r="G50" i="9"/>
  <c r="C51" i="9"/>
  <c r="G51" i="9"/>
  <c r="C52" i="9"/>
  <c r="G52" i="9"/>
  <c r="C53" i="9"/>
  <c r="G53" i="9"/>
  <c r="C54" i="9"/>
  <c r="G54" i="9"/>
  <c r="C55" i="9"/>
  <c r="G55" i="9"/>
  <c r="C56" i="9"/>
  <c r="G56" i="9"/>
  <c r="C57" i="9"/>
  <c r="G57" i="9"/>
  <c r="C58" i="9"/>
  <c r="G58" i="9"/>
  <c r="C59" i="9"/>
  <c r="G59" i="9"/>
  <c r="C60" i="9"/>
  <c r="G60" i="9"/>
  <c r="C61" i="9"/>
  <c r="G61" i="9"/>
  <c r="C62" i="9"/>
  <c r="G62" i="9"/>
  <c r="C63" i="9"/>
  <c r="G63" i="9"/>
  <c r="C64" i="9"/>
  <c r="G64" i="9"/>
  <c r="C65" i="9"/>
  <c r="G65" i="9"/>
  <c r="C66" i="9"/>
  <c r="G66" i="9"/>
  <c r="C67" i="9"/>
  <c r="G67" i="9"/>
  <c r="C68" i="9"/>
  <c r="G68" i="9"/>
  <c r="C69" i="9"/>
  <c r="G69" i="9"/>
  <c r="C70" i="9"/>
  <c r="G70" i="9"/>
  <c r="C71" i="9"/>
  <c r="G71" i="9"/>
  <c r="C72" i="9"/>
  <c r="G72" i="9"/>
  <c r="C73" i="9"/>
  <c r="G73" i="9"/>
  <c r="C74" i="9"/>
  <c r="G74" i="9"/>
  <c r="C75" i="9"/>
  <c r="G75" i="9"/>
  <c r="C76" i="9"/>
  <c r="G76" i="9"/>
  <c r="C77" i="9"/>
  <c r="G77" i="9"/>
  <c r="C78" i="9"/>
  <c r="G78" i="9"/>
  <c r="C79" i="9"/>
  <c r="G79" i="9"/>
  <c r="C80" i="9"/>
  <c r="G80" i="9"/>
  <c r="C81" i="9"/>
  <c r="G81" i="9"/>
  <c r="C82" i="9"/>
  <c r="G82" i="9"/>
  <c r="C83" i="9"/>
  <c r="G83" i="9"/>
  <c r="C84" i="9"/>
  <c r="G84" i="9"/>
  <c r="C85" i="9"/>
  <c r="G85" i="9"/>
  <c r="C86" i="9"/>
  <c r="G86" i="9"/>
  <c r="C87" i="9"/>
  <c r="G87" i="9"/>
  <c r="C88" i="9"/>
  <c r="G88" i="9"/>
  <c r="C89" i="9"/>
  <c r="G89" i="9"/>
  <c r="C90" i="9"/>
  <c r="G90" i="9"/>
  <c r="C91" i="9"/>
  <c r="G91" i="9"/>
  <c r="C92" i="9"/>
  <c r="G92" i="9"/>
  <c r="C93" i="9"/>
  <c r="G93" i="9"/>
  <c r="C94" i="9"/>
  <c r="G94" i="9"/>
  <c r="C95" i="9"/>
  <c r="G95" i="9"/>
  <c r="C96" i="9"/>
  <c r="G96" i="9"/>
  <c r="C97" i="9"/>
  <c r="G97" i="9"/>
  <c r="C98" i="9"/>
  <c r="G98" i="9"/>
  <c r="C99" i="9"/>
  <c r="G99" i="9"/>
  <c r="C100" i="9"/>
  <c r="G100" i="9"/>
  <c r="C101" i="9"/>
  <c r="G101" i="9"/>
  <c r="C102" i="9"/>
  <c r="G102" i="9"/>
  <c r="C103" i="9"/>
  <c r="G103" i="9"/>
  <c r="C104" i="9"/>
  <c r="G104" i="9"/>
  <c r="C105" i="9"/>
  <c r="G105" i="9"/>
  <c r="C106" i="9"/>
  <c r="G106" i="9"/>
  <c r="C107" i="9"/>
  <c r="G107" i="9"/>
  <c r="C108" i="9"/>
  <c r="G108" i="9"/>
  <c r="C109" i="9"/>
  <c r="G109" i="9"/>
  <c r="C110" i="9"/>
  <c r="G110" i="9"/>
  <c r="C111" i="9"/>
  <c r="G111" i="9"/>
  <c r="C112" i="9"/>
  <c r="G112" i="9"/>
  <c r="C113" i="9"/>
  <c r="G113" i="9"/>
  <c r="C114" i="9"/>
  <c r="G114" i="9"/>
  <c r="C115" i="9"/>
  <c r="G115" i="9"/>
  <c r="C116" i="9"/>
  <c r="G116" i="9"/>
  <c r="C117" i="9"/>
  <c r="G117" i="9"/>
  <c r="C118" i="9"/>
  <c r="G118" i="9"/>
  <c r="C119" i="9"/>
  <c r="G119" i="9"/>
  <c r="C120" i="9"/>
  <c r="G120" i="9"/>
  <c r="C121" i="9"/>
  <c r="G121" i="9"/>
  <c r="C122" i="9"/>
  <c r="G122" i="9"/>
  <c r="C123" i="9"/>
  <c r="G123" i="9"/>
  <c r="C124" i="9"/>
  <c r="G124" i="9"/>
  <c r="C125" i="9"/>
  <c r="G125" i="9"/>
  <c r="C126" i="9"/>
  <c r="G126" i="9"/>
  <c r="C127" i="9"/>
  <c r="G127" i="9"/>
  <c r="C128" i="9"/>
  <c r="G128" i="9"/>
  <c r="C129" i="9"/>
  <c r="G129" i="9"/>
  <c r="C130" i="9"/>
  <c r="G130" i="9"/>
  <c r="C131" i="9"/>
  <c r="G131" i="9"/>
  <c r="C132" i="9"/>
  <c r="G132" i="9"/>
  <c r="C133" i="9"/>
  <c r="G133" i="9"/>
  <c r="C134" i="9"/>
  <c r="G134" i="9"/>
  <c r="C135" i="9"/>
  <c r="G135" i="9"/>
  <c r="C136" i="9"/>
  <c r="G136" i="9"/>
  <c r="C137" i="9"/>
  <c r="G137" i="9"/>
  <c r="C138" i="9"/>
  <c r="G138" i="9"/>
  <c r="C139" i="9"/>
  <c r="G139" i="9"/>
  <c r="C140" i="9"/>
  <c r="G140" i="9"/>
  <c r="C141" i="9"/>
  <c r="G141" i="9"/>
  <c r="C142" i="9"/>
  <c r="G142" i="9"/>
  <c r="C143" i="9"/>
  <c r="G143" i="9"/>
  <c r="C144" i="9"/>
  <c r="G144" i="9"/>
  <c r="C145" i="9"/>
  <c r="G145" i="9"/>
  <c r="C146" i="9"/>
  <c r="G146" i="9"/>
  <c r="C147" i="9"/>
  <c r="G147" i="9"/>
  <c r="C148" i="9"/>
  <c r="G148" i="9"/>
  <c r="C149" i="9"/>
  <c r="G149" i="9"/>
  <c r="C150" i="9"/>
  <c r="G150" i="9"/>
  <c r="C151" i="9"/>
  <c r="G151" i="9"/>
  <c r="C152" i="9"/>
  <c r="G152" i="9"/>
  <c r="C153" i="9"/>
  <c r="G153" i="9"/>
  <c r="C154" i="9"/>
  <c r="G154" i="9"/>
  <c r="C155" i="9"/>
  <c r="G155" i="9"/>
  <c r="C156" i="9"/>
  <c r="G156" i="9"/>
  <c r="C157" i="9"/>
  <c r="G157" i="9"/>
  <c r="C158" i="9"/>
  <c r="G158" i="9"/>
  <c r="C159" i="9"/>
  <c r="G159" i="9"/>
  <c r="C160" i="9"/>
  <c r="G160" i="9"/>
  <c r="C161" i="9"/>
  <c r="G161" i="9"/>
  <c r="C162" i="9"/>
  <c r="G162" i="9"/>
  <c r="C163" i="9"/>
  <c r="G163" i="9"/>
  <c r="C164" i="9"/>
  <c r="G164" i="9"/>
  <c r="C165" i="9"/>
  <c r="G165" i="9"/>
  <c r="C166" i="9"/>
  <c r="G166" i="9"/>
  <c r="C167" i="9"/>
  <c r="G167" i="9"/>
  <c r="C168" i="9"/>
  <c r="G168" i="9"/>
  <c r="C169" i="9"/>
  <c r="G169" i="9"/>
  <c r="C170" i="9"/>
  <c r="G170" i="9"/>
  <c r="C171" i="9"/>
  <c r="G171" i="9"/>
  <c r="C172" i="9"/>
  <c r="G172" i="9"/>
  <c r="C173" i="9"/>
  <c r="G173" i="9"/>
  <c r="C174" i="9"/>
  <c r="G174" i="9"/>
  <c r="C175" i="9"/>
  <c r="G175" i="9"/>
  <c r="C176" i="9"/>
  <c r="G176" i="9"/>
  <c r="C177" i="9"/>
  <c r="G177" i="9"/>
  <c r="C178" i="9"/>
  <c r="G178" i="9"/>
  <c r="C179" i="9"/>
  <c r="G179" i="9"/>
  <c r="C180" i="9"/>
  <c r="G180" i="9"/>
  <c r="C181" i="9"/>
  <c r="G181" i="9"/>
  <c r="C182" i="9"/>
  <c r="G182" i="9"/>
  <c r="C183" i="9"/>
  <c r="G183" i="9"/>
  <c r="C184" i="9"/>
  <c r="G184" i="9"/>
  <c r="C185" i="9"/>
  <c r="G185" i="9"/>
  <c r="C186" i="9"/>
  <c r="G186" i="9"/>
  <c r="C187" i="9"/>
  <c r="G187" i="9"/>
  <c r="C188" i="9"/>
  <c r="G188" i="9"/>
  <c r="C189" i="9"/>
  <c r="G189" i="9"/>
  <c r="C190" i="9"/>
  <c r="G190" i="9"/>
  <c r="C191" i="9"/>
  <c r="G191" i="9"/>
  <c r="C192" i="9"/>
  <c r="G192" i="9"/>
  <c r="C193" i="9"/>
  <c r="G193" i="9"/>
  <c r="C194" i="9"/>
  <c r="G194" i="9"/>
  <c r="C195" i="9"/>
  <c r="G195" i="9"/>
  <c r="C196" i="9"/>
  <c r="G196" i="9"/>
  <c r="C197" i="9"/>
  <c r="G197" i="9"/>
  <c r="C198" i="9"/>
  <c r="G198" i="9"/>
  <c r="C199" i="9"/>
  <c r="G199" i="9"/>
  <c r="C200" i="9"/>
  <c r="G200" i="9"/>
  <c r="C201" i="9"/>
  <c r="G201" i="9"/>
  <c r="C202" i="9"/>
  <c r="G202" i="9"/>
  <c r="C203" i="9"/>
  <c r="G203" i="9"/>
  <c r="C204" i="9"/>
  <c r="G204" i="9"/>
  <c r="C205" i="9"/>
  <c r="G205" i="9"/>
  <c r="C206" i="9"/>
  <c r="G206" i="9"/>
  <c r="C207" i="9"/>
  <c r="G207" i="9"/>
  <c r="C208" i="9"/>
  <c r="G208" i="9"/>
  <c r="C209" i="9"/>
  <c r="G209" i="9"/>
  <c r="C210" i="9"/>
  <c r="G210" i="9"/>
  <c r="C211" i="9"/>
  <c r="G211" i="9"/>
  <c r="C212" i="9"/>
  <c r="G212" i="9"/>
  <c r="C213" i="9"/>
  <c r="G213" i="9"/>
  <c r="C214" i="9"/>
  <c r="G214" i="9"/>
  <c r="C215" i="9"/>
  <c r="G215" i="9"/>
  <c r="C216" i="9"/>
  <c r="G216" i="9"/>
  <c r="C217" i="9"/>
  <c r="G217" i="9"/>
  <c r="C218" i="9"/>
  <c r="G218" i="9"/>
  <c r="C219" i="9"/>
  <c r="G219" i="9"/>
  <c r="C220" i="9"/>
  <c r="G220" i="9"/>
  <c r="C221" i="9"/>
  <c r="G221" i="9"/>
  <c r="C222" i="9"/>
  <c r="G222" i="9"/>
  <c r="C223" i="9"/>
  <c r="G223" i="9"/>
  <c r="C224" i="9"/>
  <c r="G224" i="9"/>
  <c r="C225" i="9"/>
  <c r="G225" i="9"/>
  <c r="C226" i="9"/>
  <c r="G226" i="9"/>
  <c r="C227" i="9"/>
  <c r="G227" i="9"/>
  <c r="C228" i="9"/>
  <c r="G228" i="9"/>
  <c r="C229" i="9"/>
  <c r="G229" i="9"/>
  <c r="C230" i="9"/>
  <c r="G230" i="9"/>
  <c r="C231" i="9"/>
  <c r="G231" i="9"/>
  <c r="C232" i="9"/>
  <c r="G232" i="9"/>
  <c r="C233" i="9"/>
  <c r="G233" i="9"/>
  <c r="C234" i="9"/>
  <c r="G234" i="9"/>
  <c r="C235" i="9"/>
  <c r="G235" i="9"/>
  <c r="C236" i="9"/>
  <c r="G236" i="9"/>
  <c r="C237" i="9"/>
  <c r="G237" i="9"/>
  <c r="C238" i="9"/>
  <c r="G238" i="9"/>
  <c r="C239" i="9"/>
  <c r="G239" i="9"/>
  <c r="C240" i="9"/>
  <c r="G240" i="9"/>
  <c r="C241" i="9"/>
  <c r="G241" i="9"/>
  <c r="C242" i="9"/>
  <c r="G242" i="9"/>
  <c r="C243" i="9"/>
  <c r="G243" i="9"/>
  <c r="C244" i="9"/>
  <c r="G244" i="9"/>
  <c r="C245" i="9"/>
  <c r="G245" i="9"/>
  <c r="C246" i="9"/>
  <c r="G246" i="9"/>
  <c r="C247" i="9"/>
  <c r="G247" i="9"/>
  <c r="C248" i="9"/>
  <c r="G248" i="9"/>
  <c r="C249" i="9"/>
  <c r="G249" i="9"/>
  <c r="C250" i="9"/>
  <c r="G250" i="9"/>
  <c r="C251" i="9"/>
  <c r="G251" i="9"/>
  <c r="C252" i="9"/>
  <c r="G252" i="9"/>
  <c r="C253" i="9"/>
  <c r="G253" i="9"/>
  <c r="C254" i="9"/>
  <c r="G254" i="9"/>
  <c r="C255" i="9"/>
  <c r="G255" i="9"/>
  <c r="C256" i="9"/>
  <c r="G256" i="9"/>
  <c r="C257" i="9"/>
  <c r="G257" i="9"/>
  <c r="C258" i="9"/>
  <c r="G258" i="9"/>
  <c r="C259" i="9"/>
  <c r="G259" i="9"/>
  <c r="C260" i="9"/>
  <c r="G260" i="9"/>
  <c r="C261" i="9"/>
  <c r="G261" i="9"/>
  <c r="C262" i="9"/>
  <c r="G262" i="9"/>
  <c r="C263" i="9"/>
  <c r="G263" i="9"/>
  <c r="C264" i="9"/>
  <c r="G264" i="9"/>
  <c r="C265" i="9"/>
  <c r="G265" i="9"/>
  <c r="C15" i="9"/>
  <c r="G15" i="9"/>
  <c r="C266" i="9"/>
  <c r="G266" i="9"/>
  <c r="F17" i="9" l="1"/>
  <c r="D17" i="9"/>
  <c r="F18" i="9"/>
  <c r="D18" i="9"/>
  <c r="F19" i="9"/>
  <c r="D19" i="9"/>
  <c r="F20" i="9"/>
  <c r="D20" i="9"/>
  <c r="F21" i="9"/>
  <c r="D21" i="9"/>
  <c r="F22" i="9"/>
  <c r="D22" i="9"/>
  <c r="F23" i="9"/>
  <c r="D23" i="9"/>
  <c r="F24" i="9"/>
  <c r="D24" i="9"/>
  <c r="F25" i="9"/>
  <c r="D25" i="9"/>
  <c r="F26" i="9"/>
  <c r="D26" i="9"/>
  <c r="F27" i="9"/>
  <c r="D27" i="9"/>
  <c r="F28" i="9"/>
  <c r="D28" i="9"/>
  <c r="F29" i="9"/>
  <c r="D29" i="9"/>
  <c r="F30" i="9"/>
  <c r="D30" i="9"/>
  <c r="F31" i="9"/>
  <c r="D31" i="9"/>
  <c r="F32" i="9"/>
  <c r="D32" i="9"/>
  <c r="F33" i="9"/>
  <c r="D33" i="9"/>
  <c r="F34" i="9"/>
  <c r="D34" i="9"/>
  <c r="F35" i="9"/>
  <c r="D35" i="9"/>
  <c r="F36" i="9"/>
  <c r="D36" i="9"/>
  <c r="F37" i="9"/>
  <c r="D37" i="9"/>
  <c r="F38" i="9"/>
  <c r="D38" i="9"/>
  <c r="F39" i="9"/>
  <c r="D39" i="9"/>
  <c r="F40" i="9"/>
  <c r="D40" i="9"/>
  <c r="F41" i="9"/>
  <c r="D41" i="9"/>
  <c r="F42" i="9"/>
  <c r="D42" i="9"/>
  <c r="F43" i="9"/>
  <c r="D43" i="9"/>
  <c r="F44" i="9"/>
  <c r="D44" i="9"/>
  <c r="F45" i="9"/>
  <c r="D45" i="9"/>
  <c r="F46" i="9"/>
  <c r="D46" i="9"/>
  <c r="F47" i="9"/>
  <c r="D47" i="9"/>
  <c r="F48" i="9"/>
  <c r="D48" i="9"/>
  <c r="F49" i="9"/>
  <c r="D49" i="9"/>
  <c r="F50" i="9"/>
  <c r="D50" i="9"/>
  <c r="F51" i="9"/>
  <c r="D51" i="9"/>
  <c r="F52" i="9"/>
  <c r="D52" i="9"/>
  <c r="F53" i="9"/>
  <c r="D53" i="9"/>
  <c r="F54" i="9"/>
  <c r="D54" i="9"/>
  <c r="F55" i="9"/>
  <c r="D55" i="9"/>
  <c r="F56" i="9"/>
  <c r="D56" i="9"/>
  <c r="F57" i="9"/>
  <c r="D57" i="9"/>
  <c r="F58" i="9"/>
  <c r="D58" i="9"/>
  <c r="F59" i="9"/>
  <c r="D59" i="9"/>
  <c r="F60" i="9"/>
  <c r="D60" i="9"/>
  <c r="F61" i="9"/>
  <c r="D61" i="9"/>
  <c r="F62" i="9"/>
  <c r="D62" i="9"/>
  <c r="F63" i="9"/>
  <c r="D63" i="9"/>
  <c r="F64" i="9"/>
  <c r="D64" i="9"/>
  <c r="F65" i="9"/>
  <c r="D65" i="9"/>
  <c r="F66" i="9"/>
  <c r="D66" i="9"/>
  <c r="F67" i="9"/>
  <c r="D67" i="9"/>
  <c r="F68" i="9"/>
  <c r="D68" i="9"/>
  <c r="F69" i="9"/>
  <c r="D69" i="9"/>
  <c r="F70" i="9"/>
  <c r="D70" i="9"/>
  <c r="F71" i="9"/>
  <c r="D71" i="9"/>
  <c r="F72" i="9"/>
  <c r="D72" i="9"/>
  <c r="F73" i="9"/>
  <c r="D73" i="9"/>
  <c r="F74" i="9"/>
  <c r="D74" i="9"/>
  <c r="F75" i="9"/>
  <c r="D75" i="9"/>
  <c r="F76" i="9"/>
  <c r="D76" i="9"/>
  <c r="F77" i="9"/>
  <c r="D77" i="9"/>
  <c r="F78" i="9"/>
  <c r="D78" i="9"/>
  <c r="F79" i="9"/>
  <c r="D79" i="9"/>
  <c r="F80" i="9"/>
  <c r="D80" i="9"/>
  <c r="F81" i="9"/>
  <c r="D81" i="9"/>
  <c r="F82" i="9"/>
  <c r="D82" i="9"/>
  <c r="F83" i="9"/>
  <c r="D83" i="9"/>
  <c r="F84" i="9"/>
  <c r="D84" i="9"/>
  <c r="F85" i="9"/>
  <c r="D85" i="9"/>
  <c r="F86" i="9"/>
  <c r="D86" i="9"/>
  <c r="F87" i="9"/>
  <c r="D87" i="9"/>
  <c r="F88" i="9"/>
  <c r="D88" i="9"/>
  <c r="F89" i="9"/>
  <c r="D89" i="9"/>
  <c r="F90" i="9"/>
  <c r="D90" i="9"/>
  <c r="F91" i="9"/>
  <c r="D91" i="9"/>
  <c r="F92" i="9"/>
  <c r="D92" i="9"/>
  <c r="F93" i="9"/>
  <c r="D93" i="9"/>
  <c r="F94" i="9"/>
  <c r="D94" i="9"/>
  <c r="F95" i="9"/>
  <c r="D95" i="9"/>
  <c r="F96" i="9"/>
  <c r="D96" i="9"/>
  <c r="F97" i="9"/>
  <c r="D97" i="9"/>
  <c r="F98" i="9"/>
  <c r="D98" i="9"/>
  <c r="F99" i="9"/>
  <c r="D99" i="9"/>
  <c r="F100" i="9"/>
  <c r="D100" i="9"/>
  <c r="F101" i="9"/>
  <c r="D101" i="9"/>
  <c r="F102" i="9"/>
  <c r="D102" i="9"/>
  <c r="F103" i="9"/>
  <c r="D103" i="9"/>
  <c r="F104" i="9"/>
  <c r="D104" i="9"/>
  <c r="F105" i="9"/>
  <c r="D105" i="9"/>
  <c r="F106" i="9"/>
  <c r="D106" i="9"/>
  <c r="F107" i="9"/>
  <c r="D107" i="9"/>
  <c r="F108" i="9"/>
  <c r="D108" i="9"/>
  <c r="F109" i="9"/>
  <c r="D109" i="9"/>
  <c r="F110" i="9"/>
  <c r="D110" i="9"/>
  <c r="F111" i="9"/>
  <c r="D111" i="9"/>
  <c r="F112" i="9"/>
  <c r="D112" i="9"/>
  <c r="F113" i="9"/>
  <c r="D113" i="9"/>
  <c r="F114" i="9"/>
  <c r="D114" i="9"/>
  <c r="F115" i="9"/>
  <c r="D115" i="9"/>
  <c r="F116" i="9"/>
  <c r="D116" i="9"/>
  <c r="F117" i="9"/>
  <c r="D117" i="9"/>
  <c r="F118" i="9"/>
  <c r="D118" i="9"/>
  <c r="F119" i="9"/>
  <c r="D119" i="9"/>
  <c r="F120" i="9"/>
  <c r="D120" i="9"/>
  <c r="F121" i="9"/>
  <c r="D121" i="9"/>
  <c r="F122" i="9"/>
  <c r="D122" i="9"/>
  <c r="F123" i="9"/>
  <c r="D123" i="9"/>
  <c r="F124" i="9"/>
  <c r="D124" i="9"/>
  <c r="F125" i="9"/>
  <c r="D125" i="9"/>
  <c r="F126" i="9"/>
  <c r="D126" i="9"/>
  <c r="F127" i="9"/>
  <c r="D127" i="9"/>
  <c r="F128" i="9"/>
  <c r="D128" i="9"/>
  <c r="F129" i="9"/>
  <c r="D129" i="9"/>
  <c r="F130" i="9"/>
  <c r="D130" i="9"/>
  <c r="F131" i="9"/>
  <c r="D131" i="9"/>
  <c r="F132" i="9"/>
  <c r="D132" i="9"/>
  <c r="F133" i="9"/>
  <c r="D133" i="9"/>
  <c r="F134" i="9"/>
  <c r="D134" i="9"/>
  <c r="F135" i="9"/>
  <c r="D135" i="9"/>
  <c r="F136" i="9"/>
  <c r="D136" i="9"/>
  <c r="F137" i="9"/>
  <c r="D137" i="9"/>
  <c r="F138" i="9"/>
  <c r="D138" i="9"/>
  <c r="F139" i="9"/>
  <c r="D139" i="9"/>
  <c r="F140" i="9"/>
  <c r="D140" i="9"/>
  <c r="F141" i="9"/>
  <c r="D141" i="9"/>
  <c r="F142" i="9"/>
  <c r="D142" i="9"/>
  <c r="F143" i="9"/>
  <c r="D143" i="9"/>
  <c r="F144" i="9"/>
  <c r="D144" i="9"/>
  <c r="F145" i="9"/>
  <c r="D145" i="9"/>
  <c r="F146" i="9"/>
  <c r="D146" i="9"/>
  <c r="F147" i="9"/>
  <c r="D147" i="9"/>
  <c r="F148" i="9"/>
  <c r="D148" i="9"/>
  <c r="F149" i="9"/>
  <c r="D149" i="9"/>
  <c r="F150" i="9"/>
  <c r="D150" i="9"/>
  <c r="F151" i="9"/>
  <c r="D151" i="9"/>
  <c r="F152" i="9"/>
  <c r="D152" i="9"/>
  <c r="F153" i="9"/>
  <c r="D153" i="9"/>
  <c r="F154" i="9"/>
  <c r="D154" i="9"/>
  <c r="F155" i="9"/>
  <c r="D155" i="9"/>
  <c r="F156" i="9"/>
  <c r="D156" i="9"/>
  <c r="F157" i="9"/>
  <c r="D157" i="9"/>
  <c r="F158" i="9"/>
  <c r="D158" i="9"/>
  <c r="F159" i="9"/>
  <c r="D159" i="9"/>
  <c r="F160" i="9"/>
  <c r="D160" i="9"/>
  <c r="F161" i="9"/>
  <c r="D161" i="9"/>
  <c r="F162" i="9"/>
  <c r="D162" i="9"/>
  <c r="F163" i="9"/>
  <c r="D163" i="9"/>
  <c r="F164" i="9"/>
  <c r="D164" i="9"/>
  <c r="F165" i="9"/>
  <c r="D165" i="9"/>
  <c r="F166" i="9"/>
  <c r="D166" i="9"/>
  <c r="F167" i="9"/>
  <c r="D167" i="9"/>
  <c r="F168" i="9"/>
  <c r="D168" i="9"/>
  <c r="F169" i="9"/>
  <c r="D169" i="9"/>
  <c r="F170" i="9"/>
  <c r="D170" i="9"/>
  <c r="F171" i="9"/>
  <c r="D171" i="9"/>
  <c r="F172" i="9"/>
  <c r="D172" i="9"/>
  <c r="F173" i="9"/>
  <c r="D173" i="9"/>
  <c r="F174" i="9"/>
  <c r="D174" i="9"/>
  <c r="F175" i="9"/>
  <c r="D175" i="9"/>
  <c r="F176" i="9"/>
  <c r="D176" i="9"/>
  <c r="F177" i="9"/>
  <c r="D177" i="9"/>
  <c r="F178" i="9"/>
  <c r="D178" i="9"/>
  <c r="F179" i="9"/>
  <c r="D179" i="9"/>
  <c r="F180" i="9"/>
  <c r="D180" i="9"/>
  <c r="F181" i="9"/>
  <c r="D181" i="9"/>
  <c r="F182" i="9"/>
  <c r="D182" i="9"/>
  <c r="F183" i="9"/>
  <c r="D183" i="9"/>
  <c r="F184" i="9"/>
  <c r="D184" i="9"/>
  <c r="F185" i="9"/>
  <c r="D185" i="9"/>
  <c r="F186" i="9"/>
  <c r="D186" i="9"/>
  <c r="F187" i="9"/>
  <c r="D187" i="9"/>
  <c r="F188" i="9"/>
  <c r="D188" i="9"/>
  <c r="F189" i="9"/>
  <c r="D189" i="9"/>
  <c r="F190" i="9"/>
  <c r="D190" i="9"/>
  <c r="F191" i="9"/>
  <c r="D191" i="9"/>
  <c r="F192" i="9"/>
  <c r="D192" i="9"/>
  <c r="F193" i="9"/>
  <c r="D193" i="9"/>
  <c r="F194" i="9"/>
  <c r="D194" i="9"/>
  <c r="F195" i="9"/>
  <c r="D195" i="9"/>
  <c r="F196" i="9"/>
  <c r="D196" i="9"/>
  <c r="F197" i="9"/>
  <c r="D197" i="9"/>
  <c r="F198" i="9"/>
  <c r="D198" i="9"/>
  <c r="F199" i="9"/>
  <c r="D199" i="9"/>
  <c r="F200" i="9"/>
  <c r="D200" i="9"/>
  <c r="F201" i="9"/>
  <c r="D201" i="9"/>
  <c r="F202" i="9"/>
  <c r="D202" i="9"/>
  <c r="F203" i="9"/>
  <c r="D203" i="9"/>
  <c r="F204" i="9"/>
  <c r="D204" i="9"/>
  <c r="F205" i="9"/>
  <c r="D205" i="9"/>
  <c r="F206" i="9"/>
  <c r="D206" i="9"/>
  <c r="F207" i="9"/>
  <c r="D207" i="9"/>
  <c r="F208" i="9"/>
  <c r="D208" i="9"/>
  <c r="F209" i="9"/>
  <c r="D209" i="9"/>
  <c r="F210" i="9"/>
  <c r="D210" i="9"/>
  <c r="F211" i="9"/>
  <c r="D211" i="9"/>
  <c r="F212" i="9"/>
  <c r="D212" i="9"/>
  <c r="F213" i="9"/>
  <c r="D213" i="9"/>
  <c r="F214" i="9"/>
  <c r="D214" i="9"/>
  <c r="F215" i="9"/>
  <c r="D215" i="9"/>
  <c r="F216" i="9"/>
  <c r="D216" i="9"/>
  <c r="F217" i="9"/>
  <c r="D217" i="9"/>
  <c r="F218" i="9"/>
  <c r="D218" i="9"/>
  <c r="F219" i="9"/>
  <c r="D219" i="9"/>
  <c r="F220" i="9"/>
  <c r="D220" i="9"/>
  <c r="F221" i="9"/>
  <c r="D221" i="9"/>
  <c r="F222" i="9"/>
  <c r="D222" i="9"/>
  <c r="F223" i="9"/>
  <c r="D223" i="9"/>
  <c r="F224" i="9"/>
  <c r="D224" i="9"/>
  <c r="F225" i="9"/>
  <c r="D225" i="9"/>
  <c r="F226" i="9"/>
  <c r="D226" i="9"/>
  <c r="F227" i="9"/>
  <c r="D227" i="9"/>
  <c r="F228" i="9"/>
  <c r="D228" i="9"/>
  <c r="F229" i="9"/>
  <c r="D229" i="9"/>
  <c r="F230" i="9"/>
  <c r="D230" i="9"/>
  <c r="F231" i="9"/>
  <c r="D231" i="9"/>
  <c r="F232" i="9"/>
  <c r="D232" i="9"/>
  <c r="F233" i="9"/>
  <c r="D233" i="9"/>
  <c r="F234" i="9"/>
  <c r="D234" i="9"/>
  <c r="F235" i="9"/>
  <c r="D235" i="9"/>
  <c r="F236" i="9"/>
  <c r="D236" i="9"/>
  <c r="F237" i="9"/>
  <c r="D237" i="9"/>
  <c r="F238" i="9"/>
  <c r="D238" i="9"/>
  <c r="F239" i="9"/>
  <c r="D239" i="9"/>
  <c r="F240" i="9"/>
  <c r="D240" i="9"/>
  <c r="F241" i="9"/>
  <c r="D241" i="9"/>
  <c r="F242" i="9"/>
  <c r="D242" i="9"/>
  <c r="F243" i="9"/>
  <c r="D243" i="9"/>
  <c r="F244" i="9"/>
  <c r="D244" i="9"/>
  <c r="F245" i="9"/>
  <c r="D245" i="9"/>
  <c r="F246" i="9"/>
  <c r="D246" i="9"/>
  <c r="F247" i="9"/>
  <c r="D247" i="9"/>
  <c r="F248" i="9"/>
  <c r="D248" i="9"/>
  <c r="F249" i="9"/>
  <c r="D249" i="9"/>
  <c r="F250" i="9"/>
  <c r="D250" i="9"/>
  <c r="F251" i="9"/>
  <c r="D251" i="9"/>
  <c r="F252" i="9"/>
  <c r="D252" i="9"/>
  <c r="F253" i="9"/>
  <c r="D253" i="9"/>
  <c r="F254" i="9"/>
  <c r="D254" i="9"/>
  <c r="F255" i="9"/>
  <c r="D255" i="9"/>
  <c r="F256" i="9"/>
  <c r="D256" i="9"/>
  <c r="F257" i="9"/>
  <c r="D257" i="9"/>
  <c r="F258" i="9"/>
  <c r="D258" i="9"/>
  <c r="F259" i="9"/>
  <c r="D259" i="9"/>
  <c r="F260" i="9"/>
  <c r="D260" i="9"/>
  <c r="F261" i="9"/>
  <c r="D261" i="9"/>
  <c r="F262" i="9"/>
  <c r="D262" i="9"/>
  <c r="F263" i="9"/>
  <c r="D263" i="9"/>
  <c r="F264" i="9"/>
  <c r="D264" i="9"/>
  <c r="F265" i="9"/>
  <c r="D265" i="9"/>
  <c r="F266" i="9"/>
  <c r="D266" i="9"/>
  <c r="N497" i="10" l="1"/>
  <c r="N473" i="10"/>
  <c r="N353" i="10"/>
  <c r="N345" i="10"/>
  <c r="N337" i="10"/>
  <c r="N329" i="10"/>
  <c r="N321" i="10"/>
  <c r="N313" i="10"/>
  <c r="N297" i="10"/>
  <c r="N289" i="10"/>
  <c r="N281" i="10"/>
  <c r="N273" i="10"/>
  <c r="N257" i="10"/>
  <c r="N233" i="10"/>
  <c r="N225" i="10"/>
  <c r="N217" i="10"/>
  <c r="E217" i="9"/>
  <c r="H217" i="9" s="1"/>
  <c r="E209" i="9"/>
  <c r="H209" i="9" s="1"/>
  <c r="E201" i="9"/>
  <c r="H201" i="9" s="1"/>
  <c r="N185" i="10"/>
  <c r="N169" i="10"/>
  <c r="N161" i="10"/>
  <c r="E161" i="9"/>
  <c r="H161" i="9" s="1"/>
  <c r="N145" i="10"/>
  <c r="N137" i="10"/>
  <c r="E137" i="9"/>
  <c r="H137" i="9" s="1"/>
  <c r="N121" i="10"/>
  <c r="E113" i="9"/>
  <c r="H113" i="9" s="1"/>
  <c r="N50" i="10"/>
  <c r="E50" i="9"/>
  <c r="H50" i="9" s="1"/>
  <c r="N467" i="10"/>
  <c r="N443" i="10"/>
  <c r="N435" i="10"/>
  <c r="N427" i="10"/>
  <c r="N411" i="10"/>
  <c r="N363" i="10"/>
  <c r="N355" i="10"/>
  <c r="N347" i="10"/>
  <c r="N339" i="10"/>
  <c r="N307" i="10"/>
  <c r="N299" i="10"/>
  <c r="N291" i="10"/>
  <c r="N283" i="10"/>
  <c r="N275" i="10"/>
  <c r="N267" i="10"/>
  <c r="N259" i="10"/>
  <c r="N243" i="10"/>
  <c r="N235" i="10"/>
  <c r="N227" i="10"/>
  <c r="N219" i="10"/>
  <c r="N211" i="10"/>
  <c r="N203" i="10"/>
  <c r="N499" i="10"/>
  <c r="E30" i="9"/>
  <c r="H30" i="9" s="1"/>
  <c r="N487" i="10"/>
  <c r="N439" i="10"/>
  <c r="N391" i="10"/>
  <c r="N375" i="10"/>
  <c r="N367" i="10"/>
  <c r="N359" i="10"/>
  <c r="N343" i="10"/>
  <c r="N335" i="10"/>
  <c r="N327" i="10"/>
  <c r="N319" i="10"/>
  <c r="N311" i="10"/>
  <c r="N303" i="10"/>
  <c r="N295" i="10"/>
  <c r="N287" i="10"/>
  <c r="N279" i="10"/>
  <c r="N271" i="10"/>
  <c r="N263" i="10"/>
  <c r="N255" i="10"/>
  <c r="N247" i="10"/>
  <c r="N239" i="10"/>
  <c r="N231" i="10"/>
  <c r="E231" i="9"/>
  <c r="H231" i="9" s="1"/>
  <c r="N215" i="10"/>
  <c r="N207" i="10"/>
  <c r="N199" i="10"/>
  <c r="N191" i="10"/>
  <c r="N183" i="10"/>
  <c r="N175" i="10"/>
  <c r="E167" i="9"/>
  <c r="H167" i="9" s="1"/>
  <c r="N151" i="10"/>
  <c r="N143" i="10"/>
  <c r="E143" i="9"/>
  <c r="H143" i="9" s="1"/>
  <c r="N127" i="10"/>
  <c r="N119" i="10"/>
  <c r="N111" i="10"/>
  <c r="N103" i="10"/>
  <c r="N95" i="10"/>
  <c r="N87" i="10"/>
  <c r="N79" i="10"/>
  <c r="E79" i="9"/>
  <c r="H79" i="9" s="1"/>
  <c r="E71" i="9"/>
  <c r="H71" i="9" s="1"/>
  <c r="E63" i="9"/>
  <c r="H63" i="9" s="1"/>
  <c r="N47" i="10"/>
  <c r="N39" i="10"/>
  <c r="N31" i="10"/>
  <c r="N23" i="10"/>
  <c r="N463" i="10"/>
  <c r="N455" i="10"/>
  <c r="N415" i="10"/>
  <c r="N407" i="10"/>
  <c r="N496" i="10"/>
  <c r="N488" i="10"/>
  <c r="N480" i="10"/>
  <c r="N472" i="10"/>
  <c r="N464" i="10"/>
  <c r="N456" i="10"/>
  <c r="N448" i="10"/>
  <c r="N440" i="10"/>
  <c r="N432" i="10"/>
  <c r="N424" i="10"/>
  <c r="N416" i="10"/>
  <c r="N408" i="10"/>
  <c r="N400" i="10"/>
  <c r="N392" i="10"/>
  <c r="N384" i="10"/>
  <c r="N368" i="10"/>
  <c r="N360" i="10"/>
  <c r="N352" i="10"/>
  <c r="N344" i="10"/>
  <c r="N336" i="10"/>
  <c r="N328" i="10"/>
  <c r="N320" i="10"/>
  <c r="N312" i="10"/>
  <c r="N304" i="10"/>
  <c r="N296" i="10"/>
  <c r="N288" i="10"/>
  <c r="N280" i="10"/>
  <c r="N272" i="10"/>
  <c r="N264" i="10"/>
  <c r="E264" i="9"/>
  <c r="H264" i="9" s="1"/>
  <c r="N248" i="10"/>
  <c r="E248" i="9"/>
  <c r="H248" i="9" s="1"/>
  <c r="N232" i="10"/>
  <c r="N224" i="10"/>
  <c r="E224" i="9"/>
  <c r="H224" i="9" s="1"/>
  <c r="N208" i="10"/>
  <c r="E208" i="9"/>
  <c r="H208" i="9" s="1"/>
  <c r="N192" i="10"/>
  <c r="N176" i="10"/>
  <c r="E176" i="9"/>
  <c r="H176" i="9" s="1"/>
  <c r="N160" i="10"/>
  <c r="N152" i="10"/>
  <c r="N144" i="10"/>
  <c r="N136" i="10"/>
  <c r="N128" i="10"/>
  <c r="N120" i="10"/>
  <c r="N112" i="10"/>
  <c r="N104" i="10"/>
  <c r="N96" i="10"/>
  <c r="N88" i="10"/>
  <c r="N80" i="10"/>
  <c r="N72" i="10"/>
  <c r="N64" i="10"/>
  <c r="N48" i="10"/>
  <c r="N40" i="10"/>
  <c r="N32" i="10"/>
  <c r="N24" i="10"/>
  <c r="N479" i="10"/>
  <c r="N431" i="10"/>
  <c r="N465" i="10"/>
  <c r="N457" i="10"/>
  <c r="N449" i="10"/>
  <c r="N441" i="10"/>
  <c r="N433" i="10"/>
  <c r="N425" i="10"/>
  <c r="N417" i="10"/>
  <c r="N409" i="10"/>
  <c r="N401" i="10"/>
  <c r="N393" i="10"/>
  <c r="N385" i="10"/>
  <c r="N377" i="10"/>
  <c r="N369" i="10"/>
  <c r="E105" i="9"/>
  <c r="H105" i="9" s="1"/>
  <c r="N89" i="10"/>
  <c r="E89" i="9"/>
  <c r="H89" i="9" s="1"/>
  <c r="N73" i="10"/>
  <c r="N65" i="10"/>
  <c r="N57" i="10"/>
  <c r="N49" i="10"/>
  <c r="N41" i="10"/>
  <c r="E41" i="9"/>
  <c r="H41" i="9" s="1"/>
  <c r="N25" i="10"/>
  <c r="N495" i="10"/>
  <c r="N447" i="10"/>
  <c r="N399" i="10"/>
  <c r="N498" i="10"/>
  <c r="N490" i="10"/>
  <c r="N482" i="10"/>
  <c r="N474" i="10"/>
  <c r="N466" i="10"/>
  <c r="N458" i="10"/>
  <c r="N450" i="10"/>
  <c r="N442" i="10"/>
  <c r="N434" i="10"/>
  <c r="N426" i="10"/>
  <c r="N418" i="10"/>
  <c r="N410" i="10"/>
  <c r="N394" i="10"/>
  <c r="N386" i="10"/>
  <c r="N378" i="10"/>
  <c r="N370" i="10"/>
  <c r="N362" i="10"/>
  <c r="N354" i="10"/>
  <c r="N346" i="10"/>
  <c r="N338" i="10"/>
  <c r="N330" i="10"/>
  <c r="N322" i="10"/>
  <c r="N314" i="10"/>
  <c r="N306" i="10"/>
  <c r="N298" i="10"/>
  <c r="N290" i="10"/>
  <c r="N282" i="10"/>
  <c r="N274" i="10"/>
  <c r="N266" i="10"/>
  <c r="N258" i="10"/>
  <c r="N250" i="10"/>
  <c r="N242" i="10"/>
  <c r="N234" i="10"/>
  <c r="N226" i="10"/>
  <c r="N218" i="10"/>
  <c r="E210" i="9"/>
  <c r="H210" i="9" s="1"/>
  <c r="N194" i="10"/>
  <c r="E194" i="9"/>
  <c r="H194" i="9" s="1"/>
  <c r="E186" i="9"/>
  <c r="H186" i="9" s="1"/>
  <c r="N170" i="10"/>
  <c r="E170" i="9"/>
  <c r="H170" i="9" s="1"/>
  <c r="N154" i="10"/>
  <c r="E146" i="9"/>
  <c r="H146" i="9" s="1"/>
  <c r="N130" i="10"/>
  <c r="N122" i="10"/>
  <c r="N114" i="10"/>
  <c r="E114" i="9"/>
  <c r="H114" i="9" s="1"/>
  <c r="N98" i="10"/>
  <c r="E98" i="9"/>
  <c r="H98" i="9" s="1"/>
  <c r="N82" i="10"/>
  <c r="N74" i="10"/>
  <c r="E74" i="9"/>
  <c r="H74" i="9" s="1"/>
  <c r="N58" i="10"/>
  <c r="E42" i="9"/>
  <c r="H42" i="9" s="1"/>
  <c r="E34" i="9"/>
  <c r="H34" i="9" s="1"/>
  <c r="N471" i="10"/>
  <c r="N423" i="10"/>
  <c r="N491" i="10"/>
  <c r="N483" i="10"/>
  <c r="N475" i="10"/>
  <c r="N459" i="10"/>
  <c r="N451" i="10"/>
  <c r="N403" i="10"/>
  <c r="N395" i="10"/>
  <c r="N387" i="10"/>
  <c r="N379" i="10"/>
  <c r="N371" i="10"/>
  <c r="N502" i="10"/>
  <c r="N503" i="10"/>
  <c r="N500" i="10"/>
  <c r="N492" i="10"/>
  <c r="N476" i="10"/>
  <c r="N468" i="10"/>
  <c r="N460" i="10"/>
  <c r="N452" i="10"/>
  <c r="N444" i="10"/>
  <c r="N436" i="10"/>
  <c r="N428" i="10"/>
  <c r="N420" i="10"/>
  <c r="N412" i="10"/>
  <c r="N404" i="10"/>
  <c r="N396" i="10"/>
  <c r="N388" i="10"/>
  <c r="N380" i="10"/>
  <c r="N372" i="10"/>
  <c r="N364" i="10"/>
  <c r="N356" i="10"/>
  <c r="N348" i="10"/>
  <c r="N340" i="10"/>
  <c r="N332" i="10"/>
  <c r="N324" i="10"/>
  <c r="N316" i="10"/>
  <c r="N308" i="10"/>
  <c r="N300" i="10"/>
  <c r="N292" i="10"/>
  <c r="N284" i="10"/>
  <c r="N276" i="10"/>
  <c r="N268" i="10"/>
  <c r="N260" i="10"/>
  <c r="E260" i="9"/>
  <c r="H260" i="9" s="1"/>
  <c r="N244" i="10"/>
  <c r="E244" i="9"/>
  <c r="H244" i="9" s="1"/>
  <c r="N228" i="10"/>
  <c r="N220" i="10"/>
  <c r="E220" i="9"/>
  <c r="H220" i="9" s="1"/>
  <c r="N204" i="10"/>
  <c r="N196" i="10"/>
  <c r="N188" i="10"/>
  <c r="N180" i="10"/>
  <c r="E180" i="9"/>
  <c r="H180" i="9" s="1"/>
  <c r="E172" i="9"/>
  <c r="H172" i="9" s="1"/>
  <c r="N156" i="10"/>
  <c r="N148" i="10"/>
  <c r="E148" i="9"/>
  <c r="H148" i="9" s="1"/>
  <c r="E140" i="9"/>
  <c r="H140" i="9" s="1"/>
  <c r="N124" i="10"/>
  <c r="E124" i="9"/>
  <c r="H124" i="9" s="1"/>
  <c r="E116" i="9"/>
  <c r="H116" i="9" s="1"/>
  <c r="N100" i="10"/>
  <c r="E100" i="9"/>
  <c r="H100" i="9" s="1"/>
  <c r="E92" i="9"/>
  <c r="H92" i="9" s="1"/>
  <c r="N76" i="10"/>
  <c r="N68" i="10"/>
  <c r="N60" i="10"/>
  <c r="N52" i="10"/>
  <c r="N44" i="10"/>
  <c r="E44" i="9"/>
  <c r="H44" i="9" s="1"/>
  <c r="N28" i="10"/>
  <c r="N493" i="10"/>
  <c r="N485" i="10"/>
  <c r="N477" i="10"/>
  <c r="N469" i="10"/>
  <c r="N461" i="10"/>
  <c r="N453" i="10"/>
  <c r="N445" i="10"/>
  <c r="N437" i="10"/>
  <c r="N429" i="10"/>
  <c r="N421" i="10"/>
  <c r="N413" i="10"/>
  <c r="N405" i="10"/>
  <c r="N397" i="10"/>
  <c r="N389" i="10"/>
  <c r="N381" i="10"/>
  <c r="N373" i="10"/>
  <c r="N365" i="10"/>
  <c r="N21" i="10"/>
  <c r="N326" i="10"/>
  <c r="N318" i="10"/>
  <c r="N310" i="10"/>
  <c r="N302" i="10"/>
  <c r="N294" i="10"/>
  <c r="N286" i="10"/>
  <c r="N278" i="10"/>
  <c r="N270" i="10"/>
  <c r="N262" i="10"/>
  <c r="N484" i="10"/>
  <c r="N361" i="10"/>
  <c r="N358" i="10"/>
  <c r="N357" i="10"/>
  <c r="N351" i="10"/>
  <c r="N350" i="10"/>
  <c r="N349" i="10"/>
  <c r="N342" i="10"/>
  <c r="N341" i="10"/>
  <c r="N334" i="10"/>
  <c r="N333" i="10"/>
  <c r="N331" i="10"/>
  <c r="N486" i="10"/>
  <c r="N478" i="10"/>
  <c r="N470" i="10"/>
  <c r="N462" i="10"/>
  <c r="N454" i="10"/>
  <c r="N446" i="10"/>
  <c r="N438" i="10"/>
  <c r="N430" i="10"/>
  <c r="N422" i="10"/>
  <c r="N414" i="10"/>
  <c r="N406" i="10"/>
  <c r="N398" i="10"/>
  <c r="N390" i="10"/>
  <c r="N382" i="10"/>
  <c r="N374" i="10"/>
  <c r="N305" i="10"/>
  <c r="N265" i="10"/>
  <c r="N494" i="10"/>
  <c r="N323" i="10"/>
  <c r="N315" i="10"/>
  <c r="N489" i="10"/>
  <c r="N481" i="10"/>
  <c r="N325" i="10"/>
  <c r="N317" i="10"/>
  <c r="N309" i="10"/>
  <c r="N301" i="10"/>
  <c r="N293" i="10"/>
  <c r="N285" i="10"/>
  <c r="N277" i="10"/>
  <c r="N269" i="10"/>
  <c r="N261" i="10"/>
  <c r="E163" i="9"/>
  <c r="H163" i="9" s="1"/>
  <c r="E131" i="9"/>
  <c r="H131" i="9" s="1"/>
  <c r="N91" i="10"/>
  <c r="N27" i="10"/>
  <c r="E214" i="9"/>
  <c r="H214" i="9" s="1"/>
  <c r="E150" i="9"/>
  <c r="H150" i="9" s="1"/>
  <c r="N376" i="10"/>
  <c r="N504" i="10"/>
  <c r="N402" i="10"/>
  <c r="N419" i="10"/>
  <c r="N501" i="10"/>
  <c r="N366" i="10"/>
  <c r="N383" i="10"/>
  <c r="N213" i="10"/>
  <c r="N197" i="10"/>
  <c r="N149" i="10"/>
  <c r="N133" i="10"/>
  <c r="N118" i="10"/>
  <c r="E118" i="9"/>
  <c r="H118" i="9" s="1"/>
  <c r="N86" i="10"/>
  <c r="N78" i="10"/>
  <c r="N62" i="10"/>
  <c r="N46" i="10"/>
  <c r="E128" i="9"/>
  <c r="H128" i="9" s="1"/>
  <c r="N117" i="10"/>
  <c r="E125" i="9"/>
  <c r="H125" i="9" s="1"/>
  <c r="N115" i="10"/>
  <c r="E123" i="9"/>
  <c r="H123" i="9" s="1"/>
  <c r="N113" i="10"/>
  <c r="E121" i="9"/>
  <c r="H121" i="9" s="1"/>
  <c r="N110" i="10"/>
  <c r="N109" i="10"/>
  <c r="E117" i="9"/>
  <c r="H117" i="9" s="1"/>
  <c r="N107" i="10"/>
  <c r="E115" i="9"/>
  <c r="H115" i="9" s="1"/>
  <c r="N102" i="10"/>
  <c r="E110" i="9"/>
  <c r="H110" i="9" s="1"/>
  <c r="N101" i="10"/>
  <c r="E109" i="9"/>
  <c r="H109" i="9" s="1"/>
  <c r="N99" i="10"/>
  <c r="E107" i="9"/>
  <c r="H107" i="9" s="1"/>
  <c r="N94" i="10"/>
  <c r="E102" i="9"/>
  <c r="H102" i="9" s="1"/>
  <c r="N93" i="10"/>
  <c r="E101" i="9"/>
  <c r="H101" i="9" s="1"/>
  <c r="E94" i="9"/>
  <c r="H94" i="9" s="1"/>
  <c r="N85" i="10"/>
  <c r="E93" i="9"/>
  <c r="H93" i="9" s="1"/>
  <c r="N83" i="10"/>
  <c r="E91" i="9"/>
  <c r="H91" i="9" s="1"/>
  <c r="E90" i="9"/>
  <c r="H90" i="9" s="1"/>
  <c r="N77" i="10"/>
  <c r="E85" i="9"/>
  <c r="H85" i="9" s="1"/>
  <c r="N75" i="10"/>
  <c r="E83" i="9"/>
  <c r="H83" i="9" s="1"/>
  <c r="N70" i="10"/>
  <c r="E78" i="9"/>
  <c r="H78" i="9" s="1"/>
  <c r="N69" i="10"/>
  <c r="E77" i="9"/>
  <c r="H77" i="9" s="1"/>
  <c r="N67" i="10"/>
  <c r="E75" i="9"/>
  <c r="H75" i="9" s="1"/>
  <c r="N61" i="10"/>
  <c r="E69" i="9"/>
  <c r="H69" i="9" s="1"/>
  <c r="N59" i="10"/>
  <c r="E67" i="9"/>
  <c r="H67" i="9" s="1"/>
  <c r="N56" i="10"/>
  <c r="E64" i="9"/>
  <c r="H64" i="9" s="1"/>
  <c r="N55" i="10"/>
  <c r="N54" i="10"/>
  <c r="E62" i="9"/>
  <c r="H62" i="9" s="1"/>
  <c r="N53" i="10"/>
  <c r="E61" i="9"/>
  <c r="H61" i="9" s="1"/>
  <c r="N51" i="10"/>
  <c r="E59" i="9"/>
  <c r="H59" i="9" s="1"/>
  <c r="E54" i="9"/>
  <c r="H54" i="9" s="1"/>
  <c r="N45" i="10"/>
  <c r="E53" i="9"/>
  <c r="H53" i="9" s="1"/>
  <c r="N43" i="10"/>
  <c r="E51" i="9"/>
  <c r="H51" i="9" s="1"/>
  <c r="N38" i="10"/>
  <c r="E46" i="9"/>
  <c r="H46" i="9" s="1"/>
  <c r="N37" i="10"/>
  <c r="E45" i="9"/>
  <c r="H45" i="9" s="1"/>
  <c r="N35" i="10"/>
  <c r="E43" i="9"/>
  <c r="H43" i="9" s="1"/>
  <c r="N30" i="10"/>
  <c r="E38" i="9"/>
  <c r="H38" i="9" s="1"/>
  <c r="N29" i="10"/>
  <c r="E37" i="9"/>
  <c r="H37" i="9" s="1"/>
  <c r="E265" i="9"/>
  <c r="H265" i="9" s="1"/>
  <c r="N256" i="10"/>
  <c r="N254" i="10"/>
  <c r="E262" i="9"/>
  <c r="H262" i="9" s="1"/>
  <c r="N253" i="10"/>
  <c r="E261" i="9"/>
  <c r="H261" i="9" s="1"/>
  <c r="N251" i="10"/>
  <c r="E259" i="9"/>
  <c r="H259" i="9" s="1"/>
  <c r="N249" i="10"/>
  <c r="E257" i="9"/>
  <c r="H257" i="9" s="1"/>
  <c r="E256" i="9"/>
  <c r="H256" i="9" s="1"/>
  <c r="N246" i="10"/>
  <c r="E254" i="9"/>
  <c r="H254" i="9" s="1"/>
  <c r="N245" i="10"/>
  <c r="E253" i="9"/>
  <c r="H253" i="9" s="1"/>
  <c r="N241" i="10"/>
  <c r="E249" i="9"/>
  <c r="H249" i="9" s="1"/>
  <c r="N238" i="10"/>
  <c r="E246" i="9"/>
  <c r="H246" i="9" s="1"/>
  <c r="N237" i="10"/>
  <c r="E245" i="9"/>
  <c r="H245" i="9" s="1"/>
  <c r="N230" i="10"/>
  <c r="E238" i="9"/>
  <c r="H238" i="9" s="1"/>
  <c r="N229" i="10"/>
  <c r="E237" i="9"/>
  <c r="H237" i="9" s="1"/>
  <c r="N223" i="10"/>
  <c r="N222" i="10"/>
  <c r="E230" i="9"/>
  <c r="H230" i="9" s="1"/>
  <c r="N221" i="10"/>
  <c r="E229" i="9"/>
  <c r="H229" i="9" s="1"/>
  <c r="N214" i="10"/>
  <c r="E222" i="9"/>
  <c r="H222" i="9" s="1"/>
  <c r="N210" i="10"/>
  <c r="E218" i="9"/>
  <c r="H218" i="9" s="1"/>
  <c r="N206" i="10"/>
  <c r="N205" i="10"/>
  <c r="E213" i="9"/>
  <c r="H213" i="9" s="1"/>
  <c r="N198" i="10"/>
  <c r="E206" i="9"/>
  <c r="H206" i="9" s="1"/>
  <c r="N195" i="10"/>
  <c r="E203" i="9"/>
  <c r="H203" i="9" s="1"/>
  <c r="N190" i="10"/>
  <c r="E198" i="9"/>
  <c r="H198" i="9" s="1"/>
  <c r="N189" i="10"/>
  <c r="E197" i="9"/>
  <c r="H197" i="9" s="1"/>
  <c r="N187" i="10"/>
  <c r="E195" i="9"/>
  <c r="H195" i="9" s="1"/>
  <c r="N184" i="10"/>
  <c r="E192" i="9"/>
  <c r="H192" i="9" s="1"/>
  <c r="N182" i="10"/>
  <c r="E190" i="9"/>
  <c r="H190" i="9" s="1"/>
  <c r="N181" i="10"/>
  <c r="E189" i="9"/>
  <c r="H189" i="9" s="1"/>
  <c r="N179" i="10"/>
  <c r="E187" i="9"/>
  <c r="H187" i="9" s="1"/>
  <c r="N177" i="10"/>
  <c r="E185" i="9"/>
  <c r="H185" i="9" s="1"/>
  <c r="N174" i="10"/>
  <c r="E182" i="9"/>
  <c r="H182" i="9" s="1"/>
  <c r="N173" i="10"/>
  <c r="E181" i="9"/>
  <c r="H181" i="9" s="1"/>
  <c r="N171" i="10"/>
  <c r="E179" i="9"/>
  <c r="H179" i="9" s="1"/>
  <c r="N167" i="10"/>
  <c r="E175" i="9"/>
  <c r="H175" i="9" s="1"/>
  <c r="N166" i="10"/>
  <c r="E174" i="9"/>
  <c r="H174" i="9" s="1"/>
  <c r="N165" i="10"/>
  <c r="E173" i="9"/>
  <c r="H173" i="9" s="1"/>
  <c r="N163" i="10"/>
  <c r="E171" i="9"/>
  <c r="H171" i="9" s="1"/>
  <c r="N158" i="10"/>
  <c r="E166" i="9"/>
  <c r="H166" i="9" s="1"/>
  <c r="N157" i="10"/>
  <c r="E165" i="9"/>
  <c r="H165" i="9" s="1"/>
  <c r="N150" i="10"/>
  <c r="E158" i="9"/>
  <c r="H158" i="9" s="1"/>
  <c r="N147" i="10"/>
  <c r="E155" i="9"/>
  <c r="H155" i="9" s="1"/>
  <c r="N146" i="10"/>
  <c r="E154" i="9"/>
  <c r="H154" i="9" s="1"/>
  <c r="N141" i="10"/>
  <c r="E149" i="9"/>
  <c r="H149" i="9" s="1"/>
  <c r="N139" i="10"/>
  <c r="E147" i="9"/>
  <c r="H147" i="9" s="1"/>
  <c r="N134" i="10"/>
  <c r="E142" i="9"/>
  <c r="H142" i="9" s="1"/>
  <c r="N131" i="10"/>
  <c r="E139" i="9"/>
  <c r="H139" i="9" s="1"/>
  <c r="N126" i="10"/>
  <c r="E134" i="9"/>
  <c r="H134" i="9" s="1"/>
  <c r="N125" i="10"/>
  <c r="E133" i="9"/>
  <c r="H133" i="9" s="1"/>
  <c r="N123" i="10"/>
  <c r="N164" i="10" l="1"/>
  <c r="E95" i="9"/>
  <c r="H95" i="9" s="1"/>
  <c r="N22" i="10"/>
  <c r="N105" i="10"/>
  <c r="E184" i="9"/>
  <c r="H184" i="9" s="1"/>
  <c r="E183" i="9"/>
  <c r="H183" i="9" s="1"/>
  <c r="N172" i="10"/>
  <c r="E56" i="9"/>
  <c r="H56" i="9" s="1"/>
  <c r="N240" i="10"/>
  <c r="E191" i="9"/>
  <c r="H191" i="9" s="1"/>
  <c r="E255" i="9"/>
  <c r="H255" i="9" s="1"/>
  <c r="N33" i="10"/>
  <c r="E219" i="9"/>
  <c r="H219" i="9" s="1"/>
  <c r="E127" i="9"/>
  <c r="H127" i="9" s="1"/>
  <c r="E178" i="9"/>
  <c r="H178" i="9" s="1"/>
  <c r="E223" i="9"/>
  <c r="H223" i="9" s="1"/>
  <c r="E31" i="9"/>
  <c r="H31" i="9" s="1"/>
  <c r="E159" i="9"/>
  <c r="H159" i="9" s="1"/>
  <c r="E241" i="9"/>
  <c r="H241" i="9" s="1"/>
  <c r="E177" i="9"/>
  <c r="H177" i="9" s="1"/>
  <c r="E251" i="9"/>
  <c r="H251" i="9" s="1"/>
  <c r="E120" i="9"/>
  <c r="H120" i="9" s="1"/>
  <c r="E164" i="9"/>
  <c r="H164" i="9" s="1"/>
  <c r="N36" i="10"/>
  <c r="E236" i="9"/>
  <c r="H236" i="9" s="1"/>
  <c r="E108" i="9"/>
  <c r="H108" i="9" s="1"/>
  <c r="E188" i="9"/>
  <c r="H188" i="9" s="1"/>
  <c r="E72" i="9"/>
  <c r="H72" i="9" s="1"/>
  <c r="E136" i="9"/>
  <c r="H136" i="9" s="1"/>
  <c r="N81" i="10"/>
  <c r="E193" i="9"/>
  <c r="H193" i="9" s="1"/>
  <c r="E200" i="9"/>
  <c r="H200" i="9" s="1"/>
  <c r="E129" i="9"/>
  <c r="H129" i="9" s="1"/>
  <c r="E111" i="9"/>
  <c r="H111" i="9" s="1"/>
  <c r="E239" i="9"/>
  <c r="H239" i="9" s="1"/>
  <c r="E47" i="9"/>
  <c r="H47" i="9" s="1"/>
  <c r="N108" i="10"/>
  <c r="E52" i="9"/>
  <c r="H52" i="9" s="1"/>
  <c r="N90" i="10"/>
  <c r="N26" i="10"/>
  <c r="N106" i="10"/>
  <c r="N236" i="10"/>
  <c r="N162" i="10"/>
  <c r="E211" i="9"/>
  <c r="H211" i="9" s="1"/>
  <c r="E119" i="9"/>
  <c r="H119" i="9" s="1"/>
  <c r="E234" i="9"/>
  <c r="H234" i="9" s="1"/>
  <c r="N129" i="10"/>
  <c r="N193" i="10"/>
  <c r="E55" i="9"/>
  <c r="H55" i="9" s="1"/>
  <c r="E106" i="9"/>
  <c r="H106" i="9" s="1"/>
  <c r="E33" i="9"/>
  <c r="H33" i="9" s="1"/>
  <c r="E247" i="9"/>
  <c r="H247" i="9" s="1"/>
  <c r="E97" i="9"/>
  <c r="H97" i="9" s="1"/>
  <c r="E36" i="9"/>
  <c r="H36" i="9" s="1"/>
  <c r="E29" i="9"/>
  <c r="H29" i="9" s="1"/>
  <c r="N92" i="10"/>
  <c r="E243" i="9"/>
  <c r="H243" i="9" s="1"/>
  <c r="E228" i="9"/>
  <c r="H228" i="9" s="1"/>
  <c r="E233" i="9"/>
  <c r="H233" i="9" s="1"/>
  <c r="E266" i="9"/>
  <c r="H266" i="9" s="1"/>
  <c r="E169" i="9"/>
  <c r="H169" i="9" s="1"/>
  <c r="E151" i="9"/>
  <c r="H151" i="9" s="1"/>
  <c r="E252" i="9"/>
  <c r="H252" i="9" s="1"/>
  <c r="E60" i="9"/>
  <c r="H60" i="9" s="1"/>
  <c r="N116" i="10"/>
  <c r="E242" i="9"/>
  <c r="H242" i="9" s="1"/>
  <c r="E88" i="9"/>
  <c r="H88" i="9" s="1"/>
  <c r="E68" i="9"/>
  <c r="H68" i="9" s="1"/>
  <c r="N252" i="10"/>
  <c r="E58" i="9"/>
  <c r="H58" i="9" s="1"/>
  <c r="N212" i="10"/>
  <c r="N216" i="10"/>
  <c r="E49" i="9"/>
  <c r="H49" i="9" s="1"/>
  <c r="E32" i="9"/>
  <c r="H32" i="9" s="1"/>
  <c r="E96" i="9"/>
  <c r="H96" i="9" s="1"/>
  <c r="E160" i="9"/>
  <c r="H160" i="9" s="1"/>
  <c r="E258" i="9"/>
  <c r="H258" i="9" s="1"/>
  <c r="E204" i="9"/>
  <c r="H204" i="9" s="1"/>
  <c r="N209" i="10"/>
  <c r="E227" i="9"/>
  <c r="H227" i="9" s="1"/>
  <c r="E66" i="9"/>
  <c r="H66" i="9" s="1"/>
  <c r="N186" i="10"/>
  <c r="E57" i="9"/>
  <c r="H57" i="9" s="1"/>
  <c r="E168" i="9"/>
  <c r="H168" i="9" s="1"/>
  <c r="N63" i="10"/>
  <c r="N140" i="10"/>
  <c r="E212" i="9"/>
  <c r="H212" i="9" s="1"/>
  <c r="E84" i="9"/>
  <c r="H84" i="9" s="1"/>
  <c r="E40" i="9"/>
  <c r="H40" i="9" s="1"/>
  <c r="E104" i="9"/>
  <c r="H104" i="9" s="1"/>
  <c r="E130" i="9"/>
  <c r="H130" i="9" s="1"/>
  <c r="E153" i="9"/>
  <c r="H153" i="9" s="1"/>
  <c r="E138" i="9"/>
  <c r="H138" i="9" s="1"/>
  <c r="N66" i="10"/>
  <c r="E156" i="9"/>
  <c r="H156" i="9" s="1"/>
  <c r="N153" i="10"/>
  <c r="N135" i="10"/>
  <c r="E202" i="9"/>
  <c r="H202" i="9" s="1"/>
  <c r="E65" i="9"/>
  <c r="H65" i="9" s="1"/>
  <c r="N71" i="10"/>
  <c r="N168" i="10"/>
  <c r="N42" i="10"/>
  <c r="N138" i="10"/>
  <c r="E82" i="9"/>
  <c r="H82" i="9" s="1"/>
  <c r="N202" i="10"/>
  <c r="E235" i="9"/>
  <c r="H235" i="9" s="1"/>
  <c r="E48" i="9"/>
  <c r="H48" i="9" s="1"/>
  <c r="N132" i="10"/>
  <c r="E207" i="9"/>
  <c r="H207" i="9" s="1"/>
  <c r="E225" i="9"/>
  <c r="H225" i="9" s="1"/>
  <c r="E240" i="9"/>
  <c r="H240" i="9" s="1"/>
  <c r="E73" i="9"/>
  <c r="H73" i="9" s="1"/>
  <c r="E112" i="9"/>
  <c r="H112" i="9" s="1"/>
  <c r="N178" i="10"/>
  <c r="N200" i="10"/>
  <c r="N34" i="10"/>
  <c r="E144" i="9"/>
  <c r="H144" i="9" s="1"/>
  <c r="N159" i="10"/>
  <c r="E196" i="9"/>
  <c r="H196" i="9" s="1"/>
  <c r="E250" i="9"/>
  <c r="H250" i="9" s="1"/>
  <c r="E80" i="9"/>
  <c r="H80" i="9" s="1"/>
  <c r="E122" i="9"/>
  <c r="H122" i="9" s="1"/>
  <c r="E132" i="9"/>
  <c r="H132" i="9" s="1"/>
  <c r="N142" i="10"/>
  <c r="N155" i="10"/>
  <c r="N201" i="10"/>
  <c r="N84" i="10"/>
  <c r="N97" i="10"/>
  <c r="E126" i="9"/>
  <c r="H126" i="9" s="1"/>
  <c r="E215" i="9"/>
  <c r="H215" i="9" s="1"/>
  <c r="E232" i="9"/>
  <c r="H232" i="9" s="1"/>
  <c r="E70" i="9"/>
  <c r="H70" i="9" s="1"/>
  <c r="E157" i="9"/>
  <c r="H157" i="9" s="1"/>
  <c r="E221" i="9"/>
  <c r="H221" i="9" s="1"/>
  <c r="E35" i="9"/>
  <c r="H35" i="9" s="1"/>
  <c r="E39" i="9"/>
  <c r="H39" i="9" s="1"/>
  <c r="E103" i="9"/>
  <c r="H103" i="9" s="1"/>
  <c r="E162" i="9"/>
  <c r="H162" i="9" s="1"/>
  <c r="E86" i="9"/>
  <c r="H86" i="9" s="1"/>
  <c r="E99" i="9"/>
  <c r="H99" i="9" s="1"/>
  <c r="E145" i="9"/>
  <c r="H145" i="9" s="1"/>
  <c r="E226" i="9"/>
  <c r="H226" i="9" s="1"/>
  <c r="E135" i="9"/>
  <c r="H135" i="9" s="1"/>
  <c r="E199" i="9"/>
  <c r="H199" i="9" s="1"/>
  <c r="E263" i="9"/>
  <c r="H263" i="9" s="1"/>
  <c r="E87" i="9"/>
  <c r="H87" i="9" s="1"/>
  <c r="E152" i="9"/>
  <c r="H152" i="9" s="1"/>
  <c r="E216" i="9"/>
  <c r="H216" i="9" s="1"/>
  <c r="E76" i="9"/>
  <c r="H76" i="9" s="1"/>
  <c r="E141" i="9"/>
  <c r="H141" i="9" s="1"/>
  <c r="E205" i="9"/>
  <c r="H205" i="9" s="1"/>
  <c r="E81" i="9"/>
  <c r="H81" i="9" s="1"/>
  <c r="C13" i="9"/>
  <c r="G13" i="9"/>
  <c r="C14" i="9"/>
  <c r="G14" i="9"/>
  <c r="F14" i="9" l="1"/>
  <c r="D14" i="9"/>
  <c r="F15" i="9"/>
  <c r="D15" i="9"/>
  <c r="F16" i="9"/>
  <c r="D16" i="9"/>
  <c r="D13" i="9"/>
  <c r="F13" i="9"/>
  <c r="I49" i="6" l="1"/>
  <c r="J49" i="6" s="1"/>
  <c r="I772" i="6"/>
  <c r="J772" i="6" s="1"/>
  <c r="I744" i="6"/>
  <c r="J744" i="6" s="1"/>
  <c r="I653" i="6"/>
  <c r="I649" i="6"/>
  <c r="J649" i="6" s="1"/>
  <c r="I843" i="6"/>
  <c r="J843" i="6" s="1"/>
  <c r="I777" i="6"/>
  <c r="J777" i="6" s="1"/>
  <c r="I776" i="6"/>
  <c r="J776" i="6" s="1"/>
  <c r="I775" i="6"/>
  <c r="J775" i="6" s="1"/>
  <c r="I837" i="6"/>
  <c r="J837" i="6" s="1"/>
  <c r="I806" i="6"/>
  <c r="J806" i="6" s="1"/>
  <c r="I652" i="6"/>
  <c r="I768" i="6"/>
  <c r="J768" i="6" s="1"/>
  <c r="I249" i="6"/>
  <c r="J249" i="6" s="1"/>
  <c r="I273" i="6"/>
  <c r="J273" i="6" s="1"/>
  <c r="I272" i="6"/>
  <c r="J272" i="6" s="1"/>
  <c r="I270" i="6"/>
  <c r="J270" i="6" s="1"/>
  <c r="I268" i="6"/>
  <c r="J268" i="6" s="1"/>
  <c r="I246" i="6"/>
  <c r="J246" i="6" s="1"/>
  <c r="E15" i="9" s="1"/>
  <c r="H15" i="9" s="1"/>
  <c r="I267" i="6"/>
  <c r="J267" i="6" s="1"/>
  <c r="I266" i="6"/>
  <c r="J266" i="6" s="1"/>
  <c r="I265" i="6"/>
  <c r="J265" i="6" s="1"/>
  <c r="I262" i="6"/>
  <c r="J262" i="6" s="1"/>
  <c r="I247" i="6"/>
  <c r="J247" i="6" s="1"/>
  <c r="I264" i="6"/>
  <c r="J264" i="6" s="1"/>
  <c r="I263" i="6"/>
  <c r="J263" i="6" s="1"/>
  <c r="I261" i="6"/>
  <c r="J261" i="6" s="1"/>
  <c r="I260" i="6"/>
  <c r="J260" i="6" s="1"/>
  <c r="I248" i="6"/>
  <c r="J248" i="6" s="1"/>
  <c r="I259" i="6"/>
  <c r="J259" i="6" s="1"/>
  <c r="I258" i="6"/>
  <c r="J258" i="6" s="1"/>
  <c r="I253" i="6"/>
  <c r="J253" i="6" s="1"/>
  <c r="I250" i="6"/>
  <c r="I245" i="6"/>
  <c r="J245" i="6" s="1"/>
  <c r="I252" i="6"/>
  <c r="J252" i="6" s="1"/>
  <c r="I251" i="6"/>
  <c r="J251" i="6" s="1"/>
  <c r="I274" i="6"/>
  <c r="J274" i="6" s="1"/>
  <c r="I271" i="6"/>
  <c r="J271" i="6" s="1"/>
  <c r="I269" i="6"/>
  <c r="J269" i="6" s="1"/>
  <c r="I244" i="6"/>
  <c r="J244" i="6" s="1"/>
  <c r="I48" i="6"/>
  <c r="J48" i="6" s="1"/>
  <c r="I47" i="6"/>
  <c r="J47" i="6" s="1"/>
  <c r="I257" i="6"/>
  <c r="J257" i="6" s="1"/>
  <c r="I256" i="6"/>
  <c r="J256" i="6" s="1"/>
  <c r="I255" i="6"/>
  <c r="J255" i="6" s="1"/>
  <c r="I254" i="6"/>
  <c r="J254" i="6" s="1"/>
  <c r="I51" i="6"/>
  <c r="J51" i="6" s="1"/>
  <c r="I50" i="6"/>
  <c r="J50" i="6" s="1"/>
  <c r="I758" i="6"/>
  <c r="J758" i="6" s="1"/>
  <c r="I836" i="6"/>
  <c r="J836" i="6" s="1"/>
  <c r="I52" i="6"/>
  <c r="J52" i="6" s="1"/>
  <c r="I15" i="11" s="1"/>
  <c r="I656" i="6"/>
  <c r="J656" i="6" s="1"/>
  <c r="I805" i="6"/>
  <c r="J805" i="6" s="1"/>
  <c r="I835" i="6"/>
  <c r="J835" i="6" s="1"/>
  <c r="I54" i="6"/>
  <c r="J54" i="6" s="1"/>
  <c r="I658" i="6"/>
  <c r="J658" i="6" s="1"/>
  <c r="I5" i="11" s="1"/>
  <c r="I53" i="6"/>
  <c r="J53" i="6" s="1"/>
  <c r="I834" i="6"/>
  <c r="J834" i="6" s="1"/>
  <c r="I803" i="6"/>
  <c r="J803" i="6" s="1"/>
  <c r="I742" i="6"/>
  <c r="J742" i="6" s="1"/>
  <c r="I751" i="6"/>
  <c r="J751" i="6" s="1"/>
  <c r="I750" i="6"/>
  <c r="J750" i="6" s="1"/>
  <c r="I804" i="6"/>
  <c r="J804" i="6" s="1"/>
  <c r="I10" i="11" s="1"/>
  <c r="I833" i="6"/>
  <c r="J833" i="6" s="1"/>
  <c r="I812" i="6"/>
  <c r="J812" i="6" s="1"/>
  <c r="I808" i="6"/>
  <c r="J808" i="6" s="1"/>
  <c r="I810" i="6"/>
  <c r="J810" i="6" s="1"/>
  <c r="I868" i="6"/>
  <c r="I802" i="6"/>
  <c r="J802" i="6" s="1"/>
  <c r="I129" i="6"/>
  <c r="J129" i="6" s="1"/>
  <c r="I811" i="6"/>
  <c r="J811" i="6" s="1"/>
  <c r="I807" i="6"/>
  <c r="J807" i="6" s="1"/>
  <c r="I801" i="6"/>
  <c r="J801" i="6" s="1"/>
  <c r="I11" i="11" s="1"/>
  <c r="I809" i="6"/>
  <c r="J809" i="6" s="1"/>
  <c r="I867" i="6"/>
  <c r="J867" i="6" s="1"/>
  <c r="I4" i="11" s="1"/>
  <c r="I743" i="6"/>
  <c r="J743" i="6" s="1"/>
  <c r="I740" i="6"/>
  <c r="J740" i="6" s="1"/>
  <c r="I215" i="6"/>
  <c r="J215" i="6" s="1"/>
  <c r="I745" i="6"/>
  <c r="J745" i="6" s="1"/>
  <c r="I55" i="6"/>
  <c r="J55" i="6" s="1"/>
  <c r="I800" i="6"/>
  <c r="J800" i="6" s="1"/>
  <c r="I651" i="6"/>
  <c r="I275" i="6"/>
  <c r="J275" i="6" s="1"/>
  <c r="I56" i="6"/>
  <c r="J56" i="6" s="1"/>
  <c r="I277" i="6"/>
  <c r="J277" i="6" s="1"/>
  <c r="I799" i="6"/>
  <c r="J799" i="6" s="1"/>
  <c r="I183" i="6"/>
  <c r="J183" i="6" s="1"/>
  <c r="I221" i="6"/>
  <c r="J221" i="6" s="1"/>
  <c r="I798" i="6"/>
  <c r="J798" i="6" s="1"/>
  <c r="I739" i="6"/>
  <c r="J739" i="6" s="1"/>
  <c r="I650" i="6"/>
  <c r="J650" i="6" s="1"/>
  <c r="I233" i="6"/>
  <c r="J233" i="6" s="1"/>
  <c r="I738" i="6"/>
  <c r="J738" i="6" s="1"/>
  <c r="I737" i="6"/>
  <c r="J737" i="6" s="1"/>
  <c r="I797" i="6"/>
  <c r="J797" i="6" s="1"/>
  <c r="I160" i="6"/>
  <c r="J160" i="6" s="1"/>
  <c r="I172" i="6"/>
  <c r="J172" i="6" s="1"/>
  <c r="I787" i="6"/>
  <c r="J787" i="6" s="1"/>
  <c r="I292" i="6"/>
  <c r="J292" i="6" s="1"/>
  <c r="I786" i="6"/>
  <c r="J786" i="6" s="1"/>
  <c r="I785" i="6"/>
  <c r="J785" i="6" s="1"/>
  <c r="I784" i="6"/>
  <c r="J784" i="6" s="1"/>
  <c r="I783" i="6"/>
  <c r="J783" i="6" s="1"/>
  <c r="I782" i="6"/>
  <c r="J782" i="6" s="1"/>
  <c r="I781" i="6"/>
  <c r="J781" i="6" s="1"/>
  <c r="I780" i="6"/>
  <c r="J780" i="6" s="1"/>
  <c r="I779" i="6"/>
  <c r="J779" i="6" s="1"/>
  <c r="I645" i="6"/>
  <c r="J645" i="6" s="1"/>
  <c r="I644" i="6"/>
  <c r="J644" i="6" s="1"/>
  <c r="I40" i="6"/>
  <c r="J40" i="6" s="1"/>
  <c r="I39" i="6"/>
  <c r="J39" i="6" s="1"/>
  <c r="I38" i="6"/>
  <c r="J38" i="6" s="1"/>
  <c r="I37" i="6"/>
  <c r="J37" i="6" s="1"/>
  <c r="I36" i="6"/>
  <c r="J36" i="6" s="1"/>
  <c r="I35" i="6"/>
  <c r="J35" i="6" s="1"/>
  <c r="I34" i="6"/>
  <c r="J34" i="6" s="1"/>
  <c r="I33" i="6"/>
  <c r="J33" i="6" s="1"/>
  <c r="I32" i="6"/>
  <c r="J32" i="6" s="1"/>
  <c r="I107" i="6"/>
  <c r="J107" i="6" s="1"/>
  <c r="I31" i="6"/>
  <c r="J31" i="6" s="1"/>
  <c r="I741" i="6"/>
  <c r="J741" i="6" s="1"/>
  <c r="I774" i="6"/>
  <c r="J774" i="6" s="1"/>
  <c r="I773" i="6"/>
  <c r="J773" i="6" s="1"/>
  <c r="I243" i="6"/>
  <c r="J243" i="6" s="1"/>
  <c r="I242" i="6"/>
  <c r="J242" i="6" s="1"/>
  <c r="I241" i="6"/>
  <c r="J241" i="6" s="1"/>
  <c r="I276" i="6"/>
  <c r="J276" i="6" s="1"/>
  <c r="I240" i="6"/>
  <c r="J240" i="6" s="1"/>
  <c r="I239" i="6"/>
  <c r="J239" i="6" s="1"/>
  <c r="I238" i="6"/>
  <c r="J238" i="6" s="1"/>
  <c r="I237" i="6"/>
  <c r="J237" i="6" s="1"/>
  <c r="I236" i="6"/>
  <c r="J236" i="6" s="1"/>
  <c r="I235" i="6"/>
  <c r="J235" i="6" s="1"/>
  <c r="I234" i="6"/>
  <c r="J234" i="6" s="1"/>
  <c r="I231" i="6"/>
  <c r="J231" i="6" s="1"/>
  <c r="I230" i="6"/>
  <c r="J230" i="6" s="1"/>
  <c r="I229" i="6"/>
  <c r="J229" i="6" s="1"/>
  <c r="I228" i="6"/>
  <c r="J228" i="6" s="1"/>
  <c r="I227" i="6"/>
  <c r="J227" i="6" s="1"/>
  <c r="I226" i="6"/>
  <c r="J226" i="6" s="1"/>
  <c r="I225" i="6"/>
  <c r="J225" i="6" s="1"/>
  <c r="I224" i="6"/>
  <c r="J224" i="6" s="1"/>
  <c r="I223" i="6"/>
  <c r="J223" i="6" s="1"/>
  <c r="I222" i="6"/>
  <c r="J222" i="6" s="1"/>
  <c r="I217" i="6"/>
  <c r="J217" i="6" s="1"/>
  <c r="I216" i="6"/>
  <c r="J216" i="6" s="1"/>
  <c r="I212" i="6"/>
  <c r="J212" i="6" s="1"/>
  <c r="I211" i="6"/>
  <c r="J211" i="6" s="1"/>
  <c r="I210" i="6"/>
  <c r="J210" i="6" s="1"/>
  <c r="I209" i="6"/>
  <c r="J209" i="6" s="1"/>
  <c r="I208" i="6"/>
  <c r="J208" i="6" s="1"/>
  <c r="I207" i="6"/>
  <c r="J207" i="6" s="1"/>
  <c r="I206" i="6"/>
  <c r="J206" i="6" s="1"/>
  <c r="I205" i="6"/>
  <c r="J205" i="6" s="1"/>
  <c r="I204" i="6"/>
  <c r="J204" i="6" s="1"/>
  <c r="I203" i="6"/>
  <c r="J203" i="6" s="1"/>
  <c r="I202" i="6"/>
  <c r="J202" i="6" s="1"/>
  <c r="I201" i="6"/>
  <c r="J201" i="6" s="1"/>
  <c r="I200" i="6"/>
  <c r="J200" i="6" s="1"/>
  <c r="I199" i="6"/>
  <c r="J199" i="6" s="1"/>
  <c r="I197" i="6"/>
  <c r="J197" i="6" s="1"/>
  <c r="I198" i="6"/>
  <c r="J198" i="6" s="1"/>
  <c r="I196" i="6"/>
  <c r="J196" i="6" s="1"/>
  <c r="I195" i="6"/>
  <c r="J195" i="6" s="1"/>
  <c r="I194" i="6"/>
  <c r="J194" i="6" s="1"/>
  <c r="I193" i="6"/>
  <c r="J193" i="6" s="1"/>
  <c r="I192" i="6"/>
  <c r="J192" i="6" s="1"/>
  <c r="I191" i="6"/>
  <c r="J191" i="6" s="1"/>
  <c r="I736" i="6"/>
  <c r="J736" i="6" s="1"/>
  <c r="I190" i="6"/>
  <c r="J190" i="6" s="1"/>
  <c r="I189" i="6"/>
  <c r="J189" i="6" s="1"/>
  <c r="I188" i="6"/>
  <c r="J188" i="6" s="1"/>
  <c r="I187" i="6"/>
  <c r="J187" i="6" s="1"/>
  <c r="I186" i="6"/>
  <c r="J186" i="6" s="1"/>
  <c r="I185" i="6"/>
  <c r="J185" i="6" s="1"/>
  <c r="I184" i="6"/>
  <c r="J184" i="6" s="1"/>
  <c r="I182" i="6"/>
  <c r="J182" i="6" s="1"/>
  <c r="I181" i="6"/>
  <c r="J181" i="6" s="1"/>
  <c r="I180" i="6"/>
  <c r="J180" i="6" s="1"/>
  <c r="I178" i="6"/>
  <c r="J178" i="6" s="1"/>
  <c r="I18" i="11" s="1"/>
  <c r="I41" i="6"/>
  <c r="J41" i="6" s="1"/>
  <c r="I179" i="6"/>
  <c r="J179" i="6" s="1"/>
  <c r="I177" i="6"/>
  <c r="J177" i="6" s="1"/>
  <c r="I176" i="6"/>
  <c r="J176" i="6" s="1"/>
  <c r="I175" i="6"/>
  <c r="J175" i="6" s="1"/>
  <c r="I174" i="6"/>
  <c r="J174" i="6" s="1"/>
  <c r="I173" i="6"/>
  <c r="J173" i="6" s="1"/>
  <c r="I30" i="6"/>
  <c r="J30" i="6" s="1"/>
  <c r="I170" i="6"/>
  <c r="J170" i="6" s="1"/>
  <c r="I838" i="6"/>
  <c r="J838" i="6" s="1"/>
  <c r="I169" i="6"/>
  <c r="J169" i="6" s="1"/>
  <c r="I168" i="6"/>
  <c r="J168" i="6" s="1"/>
  <c r="I166" i="6"/>
  <c r="J166" i="6" s="1"/>
  <c r="I167" i="6"/>
  <c r="J167" i="6" s="1"/>
  <c r="I165" i="6"/>
  <c r="J165" i="6" s="1"/>
  <c r="I164" i="6"/>
  <c r="J164" i="6" s="1"/>
  <c r="I163" i="6"/>
  <c r="J163" i="6" s="1"/>
  <c r="I162" i="6"/>
  <c r="J162" i="6" s="1"/>
  <c r="I161" i="6"/>
  <c r="J161" i="6" s="1"/>
  <c r="I156" i="6"/>
  <c r="J156" i="6" s="1"/>
  <c r="I155" i="6"/>
  <c r="J155" i="6" s="1"/>
  <c r="I279" i="6"/>
  <c r="J279" i="6" s="1"/>
  <c r="I154" i="6"/>
  <c r="J154" i="6" s="1"/>
  <c r="I153" i="6"/>
  <c r="J153" i="6" s="1"/>
  <c r="I152" i="6"/>
  <c r="J152" i="6" s="1"/>
  <c r="I778" i="6"/>
  <c r="J778" i="6" s="1"/>
  <c r="I281" i="6"/>
  <c r="J281" i="6" s="1"/>
  <c r="I307" i="6"/>
  <c r="J307" i="6" s="1"/>
  <c r="I151" i="6"/>
  <c r="J151" i="6" s="1"/>
  <c r="I147" i="6"/>
  <c r="J147" i="6" s="1"/>
  <c r="I284" i="6"/>
  <c r="J284" i="6" s="1"/>
  <c r="I283" i="6"/>
  <c r="J283" i="6" s="1"/>
  <c r="I146" i="6"/>
  <c r="J146" i="6" s="1"/>
  <c r="I145" i="6"/>
  <c r="J145" i="6" s="1"/>
  <c r="I61" i="6"/>
  <c r="J61" i="6" s="1"/>
  <c r="I144" i="6"/>
  <c r="J144" i="6" s="1"/>
  <c r="I285" i="6"/>
  <c r="J285" i="6" s="1"/>
  <c r="I141" i="6"/>
  <c r="J141" i="6" s="1"/>
  <c r="I95" i="6"/>
  <c r="J95" i="6" s="1"/>
  <c r="I94" i="6"/>
  <c r="J94" i="6" s="1"/>
  <c r="I93" i="6"/>
  <c r="J93" i="6" s="1"/>
  <c r="I92" i="6"/>
  <c r="J92" i="6" s="1"/>
  <c r="I91" i="6"/>
  <c r="J91" i="6" s="1"/>
  <c r="I90" i="6"/>
  <c r="J90" i="6" s="1"/>
  <c r="I89" i="6"/>
  <c r="J89" i="6" s="1"/>
  <c r="I88" i="6"/>
  <c r="J88" i="6" s="1"/>
  <c r="I87" i="6"/>
  <c r="J87" i="6" s="1"/>
  <c r="I86" i="6"/>
  <c r="J86" i="6" s="1"/>
  <c r="I105" i="6"/>
  <c r="J105" i="6" s="1"/>
  <c r="I104" i="6"/>
  <c r="J104" i="6" s="1"/>
  <c r="I103" i="6"/>
  <c r="J103" i="6" s="1"/>
  <c r="I102" i="6"/>
  <c r="J102" i="6" s="1"/>
  <c r="I101" i="6"/>
  <c r="J101" i="6" s="1"/>
  <c r="I100" i="6"/>
  <c r="J100" i="6" s="1"/>
  <c r="I99" i="6"/>
  <c r="J99" i="6" s="1"/>
  <c r="I98" i="6"/>
  <c r="J98" i="6" s="1"/>
  <c r="I97" i="6"/>
  <c r="J97" i="6" s="1"/>
  <c r="I96" i="6"/>
  <c r="J96" i="6" s="1"/>
  <c r="I85" i="6"/>
  <c r="J85" i="6" s="1"/>
  <c r="I84" i="6"/>
  <c r="J84" i="6" s="1"/>
  <c r="I83" i="6"/>
  <c r="J83" i="6" s="1"/>
  <c r="I82" i="6"/>
  <c r="J82" i="6" s="1"/>
  <c r="I81" i="6"/>
  <c r="J81" i="6" s="1"/>
  <c r="I80" i="6"/>
  <c r="J80" i="6" s="1"/>
  <c r="I79" i="6"/>
  <c r="J79" i="6" s="1"/>
  <c r="I78" i="6"/>
  <c r="J78" i="6" s="1"/>
  <c r="I77" i="6"/>
  <c r="J77" i="6" s="1"/>
  <c r="I76" i="6"/>
  <c r="J76" i="6" s="1"/>
  <c r="I117" i="6"/>
  <c r="J117" i="6" s="1"/>
  <c r="I116" i="6"/>
  <c r="J116" i="6" s="1"/>
  <c r="I115" i="6"/>
  <c r="J115" i="6" s="1"/>
  <c r="I114" i="6"/>
  <c r="J114" i="6" s="1"/>
  <c r="I113" i="6"/>
  <c r="J113" i="6" s="1"/>
  <c r="I112" i="6"/>
  <c r="J112" i="6" s="1"/>
  <c r="I111" i="6"/>
  <c r="J111" i="6" s="1"/>
  <c r="I110" i="6"/>
  <c r="J110" i="6" s="1"/>
  <c r="I109" i="6"/>
  <c r="J109" i="6" s="1"/>
  <c r="I108" i="6"/>
  <c r="J108" i="6" s="1"/>
  <c r="I127" i="6"/>
  <c r="J127" i="6" s="1"/>
  <c r="I126" i="6"/>
  <c r="J126" i="6" s="1"/>
  <c r="I125" i="6"/>
  <c r="J125" i="6" s="1"/>
  <c r="I124" i="6"/>
  <c r="J124" i="6" s="1"/>
  <c r="I123" i="6"/>
  <c r="J123" i="6" s="1"/>
  <c r="I122" i="6"/>
  <c r="J122" i="6" s="1"/>
  <c r="I121" i="6"/>
  <c r="J121" i="6" s="1"/>
  <c r="I120" i="6"/>
  <c r="J120" i="6" s="1"/>
  <c r="I119" i="6"/>
  <c r="J119" i="6" s="1"/>
  <c r="I118" i="6"/>
  <c r="J118" i="6" s="1"/>
  <c r="I139" i="6"/>
  <c r="J139" i="6" s="1"/>
  <c r="I138" i="6"/>
  <c r="J138" i="6" s="1"/>
  <c r="I137" i="6"/>
  <c r="J137" i="6" s="1"/>
  <c r="I136" i="6"/>
  <c r="J136" i="6" s="1"/>
  <c r="I135" i="6"/>
  <c r="J135" i="6" s="1"/>
  <c r="I134" i="6"/>
  <c r="J134" i="6" s="1"/>
  <c r="I133" i="6"/>
  <c r="J133" i="6" s="1"/>
  <c r="I132" i="6"/>
  <c r="J132" i="6" s="1"/>
  <c r="I131" i="6"/>
  <c r="J131" i="6" s="1"/>
  <c r="I130" i="6"/>
  <c r="J130" i="6" s="1"/>
  <c r="I735" i="6"/>
  <c r="J735" i="6" s="1"/>
  <c r="I293" i="6"/>
  <c r="J293" i="6" s="1"/>
  <c r="I722" i="6"/>
  <c r="J722" i="6" s="1"/>
  <c r="I734" i="6"/>
  <c r="J734" i="6" s="1"/>
  <c r="I721" i="6"/>
  <c r="J721" i="6" s="1"/>
  <c r="I720" i="6"/>
  <c r="J720" i="6" s="1"/>
  <c r="I655" i="6"/>
  <c r="I719" i="6"/>
  <c r="J719" i="6" s="1"/>
  <c r="I718" i="6"/>
  <c r="J718" i="6" s="1"/>
  <c r="I717" i="6"/>
  <c r="J717" i="6" s="1"/>
  <c r="I716" i="6"/>
  <c r="J716" i="6" s="1"/>
  <c r="I280" i="6"/>
  <c r="J280" i="6" s="1"/>
  <c r="I733" i="6"/>
  <c r="J733" i="6" s="1"/>
  <c r="I715" i="6"/>
  <c r="J715" i="6" s="1"/>
  <c r="I714" i="6"/>
  <c r="J714" i="6" s="1"/>
  <c r="I713" i="6"/>
  <c r="J713" i="6" s="1"/>
  <c r="I712" i="6"/>
  <c r="J712" i="6" s="1"/>
  <c r="I711" i="6"/>
  <c r="J711" i="6" s="1"/>
  <c r="I710" i="6"/>
  <c r="J710" i="6" s="1"/>
  <c r="I308" i="6"/>
  <c r="J308" i="6" s="1"/>
  <c r="I709" i="6"/>
  <c r="J709" i="6" s="1"/>
  <c r="I708" i="6"/>
  <c r="J708" i="6" s="1"/>
  <c r="I647" i="6"/>
  <c r="J647" i="6" s="1"/>
  <c r="I8" i="11" s="1"/>
  <c r="I707" i="6"/>
  <c r="J707" i="6" s="1"/>
  <c r="I706" i="6"/>
  <c r="J706" i="6" s="1"/>
  <c r="I705" i="6"/>
  <c r="J705" i="6" s="1"/>
  <c r="I704" i="6"/>
  <c r="J704" i="6" s="1"/>
  <c r="I841" i="6"/>
  <c r="J841" i="6" s="1"/>
  <c r="I763" i="6"/>
  <c r="J763" i="6" s="1"/>
  <c r="I703" i="6"/>
  <c r="J703" i="6" s="1"/>
  <c r="I702" i="6"/>
  <c r="J702" i="6" s="1"/>
  <c r="I701" i="6"/>
  <c r="J701" i="6" s="1"/>
  <c r="I57" i="6"/>
  <c r="J57" i="6" s="1"/>
  <c r="I16" i="11" s="1"/>
  <c r="I700" i="6"/>
  <c r="J700" i="6" s="1"/>
  <c r="I278" i="6"/>
  <c r="J278" i="6" s="1"/>
  <c r="I699" i="6"/>
  <c r="J699" i="6" s="1"/>
  <c r="I698" i="6"/>
  <c r="J698" i="6" s="1"/>
  <c r="I697" i="6"/>
  <c r="J697" i="6" s="1"/>
  <c r="I762" i="6"/>
  <c r="J762" i="6" s="1"/>
  <c r="I696" i="6"/>
  <c r="J696" i="6" s="1"/>
  <c r="I695" i="6"/>
  <c r="J695" i="6" s="1"/>
  <c r="I694" i="6"/>
  <c r="J694" i="6" s="1"/>
  <c r="I771" i="6"/>
  <c r="J771" i="6" s="1"/>
  <c r="I693" i="6"/>
  <c r="J693" i="6" s="1"/>
  <c r="I692" i="6"/>
  <c r="J692" i="6" s="1"/>
  <c r="I690" i="6"/>
  <c r="J690" i="6" s="1"/>
  <c r="I689" i="6"/>
  <c r="J689" i="6" s="1"/>
  <c r="I688" i="6"/>
  <c r="J688" i="6" s="1"/>
  <c r="I687" i="6"/>
  <c r="J687" i="6" s="1"/>
  <c r="I685" i="6"/>
  <c r="J685" i="6" s="1"/>
  <c r="I683" i="6"/>
  <c r="J683" i="6" s="1"/>
  <c r="I691" i="6"/>
  <c r="J691" i="6" s="1"/>
  <c r="I686" i="6"/>
  <c r="J686" i="6" s="1"/>
  <c r="I684" i="6"/>
  <c r="J684" i="6" s="1"/>
  <c r="I682" i="6"/>
  <c r="J682" i="6" s="1"/>
  <c r="I681" i="6"/>
  <c r="J681" i="6" s="1"/>
  <c r="I680" i="6"/>
  <c r="J680" i="6" s="1"/>
  <c r="I679" i="6"/>
  <c r="J679" i="6" s="1"/>
  <c r="I678" i="6"/>
  <c r="J678" i="6" s="1"/>
  <c r="I677" i="6"/>
  <c r="J677" i="6" s="1"/>
  <c r="I676" i="6"/>
  <c r="J676" i="6" s="1"/>
  <c r="I675" i="6"/>
  <c r="J675" i="6" s="1"/>
  <c r="I674" i="6"/>
  <c r="J674" i="6" s="1"/>
  <c r="I282" i="6"/>
  <c r="J282" i="6" s="1"/>
  <c r="I673" i="6"/>
  <c r="J673" i="6" s="1"/>
  <c r="I646" i="6"/>
  <c r="J646" i="6" s="1"/>
  <c r="I672" i="6"/>
  <c r="J672" i="6" s="1"/>
  <c r="I671" i="6"/>
  <c r="J671" i="6" s="1"/>
  <c r="I290" i="6"/>
  <c r="J290" i="6" s="1"/>
  <c r="I670" i="6"/>
  <c r="J670" i="6" s="1"/>
  <c r="I669" i="6"/>
  <c r="J669" i="6" s="1"/>
  <c r="I291" i="6"/>
  <c r="J291" i="6" s="1"/>
  <c r="I668" i="6"/>
  <c r="J668" i="6" s="1"/>
  <c r="I842" i="6"/>
  <c r="J842" i="6" s="1"/>
  <c r="I667" i="6"/>
  <c r="J667" i="6" s="1"/>
  <c r="I666" i="6"/>
  <c r="J666" i="6" s="1"/>
  <c r="I665" i="6"/>
  <c r="J665" i="6" s="1"/>
  <c r="I770" i="6"/>
  <c r="J770" i="6" s="1"/>
  <c r="I769" i="6"/>
  <c r="J769" i="6" s="1"/>
  <c r="I732" i="6"/>
  <c r="J732" i="6" s="1"/>
  <c r="I731" i="6"/>
  <c r="J731" i="6" s="1"/>
  <c r="I6" i="11" s="1"/>
  <c r="I664" i="6"/>
  <c r="J664" i="6" s="1"/>
  <c r="I143" i="6"/>
  <c r="J143" i="6" s="1"/>
  <c r="I760" i="6"/>
  <c r="J760" i="6" s="1"/>
  <c r="I839" i="6"/>
  <c r="J839" i="6" s="1"/>
  <c r="I663" i="6"/>
  <c r="J663" i="6" s="1"/>
  <c r="I662" i="6"/>
  <c r="J662" i="6" s="1"/>
  <c r="I788" i="6"/>
  <c r="J788" i="6" s="1"/>
  <c r="I661" i="6"/>
  <c r="J661" i="6" s="1"/>
  <c r="I727" i="6"/>
  <c r="J727" i="6" s="1"/>
  <c r="I730" i="6"/>
  <c r="J730" i="6" s="1"/>
  <c r="I790" i="6"/>
  <c r="J790" i="6" s="1"/>
  <c r="I304" i="6"/>
  <c r="J304" i="6" s="1"/>
  <c r="I789" i="6"/>
  <c r="J789" i="6" s="1"/>
  <c r="I729" i="6"/>
  <c r="J729" i="6" s="1"/>
  <c r="I840" i="6"/>
  <c r="J840" i="6" s="1"/>
  <c r="I728" i="6"/>
  <c r="J728" i="6" s="1"/>
  <c r="I660" i="6"/>
  <c r="J660" i="6" s="1"/>
  <c r="I764" i="6"/>
  <c r="J764" i="6" s="1"/>
  <c r="I219" i="6"/>
  <c r="J219" i="6" s="1"/>
  <c r="I158" i="6"/>
  <c r="J158" i="6" s="1"/>
  <c r="I150" i="6"/>
  <c r="J150" i="6" s="1"/>
  <c r="I128" i="6"/>
  <c r="J128" i="6" s="1"/>
  <c r="I232" i="6"/>
  <c r="J232" i="6" s="1"/>
  <c r="I218" i="6"/>
  <c r="J218" i="6" s="1"/>
  <c r="I220" i="6"/>
  <c r="J220" i="6" s="1"/>
  <c r="I214" i="6"/>
  <c r="J214" i="6" s="1"/>
  <c r="I213" i="6"/>
  <c r="J213" i="6" s="1"/>
  <c r="I106" i="6"/>
  <c r="J106" i="6" s="1"/>
  <c r="I171" i="6"/>
  <c r="J171" i="6" s="1"/>
  <c r="I157" i="6"/>
  <c r="J157" i="6" s="1"/>
  <c r="I159" i="6"/>
  <c r="J159" i="6" s="1"/>
  <c r="I149" i="6"/>
  <c r="J149" i="6" s="1"/>
  <c r="I148" i="6"/>
  <c r="J148" i="6" s="1"/>
  <c r="I142" i="6"/>
  <c r="J142" i="6" s="1"/>
  <c r="I659" i="6"/>
  <c r="J659" i="6" s="1"/>
  <c r="I657" i="6"/>
  <c r="J657" i="6" s="1"/>
  <c r="I766" i="6"/>
  <c r="J766" i="6" s="1"/>
  <c r="I140" i="6"/>
  <c r="J140" i="6" s="1"/>
  <c r="I765" i="6"/>
  <c r="J765" i="6" s="1"/>
  <c r="I817" i="6"/>
  <c r="J817" i="6" s="1"/>
  <c r="I761" i="6"/>
  <c r="J761" i="6" s="1"/>
  <c r="I648" i="6"/>
  <c r="J648" i="6" s="1"/>
  <c r="I46" i="6"/>
  <c r="J46" i="6" s="1"/>
  <c r="I45" i="6"/>
  <c r="J45" i="6" s="1"/>
  <c r="I29" i="6"/>
  <c r="J29" i="6" s="1"/>
  <c r="I28" i="6"/>
  <c r="J28" i="6" s="1"/>
  <c r="I44" i="6"/>
  <c r="J44" i="6" s="1"/>
  <c r="I43" i="6"/>
  <c r="J43" i="6" s="1"/>
  <c r="I42" i="6"/>
  <c r="J42" i="6" s="1"/>
  <c r="I379" i="6"/>
  <c r="J379" i="6" s="1"/>
  <c r="I378" i="6"/>
  <c r="J378" i="6" s="1"/>
  <c r="I377" i="6"/>
  <c r="J377" i="6" s="1"/>
  <c r="I376" i="6"/>
  <c r="J376" i="6" s="1"/>
  <c r="I375" i="6"/>
  <c r="J375" i="6" s="1"/>
  <c r="I374" i="6"/>
  <c r="J374" i="6" s="1"/>
  <c r="I373" i="6"/>
  <c r="J373" i="6" s="1"/>
  <c r="I74" i="6"/>
  <c r="J74" i="6" s="1"/>
  <c r="I372" i="6"/>
  <c r="J372" i="6" s="1"/>
  <c r="I371" i="6"/>
  <c r="J371" i="6" s="1"/>
  <c r="I370" i="6"/>
  <c r="J370" i="6" s="1"/>
  <c r="I815" i="6"/>
  <c r="J815" i="6" s="1"/>
  <c r="I369" i="6"/>
  <c r="J369" i="6" s="1"/>
  <c r="I814" i="6"/>
  <c r="J814" i="6" s="1"/>
  <c r="I368" i="6"/>
  <c r="J368" i="6" s="1"/>
  <c r="I367" i="6"/>
  <c r="J367" i="6" s="1"/>
  <c r="I726" i="6"/>
  <c r="J726" i="6" s="1"/>
  <c r="I366" i="6"/>
  <c r="J366" i="6" s="1"/>
  <c r="I816" i="6"/>
  <c r="J816" i="6" s="1"/>
  <c r="I73" i="6"/>
  <c r="J73" i="6" s="1"/>
  <c r="I365" i="6"/>
  <c r="J365" i="6" s="1"/>
  <c r="I364" i="6"/>
  <c r="J364" i="6" s="1"/>
  <c r="I363" i="6"/>
  <c r="J363" i="6" s="1"/>
  <c r="I362" i="6"/>
  <c r="J362" i="6" s="1"/>
  <c r="I361" i="6"/>
  <c r="J361" i="6" s="1"/>
  <c r="I360" i="6"/>
  <c r="J360" i="6" s="1"/>
  <c r="I359" i="6"/>
  <c r="J359" i="6" s="1"/>
  <c r="I358" i="6"/>
  <c r="J358" i="6" s="1"/>
  <c r="I357" i="6"/>
  <c r="J357" i="6" s="1"/>
  <c r="I356" i="6"/>
  <c r="J356" i="6" s="1"/>
  <c r="I355" i="6"/>
  <c r="J355" i="6" s="1"/>
  <c r="I354" i="6"/>
  <c r="J354" i="6" s="1"/>
  <c r="I353" i="6"/>
  <c r="J353" i="6" s="1"/>
  <c r="I352" i="6"/>
  <c r="J352" i="6" s="1"/>
  <c r="I351" i="6"/>
  <c r="J351" i="6" s="1"/>
  <c r="I350" i="6"/>
  <c r="J350" i="6" s="1"/>
  <c r="I349" i="6"/>
  <c r="J349" i="6" s="1"/>
  <c r="I348" i="6"/>
  <c r="J348" i="6" s="1"/>
  <c r="I347" i="6"/>
  <c r="J347" i="6" s="1"/>
  <c r="I818" i="6"/>
  <c r="J818" i="6" s="1"/>
  <c r="I346" i="6"/>
  <c r="J346" i="6" s="1"/>
  <c r="I345" i="6"/>
  <c r="J345" i="6" s="1"/>
  <c r="I68" i="6"/>
  <c r="J68" i="6" s="1"/>
  <c r="I344" i="6"/>
  <c r="J344" i="6" s="1"/>
  <c r="I343" i="6"/>
  <c r="J343" i="6" s="1"/>
  <c r="I13" i="11" s="1"/>
  <c r="I342" i="6"/>
  <c r="J342" i="6" s="1"/>
  <c r="I341" i="6"/>
  <c r="J341" i="6" s="1"/>
  <c r="I340" i="6"/>
  <c r="J340" i="6" s="1"/>
  <c r="I339" i="6"/>
  <c r="J339" i="6" s="1"/>
  <c r="I338" i="6"/>
  <c r="J338" i="6" s="1"/>
  <c r="I337" i="6"/>
  <c r="J337" i="6" s="1"/>
  <c r="I336" i="6"/>
  <c r="J336" i="6" s="1"/>
  <c r="I335" i="6"/>
  <c r="J335" i="6" s="1"/>
  <c r="I14" i="11" s="1"/>
  <c r="I334" i="6"/>
  <c r="J334" i="6" s="1"/>
  <c r="I333" i="6"/>
  <c r="J333" i="6" s="1"/>
  <c r="I332" i="6"/>
  <c r="J332" i="6" s="1"/>
  <c r="I331" i="6"/>
  <c r="J331" i="6" s="1"/>
  <c r="I330" i="6"/>
  <c r="J330" i="6" s="1"/>
  <c r="I329" i="6"/>
  <c r="J329" i="6" s="1"/>
  <c r="I328" i="6"/>
  <c r="J328" i="6" s="1"/>
  <c r="I327" i="6"/>
  <c r="J327" i="6" s="1"/>
  <c r="I326" i="6"/>
  <c r="J326" i="6" s="1"/>
  <c r="I325" i="6"/>
  <c r="J325" i="6" s="1"/>
  <c r="I324" i="6"/>
  <c r="J324" i="6" s="1"/>
  <c r="I323" i="6"/>
  <c r="J323" i="6" s="1"/>
  <c r="I322" i="6"/>
  <c r="J322" i="6" s="1"/>
  <c r="I321" i="6"/>
  <c r="J321" i="6" s="1"/>
  <c r="I320" i="6"/>
  <c r="J320" i="6" s="1"/>
  <c r="I319" i="6"/>
  <c r="J319" i="6" s="1"/>
  <c r="I318" i="6"/>
  <c r="J318" i="6" s="1"/>
  <c r="I317" i="6"/>
  <c r="J317" i="6" s="1"/>
  <c r="I767" i="6"/>
  <c r="J767" i="6" s="1"/>
  <c r="I316" i="6"/>
  <c r="J316" i="6" s="1"/>
  <c r="I315" i="6"/>
  <c r="J315" i="6" s="1"/>
  <c r="I314" i="6"/>
  <c r="J314" i="6" s="1"/>
  <c r="I873" i="6"/>
  <c r="I313" i="6"/>
  <c r="J313" i="6" s="1"/>
  <c r="I312" i="6"/>
  <c r="J312" i="6" s="1"/>
  <c r="I311" i="6"/>
  <c r="J311" i="6" s="1"/>
  <c r="I310" i="6"/>
  <c r="J310" i="6" s="1"/>
  <c r="I874" i="6"/>
  <c r="I426" i="6"/>
  <c r="J426" i="6" s="1"/>
  <c r="I425" i="6"/>
  <c r="J425" i="6" s="1"/>
  <c r="I309" i="6"/>
  <c r="J309" i="6" s="1"/>
  <c r="I306" i="6"/>
  <c r="J306" i="6" s="1"/>
  <c r="I305" i="6"/>
  <c r="J305" i="6" s="1"/>
  <c r="I303" i="6"/>
  <c r="J303" i="6" s="1"/>
  <c r="I302" i="6"/>
  <c r="J302" i="6" s="1"/>
  <c r="I301" i="6"/>
  <c r="J301" i="6" s="1"/>
  <c r="I853" i="6"/>
  <c r="J853" i="6" s="1"/>
  <c r="I300" i="6"/>
  <c r="J300" i="6" s="1"/>
  <c r="I299" i="6"/>
  <c r="J299" i="6" s="1"/>
  <c r="I298" i="6"/>
  <c r="J298" i="6" s="1"/>
  <c r="I385" i="6"/>
  <c r="J385" i="6" s="1"/>
  <c r="I383" i="6"/>
  <c r="J383" i="6" s="1"/>
  <c r="I854" i="6"/>
  <c r="J854" i="6" s="1"/>
  <c r="I297" i="6"/>
  <c r="J297" i="6" s="1"/>
  <c r="I296" i="6"/>
  <c r="J296" i="6" s="1"/>
  <c r="I295" i="6"/>
  <c r="J295" i="6" s="1"/>
  <c r="I846" i="6"/>
  <c r="J846" i="6" s="1"/>
  <c r="I826" i="6"/>
  <c r="I294" i="6"/>
  <c r="J294" i="6" s="1"/>
  <c r="I825" i="6"/>
  <c r="J825" i="6" s="1"/>
  <c r="I423" i="6"/>
  <c r="J423" i="6" s="1"/>
  <c r="I828" i="6"/>
  <c r="J828" i="6" s="1"/>
  <c r="I289" i="6"/>
  <c r="J289" i="6" s="1"/>
  <c r="I288" i="6"/>
  <c r="J288" i="6" s="1"/>
  <c r="I287" i="6"/>
  <c r="J287" i="6" s="1"/>
  <c r="I286" i="6"/>
  <c r="J286" i="6" s="1"/>
  <c r="I759" i="6"/>
  <c r="J759" i="6" s="1"/>
  <c r="I757" i="6"/>
  <c r="J757" i="6" s="1"/>
  <c r="I756" i="6"/>
  <c r="I755" i="6"/>
  <c r="J755" i="6" s="1"/>
  <c r="I754" i="6"/>
  <c r="J754" i="6" s="1"/>
  <c r="I381" i="6"/>
  <c r="J381" i="6" s="1"/>
  <c r="I855" i="6"/>
  <c r="J855" i="6" s="1"/>
  <c r="I424" i="6"/>
  <c r="J424" i="6" s="1"/>
  <c r="I753" i="6"/>
  <c r="J753" i="6" s="1"/>
  <c r="I752" i="6"/>
  <c r="J752" i="6" s="1"/>
  <c r="I749" i="6"/>
  <c r="I406" i="6"/>
  <c r="J406" i="6" s="1"/>
  <c r="I404" i="6"/>
  <c r="J404" i="6" s="1"/>
  <c r="I748" i="6"/>
  <c r="J748" i="6" s="1"/>
  <c r="I420" i="6"/>
  <c r="J420" i="6" s="1"/>
  <c r="I747" i="6"/>
  <c r="J747" i="6" s="1"/>
  <c r="I7" i="11" s="1"/>
  <c r="I746" i="6"/>
  <c r="J746" i="6" s="1"/>
  <c r="I456" i="6"/>
  <c r="J456" i="6" s="1"/>
  <c r="I443" i="6"/>
  <c r="J443" i="6" s="1"/>
  <c r="I849" i="6"/>
  <c r="J849" i="6" s="1"/>
  <c r="I862" i="6"/>
  <c r="J862" i="6" s="1"/>
  <c r="I851" i="6"/>
  <c r="J851" i="6" s="1"/>
  <c r="I419" i="6"/>
  <c r="J419" i="6" s="1"/>
  <c r="I858" i="6"/>
  <c r="J858" i="6" s="1"/>
  <c r="I725" i="6"/>
  <c r="J725" i="6" s="1"/>
  <c r="I822" i="6"/>
  <c r="J822" i="6" s="1"/>
  <c r="I724" i="6"/>
  <c r="J724" i="6" s="1"/>
  <c r="I857" i="6"/>
  <c r="J857" i="6" s="1"/>
  <c r="I499" i="6"/>
  <c r="J499" i="6" s="1"/>
  <c r="I498" i="6"/>
  <c r="J498" i="6" s="1"/>
  <c r="I422" i="6"/>
  <c r="J422" i="6" s="1"/>
  <c r="I421" i="6"/>
  <c r="J421" i="6" s="1"/>
  <c r="I723" i="6"/>
  <c r="J723" i="6" s="1"/>
  <c r="I611" i="6"/>
  <c r="J611" i="6" s="1"/>
  <c r="I401" i="6"/>
  <c r="J401" i="6" s="1"/>
  <c r="I878" i="6"/>
  <c r="I4" i="7" s="1"/>
  <c r="I859" i="6"/>
  <c r="J859" i="6" s="1"/>
  <c r="I439" i="6"/>
  <c r="J439" i="6" s="1"/>
  <c r="I75" i="6"/>
  <c r="J75" i="6" s="1"/>
  <c r="I848" i="6"/>
  <c r="J848" i="6" s="1"/>
  <c r="I437" i="6"/>
  <c r="J437" i="6" s="1"/>
  <c r="I845" i="6"/>
  <c r="J845" i="6" s="1"/>
  <c r="I72" i="6"/>
  <c r="J72" i="6" s="1"/>
  <c r="I441" i="6"/>
  <c r="J441" i="6" s="1"/>
  <c r="I384" i="6"/>
  <c r="J384" i="6" s="1"/>
  <c r="I382" i="6"/>
  <c r="J382" i="6" s="1"/>
  <c r="I71" i="6"/>
  <c r="J71" i="6" s="1"/>
  <c r="I70" i="6"/>
  <c r="J70" i="6" s="1"/>
  <c r="I824" i="6"/>
  <c r="J824" i="6" s="1"/>
  <c r="I440" i="6"/>
  <c r="J440" i="6" s="1"/>
  <c r="I610" i="6"/>
  <c r="J610" i="6" s="1"/>
  <c r="I875" i="6"/>
  <c r="J875" i="6" s="1"/>
  <c r="I823" i="6"/>
  <c r="J823" i="6" s="1"/>
  <c r="I418" i="6"/>
  <c r="J418" i="6" s="1"/>
  <c r="I417" i="6"/>
  <c r="J417" i="6" s="1"/>
  <c r="I69" i="6"/>
  <c r="J69" i="6" s="1"/>
  <c r="I827" i="6"/>
  <c r="J827" i="6" s="1"/>
  <c r="I402" i="6"/>
  <c r="J402" i="6" s="1"/>
  <c r="I831" i="6"/>
  <c r="J831" i="6" s="1"/>
  <c r="I483" i="6"/>
  <c r="J483" i="6" s="1"/>
  <c r="I872" i="6"/>
  <c r="J872" i="6" s="1"/>
  <c r="I869" i="6"/>
  <c r="I871" i="6"/>
  <c r="J871" i="6" s="1"/>
  <c r="I870" i="6"/>
  <c r="J870" i="6" s="1"/>
  <c r="I876" i="6"/>
  <c r="J876" i="6" s="1"/>
  <c r="I17" i="11" s="1"/>
  <c r="I621" i="6"/>
  <c r="J621" i="6" s="1"/>
  <c r="I67" i="6"/>
  <c r="J67" i="6" s="1"/>
  <c r="I442" i="6"/>
  <c r="J442" i="6" s="1"/>
  <c r="I380" i="6"/>
  <c r="J380" i="6" s="1"/>
  <c r="I66" i="6"/>
  <c r="J66" i="6" s="1"/>
  <c r="I416" i="6"/>
  <c r="J416" i="6" s="1"/>
  <c r="I65" i="6"/>
  <c r="J65" i="6" s="1"/>
  <c r="I64" i="6"/>
  <c r="J64" i="6" s="1"/>
  <c r="I63" i="6"/>
  <c r="J63" i="6" s="1"/>
  <c r="I449" i="6"/>
  <c r="J449" i="6" s="1"/>
  <c r="I438" i="6"/>
  <c r="J438" i="6" s="1"/>
  <c r="I820" i="6"/>
  <c r="J820" i="6" s="1"/>
  <c r="I403" i="6"/>
  <c r="J403" i="6" s="1"/>
  <c r="I27" i="6"/>
  <c r="J27" i="6" s="1"/>
  <c r="I860" i="6"/>
  <c r="J860" i="6" s="1"/>
  <c r="I850" i="6"/>
  <c r="J850" i="6" s="1"/>
  <c r="I413" i="6"/>
  <c r="J413" i="6" s="1"/>
  <c r="I412" i="6"/>
  <c r="J412" i="6" s="1"/>
  <c r="I877" i="6"/>
  <c r="J877" i="6" s="1"/>
  <c r="I411" i="6"/>
  <c r="J411" i="6" s="1"/>
  <c r="I414" i="6"/>
  <c r="J414" i="6" s="1"/>
  <c r="I448" i="6"/>
  <c r="J448" i="6" s="1"/>
  <c r="I504" i="6"/>
  <c r="J504" i="6" s="1"/>
  <c r="I457" i="6"/>
  <c r="J457" i="6" s="1"/>
  <c r="I409" i="6"/>
  <c r="J409" i="6" s="1"/>
  <c r="I415" i="6"/>
  <c r="J415" i="6" s="1"/>
  <c r="I821" i="6"/>
  <c r="J821" i="6" s="1"/>
  <c r="I523" i="6"/>
  <c r="J523" i="6" s="1"/>
  <c r="I12" i="11" s="1"/>
  <c r="I462" i="6"/>
  <c r="J462" i="6" s="1"/>
  <c r="I819" i="6"/>
  <c r="J819" i="6" s="1"/>
  <c r="I796" i="6"/>
  <c r="J796" i="6" s="1"/>
  <c r="I522" i="6"/>
  <c r="J522" i="6" s="1"/>
  <c r="I592" i="6"/>
  <c r="J592" i="6" s="1"/>
  <c r="I861" i="6"/>
  <c r="I521" i="6"/>
  <c r="J521" i="6" s="1"/>
  <c r="I455" i="6"/>
  <c r="J455" i="6" s="1"/>
  <c r="I410" i="6"/>
  <c r="J410" i="6" s="1"/>
  <c r="I632" i="6"/>
  <c r="J632" i="6" s="1"/>
  <c r="I627" i="6"/>
  <c r="J627" i="6" s="1"/>
  <c r="I530" i="6"/>
  <c r="J530" i="6" s="1"/>
  <c r="I542" i="6"/>
  <c r="J542" i="6" s="1"/>
  <c r="I541" i="6"/>
  <c r="J541" i="6" s="1"/>
  <c r="I461" i="6"/>
  <c r="J461" i="6" s="1"/>
  <c r="I602" i="6"/>
  <c r="J602" i="6" s="1"/>
  <c r="I540" i="6"/>
  <c r="J540" i="6" s="1"/>
  <c r="I539" i="6"/>
  <c r="J539" i="6" s="1"/>
  <c r="I465" i="6"/>
  <c r="J465" i="6" s="1"/>
  <c r="I624" i="6"/>
  <c r="J624" i="6" s="1"/>
  <c r="I620" i="6"/>
  <c r="J620" i="6" s="1"/>
  <c r="I623" i="6"/>
  <c r="J623" i="6" s="1"/>
  <c r="I619" i="6"/>
  <c r="J619" i="6" s="1"/>
  <c r="I487" i="6"/>
  <c r="J487" i="6" s="1"/>
  <c r="I553" i="6"/>
  <c r="J553" i="6" s="1"/>
  <c r="I600" i="6"/>
  <c r="J600" i="6" s="1"/>
  <c r="I494" i="6"/>
  <c r="J494" i="6" s="1"/>
  <c r="I563" i="6"/>
  <c r="J563" i="6" s="1"/>
  <c r="I631" i="6"/>
  <c r="J631" i="6" s="1"/>
  <c r="I454" i="6"/>
  <c r="J454" i="6" s="1"/>
  <c r="I609" i="6"/>
  <c r="J609" i="6" s="1"/>
  <c r="I595" i="6"/>
  <c r="J595" i="6" s="1"/>
  <c r="I451" i="6"/>
  <c r="J451" i="6" s="1"/>
  <c r="I794" i="6"/>
  <c r="J794" i="6" s="1"/>
  <c r="I24" i="6"/>
  <c r="J24" i="6" s="1"/>
  <c r="I517" i="6"/>
  <c r="J517" i="6" s="1"/>
  <c r="I601" i="6"/>
  <c r="J601" i="6" s="1"/>
  <c r="I529" i="6"/>
  <c r="J529" i="6" s="1"/>
  <c r="I470" i="6"/>
  <c r="J470" i="6" s="1"/>
  <c r="I459" i="6"/>
  <c r="J459" i="6" s="1"/>
  <c r="I593" i="6"/>
  <c r="J593" i="6" s="1"/>
  <c r="I550" i="6"/>
  <c r="J550" i="6" s="1"/>
  <c r="I62" i="6"/>
  <c r="J62" i="6" s="1"/>
  <c r="I387" i="6"/>
  <c r="J387" i="6" s="1"/>
  <c r="I629" i="6"/>
  <c r="J629" i="6" s="1"/>
  <c r="I407" i="6"/>
  <c r="J407" i="6" s="1"/>
  <c r="I617" i="6"/>
  <c r="J617" i="6" s="1"/>
  <c r="I526" i="6"/>
  <c r="J526" i="6" s="1"/>
  <c r="I566" i="6"/>
  <c r="J566" i="6" s="1"/>
  <c r="I599" i="6"/>
  <c r="J599" i="6" s="1"/>
  <c r="I525" i="6"/>
  <c r="J525" i="6" s="1"/>
  <c r="I549" i="6"/>
  <c r="J549" i="6" s="1"/>
  <c r="I630" i="6"/>
  <c r="J630" i="6" s="1"/>
  <c r="I561" i="6"/>
  <c r="J561" i="6" s="1"/>
  <c r="I628" i="6"/>
  <c r="J628" i="6" s="1"/>
  <c r="I433" i="6"/>
  <c r="J433" i="6" s="1"/>
  <c r="I625" i="6"/>
  <c r="J625" i="6" s="1"/>
  <c r="I587" i="6"/>
  <c r="J587" i="6" s="1"/>
  <c r="I474" i="6"/>
  <c r="J474" i="6" s="1"/>
  <c r="I389" i="6"/>
  <c r="J389" i="6" s="1"/>
  <c r="I637" i="6"/>
  <c r="J637" i="6" s="1"/>
  <c r="I524" i="6"/>
  <c r="J524" i="6" s="1"/>
  <c r="I574" i="6"/>
  <c r="J574" i="6" s="1"/>
  <c r="I598" i="6"/>
  <c r="J598" i="6" s="1"/>
  <c r="I428" i="6"/>
  <c r="J428" i="6" s="1"/>
  <c r="I594" i="6"/>
  <c r="J594" i="6" s="1"/>
  <c r="I633" i="6"/>
  <c r="J633" i="6" s="1"/>
  <c r="I447" i="6"/>
  <c r="J447" i="6" s="1"/>
  <c r="I793" i="6"/>
  <c r="J793" i="6" s="1"/>
  <c r="I482" i="6"/>
  <c r="J482" i="6" s="1"/>
  <c r="I17" i="6"/>
  <c r="J17" i="6" s="1"/>
  <c r="I640" i="6"/>
  <c r="J640" i="6" s="1"/>
  <c r="I516" i="6"/>
  <c r="J516" i="6" s="1"/>
  <c r="I475" i="6"/>
  <c r="J475" i="6" s="1"/>
  <c r="I795" i="6"/>
  <c r="J795" i="6" s="1"/>
  <c r="I642" i="6"/>
  <c r="J642" i="6" s="1"/>
  <c r="I567" i="6"/>
  <c r="J567" i="6" s="1"/>
  <c r="I613" i="6"/>
  <c r="I622" i="6"/>
  <c r="J622" i="6" s="1"/>
  <c r="I555" i="6"/>
  <c r="J555" i="6" s="1"/>
  <c r="I581" i="6"/>
  <c r="J581" i="6" s="1"/>
  <c r="I495" i="6"/>
  <c r="J495" i="6" s="1"/>
  <c r="I469" i="6"/>
  <c r="J469" i="6" s="1"/>
  <c r="I22" i="6"/>
  <c r="J22" i="6" s="1"/>
  <c r="I618" i="6"/>
  <c r="J618" i="6" s="1"/>
  <c r="I639" i="6"/>
  <c r="J639" i="6" s="1"/>
  <c r="I390" i="6"/>
  <c r="J390" i="6" s="1"/>
  <c r="I468" i="6"/>
  <c r="J468" i="6" s="1"/>
  <c r="I60" i="6"/>
  <c r="J60" i="6" s="1"/>
  <c r="I559" i="6"/>
  <c r="J559" i="6" s="1"/>
  <c r="I489" i="6"/>
  <c r="J489" i="6" s="1"/>
  <c r="I386" i="6"/>
  <c r="J386" i="6" s="1"/>
  <c r="I486" i="6"/>
  <c r="J486" i="6" s="1"/>
  <c r="I26" i="6"/>
  <c r="J26" i="6" s="1"/>
  <c r="I551" i="6"/>
  <c r="J551" i="6" s="1"/>
  <c r="I638" i="6"/>
  <c r="J638" i="6" s="1"/>
  <c r="I552" i="6"/>
  <c r="J552" i="6" s="1"/>
  <c r="I582" i="6"/>
  <c r="J582" i="6" s="1"/>
  <c r="I562" i="6"/>
  <c r="J562" i="6" s="1"/>
  <c r="I556" i="6"/>
  <c r="J556" i="6" s="1"/>
  <c r="I481" i="6"/>
  <c r="J481" i="6" s="1"/>
  <c r="I490" i="6"/>
  <c r="J490" i="6" s="1"/>
  <c r="I626" i="6"/>
  <c r="J626" i="6" s="1"/>
  <c r="I641" i="6"/>
  <c r="J641" i="6" s="1"/>
  <c r="I614" i="6"/>
  <c r="J614" i="6" s="1"/>
  <c r="I844" i="6"/>
  <c r="J844" i="6" s="1"/>
  <c r="I586" i="6"/>
  <c r="J586" i="6" s="1"/>
  <c r="I554" i="6"/>
  <c r="J554" i="6" s="1"/>
  <c r="I473" i="6"/>
  <c r="J473" i="6" s="1"/>
  <c r="I405" i="6"/>
  <c r="J405" i="6" s="1"/>
  <c r="I578" i="6"/>
  <c r="J578" i="6" s="1"/>
  <c r="I471" i="6"/>
  <c r="J471" i="6" s="1"/>
  <c r="I400" i="6"/>
  <c r="J400" i="6" s="1"/>
  <c r="I432" i="6"/>
  <c r="J432" i="6" s="1"/>
  <c r="I571" i="6"/>
  <c r="J571" i="6" s="1"/>
  <c r="I13" i="6"/>
  <c r="J13" i="6" s="1"/>
  <c r="I515" i="6"/>
  <c r="J515" i="6" s="1"/>
  <c r="I503" i="6"/>
  <c r="J503" i="6" s="1"/>
  <c r="I564" i="6"/>
  <c r="J564" i="6" s="1"/>
  <c r="I398" i="6"/>
  <c r="J398" i="6" s="1"/>
  <c r="I643" i="6"/>
  <c r="J643" i="6" s="1"/>
  <c r="I584" i="6"/>
  <c r="J584" i="6" s="1"/>
  <c r="I528" i="6"/>
  <c r="J528" i="6" s="1"/>
  <c r="I576" i="6"/>
  <c r="J576" i="6" s="1"/>
  <c r="I852" i="6"/>
  <c r="J852" i="6" s="1"/>
  <c r="I583" i="6"/>
  <c r="J583" i="6" s="1"/>
  <c r="I436" i="6"/>
  <c r="J436" i="6" s="1"/>
  <c r="I502" i="6"/>
  <c r="J502" i="6" s="1"/>
  <c r="I15" i="6"/>
  <c r="J15" i="6" s="1"/>
  <c r="I548" i="6"/>
  <c r="J548" i="6" s="1"/>
  <c r="I59" i="6"/>
  <c r="J59" i="6" s="1"/>
  <c r="I480" i="6"/>
  <c r="J480" i="6" s="1"/>
  <c r="I16" i="6"/>
  <c r="J16" i="6" s="1"/>
  <c r="I527" i="6"/>
  <c r="J527" i="6" s="1"/>
  <c r="I616" i="6"/>
  <c r="J616" i="6" s="1"/>
  <c r="I557" i="6"/>
  <c r="J557" i="6" s="1"/>
  <c r="I569" i="6"/>
  <c r="J569" i="6" s="1"/>
  <c r="I547" i="6"/>
  <c r="J547" i="6" s="1"/>
  <c r="I560" i="6"/>
  <c r="J560" i="6" s="1"/>
  <c r="I520" i="6"/>
  <c r="J520" i="6" s="1"/>
  <c r="I604" i="6"/>
  <c r="J604" i="6" s="1"/>
  <c r="I501" i="6"/>
  <c r="J501" i="6" s="1"/>
  <c r="I579" i="6"/>
  <c r="J579" i="6" s="1"/>
  <c r="I444" i="6"/>
  <c r="J444" i="6" s="1"/>
  <c r="I514" i="6"/>
  <c r="J514" i="6" s="1"/>
  <c r="I484" i="6"/>
  <c r="J484" i="6" s="1"/>
  <c r="I430" i="6"/>
  <c r="J430" i="6" s="1"/>
  <c r="I606" i="6"/>
  <c r="J606" i="6" s="1"/>
  <c r="I580" i="6"/>
  <c r="J580" i="6" s="1"/>
  <c r="I464" i="6"/>
  <c r="J464" i="6" s="1"/>
  <c r="I532" i="6"/>
  <c r="J532" i="6" s="1"/>
  <c r="I513" i="6"/>
  <c r="J513" i="6" s="1"/>
  <c r="I12" i="6"/>
  <c r="J12" i="6" s="1"/>
  <c r="I446" i="6"/>
  <c r="J446" i="6" s="1"/>
  <c r="I500" i="6"/>
  <c r="J500" i="6" s="1"/>
  <c r="I792" i="6"/>
  <c r="J792" i="6" s="1"/>
  <c r="I394" i="6"/>
  <c r="J394" i="6" s="1"/>
  <c r="I429" i="6"/>
  <c r="J429" i="6" s="1"/>
  <c r="I445" i="6"/>
  <c r="J445" i="6" s="1"/>
  <c r="I11" i="6"/>
  <c r="J11" i="6" s="1"/>
  <c r="I392" i="6"/>
  <c r="J392" i="6" s="1"/>
  <c r="I830" i="6"/>
  <c r="J830" i="6" s="1"/>
  <c r="I546" i="6"/>
  <c r="J546" i="6" s="1"/>
  <c r="I538" i="6"/>
  <c r="J538" i="6" s="1"/>
  <c r="I537" i="6"/>
  <c r="J537" i="6" s="1"/>
  <c r="I791" i="6"/>
  <c r="J791" i="6" s="1"/>
  <c r="I396" i="6"/>
  <c r="J396" i="6" s="1"/>
  <c r="I585" i="6"/>
  <c r="J585" i="6" s="1"/>
  <c r="I519" i="6"/>
  <c r="J519" i="6" s="1"/>
  <c r="I596" i="6"/>
  <c r="J596" i="6" s="1"/>
  <c r="I391" i="6"/>
  <c r="J391" i="6" s="1"/>
  <c r="I435" i="6"/>
  <c r="J435" i="6" s="1"/>
  <c r="I607" i="6"/>
  <c r="J607" i="6" s="1"/>
  <c r="I512" i="6"/>
  <c r="J512" i="6" s="1"/>
  <c r="I25" i="6"/>
  <c r="J25" i="6" s="1"/>
  <c r="I431" i="6"/>
  <c r="J431" i="6" s="1"/>
  <c r="I531" i="6"/>
  <c r="J531" i="6" s="1"/>
  <c r="I612" i="6"/>
  <c r="J612" i="6" s="1"/>
  <c r="I589" i="6"/>
  <c r="J589" i="6" s="1"/>
  <c r="I9" i="6"/>
  <c r="I608" i="6"/>
  <c r="J608" i="6" s="1"/>
  <c r="I508" i="6"/>
  <c r="J508" i="6" s="1"/>
  <c r="I635" i="6"/>
  <c r="J635" i="6" s="1"/>
  <c r="I399" i="6"/>
  <c r="J399" i="6" s="1"/>
  <c r="I397" i="6"/>
  <c r="J397" i="6" s="1"/>
  <c r="I568" i="6"/>
  <c r="J568" i="6" s="1"/>
  <c r="I615" i="6"/>
  <c r="J615" i="6" s="1"/>
  <c r="I588" i="6"/>
  <c r="J588" i="6" s="1"/>
  <c r="I545" i="6"/>
  <c r="J545" i="6" s="1"/>
  <c r="I575" i="6"/>
  <c r="J575" i="6" s="1"/>
  <c r="I493" i="6"/>
  <c r="J493" i="6" s="1"/>
  <c r="I577" i="6"/>
  <c r="J577" i="6" s="1"/>
  <c r="I573" i="6"/>
  <c r="J573" i="6" s="1"/>
  <c r="I605" i="6"/>
  <c r="J605" i="6" s="1"/>
  <c r="I434" i="6"/>
  <c r="J434" i="6" s="1"/>
  <c r="I654" i="6"/>
  <c r="J826" i="6" l="1"/>
  <c r="J5" i="10"/>
  <c r="L5" i="10" s="1"/>
  <c r="E13" i="9" s="1"/>
  <c r="H13" i="9" s="1"/>
  <c r="J654" i="6"/>
  <c r="J12" i="10"/>
  <c r="L12" i="10" s="1"/>
  <c r="J9" i="6"/>
  <c r="J11" i="10"/>
  <c r="L11" i="10" s="1"/>
  <c r="J749" i="6"/>
  <c r="J15" i="10"/>
  <c r="L15" i="10" s="1"/>
  <c r="J655" i="6"/>
  <c r="J8" i="10"/>
  <c r="L8" i="10" s="1"/>
  <c r="E16" i="9" s="1"/>
  <c r="H16" i="9" s="1"/>
  <c r="J861" i="6"/>
  <c r="J16" i="10"/>
  <c r="L16" i="10" s="1"/>
  <c r="J873" i="6"/>
  <c r="J17" i="10"/>
  <c r="L17" i="10" s="1"/>
  <c r="J868" i="6"/>
  <c r="I3" i="11" s="1"/>
  <c r="K3" i="11" s="1"/>
  <c r="J10" i="10"/>
  <c r="L10" i="10" s="1"/>
  <c r="J652" i="6"/>
  <c r="J20" i="10"/>
  <c r="L20" i="10" s="1"/>
  <c r="J653" i="6"/>
  <c r="J19" i="10"/>
  <c r="L19" i="10" s="1"/>
  <c r="J869" i="6"/>
  <c r="J13" i="10"/>
  <c r="L13" i="10" s="1"/>
  <c r="J756" i="6"/>
  <c r="J14" i="10"/>
  <c r="L14" i="10" s="1"/>
  <c r="J651" i="6"/>
  <c r="J6" i="10"/>
  <c r="L6" i="10" s="1"/>
  <c r="E14" i="9" s="1"/>
  <c r="H14" i="9" s="1"/>
  <c r="J613" i="6"/>
  <c r="J9" i="10"/>
  <c r="L9" i="10" s="1"/>
  <c r="J874" i="6"/>
  <c r="J18" i="10"/>
  <c r="L18" i="10" s="1"/>
  <c r="I6" i="12"/>
  <c r="L6" i="12" s="1"/>
  <c r="K5" i="11"/>
  <c r="K17" i="11"/>
  <c r="I19" i="12"/>
  <c r="L19" i="12" s="1"/>
  <c r="I9" i="11"/>
  <c r="I21" i="11"/>
  <c r="K21" i="11" s="1"/>
  <c r="I7" i="12"/>
  <c r="L7" i="12" s="1"/>
  <c r="K6" i="11"/>
  <c r="I18" i="12"/>
  <c r="L18" i="12" s="1"/>
  <c r="K16" i="11"/>
  <c r="K10" i="11"/>
  <c r="I11" i="12"/>
  <c r="L11" i="12" s="1"/>
  <c r="I8" i="12"/>
  <c r="L8" i="12" s="1"/>
  <c r="K7" i="11"/>
  <c r="K14" i="11"/>
  <c r="I16" i="12"/>
  <c r="L16" i="12" s="1"/>
  <c r="K13" i="11"/>
  <c r="I15" i="12"/>
  <c r="L15" i="12" s="1"/>
  <c r="I9" i="12"/>
  <c r="L9" i="12" s="1"/>
  <c r="K8" i="11"/>
  <c r="K18" i="11"/>
  <c r="I20" i="12"/>
  <c r="L20" i="12" s="1"/>
  <c r="K4" i="11"/>
  <c r="I5" i="12"/>
  <c r="L5" i="12" s="1"/>
  <c r="I17" i="12"/>
  <c r="L17" i="12" s="1"/>
  <c r="K15" i="11"/>
  <c r="J878" i="6"/>
  <c r="J4" i="7" s="1"/>
  <c r="I40" i="11"/>
  <c r="K40" i="11" s="1"/>
  <c r="I19" i="11"/>
  <c r="K19" i="11" s="1"/>
  <c r="K12" i="11"/>
  <c r="I14" i="12"/>
  <c r="L14" i="12" s="1"/>
  <c r="I12" i="12"/>
  <c r="L12" i="12" s="1"/>
  <c r="K11" i="11"/>
  <c r="N7" i="10"/>
  <c r="J250" i="6"/>
  <c r="N5" i="10" l="1"/>
  <c r="N8" i="10"/>
  <c r="I4" i="12"/>
  <c r="L4" i="12" s="1"/>
  <c r="N20" i="10"/>
  <c r="E28" i="9"/>
  <c r="H28" i="9" s="1"/>
  <c r="N10" i="10"/>
  <c r="E18" i="9"/>
  <c r="H18" i="9" s="1"/>
  <c r="N15" i="10"/>
  <c r="E23" i="9"/>
  <c r="H23" i="9" s="1"/>
  <c r="N6" i="10"/>
  <c r="N18" i="10"/>
  <c r="E26" i="9"/>
  <c r="H26" i="9" s="1"/>
  <c r="N17" i="10"/>
  <c r="E25" i="9"/>
  <c r="H25" i="9" s="1"/>
  <c r="N11" i="10"/>
  <c r="E19" i="9"/>
  <c r="H19" i="9" s="1"/>
  <c r="N14" i="10"/>
  <c r="E22" i="9"/>
  <c r="H22" i="9" s="1"/>
  <c r="N13" i="10"/>
  <c r="E21" i="9"/>
  <c r="H21" i="9" s="1"/>
  <c r="E17" i="9"/>
  <c r="H17" i="9" s="1"/>
  <c r="N9" i="10"/>
  <c r="E27" i="9"/>
  <c r="H27" i="9" s="1"/>
  <c r="N19" i="10"/>
  <c r="N12" i="10"/>
  <c r="E20" i="9"/>
  <c r="H20" i="9" s="1"/>
  <c r="N16" i="10"/>
  <c r="E24" i="9"/>
  <c r="H24" i="9" s="1"/>
  <c r="I10" i="12"/>
  <c r="L10" i="12" s="1"/>
  <c r="K9" i="11"/>
  <c r="L21" i="12" l="1"/>
  <c r="H267" i="9"/>
  <c r="L26" i="12"/>
</calcChain>
</file>

<file path=xl/sharedStrings.xml><?xml version="1.0" encoding="utf-8"?>
<sst xmlns="http://schemas.openxmlformats.org/spreadsheetml/2006/main" count="14858" uniqueCount="2774">
  <si>
    <t>PC</t>
  </si>
  <si>
    <t>surface mount box keystone 2x w/o dust p</t>
  </si>
  <si>
    <t>PP CUP 24/8 Cat.6 UTP 9005 black</t>
  </si>
  <si>
    <t>RJ45-MODULE KUT 1/8 Cat.5e UTP WHITE</t>
  </si>
  <si>
    <t>RJ45-Module KU-T 1/8 Cat.6 black</t>
  </si>
  <si>
    <t>RJ45-Module KU-T 1/8 Cat.6 white</t>
  </si>
  <si>
    <t>Module PS-TERA 4P Cat.7A black</t>
  </si>
  <si>
    <t>M20 lock nut for cable gland</t>
  </si>
  <si>
    <t>FO Outlet for FTTH w/o adaptors and pigtails</t>
  </si>
  <si>
    <t>FO Fast Field Connector SC/APC G652D</t>
  </si>
  <si>
    <t>FO Splitter 2:32 for FTTH</t>
  </si>
  <si>
    <t>LZ5005</t>
  </si>
  <si>
    <t>LZ5098</t>
  </si>
  <si>
    <t>LZ5099</t>
  </si>
  <si>
    <t>LZ5101</t>
  </si>
  <si>
    <t>LZ5160</t>
  </si>
  <si>
    <t>LZ5161</t>
  </si>
  <si>
    <t>LZ5164</t>
  </si>
  <si>
    <t>LZ5165</t>
  </si>
  <si>
    <t>LZ5173</t>
  </si>
  <si>
    <t>LZ5049</t>
  </si>
  <si>
    <t>LZ5051</t>
  </si>
  <si>
    <t>LZ5146</t>
  </si>
  <si>
    <t>LZ5089</t>
  </si>
  <si>
    <t>LZ5087</t>
  </si>
  <si>
    <t>LZ5090</t>
  </si>
  <si>
    <t>LZ5052</t>
  </si>
  <si>
    <t>LZ5057</t>
  </si>
  <si>
    <t>LZ5081</t>
  </si>
  <si>
    <t>LZ5085</t>
  </si>
  <si>
    <t>Item</t>
  </si>
  <si>
    <t>UOM</t>
  </si>
  <si>
    <t>System</t>
  </si>
  <si>
    <t>CA</t>
  </si>
  <si>
    <t>CAT3</t>
  </si>
  <si>
    <t>CAT5E</t>
  </si>
  <si>
    <t>CAT6</t>
  </si>
  <si>
    <t>CAT6A</t>
  </si>
  <si>
    <t>CAT7</t>
  </si>
  <si>
    <t>CAT7A</t>
  </si>
  <si>
    <t>FA</t>
  </si>
  <si>
    <t>OM2</t>
  </si>
  <si>
    <t>OM3</t>
  </si>
  <si>
    <t>OM4</t>
  </si>
  <si>
    <t>OS2</t>
  </si>
  <si>
    <t>FTTH</t>
  </si>
  <si>
    <t>Low end racks</t>
  </si>
  <si>
    <t>FO Indoor</t>
  </si>
  <si>
    <t>New Description</t>
  </si>
  <si>
    <t>FO Universal 4 x 12 green G50/125 OM4</t>
  </si>
  <si>
    <t>FO Universal 1 x 24 green G50/125 OM4</t>
  </si>
  <si>
    <t>FO Universal 2 x 12 green G50/125 OM4</t>
  </si>
  <si>
    <t>FO Universal 1 x 12 green G50/125 OM4</t>
  </si>
  <si>
    <t>FO Universal 1 x 8 green G50/125 OM4</t>
  </si>
  <si>
    <t>FO Universal 1 x 4 green G50/125 OM4</t>
  </si>
  <si>
    <t>FO Universal wbGGFR Safety 2 x 12 red G50/125 OM2</t>
  </si>
  <si>
    <t>FO Universal wbGGFR Safety 4 x 12 red G50/125 OM2</t>
  </si>
  <si>
    <t>FO Universal wbGGFR Safety 2 x 12 red G50/125 OM3</t>
  </si>
  <si>
    <t>FO Universal wbGGFR Safety 4 x 12 red G50/125 OM3</t>
  </si>
  <si>
    <t>FO Universal wbGGFR Safety 5 x 12 red G50/125 OM3</t>
  </si>
  <si>
    <t>FO Universal ZGGFR Easy Blow 1 x 4 black E9/125 G.652.D</t>
  </si>
  <si>
    <t>FO Universal ZGGFR Easy Blow 1 x 6 black E9/125 G.652.D</t>
  </si>
  <si>
    <t>FO Universal ZGGFR Easy Blow 1 x 8 black E9/125 G.652.D</t>
  </si>
  <si>
    <t>FO Universal ZGGFR Easy Blow 1 x 4 black G50/125 OM2</t>
  </si>
  <si>
    <t>FO Universal ZGGFR Easy Blow 1 x 4 black G50/125 OM3</t>
  </si>
  <si>
    <t>FO Universal wbGGFR5 Easy Blow 12 x 24 black E9/125 G.652.D</t>
  </si>
  <si>
    <t>FO Universal wbGGFR Combi 1 x 2 + 3 x 2.5 mm² black E9/125 G.652.D</t>
  </si>
  <si>
    <t>FO Universal wbGGFR Combi 1 x 2 + 3 x 2.5 mm² black G50/125 OM2</t>
  </si>
  <si>
    <t>FO Universal wbGGFR Combi 1 x 2 + 3 x 2.5 mm² black G62.5/125 OM1</t>
  </si>
  <si>
    <t>FO Outdoor ZGGT HighP 1 x 12 black G50/125 OM4</t>
  </si>
  <si>
    <t>FO Outdoor ZGGT HighP 1 x 24 black G50/125 OM4</t>
  </si>
  <si>
    <t>FO Outdoor ZwbKWT Basic Line 1 x 12 G50/125 OM4</t>
  </si>
  <si>
    <t>FO Outdoor ZKT Micro 1x12 black E9/125 G.657.A1</t>
  </si>
  <si>
    <t>FO Outdoor ZKT Micro 1x24 black E9/125 G.657.A1</t>
  </si>
  <si>
    <t>FO Outdoor ZKT Micro 1x24 black E9/125 G.652.D</t>
  </si>
  <si>
    <t>FO Outdoor ZKT Micro 1x12 black E9/125 G.652.D</t>
  </si>
  <si>
    <t>FO Outdoor ZKT Micro 1x8 black E9/125 G.652.D</t>
  </si>
  <si>
    <t>FO Outdoor ZKT Micro 1x6 black E9/125 G.652.D</t>
  </si>
  <si>
    <t>FO Outdoor ZKT Micro 1x4 black E9/125 G.652.D</t>
  </si>
  <si>
    <t>FO Outdoor wbKT Micro 2x12 black E9/125 G.657.A1</t>
  </si>
  <si>
    <t>FO Outdoor wbKT Micro 6x12 black E9/125 G.657.A1</t>
  </si>
  <si>
    <t>FO Outdoor wbKT Micro 5x12 black E9/125 G.657.A1</t>
  </si>
  <si>
    <t>FO Outdoor wbKT Micro 4x12 black E9/125 G.657.A1</t>
  </si>
  <si>
    <t>FO Outdoor wbKT S-Micro 8x12 black E9/125 G.652.D</t>
  </si>
  <si>
    <t>FO Outdoor wbKT S-Micro 9x24 black E9/125 G.652.D</t>
  </si>
  <si>
    <t xml:space="preserve">FO Outdoor wbKT S-Micro 2x12 black E9/125 G.657.A1 </t>
  </si>
  <si>
    <t>FO Outdoor wbKT S-Micro 4x12 black E9/125 G.657.A1</t>
  </si>
  <si>
    <t>FO Outdoor wbKT S-Micro 8x12 black E9/125 G.657.A1</t>
  </si>
  <si>
    <t>FO Universal Safety 6x12 red G50/125 OM3</t>
  </si>
  <si>
    <t>Surfce Mount outlet IP67 for 2 modules - RAL 7035</t>
  </si>
  <si>
    <t>KS Bezel French 1 Port slim 45 x 22.5 mm straight white</t>
  </si>
  <si>
    <t>Angle bracket set for patch panels for 416900</t>
  </si>
  <si>
    <t>Brush strip set for 416900</t>
  </si>
  <si>
    <t>Support bracket 30 mm plastic for M.P. black</t>
  </si>
  <si>
    <t>Faceplate for 2x RJ45 Keystone module, straight          (Not selling now)</t>
  </si>
  <si>
    <t>Faceplate Edizio due angled for PS/MS , with cover frame</t>
  </si>
  <si>
    <t>Surface Mount Box for 6x KS module with dust shutters</t>
  </si>
  <si>
    <t>Faceplate for 1x RJ45 Keystone module, straight                 (Not selling now)</t>
  </si>
  <si>
    <t>19“ Rack blank plate, 1U RAL Black</t>
  </si>
  <si>
    <t>Patch panel MPS 24x, 19“/1U,  stainless steel blank</t>
  </si>
  <si>
    <t>Support bracket 110 mm Metal for M.P</t>
  </si>
  <si>
    <t>FACEPLATE 2 PORT ANGLED   WHITE RAL 9010              (Not selling now)</t>
  </si>
  <si>
    <t>FACEPLATE 1 PORT ANGLED   WHITE RAL 9010                   (Not selling now)</t>
  </si>
  <si>
    <t>Multimedia Adapter RJ45-IEC Orange</t>
  </si>
  <si>
    <t>Outlet IP67 for 1x MS/MU 1/8 , Grey</t>
  </si>
  <si>
    <t>Top cover for patch panel KS 24x-a, angled</t>
  </si>
  <si>
    <t>M. panel, 19‘‘/1U, for 5 brackets, stainless steel, blank</t>
  </si>
  <si>
    <t>Outlet IP44 for 2x MS/MU 1/8 ,Grey</t>
  </si>
  <si>
    <t>Surface Mount Box for 2x KS module with shutters , white</t>
  </si>
  <si>
    <t>Distance frame 10 mm for surface mount box, oyster white</t>
  </si>
  <si>
    <t>Mounting flange IP67 for 1x MS/MU 1/8 grey</t>
  </si>
  <si>
    <t>German Faceplate 2 port with KS fitting, angled white</t>
  </si>
  <si>
    <t>Faceplate Kallysto for 2x KS/GG45, angled, with distance frame, with cover frame white ,</t>
  </si>
  <si>
    <t>Faceplate Kallysto for 2x KS/GG45, angled, with distance frame white</t>
  </si>
  <si>
    <t>Faceplate Kallysto for 2x KS/GG45, angled  white,</t>
  </si>
  <si>
    <t>Rail adapter IP20 for 1 module with KS fitting  grey</t>
  </si>
  <si>
    <t>M. panel, 19‘‘/1U, for 5 brackets, Black</t>
  </si>
  <si>
    <t>Support bracket 75 mm Metal for M.P</t>
  </si>
  <si>
    <t>Wall/surface outlet IP44, for 2x KS module, grey</t>
  </si>
  <si>
    <t>PP CU 25/4 Cat.3 metal chassis grey</t>
  </si>
  <si>
    <t>PP CU 50/4 Cat.3 metal chassis grey</t>
  </si>
  <si>
    <t>PP CU 25/4 Cat.3 metal chassis Black</t>
  </si>
  <si>
    <t>PP CU 50/4 Cat.3 metal chassis Black</t>
  </si>
  <si>
    <t>RJ45-MODULE KU-T 1/8 Cat.5e UTP BLACK</t>
  </si>
  <si>
    <t>RJ45 plug IP67 Cat. 5/5e shielded Grey for field assembly</t>
  </si>
  <si>
    <t>PP KU 19‘‘/1U , for 24x RJ45 KS module UTP Grey</t>
  </si>
  <si>
    <t>Cat 6 ,RJ45 PC IP67,1m  Industrial PUR</t>
  </si>
  <si>
    <t>Cat 6 ,RJ45 PC, 2m, UTP PVC Grey</t>
  </si>
  <si>
    <t>Cat 6 ,RJ45 PC, 3m, UTP PVC Grey</t>
  </si>
  <si>
    <t>Cat 6 ,RJ45 PC, 1m, UTP LSOH Grey</t>
  </si>
  <si>
    <t>PP KU 19‘‘/1U , for 24x RJ45 KS module UTP Black</t>
  </si>
  <si>
    <t>Cat 6 ,RJ45 PC, 1m, UTP PVC Grey</t>
  </si>
  <si>
    <t>Cat 6 ,RJ45 PC, 5m, UTP LSOH Grey</t>
  </si>
  <si>
    <t>PP CSP 24/8 Cat. 6 shielded grey</t>
  </si>
  <si>
    <t>Cat 6 ,RJ45 PC, 2m, UTP LSOH Grey</t>
  </si>
  <si>
    <t>RJ45 feed-trough coupler, Cat 6/Class E, 90° angled metal</t>
  </si>
  <si>
    <t>Cat 5e ,RJ45 PC, 1m, UTP LSOH Grey</t>
  </si>
  <si>
    <t>Cat 6 ,RJ45 PC, 3m, UTP LSOH Grey</t>
  </si>
  <si>
    <t>PP KS 19‘‘/1U , for 24x RJ45 KS module,   grey</t>
  </si>
  <si>
    <t>AP distribution box for one plug-in module grey,</t>
  </si>
  <si>
    <t>RJ45 KS Coupler, Cat 6/Class E, 180° metal</t>
  </si>
  <si>
    <t>Cat 6 ,RJ45 PC, 7m, UTP LSOH Grey</t>
  </si>
  <si>
    <t>Cat 5e ,RJ45 PC, 1m, UTP PVC Grey</t>
  </si>
  <si>
    <t>Cat 5e ,RJ45 PC, 3m, UTP PVC Grey</t>
  </si>
  <si>
    <t>Cat 6 ,RJ45 PC, 5m, UTP PVC Grey</t>
  </si>
  <si>
    <t>Cat 6 ,RJ45 PC, 10m, UTP PVC Grey</t>
  </si>
  <si>
    <t>RJ45 module KS-T Plus 1/8 tool-less Cat. 6A (IEC) shielded, with dust shutter</t>
  </si>
  <si>
    <t>RJ45 plug IP20 Cat.6A (IEC) for field assembly</t>
  </si>
  <si>
    <t>PP angled, 19‘‘/1U, for 24x RJ45 Keystone module, black,</t>
  </si>
  <si>
    <t>RJ45 plug IP20 Cat. 6 shielded for field assembly black</t>
  </si>
  <si>
    <t>Dust shutter MS-K (1 set = 25 pcs.) grey</t>
  </si>
  <si>
    <t>PP 19‘‘/1U , for 24x RJ45 Keystone module, black</t>
  </si>
  <si>
    <t>RJ45 module KS-TS 1/8 tool-less slimline Cat. 6/EA shielded metal</t>
  </si>
  <si>
    <t xml:space="preserve">RJ45 module MS-K Plus 1/8 Cat. 6A (IEC), TIA 568-B metal </t>
  </si>
  <si>
    <t>PP CSA Plus 24/8 with 24x RJ45 jack Cat. 6A (IEC)</t>
  </si>
  <si>
    <t>Cat 7A Module PS-GG45 4P shielded metal</t>
  </si>
  <si>
    <t>Cat 7A Adapter-PC  GG45-RJ45  2 m LSOH orange</t>
  </si>
  <si>
    <t>Cat 7A Adapter PC- PS-TERA PS 2P/RJ45 1m LS0H grey</t>
  </si>
  <si>
    <t>Cat 7A Module PS-GG45 4P shielded, metal for stranded/Flex wires</t>
  </si>
  <si>
    <t>Cat 7A Plug PS-TERA 2P black  100</t>
  </si>
  <si>
    <t>Cat 7A Plug PS-TERA 1P black  10</t>
  </si>
  <si>
    <t>Cat 7A Adapter-PC  GG45-RJ45  3 m LSOH orange</t>
  </si>
  <si>
    <t>Measurement-PC  GG45-RJ45  2 m LSOH orange</t>
  </si>
  <si>
    <t>PP. MGK 19“/1U for 24x KS module Steel</t>
  </si>
  <si>
    <t>PP. MGK 19“/1U for 24x KS module Grey</t>
  </si>
  <si>
    <t>Cat 7A Adapter PC- PS-TERA PS 2P/RJ45 3m LS0H grey</t>
  </si>
  <si>
    <t>Cat 7A Adapter PC- PS-TERA PS 4P/RJ45 3m LS0H grey</t>
  </si>
  <si>
    <t>PP. MGK 10“/1U for 12x KS module Steel</t>
  </si>
  <si>
    <t>Telescopic slides for upgrading 2U PP OV-A to OV-AT</t>
  </si>
  <si>
    <t>Blind cover SCD /LCQ</t>
  </si>
  <si>
    <t>M25 Cable gland Dia 25 mm, Clamp range 9-17 mm</t>
  </si>
  <si>
    <t>Straight cable entry M20 + M25 Steel for 1U PP</t>
  </si>
  <si>
    <t>Patch panel for 12x SCD for 416904 wall DB</t>
  </si>
  <si>
    <t>Angled cable entry M25 Steel for 2U PP</t>
  </si>
  <si>
    <t>Angled cable entry M20 Steel for 2U PP</t>
  </si>
  <si>
    <t>Straight cable entry M20 + M25 Steel  for 2 U PP</t>
  </si>
  <si>
    <t>Strain relief M20 Steel for 2U PP</t>
  </si>
  <si>
    <t>Patch panel 2U for 24x SCD for 416900  wall DB</t>
  </si>
  <si>
    <t>FO-DCS M.P 19"1U LEFT/RIGHT  Alu, anodised</t>
  </si>
  <si>
    <t>Splice tray take-up 4 pcs.  for 416904 wall DB</t>
  </si>
  <si>
    <t>FO wall mount distribution box 600 x 425 x 220 mm (unloaded) Grey</t>
  </si>
  <si>
    <t>Cable entry set PG 16 / PG 21 for 416900 2 pcs.</t>
  </si>
  <si>
    <t>Splice tray holder for 12 cassettes for 416900</t>
  </si>
  <si>
    <t>PP 2U -OV-AT telescopic without front plate Grey</t>
  </si>
  <si>
    <t>Front plate for 12x SCD/LCQ Black for 1U PP</t>
  </si>
  <si>
    <t>Angled cable entry M25* Steel for 1U PP</t>
  </si>
  <si>
    <t>Angled cable entry M20* Steel for 1U PP</t>
  </si>
  <si>
    <t>Label for OV-AT, self-adhesive, length 420 mm for 1U PP</t>
  </si>
  <si>
    <t>Strain relief M25 Steel for 1U PP</t>
  </si>
  <si>
    <t>Front plate for 48x LCD (offset design) Grey for 2U PP</t>
  </si>
  <si>
    <t xml:space="preserve">Splice kit with 12x Crimp splice protection &amp; splice tray cover </t>
  </si>
  <si>
    <t xml:space="preserve">Splice holder for up to 12 Crimp splices </t>
  </si>
  <si>
    <t>Splice protection (shrink technology) 100 pcs.</t>
  </si>
  <si>
    <t>PP 1U -OV-AT telescopic without front plate Grey</t>
  </si>
  <si>
    <t>FO wall mount distribution box OV-W, 300 x 300 x 85 mm</t>
  </si>
  <si>
    <t>Cable entry with 2 plates and 2 brush strips 1 set for  416904</t>
  </si>
  <si>
    <t>Patch panel for 48x SC  for OV-W 416904</t>
  </si>
  <si>
    <t>FO-DCS M.P, 19”/1U, right-side routing Alu, anodised</t>
  </si>
  <si>
    <t>Front plate for 24x LCD (offset design) Grey for 1U PP</t>
  </si>
  <si>
    <t>Splice tray without cover for 12 F</t>
  </si>
  <si>
    <t>Splice tray cover for 12 F</t>
  </si>
  <si>
    <t>Splice holder for up to 6 splices (heat shrink technology)</t>
  </si>
  <si>
    <t>Front plate for 24x SCD/LCQ for 1U PP black</t>
  </si>
  <si>
    <t>Front plate for insertion of 2 partial front plates  for 1U PP  Grey</t>
  </si>
  <si>
    <t>Partial front plate for 12x LSH (1-12) for Article No. 416955 Grey</t>
  </si>
  <si>
    <t>Partial front plate for 12x LSH (13-24) for Article No. 416955 Grey</t>
  </si>
  <si>
    <t>Blank partial front plate for Article No. 416955 Grey</t>
  </si>
  <si>
    <t>Front plate for 12x SCD/LCQ  for 1U PP  Grey</t>
  </si>
  <si>
    <t>FO-DCS modular subrack, 19“/4U, 84HP Alu, anodised</t>
  </si>
  <si>
    <t>PP 1U OV-S extractable without front plate Grey</t>
  </si>
  <si>
    <t>FO Duplex OM2 PC- SCD-LCD 05M</t>
  </si>
  <si>
    <t>FO Duplex OM2 PC- LCD-LCD 03M</t>
  </si>
  <si>
    <t>FO Duplex OM2 PC- LCD-LCD 05M</t>
  </si>
  <si>
    <t>FO Duplex OM2 PC- LCD-LCD 02M</t>
  </si>
  <si>
    <t>FO Duplex OM2 PC- SCD-LCD 02M</t>
  </si>
  <si>
    <t>FO Duplex OM2 PC- SCD-LCD 03M</t>
  </si>
  <si>
    <t>FO Duplex OM2 PC- SCD-SCD 01M</t>
  </si>
  <si>
    <t>FO Duplex OM2 PC- LCD-LCD 01M</t>
  </si>
  <si>
    <t>FO Duplex OM2 PC- SCD-LCD 01M</t>
  </si>
  <si>
    <t>FO Pigtail G50/OM2 SC  02M</t>
  </si>
  <si>
    <t>FO Duplex OM2 PC- SCD-SCD 02M</t>
  </si>
  <si>
    <t>FO Duplex OM2 PC- LCD-LCD 08M</t>
  </si>
  <si>
    <t>FO Duplex OM2 PC- MTRJ-SCD 01M</t>
  </si>
  <si>
    <t>FO Duplex OM2 PC- LCD-LCD 10M</t>
  </si>
  <si>
    <t>FO Duplex OM2 PC- SCD-LCD 10M</t>
  </si>
  <si>
    <t>FO Duplex OM3 PC- LCD-LCD 01M</t>
  </si>
  <si>
    <t>FO Pigtail G50/OM3 LC  02M</t>
  </si>
  <si>
    <t>FO Pigtail G50/OM3 SC  02M</t>
  </si>
  <si>
    <t>FO Duplex OM3 PC- SCD-LCD 03M</t>
  </si>
  <si>
    <t>FO Duplex OM3 PC- LCD-LCD 02M</t>
  </si>
  <si>
    <t>FO Duplex OM3 PC- LCD-LCD 05M</t>
  </si>
  <si>
    <t>FO Duplex OM3 PC- LCD-LCD 10M</t>
  </si>
  <si>
    <t>FO Duplex OM3 PC- SCD-SCD 01M</t>
  </si>
  <si>
    <t>FO Duplex OM3 PC- SCD-SCD 03M</t>
  </si>
  <si>
    <t>FO Duplex OM3 PC- SCD-SCD 05M</t>
  </si>
  <si>
    <t>FO Duplex OM3 PC- SCD-LCD 05M</t>
  </si>
  <si>
    <t>FO Duplex OM3 PC- LCD-LCD 03M</t>
  </si>
  <si>
    <t>FO-DCS compact breakout panel, 19”/1U, 24x LCQ, OM3 turquoise Alu, anodised</t>
  </si>
  <si>
    <t>FO Pigtail G50/OM3 LSH  02M</t>
  </si>
  <si>
    <t>FO Pigtail G50/OM3 ST  02M</t>
  </si>
  <si>
    <t>FO-DCS 3U/7HP plug-in module, 1x MTP on 6x LCD, OM3 PC, black</t>
  </si>
  <si>
    <t>FO-DCS 3U/7HP plug-in module 2x MTP on 6x LCQ, OM3 Alu, anodised</t>
  </si>
  <si>
    <t>FO Duplex OM3 PC- SCD-LCD 02M</t>
  </si>
  <si>
    <t>FO-DCS 3U/7HP plug-in module, 2x MTP on 6x LCQ, OM3 PC, black</t>
  </si>
  <si>
    <t>FO-DCS 3U/7HP plug-in module, 1x MTP on 6x LCD, OM4 PC, black</t>
  </si>
  <si>
    <t>FO-DCS 3U/7HP plug-in module, 2x MTP on 6x LCQ, OM4 PC, black</t>
  </si>
  <si>
    <t>FO-DCS 3U/7HP plug-in module, 2x MTP on 6x LCQ, OM4 Alu, anodised</t>
  </si>
  <si>
    <t>FO-DCS compact panel, 19”/1U, 4x MTP on 24x LCD, OM4 heather violet Alu, anodised</t>
  </si>
  <si>
    <t>FO Duplex OS2 PC- LCD-LCD 03M</t>
  </si>
  <si>
    <t>12 Port (06x LCD) SM PP 1U loaded - Blue polymer housing with ceramic sleeve and 12 LC pigtails 2m OS2</t>
  </si>
  <si>
    <t>FO Pigtail 09/OS2 SC  02M</t>
  </si>
  <si>
    <t>FO Pigtail 09/OS2 MT-RJ 02M set of 12</t>
  </si>
  <si>
    <t>FO Pigtail 09/OS2 FC 02M set of 12</t>
  </si>
  <si>
    <t>FO Pigtail 09/OS2 LC 02M</t>
  </si>
  <si>
    <t>FO Duplex OS2 PC- MTRJ-MTRJ 01M</t>
  </si>
  <si>
    <t>FO Duplex OS2 PC- LCD-MTRJ 01M</t>
  </si>
  <si>
    <t>FO Duplex OS2 PC- LCD-LCD 01M</t>
  </si>
  <si>
    <t>FO Duplex OS2 PC- LCD-FC 10M</t>
  </si>
  <si>
    <t>FO Duplex OS2 PC- LCD-SCD 02M</t>
  </si>
  <si>
    <t>FO Duplex OS2 PC- LCD-SCD 03M</t>
  </si>
  <si>
    <t>FO Duplex OS2 PC- LCD-FC 03M</t>
  </si>
  <si>
    <t>FO Duplex OS2 PC- LCD-LCD 10M</t>
  </si>
  <si>
    <t>FO Duplex OS2 PC- ST-ST 03M</t>
  </si>
  <si>
    <t>FO Duplex OS2 PC- ST-ST 01M</t>
  </si>
  <si>
    <t>FO Duplex OS2 PC- ST-SCD 01M</t>
  </si>
  <si>
    <t>FO-DCS compact breakout panel, 19”/1U, 24x LCQ, OS2 green Alu, anodised</t>
  </si>
  <si>
    <t>FO Duplex OS2 PC- LCD-FC 05M</t>
  </si>
  <si>
    <t>FO Duplex OS2 PC- SCD-SCD 01M</t>
  </si>
  <si>
    <t>FO Duplex OS2 PC- SCD-SCD 03M</t>
  </si>
  <si>
    <t>FO Duplex OS2 PC- SCD-SCD 05M</t>
  </si>
  <si>
    <t>FO Duplex OS2 PC- SCD-LCD 01M</t>
  </si>
  <si>
    <t>FO Duplex OM3 PC- SCD-LCD 01M</t>
  </si>
  <si>
    <t>FO-DCS compact panel, 19”/1U, 4x MTP on 24x LCD, OS2 blue Alu, anodised</t>
  </si>
  <si>
    <t>FO Duplex OS2 PC- SCD/APC-SCD/APC 03M</t>
  </si>
  <si>
    <t>FO-DCS 3U/7HP plug-in module, 1x MTP on 6x LCD/PC, OS2 (G.652.D) PC, black</t>
  </si>
  <si>
    <t>FO-DCS 3U/7HP plug-in module, 2x MTP on 6x LCQ/PC, OS2 (G.652.D) PC, black</t>
  </si>
  <si>
    <t>FO-DCS 3U/7HP plug-in module, 2x MTP on 6x LCQ/PC, OS2 (G.652.D) Alu, anodised</t>
  </si>
  <si>
    <t>LC Duplex coupler MS, SM ceramic (for Keystone panels) blue</t>
  </si>
  <si>
    <t>FO Duplex OS2 PC- LCD-LCD 02M</t>
  </si>
  <si>
    <t>FO Duplex OS2 PC- LCD-LCD 05M</t>
  </si>
  <si>
    <t>FO Duplex OS2 PC- LCD-SCD 10M</t>
  </si>
  <si>
    <t>FO Duplex OS2 PC- LCD-SCD 05M</t>
  </si>
  <si>
    <t>FO Simplex OS2 PC  SC/APC- SC/APC  1m</t>
  </si>
  <si>
    <t>FO Simplex OS2 PC  SC/APC- SC/APC  2m</t>
  </si>
  <si>
    <t>FO Simplex OS2 PC  SC/APC- SC/APC  3m</t>
  </si>
  <si>
    <t>FO Simplex OS2 PC  SC/APC- SC/APC  5m</t>
  </si>
  <si>
    <t>FO Simplex OS2 PC  SC/APC- SC/APC  10m</t>
  </si>
  <si>
    <t>FO Simplex OS2 PC  LC/APC- LC/APC  1m</t>
  </si>
  <si>
    <t>FO Simplex OS2 PC  LC/APC- LC/APC  2m</t>
  </si>
  <si>
    <t>FO Simplex OS2 PC  LC/APC- LC/APC  3m</t>
  </si>
  <si>
    <t>FO Simplex OS2 PC  LC/APC- LC/APC  5m</t>
  </si>
  <si>
    <t>FO Simplex OS2 PC  LC/APC- LC/APC  10m</t>
  </si>
  <si>
    <t>FO Patch Panel SC/APC 24Ports OS2 Fully Loaded</t>
  </si>
  <si>
    <t>FO Patch Panel SC/APC 48Ports OS2 Fully Loaded</t>
  </si>
  <si>
    <t>FO Patch Panel SC/APC 12Ports OS2 Fully Loaded</t>
  </si>
  <si>
    <t>FO Patch Panel LC/APC 12Ports OS2 Fully Loaded</t>
  </si>
  <si>
    <t>Cat7 S/FTP 2x4P AWG23 LS0H, Orange 500m</t>
  </si>
  <si>
    <t>Cat7 S/FTP 4P AWG23 LS0H, Black, GG-PE</t>
  </si>
  <si>
    <t>Cat7 F/FTP 2x4P AWG23 LS0H, Orange 500m</t>
  </si>
  <si>
    <t>Cat6A F/FTP 2x4P AWG23 LS0H, Orange 500m</t>
  </si>
  <si>
    <t>Cat6A U/FTP 2x4P AWG23 LS0H, Orange 500m</t>
  </si>
  <si>
    <t>Cat 3 50 Pairs LSOH, Indoor Cable  GY 500 mtr</t>
  </si>
  <si>
    <t>Cat 3 50 Pairs PVC, Indoor Cable  GY 500 mtr</t>
  </si>
  <si>
    <t>Cat 3 100 Pairs PVC , Indoor Cable  GY 500 mtr</t>
  </si>
  <si>
    <t>Cat 3 100 Pairs LSOH , Indoor Cable  GY 500 mtr</t>
  </si>
  <si>
    <t>Cat 3 25 Pairs LSOH Indoor Cable  GY 500 mtr</t>
  </si>
  <si>
    <t>Cat 3 25 Pairs PVC Indoor Cable  GY 500 mtr</t>
  </si>
  <si>
    <t>Cat 5e Cable U/UTP AWG24 PVC Grey 305 mtr</t>
  </si>
  <si>
    <t>Cat 5e Cable U/UTP AWG24 LSOH Orange 305 mtr</t>
  </si>
  <si>
    <t xml:space="preserve">Cat 6 cable, U/UTP, AWG24 PVC Grey 305 mtr </t>
  </si>
  <si>
    <t xml:space="preserve">Cat 6 cable, U/UTP, AWG24 LSOH Orange 305 mtr </t>
  </si>
  <si>
    <t>FOC Outdoor Steel Tape ZwbKWT BL -1x8 OM2 1000 mtr</t>
  </si>
  <si>
    <t>FOC Universal ZGGFR -1x4 OM3 Indoor/Outdoor 1000 mtr</t>
  </si>
  <si>
    <t>FOC Universal ZGGFR -1x24 OM3 Indoor/Outdoor 1000 mtr</t>
  </si>
  <si>
    <t>FOC Outdoor Steel Tape ZwbKWT BL 1x6  OM3 1000 mtr</t>
  </si>
  <si>
    <t>FOC Universal ZGGFR -1x8 OM3 Indoor/Outdoor 1000 mtr</t>
  </si>
  <si>
    <t>FOC Universal ZGGFR Safety E30- 1x12  OM3 1000 mtr</t>
  </si>
  <si>
    <t>FOC Universal ZGGFR -2x12 OM3 Indoor/Outdoor 1000 mtr</t>
  </si>
  <si>
    <t>FOC Universal ZGGFR -1x12 OM3 Indoor/Outdoor 1000 mtr</t>
  </si>
  <si>
    <t>FOC Outdoor ZGGT HP- 1x12  OM3 1000 mtr</t>
  </si>
  <si>
    <t>FOC Outdoor wbKWT HP-Steel Tape- 2x12 E9 G.652.D 1000 mtr</t>
  </si>
  <si>
    <t>FOC Outdoor ZwbKWT BL-Steel Tape- 1x8 E9 G.652.D 1000 mtr</t>
  </si>
  <si>
    <t>FOC Universal ZGGFR 1x24 E9 G.652.D Indoor/Outdoor 1000 mtr</t>
  </si>
  <si>
    <t>FOC Outdoor ZwbKWT BL-Steel Tape 1x24 E9 G.652.D 1000 mtr</t>
  </si>
  <si>
    <t>FOC Outdoor ZwbKWT BL-Steel Tape 1x12 E9 G.652.D 1000 mtr</t>
  </si>
  <si>
    <t>FOC Outdoor ZGGT BL 1x24 E9 G.652.D 1000 mtr</t>
  </si>
  <si>
    <t>FOC Universal wbGGFR  4x12 E9 G.652.D  Indoor/Outdoor 1000 mtr</t>
  </si>
  <si>
    <t>FOC Indoor FTTH 2.2, LS0H 1 x 2 E9 G.657.A 1000 mtr</t>
  </si>
  <si>
    <t>FOC Outdoor ZGGT BL 1x12 E9 G.652.D 1000 mtr</t>
  </si>
  <si>
    <t>FOC Universal ZGGFR 1x8 E9 G.652.D  Indoor/Outdoor 1000 mtr</t>
  </si>
  <si>
    <t>FOC Universal ZGGFR 1x6 E9 G.652.D Indoor/Outdoor 1000 mtr</t>
  </si>
  <si>
    <t>FOC Outdoor ZwbKWT BL 1x6 E9 G.652.D Steel 1000 mtr</t>
  </si>
  <si>
    <t>FOC Universal ZGGFR  1x4 E9 G.652.D Indoor/Outdoor 1000 mtr</t>
  </si>
  <si>
    <t>FOC Outdoor ZGGT HP 1x8 E9 G.652.D 1000 mtr</t>
  </si>
  <si>
    <t>FO 2C drop cable FTTH Flat G652D - 2.0*3.1mm 1000 mtr</t>
  </si>
  <si>
    <t>FO 4C drop cable FTTH Flat G652D - 2.0*3.1mm 1000 mtr</t>
  </si>
  <si>
    <t>FO 2C drop cable FTTH Flat G657A1 - 2.0*3.1mm 1000 mtr</t>
  </si>
  <si>
    <t>FO 4C drop cable FTTH Flat G657A1 - 2.0*3.1mm 1000 mtr</t>
  </si>
  <si>
    <t>FO 2C drop cable FTTH Flat G657A2 - 2.0*3.1mm 1000 mtr</t>
  </si>
  <si>
    <t>Cat6 U/UTP AWG23 PVC, Grey 305 mtr</t>
  </si>
  <si>
    <t>Cat6 U/UTP AWG23 LS0H, Orange 305 mtr</t>
  </si>
  <si>
    <t>Cat7A S/FTP 2x4P AWG22 LS0H, Orange 500 mtr</t>
  </si>
  <si>
    <t>Cat7A S/FTP 2x4P AWG23 LS0H, Orange 500 mtr</t>
  </si>
  <si>
    <t>FO Indoor Simplex 2.0 mm green E09/125 G.657.A1 1000 mtr</t>
  </si>
  <si>
    <t>FO Indoor Simplex 2.0 mm yellow E09/125 G.657.A1 1000 mtr</t>
  </si>
  <si>
    <t>FO Indoor Simplex 2.0 mm green E09/125 G.652.D 1000 mtr</t>
  </si>
  <si>
    <t>FO Indoor Simplex 2.0 mm yellow E09/125 G.652.D 1000 mtr</t>
  </si>
  <si>
    <t>FO Indoor Simplex 2.8 mm green E09/125 G.652.D 1000 mtr</t>
  </si>
  <si>
    <t>FO Indoor Simplex 2.8 mm yellow E09/125 G.652.D 1000 mtr</t>
  </si>
  <si>
    <t>FO Indoor Simplex 2.0 mm turquoise G50/125 OM3 1000 mtr</t>
  </si>
  <si>
    <t>FO Indoor Simplex 2.8 mm turquoise G50/125 OM3 1000 mtr</t>
  </si>
  <si>
    <t>FO Indoor Simplex 2.0 mm grey G62.5/125 OM1 1000 mtr</t>
  </si>
  <si>
    <t>FO Indoor Simplex 2.8 mm green G62.5/125 OM1 1000 mtr</t>
  </si>
  <si>
    <t xml:space="preserve">FO Indoor Mini Zipcord 1.8 mm  2x1 green E09/125 G.652.D 1000 mtr </t>
  </si>
  <si>
    <t>FO Indoor Mini Zipcord 1.8 mm  2x1 yellow E09/125 G.652.D 1000 mtr</t>
  </si>
  <si>
    <t>FO Indoor Mini Zipcord 1.8 mm  2x1 orange G50/125 OM2 1000 mtr</t>
  </si>
  <si>
    <t>FO Indoor Mini Zipcord 1.8 mm  2x1 turquoise G50/125 OM3 1000 mtr</t>
  </si>
  <si>
    <t>FO Indoor Mini Zipcord 1.8 mm  2x1 grey G62.5/125 OM1 1000 mtr</t>
  </si>
  <si>
    <t>FO Indoor Zipcord 2.0 mm 2x1 green E09/125 G.652.D 1000 mtr</t>
  </si>
  <si>
    <t>FO Indoor Zipcord 2.0 mm 2x1 yellow E09/125 G.652.D 1000 mtr</t>
  </si>
  <si>
    <t>FO Indoor Zipcord 2.0 mm 2x1 orange G50/125 OM2 1000 mtr</t>
  </si>
  <si>
    <t>FO Indoor Zipcord 2.8 mm 2x1 orange G50/125 OM2 1000 mtr</t>
  </si>
  <si>
    <t>FO Indoor Zipcord 2.0 mm 2x1 turquiose G50/125 OM3 1000 mtr</t>
  </si>
  <si>
    <t>FO Indoor Zipcord 2.0 mm 2x1 grey G62.5/125 OM1 1000 mtr</t>
  </si>
  <si>
    <t>FO Indoor Duplex 2.0 mm green E09/125 G.657.A1 1000 mtr</t>
  </si>
  <si>
    <t>FO Indoor Duplex 2.0 mm yellow E09/125 G.657.A1 1000 mtr</t>
  </si>
  <si>
    <t>FO Indoor Duplex 2.0 mm green E09/125 G.652.D 1000 mtr</t>
  </si>
  <si>
    <t>FO Indoor Duplex 2.0 mm yellow E09/125 G.652.D 1000 mtr</t>
  </si>
  <si>
    <t>FO Indoor Duplex 2.8 mm green E09/125 G.652.D 1000 mtr</t>
  </si>
  <si>
    <t>FO Indoor Duplex 2.8 mm yellow E09/125 G.652.D 1000 mtr</t>
  </si>
  <si>
    <t>FO Indoor Duplex 2.0 mm orange G50/125 OM2 1000 mtr</t>
  </si>
  <si>
    <t>FO Indoor Duplex 2.8 mm orange G50/125 OM2 1000 mtr</t>
  </si>
  <si>
    <t>FO Indoor Duplex 2.0 mm turquoise G50/125 OM3 1000 mtr</t>
  </si>
  <si>
    <t>FO Indoor Duplex 2.8 mm turquoise G50/125 OM3 1000 mtr</t>
  </si>
  <si>
    <t>FO Indoor Duplex 2.0 mm heather violet G50/125 OM4 1000 mtr</t>
  </si>
  <si>
    <t>FO Indoor Duplex 2.0 mm grey G62.5/OM1  1000 mtr</t>
  </si>
  <si>
    <t>FO Indoor Duplex 2.8 mm grey G50/125 OM1 1000 mtr</t>
  </si>
  <si>
    <t>FO Indoor FTTH 2.2, LS0H 1x4 yellow 1000 mtr</t>
  </si>
  <si>
    <t>FO Indoor FTTH 2.8, LS0H 2x1 yellow 1000 mtr</t>
  </si>
  <si>
    <t>FO Indoor FTTH 2.8, LS0H 4x1 yellow 1000 mtr</t>
  </si>
  <si>
    <t>FO Universal 1 x 12 green E9/125 G.652.D 1000 mtr</t>
  </si>
  <si>
    <t>FO Universal 2 x 12 green E9/125 G.652.D 1000 mtr</t>
  </si>
  <si>
    <t>FO Universal 6 x 12 green E9/125 G.652.D 1000 mtr</t>
  </si>
  <si>
    <t>FO Universal 8 x 12 green E9/125 G.652.D 1000 mtr</t>
  </si>
  <si>
    <t>FO Universal 12 x 12 green E9/125 G.652.D 1000 mtr</t>
  </si>
  <si>
    <t>FO Universal 1 x 4 green G50/125 OM2 1000 mtr</t>
  </si>
  <si>
    <t>FO Universal 1 x 6 green G50/125 OM2 1000 mtr</t>
  </si>
  <si>
    <t>FO Universal 1 x 8 green G50/125 OM2 1000 mtr</t>
  </si>
  <si>
    <t>FO Universal 1 x 12 green G50/125 OM2 1000 mtr</t>
  </si>
  <si>
    <t>FO Universal 2 x 12 green G50/125 OM2 1000 mtr</t>
  </si>
  <si>
    <t>FO Universal 1 x 24 green G50/125 OM2 1000 mtr</t>
  </si>
  <si>
    <t>FO Universal 4 x 12 green G50/125 OM2 1000 mtr</t>
  </si>
  <si>
    <t>FO Universal 4 x 12 green G50/125 OM3 1000 mtr</t>
  </si>
  <si>
    <t>FO Universal 6 x 12 green G50/125 OM3 1000 mtr</t>
  </si>
  <si>
    <t>FO Universal 8 x 12 green G50/125 OM3 1000 mtr</t>
  </si>
  <si>
    <t>FO Universal 1 x 6 green G50/125 OM4 1000 mtr</t>
  </si>
  <si>
    <t>FO Universal 1 x 12 green G62.5/125 OM1 1000 mtr</t>
  </si>
  <si>
    <t>FO Universal 2 x 12 green G62.5/125 OM1 1000 mtr</t>
  </si>
  <si>
    <t>FO Universal 1 x 24 green G62.5/125 OM1 1000 mtr</t>
  </si>
  <si>
    <t>FO Universal 4 x 12 green G62.5/125 OM1 1000 mtr</t>
  </si>
  <si>
    <t>FO Universal ZGGFR Safety 1 x 4 red E9/125 G.652.D 1000 mtr</t>
  </si>
  <si>
    <t>FO Universal ZGGFR Safety 1 x 6 red E9/125 G.652.D 1000 mtr</t>
  </si>
  <si>
    <t>FO Universal ZGGFR Safety 1 x 8 red E9/125 G.652.D 1000 mtr</t>
  </si>
  <si>
    <t>FO Universal ZGGFR Safety 1 x 12 red E9/125 G.652.D 1000 mtr</t>
  </si>
  <si>
    <t>FO Universal ZGGFR Safety 1 x 4 red G50/125 OM2 1000 mtr</t>
  </si>
  <si>
    <t>FO Universal ZGGFR Safety 1 x 6 red G50/125 OM2 1000 mtr</t>
  </si>
  <si>
    <t>FO Universal ZGGFR Safety 1 x 8 red G50/125 OM2 1000 mtr</t>
  </si>
  <si>
    <t>FO Universal ZGGFR Safety 1 x 12 red G50/125 OM2 1000 mtr</t>
  </si>
  <si>
    <t>FO Universal ZGGFR Safety 1 x 4 red G50/125 OM3 1000 mtr</t>
  </si>
  <si>
    <t>FO Universal ZGGFR Safety 1 x 6 red G50/125 OM3 1000 mtr</t>
  </si>
  <si>
    <t>FO Universal ZGGFR Safety 1 x 8 red G50/125 OM3 1000 mtr</t>
  </si>
  <si>
    <t>FO Universal ZGGFR Safety 1 x 4 red G62.5/125 OM1 1000 mtr</t>
  </si>
  <si>
    <t>FO Universal ZGGFR Safety 1 x 6 red G62.5/125 OM1 1000 mtr</t>
  </si>
  <si>
    <t>FO Universal ZGGFR Safety 1 x 8 red G62.5/125 OM1 1000 mtr</t>
  </si>
  <si>
    <t>FO Universal ZGGFR Safety 1 x 12 red G62.5/125 OM1 1000 mtr</t>
  </si>
  <si>
    <t>FO Universal wbGGFR Safety 2 x 12 red E9/125 G.652.D 1000 mtr</t>
  </si>
  <si>
    <t>FO Universal wbGGFR Safety 3 x 12 red E9/125 G.652.D 1000 mtr</t>
  </si>
  <si>
    <t>FO Universal wbGGFR Safety 4 x 12 red E9/125 G.652.D 1000 mtr</t>
  </si>
  <si>
    <t>FO Universal wbGGFR Safety 5 x 12 red E9/125 G.652.D 1000 mtr</t>
  </si>
  <si>
    <t>FO Universal ZGGFR Easy Blow 1 x 12 black E9/125 G.652.D 1000 mtr</t>
  </si>
  <si>
    <t>FO Universal ZGGFR Easy Blow 1 x 24 black E9/125 G.652.D 1000 mtr</t>
  </si>
  <si>
    <t>FO Universal ZGGFR Easy Blow 1 x 12 black G50/125 OM2 1000 mtr</t>
  </si>
  <si>
    <t>FO Universal ZGGFR Easy Blow 1 x 24 black G50/125 OM2 1000 mtr</t>
  </si>
  <si>
    <t>FO Universal ZGGFR Easy Blow 1 x 12 black G50/125 OM3 1000 mtr</t>
  </si>
  <si>
    <t>FO Universal ZGGFR Easy Blow 1 x 24 black G50/125 OM3 1000 mtr</t>
  </si>
  <si>
    <t>FO Universal ZGGFR Easy Blow 1 x 12 black G62.5/125 OM1 1000 mtr</t>
  </si>
  <si>
    <t>FO Universal ZGGFR Easy Blow 1 x 24 black G62.5/125 OM1 1000 mtr</t>
  </si>
  <si>
    <t>FO Universal wbGGFR5 Easy Blow 1 x 12 black E9/125 G.652.D 1000 mtr</t>
  </si>
  <si>
    <t>FO Universal wbGGFR5 Easy Blow 2 x 12 black E9/125 G.652.D 1000 mtr</t>
  </si>
  <si>
    <t>FO Universal wbGGFR5 Easy Blow 3 x 12 black E9/125 G.652.D 1000 mtr</t>
  </si>
  <si>
    <t>FO Universal wbGGFR5 Easy Blow 4 x 12 black E9/125 G.652.D 1000 mtr</t>
  </si>
  <si>
    <t>FO Universal wbGGFR5 Easy Blow 5 x 12 black E9/125 G.652.D 1000 mtr</t>
  </si>
  <si>
    <t>FO Universal wbGGFR5 Easy Blow 6 x 12 black E9/125 G.652.D 1000 mtr</t>
  </si>
  <si>
    <t>FO Universal wbGGFR5 Easy Blow 8 x 12 black E9/125 G.652.D 1000 mtr</t>
  </si>
  <si>
    <t>FO Universal wbGGFR5 Easy Blow 10 x 12 black E9/125 G.652.D 1000 mtr</t>
  </si>
  <si>
    <t>FO Universal wbGGFR5 Easy Blow 12 x 12 black E9/125 G.652.D 1000 mtr</t>
  </si>
  <si>
    <t>FO Universal wbGGFR5 Easy Blow 2 x 12 black G50/125 OM2 1000 mtr</t>
  </si>
  <si>
    <t>FO Universal wbGGFR Easy Blow 2 x 12 black G50/125 OM4 1000 mtr</t>
  </si>
  <si>
    <t>FO Universal wbGGFR5 Easy Blow 2 x 12 black G62.5/125 OM1 1000 mtr</t>
  </si>
  <si>
    <t>FO Outdoor 48core E9/125 G.652.D 1000 mtr</t>
  </si>
  <si>
    <t>FO Outdoor 24core E9/125 G.652.D 1000 mtr</t>
  </si>
  <si>
    <t>FO Outdoor 12core E9/125 G.652.D 1000 mtr</t>
  </si>
  <si>
    <t>FO Outdoor 60core E9/125 G.652.D 1000 mtr</t>
  </si>
  <si>
    <t>FO Outdoor 72core E9/125 G.652.D 1000 mtr</t>
  </si>
  <si>
    <t>FO Outdoor 96core E9/125 G.652.D 1000 mtr</t>
  </si>
  <si>
    <t>FO Outdoor 120core E9/125 G.652.D 1000 mtr</t>
  </si>
  <si>
    <t>FO Outdoor 144core E9/125 G.652.D 1000 mtr</t>
  </si>
  <si>
    <t>FO Outdoor ZGGT HighP 1 x 4 black E9/125 G.652.D 1000 mtr</t>
  </si>
  <si>
    <t>FO Outdoor ZGGT HighP 1 x 6 black E9/125 G.652.D 1000 mtr</t>
  </si>
  <si>
    <t>FO Outdoor ZGGT HighP 1 x 12 black E9/125 G.652.D 1000 mtr</t>
  </si>
  <si>
    <t>FO Outdoor ZGGT HighP 1 x 24 black E9/125 G.652.D 1000 mtr</t>
  </si>
  <si>
    <t>FO Outdoor ZGGT HighP 1 x 4 black G50/125 OM2 1000 mtr</t>
  </si>
  <si>
    <t>FO Outdoor ZGGT HighP 1 x 6 black G50/125 OM2 1000 mtr</t>
  </si>
  <si>
    <t>FO Outdoor ZGGT HighP 1 x 8 black G50/125 OM2 1000 mtr</t>
  </si>
  <si>
    <t>FO Outdoor ZGGT HighP 1 x 12 black G50/125 OM2 1000 mtr</t>
  </si>
  <si>
    <t>FO Outdoor ZGGT HighP 1 x 24 black G50/125 OM2 1000 mtr</t>
  </si>
  <si>
    <t>FO Outdoor ZGGT HighP 1 x 4 black G50/125 OM3 1000 mtr</t>
  </si>
  <si>
    <t>FO Outdoor ZGGT HighP 1 x 6 black G50/125 OM3 1000 mtr</t>
  </si>
  <si>
    <t>FO Outdoor ZGGT HighP 1 x 8 black G50/125 OM3 1000 mtr</t>
  </si>
  <si>
    <t>FO Outdoor ZGGT HighP 1 x 24 black G50/125 OM3 1000 mtr</t>
  </si>
  <si>
    <t>FO Outdoor ZGGT HighP 1 x 4 black G62.5/125 OM1 1000 mtr</t>
  </si>
  <si>
    <t>FO Outdoor ZGGT HighP 1 x 6 black G62.5/125 OM1 1000 mtr</t>
  </si>
  <si>
    <t>FO Outdoor ZGGT HighP 1 x 8 black G62.5/125 OM1 1000 mtr</t>
  </si>
  <si>
    <t>FO Outdoor ZGGT HighP 1 x 12 black G62.5/125 OM1 1000 mtr</t>
  </si>
  <si>
    <t>FO Outdoor ZGGT HighP 1 x 24 black G62.5/125 OM1 1000 mtr</t>
  </si>
  <si>
    <t>FO Outdoor wbGGT5 HighP 1 x 12 black E9/125 G.652.D 1000 mtr</t>
  </si>
  <si>
    <t>FO Outdoor wbGGT5 HighP 2 x 12 black E9/125 G.652.D 1000 mtr</t>
  </si>
  <si>
    <t>FO Outdoor wbGGT5 HighP 3 x 12 black E9/125 G.652.D 1000 mtr</t>
  </si>
  <si>
    <t>FO Outdoor wbGGT5 HighP 4 x 12 black E9/125 G.652.D 1000 mtr</t>
  </si>
  <si>
    <t>FO Outdoor wbGGT5 HighP 5 x 12 black E9/125 G.652.D 1000 mtr</t>
  </si>
  <si>
    <t>FO Outdoor wbGGT6 HighP 6 x 12 black E9/125 G.652.D 1000 mtr</t>
  </si>
  <si>
    <t>FO Outdoor wbGGT8 HighP 8 x 12 black E9/125 G.652.D 1000 mtr</t>
  </si>
  <si>
    <t>FO Outdoor wbGGT8 HighP 9 x 12 black E9/125 G.652.D 1000 mtr</t>
  </si>
  <si>
    <t>FO Outdoor wbGGT10 HighP 10 x 12 black E9/125 G.652.D 1000 mtr</t>
  </si>
  <si>
    <t>FO Outdoor wbGGT12 HighP 12 x 12 black E9/125 G.652.D 1000 mtr</t>
  </si>
  <si>
    <t>FO Outdoor wbGGT6 HighP 6 x 24 black E9/125 G.652.D 1000 mtr</t>
  </si>
  <si>
    <t>FO Outdoor wbGGT8 HighP 8 x 24 black E9/125 G.652.D 1000 mtr</t>
  </si>
  <si>
    <t>FO Outdoor wbGGT10 HighP 9 x 24 black E9/125 G.652.D 1000 mtr</t>
  </si>
  <si>
    <t>FO Outdoor wbGGT12 HighP 12 x 24 black E9/125 G.652.D 1000 mtr</t>
  </si>
  <si>
    <t>FO Outdoor wbGGT18 HighP 15 x 12 black E9/125 G.652.D 1000 mtr</t>
  </si>
  <si>
    <t>FO Outdoor wbGGT18 HighP 16 x 12 black E9/125 G.652.D 1000 mtr</t>
  </si>
  <si>
    <t>FO Outdoor wbGGT18 HighP 18 x 12 black E9/125 G.652.D 1000 mtr</t>
  </si>
  <si>
    <t>FO Outdoor wbGGT24 HighP 20 x 12 black E9/125 G.652.D 1000 mtr</t>
  </si>
  <si>
    <t>FO Outdoor wbGGT24 HighP 24 x 12 black E9/125 G.652.D 1000 mtr</t>
  </si>
  <si>
    <t>FO Outdoor wbGGT18 HighP 18 x 24 black E9/125 G.652.D 1000 mtr</t>
  </si>
  <si>
    <t>FO Outdoor wbGGT24 HighP 24 x 24 black E9/125 G.652.D 1000 mtr</t>
  </si>
  <si>
    <t>FO Outdoor wbGGT5 HighP 1 x 12 black G50/125 OM2 1000 mtr</t>
  </si>
  <si>
    <t>FO Outdoor wbGGT5 HighP 2 x 12 black G50/125 OM2 1000 mtr</t>
  </si>
  <si>
    <t>FO Outdoor wbGGT5 HighP 4 x 12 black G50/125 OM2 1000 mtr</t>
  </si>
  <si>
    <t>FO Outdoor wbGGT5 HighP 1 x 12 black G50/125 OM3 1000 mtr</t>
  </si>
  <si>
    <t>FO Outdoor wbGGT5 HighP 2 x 12 black G50/125 OM3 1000 mtr</t>
  </si>
  <si>
    <t>FO Outdoor wbGGT5 HighP 4 x 12 black G50/125 OM3 1000 mtr</t>
  </si>
  <si>
    <t>FO Outdoor wbGGT12 HighP 6 x 12 black G50/125 OM3 1000 mtr</t>
  </si>
  <si>
    <t>FO Outdoor wbGGT12 HighP 12 x 12 black G50/125 OM3 1000 mtr</t>
  </si>
  <si>
    <t>FO Outdoor wbGGT5 HighP 1 x 12 black G62.5/125 OM1 1000 mtr</t>
  </si>
  <si>
    <t>FO Outdoor wbGGT5 HighP 2 x 12 black G62.5/125 OM1 1000 mtr</t>
  </si>
  <si>
    <t>FO Outdoor wbGGT5 HighP 4 x 12 black G62.5/125 OM1 1000 mtr</t>
  </si>
  <si>
    <t>FO Outdoor wbKTW5 HighP 4 x 12 black E9/125 G.652.D 1000 mtr</t>
  </si>
  <si>
    <t>FO Outdoor wbKTW5 HighP 5 x 12 black E9/125 G.652.D 1000 mtr</t>
  </si>
  <si>
    <t>FO Outdoor wbKTW6 HighP 6 x 12 black E9/125 G.652.D 1000 mtr</t>
  </si>
  <si>
    <t>FO Outdoor wbKTW6 HighP 4 x 24 black E9/125 G.652.D 1000 mtr</t>
  </si>
  <si>
    <t>FO Outdoor wbKTW6 HighP 6 x 24 black E9/125 G.652.D 1000 mtr</t>
  </si>
  <si>
    <t>FO Outdoor wbKTW5 HighP 2 x 12 black G50/125 OM2 1000 mtr</t>
  </si>
  <si>
    <t>FO Outdoor wbKWT HighP 4 x 12 black G50/125 OM2 1000 mtr</t>
  </si>
  <si>
    <t>FO Outdoor wbKWT HighP 2 x 12 black G50/125 OM3 1000 mtr</t>
  </si>
  <si>
    <t>FO Outdoor wbKWT HighP 4 x 12 black G50/125 OM3 1000 mtr</t>
  </si>
  <si>
    <t>FO Outdoor wbKTW5 HighP 2 x 12 black G62.5/125 OM1 1000 mtr</t>
  </si>
  <si>
    <t>FO Outdoor wbKTW5 HighP 4 x 12 black G62.5/125 OM1 1000 mtr</t>
  </si>
  <si>
    <t>FO Outdoor ZGGT Basic Line 1 x 4 black E9/125 G.652.D 1000 mtr</t>
  </si>
  <si>
    <t>FO Outdoor ZGGT Basic Line 1 x 6 black E9/125 G.652.D 1000 mtr</t>
  </si>
  <si>
    <t>FO Outdoor ZGGT Basic Line 1 x 8 black E9/125 G.652.D 1000 mtr</t>
  </si>
  <si>
    <t>FO Outdoor ZGGT Basic Line 1 x 4 black G50/125 OM2 1000 mtr</t>
  </si>
  <si>
    <t>FO Outdoor ZGGT Basic Line 1 x 6 black G50/125 OM2 1000 mtr</t>
  </si>
  <si>
    <t>FO Outdoor ZGGT Basic Line 1 x 8 black G50/125 OM2 1000 mtr</t>
  </si>
  <si>
    <t>FO Outdoor ZGGT Basic Line 1 x 12 black G50/125 OM2 1000 mtr</t>
  </si>
  <si>
    <t>FO Outdoor ZGGT Basic Line 1 x 24 black G50/125 OM2 1000 mtr</t>
  </si>
  <si>
    <t>FO Outdoor ZGGT Basic Line 1 x 4 black G50/125 OM3 1000 mtr</t>
  </si>
  <si>
    <t>FO Outdoor ZGGT Basic Line 1 x 6 black G50/125 OM3 1000 mtr</t>
  </si>
  <si>
    <t>FO Outdoor ZGGT Basic Line 1 x 8 black G50/125 OM3 1000 mtr</t>
  </si>
  <si>
    <t>FO Outdoor ZGGT Basic Line 1 x 12 black G50/125 OM3 1000 mtr</t>
  </si>
  <si>
    <t>FO Outdoor ZGGT Basic Line 1 x 24 black G50/125 OM3 1000 mtr</t>
  </si>
  <si>
    <t>FO Outdoor ZGGT Basic Line 1 x 4 black G62.5/125 OM1 1000 mtr</t>
  </si>
  <si>
    <t>FO Outdoor ZGGT Basic Line 1 x 6 black G62.5/125 OM1 1000 mtr</t>
  </si>
  <si>
    <t>FO Outdoor ZGGT Basic Line 1 x8 black G62.5/125 OM1 1000 mtr</t>
  </si>
  <si>
    <t>FO Outdoor ZGGT Basic Line 1 x 12 black G62.5/125 OM1 1000 mtr</t>
  </si>
  <si>
    <t>FO Outdoor ZGGT Basic Line 1 x 24 black G62.5/125 OM1 1000 mtr</t>
  </si>
  <si>
    <t>FO Outdoor wbGGT5 Basic Line 1 x 12 black E9/125 G.652.D 1000 mtr</t>
  </si>
  <si>
    <t>FO Outdoor wbGGT5 Basic Line 2 x 12 black E9/125 G.652.D 1000 mtr</t>
  </si>
  <si>
    <t>FO Outdoor wbGGT5 Basic Line 3 x 12 black E9/125 G.652.D 1000 mtr</t>
  </si>
  <si>
    <t>FO Outdoor wbGGT5 Basic Line 4 x 12 black E9/125 G.652.D 1000 mtr</t>
  </si>
  <si>
    <t>FO Outdoor wbGGT5 Basic Line 5 x 12 black E9/125 G.652.D 1000 mtr</t>
  </si>
  <si>
    <t>FO Outdoor ZwbKWT Basic Line 1 x 4 E9/125 G.652.D 1000 mtr</t>
  </si>
  <si>
    <t>FO Outdoor ZwbKWT Basic Line 1 x 4 G50/125 OM2 1000 mtr</t>
  </si>
  <si>
    <t>FO Outdoor ZwbKWT Basic Line 1 x 6 G50/125 OM2 1000 mtr</t>
  </si>
  <si>
    <t>FO Outdoor ZwbKWT Basic Line 1 x 12 G50/125 OM2 1000 mtr</t>
  </si>
  <si>
    <t>FO Outdoor ZwbKWT Basic Line 1 x 24 G50/125 OM2 1000 mtr</t>
  </si>
  <si>
    <t>FO Outdoor ZwbKWT Basic Line 1 x 4 G50/125 OM3 1000 mtr</t>
  </si>
  <si>
    <t>FO Outdoor ZwbKWT Basic Line 1 x 8 G50/125 OM3 1000 mtr</t>
  </si>
  <si>
    <t>FO Outdoor ZwbKWT Basic Line 1 x 12 G50/125 OM3 1000 mtr</t>
  </si>
  <si>
    <t>FO Outdoor ZwbKWT Basic Line 1 x 24 G50/125 OM3 1000 mtr</t>
  </si>
  <si>
    <t>FO Outdoor ZwbKWT Basic Line 1 x 4 G62.5/125 OM1 1000 mtr</t>
  </si>
  <si>
    <t>FO Outdoor ZwbKWT Basic Line 1 x 6 6 G62.5/125 OM1 1000 mtr</t>
  </si>
  <si>
    <t>FO Outdoor ZwbKWT Basic Line 1 x 8 8 G62.5/125 OM1 1000 mtr</t>
  </si>
  <si>
    <t>FO Outdoor ZwbKWT Basic Line 1 x 12 12 G62.5/125 OM1 1000 mtr</t>
  </si>
  <si>
    <t>FO Outdoor ZwbKWT Basic Line 1 x 24 24 G62.5/125 OM1 1000 mtr</t>
  </si>
  <si>
    <t>FO Outdoor wbKT Micro 1x12 black E9/125 G.652.D 1000 mtr</t>
  </si>
  <si>
    <t>FO Outdoor wbKT Micro 2x12 black E9/125 G.652.D 1000 mtr</t>
  </si>
  <si>
    <t>FO Outdoor wbKT Micro 3x12 black E9/125 G.652.D 1000 mtr</t>
  </si>
  <si>
    <t>FO Outdoor wbKT Micro 4x12 black E9/125 G.652.D 1000 mtr</t>
  </si>
  <si>
    <t>FO Outdoor wbKT Micro 5x12 black E9/125 G.652.D 1000 mtr</t>
  </si>
  <si>
    <t>FO Outdoor wbKT Micro 6x12 black E9/125 G.652.D 1000 mtr</t>
  </si>
  <si>
    <t>FO Outdoor wbKT Micro 8x12 black E9/125 G.652.D 1000 mtr</t>
  </si>
  <si>
    <t>FO Outdoor wbKT Micro 6x24 black E9/125 G.652.D 1000 mtr</t>
  </si>
  <si>
    <t>Roll</t>
  </si>
  <si>
    <t>PP 1U OV-S extractable without front plate Black</t>
  </si>
  <si>
    <t>Cable clip (to be attached to existent patch cords) without self-laminating label (1 set = 50 pcs.)</t>
  </si>
  <si>
    <t>FO Pigtail 09/OS2 LC/APC  02M</t>
  </si>
  <si>
    <t>FO Pigtail 09/OS2 SC/APC  02M</t>
  </si>
  <si>
    <t>FO Duplex OS2 PC- LCD/APC-LCD/APC 03M</t>
  </si>
  <si>
    <t xml:space="preserve">24x LCD adapter, turqouise polymer housing with ceramic sleeve and 48 LC pigtails 2m G50/125µm OM3 </t>
  </si>
  <si>
    <t xml:space="preserve">12x SCD adapter, turqouise polymer housing with PB sleeve and 24 SC pigtails 2m G50/125µm OM3 </t>
  </si>
  <si>
    <t xml:space="preserve">12x SCD adapter, blue polymer housing with ceramic sleeve and 24 SC pigtails 2m E09/125µm OS2 </t>
  </si>
  <si>
    <t xml:space="preserve">6x SCD adapter, turqouise polymer housing with PB sleeve and 12 SC pigtails 2m G50/125µm OM3 </t>
  </si>
  <si>
    <t xml:space="preserve">24x SCD adapter, blue polymer housing with ceramic sleeve and 48 SC pigtails 2m E09/125µm OS2 </t>
  </si>
  <si>
    <t xml:space="preserve">24x SCD adapter, turqouise polymer housing with PB sleeve and 48 SC pigtails 2m G50/125µm OM3 </t>
  </si>
  <si>
    <t>12x LCD adapter, blue polymer housing with ceramic sleeve and 24 LC pigtails 2m E09/125µm OS2</t>
  </si>
  <si>
    <t xml:space="preserve">6x SCD adapter, blue polymer housing with ceramic sleeve and 12 SC pigtails 2m E09/125µm OS2 </t>
  </si>
  <si>
    <t>24x ST adapter, metal housing with ceramic sleeve and 24 ST pigtails 2m G50/125µm OM3</t>
  </si>
  <si>
    <t>12x ST adapter, metal housing with ceramic sleeve and 12 ST pigtails 2m G50/125µm OM3</t>
  </si>
  <si>
    <t xml:space="preserve">24x LCD adapter, blue polymer housing with ceramic sleeve and 48LC pigtails 2m E09/125µm OS2 </t>
  </si>
  <si>
    <t>12x ST adapter, metal housing with ceramic sleeve and 12 ST pigtails 2m E09/125µm OS2</t>
  </si>
  <si>
    <t>6x LCD adapter, violet polymer housing with ceramic sleeve and 12LC pigtails 2m G50/125µm OM4</t>
  </si>
  <si>
    <t xml:space="preserve">12x LCD adapter, violet polymer housing with ceramic sleeve and 24 LC pigtails 2m G50/125µm OM4 </t>
  </si>
  <si>
    <t xml:space="preserve">24x LCQ adapter, violet polymer housing with ceramic sleeve and 96 LC pigtails 2m G50/125µm OM4 </t>
  </si>
  <si>
    <t>6x SCD adapter, violet polymer housing with PB sleeve and 12 SC pigtails 2m G50/125µm OM4</t>
  </si>
  <si>
    <t>12x SCD adapter, violet polymer housing with PB sleeve and 24 SC pigtails 2m G50/125µm OM4</t>
  </si>
  <si>
    <t xml:space="preserve">24x LCQ adapter, turqouise polymer housing with ceramic sleeve and 96 LC pigtails 2m G50/125µm OM3 </t>
  </si>
  <si>
    <t xml:space="preserve">24x LCQ adapter, blue polymer housing with ceramic sleeve and 96 LC pigtails 2m E09/125µm OS2 </t>
  </si>
  <si>
    <t xml:space="preserve">Face plate </t>
  </si>
  <si>
    <t xml:space="preserve">Cabinet </t>
  </si>
  <si>
    <t>Ind. P</t>
  </si>
  <si>
    <t xml:space="preserve">Accessory </t>
  </si>
  <si>
    <t>Fiber Safety</t>
  </si>
  <si>
    <t>cable</t>
  </si>
  <si>
    <t>Fiber cable</t>
  </si>
  <si>
    <t>Patch Panel</t>
  </si>
  <si>
    <t xml:space="preserve">Pigtail </t>
  </si>
  <si>
    <t>Type</t>
  </si>
  <si>
    <t>Type 1</t>
  </si>
  <si>
    <t>24U floor standing cabinet 600x800 with accessories</t>
  </si>
  <si>
    <t>Cabinet</t>
  </si>
  <si>
    <t>LY flat faceplate, single, white</t>
  </si>
  <si>
    <t xml:space="preserve">Consolidation point box 24 port W/O front plate </t>
  </si>
  <si>
    <t xml:space="preserve">Front Plate FP 24xMGK for 24 port CP box </t>
  </si>
  <si>
    <t>Floor Box Adapter</t>
  </si>
  <si>
    <t>LY flat faceplate, 2-ports with keystone fitting -BS</t>
  </si>
  <si>
    <t>LY flat faceplate , 1-port with keystone fitting -BS</t>
  </si>
  <si>
    <t>LY angle faceplate, 1-port  with keystone fitting -BS</t>
  </si>
  <si>
    <t>LY angle faceplate, 2-ports with keystone fitting - BS</t>
  </si>
  <si>
    <t>LY flat faceplate, double, white</t>
  </si>
  <si>
    <t>Fiber</t>
  </si>
  <si>
    <t>Cable feedthrough panel with strip 19“/1U RAL 9005</t>
  </si>
  <si>
    <t xml:space="preserve">CA </t>
  </si>
  <si>
    <t>Cable feedthrough panel with strip 19“/1U RAL 7035</t>
  </si>
  <si>
    <t>Cable Manager 19" 1U with cover</t>
  </si>
  <si>
    <t>Cable Manager 19" 2U with cover</t>
  </si>
  <si>
    <t>Cat5e SF/UTP 4P AWG24 PVC, Grey 500 mtr</t>
  </si>
  <si>
    <t>Cat5e SF/UTP 4P AWG24 LS0H, Grey 500 mtr</t>
  </si>
  <si>
    <t>Cat5e F/UTP 4P AWG24 PVC, Grey 500 mtr</t>
  </si>
  <si>
    <t>Cat5e F/UTP 4P AWG24 LS0H, Orange 500 mtr</t>
  </si>
  <si>
    <t>Cat5e Flex S/UTP 4P AWG26 PVC, Grey 500 mtr</t>
  </si>
  <si>
    <t>Flex CAT 5E</t>
  </si>
  <si>
    <t>Cat5e Flex S/UTP 4P AWG26 LS0H, Grey 500 mtr</t>
  </si>
  <si>
    <t>Cat 6 cable, F/FTP, AWG24 LSOH Orange 500 mtr</t>
  </si>
  <si>
    <t>Cat 6 cable, SF/UTP, AWG24 LSOH Orange 500 mtr</t>
  </si>
  <si>
    <t>Cat6 U/FTP 4P AWG23 LS0H, Orange 500 mtr</t>
  </si>
  <si>
    <t>Cat 6A cable, S/FTP, AWG23 LSOH Orange 500 mtr</t>
  </si>
  <si>
    <t>Cat6A F/FTP 4P AWG23 LS0H, Orange 500 mtr</t>
  </si>
  <si>
    <t>Cat 6A cable, U/FTP, AWG23 LSOH Orange 500 mtr</t>
  </si>
  <si>
    <t>Cat7 S/FTP 4P AWG23 LS0H, Orange 500 mtr</t>
  </si>
  <si>
    <t>Cat7 S/FTP 3x4P AWG23 LS0H, Orange Breakout Light (BOL), 500 mtr</t>
  </si>
  <si>
    <t>Cat7 S/FTP 4x4P AWG23 LS0H, Orange Breakout Light (BOL), 500 mtr</t>
  </si>
  <si>
    <t>Cat7 S/FTP 6x4P AWG23 LS0H, Orange Breakout Light (BOL), 500 mtr</t>
  </si>
  <si>
    <t>Cat7 S/FTP 4P AWG23 LS0H, Orange, Industrial PUR, 500 mtr</t>
  </si>
  <si>
    <t>Cat7 F/FTP 4P AWG23 LS0H, Orange 500 mtr</t>
  </si>
  <si>
    <t>Cat7A S/FTP 4P multimedia AWG22 LS0H, Orange 500 mtr</t>
  </si>
  <si>
    <t>Cat7A S/FTP 4P AWG22 LS0H, Orange 500 mtr</t>
  </si>
  <si>
    <t>Cat7A S/FTP 4P AWG23 LS0H, Orange 500 mtr</t>
  </si>
  <si>
    <t>Reel</t>
  </si>
  <si>
    <t xml:space="preserve">FO-DCS modular panel 19"/1U not loaded </t>
  </si>
  <si>
    <t>FO_DCS Blank Partial plate 3U/7HP</t>
  </si>
  <si>
    <t>OM1</t>
  </si>
  <si>
    <t xml:space="preserve">pigtail </t>
  </si>
  <si>
    <t>MM</t>
  </si>
  <si>
    <t>FO Universal 1 x 8 green G62.5/125 OM1 1000 mtr</t>
  </si>
  <si>
    <t>FO Universal 1 x 4 green G62.5/125 OM1 1000 mtr</t>
  </si>
  <si>
    <t>FO Universal 1 x 6 green G62.5/125 OM1 1000 mtr</t>
  </si>
  <si>
    <t>FO Universal 1 x 6 green  E50/125 OM3 1000 mtr</t>
  </si>
  <si>
    <t>FO 4C drop cable FTTH Flat G657A2 - 2.0*3.1mm 1000 mtr</t>
  </si>
  <si>
    <t>Mtr</t>
  </si>
  <si>
    <t>25P cable  outdoor LLDPE</t>
  </si>
  <si>
    <t>Cat3 Outdoor</t>
  </si>
  <si>
    <t>50P cable  outdoor LLDPE</t>
  </si>
  <si>
    <t>100P cable  outdoor LLDPE</t>
  </si>
  <si>
    <t>Patch panel MS-K 24x, 19‘‘/1U, for 24x RJ45 module MS-K 1/8 (delivery without modules)</t>
  </si>
  <si>
    <t xml:space="preserve">Accessory1 </t>
  </si>
  <si>
    <t xml:space="preserve">Accessory2 </t>
  </si>
  <si>
    <t>Dust cover for KS-T/KS-T Plus in white (1 set = 10 pcs.)</t>
  </si>
  <si>
    <t>Dust cover for KS-T/KS-T Plus in black (1 set = 10 pcs.)</t>
  </si>
  <si>
    <t>Dust cover for KS-T/KS-T Plus in yellow (1 set = 10 pcs.)</t>
  </si>
  <si>
    <t>Dust cover for KS-T/KS-T Plus in blue (1 set = 10 pcs.)</t>
  </si>
  <si>
    <t>Dust cover for KS-T/KS-T Plus in green (1 set = 10 pcs.)</t>
  </si>
  <si>
    <t>Dust cover for KS-T/KS-T Plus in red (1 set = 10 pcs.)</t>
  </si>
  <si>
    <t>Blank cover for Keystone openings black (1 set = 10 pcs.)</t>
  </si>
  <si>
    <t>Blank cover for Keystone openings white (1 set = 10 pcs.)</t>
  </si>
  <si>
    <t>6x SCD MM adapter, beige polymer housing, with PB sleeve</t>
  </si>
  <si>
    <t>6x SCD MM adapter, turqouise polymer housing, with PB sleeve</t>
  </si>
  <si>
    <t>6x SCD SM adapter, blue polymer housing, with ceramic sleeve</t>
  </si>
  <si>
    <t>6x SCD MM adapter, violet polymer housing, with PB sleeve</t>
  </si>
  <si>
    <t>6x ST SM+MM adapter, metal housing, with ceramic sleeve</t>
  </si>
  <si>
    <t>12x SCD MM adapter, beige polymer housing, with PB sleeve</t>
  </si>
  <si>
    <t>12x SCD MM adapter, turqouise polymer housing, with PB sleeve</t>
  </si>
  <si>
    <t>12x ST SM+MM adapter, metal housing, with ceramic sleeve</t>
  </si>
  <si>
    <t>12x SCD SM adapter, blue polymer housing, with ceramic sleeve</t>
  </si>
  <si>
    <t>12x SCD MM adapter, violet polymer housing, with PB sleeve</t>
  </si>
  <si>
    <t>6x LCD SM adapter, blue polymer housing, with ceramic sleeve</t>
  </si>
  <si>
    <t>6x LCD MM adapter, beige polymer housing, with ceramic sleeve</t>
  </si>
  <si>
    <t>6x LCD MM adapter, turqouise polymer housing, with ceramic sleeve</t>
  </si>
  <si>
    <t>6x LCD MM adapter, violet polymer housing, with ceramic sleeve</t>
  </si>
  <si>
    <t>24x ST SM+MM adapter, metal housing, with ceramic sleeve</t>
  </si>
  <si>
    <t>12x LCD SM adapter, blue polymer housing, with ceramic sleeve</t>
  </si>
  <si>
    <t>12x LCD MM adapter, beige polymer housing, with ceramic sleeve</t>
  </si>
  <si>
    <t>12x LCD MM adapter, turqouise polymer housing, with ceramic sleeve</t>
  </si>
  <si>
    <t>12x LCD MM adapter, violet polymer housing, with ceramic sleeve</t>
  </si>
  <si>
    <t>24x LCQ SM adapter, blue polymer housing, with ceramic sleeve</t>
  </si>
  <si>
    <t>6x LCD adapter, beige polymer housing with ceramic sleeve and 12 LC pigtails 2m G50/125µm OM2</t>
  </si>
  <si>
    <t>6x LCD adapter, turqouise polymer housing with ceramic sleeve and 12 LC pigtails 2m G50/125µm OM3</t>
  </si>
  <si>
    <t>12x LCD adapter, beige polymer housing with ceramic sleeve and 24 LC pigtails 2m G50/125µm OM2</t>
  </si>
  <si>
    <t>12x LCD adapter, turqouise polymer housing with ceramic sleeve and 24 LC pigtails 2m G50/125µm OM3</t>
  </si>
  <si>
    <t>24x LCD adapter, beige polymer housing with ceramic sleeve and 48 LC pigtails 2m G50/125µm OM2</t>
  </si>
  <si>
    <t>24x LCD adapter, violet polymer housing with ceramic sleeve and 48 LC pigtails 2m G50/125µm OM4</t>
  </si>
  <si>
    <t>6x SCD adapter, beige polymer housing with PB sleeve and 12 SC pigtails 2m G50/125µm OM2</t>
  </si>
  <si>
    <t>12x SCD adapter, beige polymer housing with PB sleeve and 24 SC pigtails 2m G50/125µm OM2</t>
  </si>
  <si>
    <t>24x SCD adapter, beige polymer housing with PB sleeve and 48 SC pigtails 2m G50/125µm OM2</t>
  </si>
  <si>
    <t>24x SCD adapter, violet polymer housing with PB sleeve and 48 SC pigtails 2m G50/125µm OM4</t>
  </si>
  <si>
    <t>6x ST adapter, metal housing with ceramic sleeve and 6 ST pigtails 2m E09/125µm OS2</t>
  </si>
  <si>
    <t>6x ST adapter, metal housing with ceramic sleeve and 6 ST pigtails 2m G50/125µm OM2</t>
  </si>
  <si>
    <t>6x ST adapter, metal housing with ceramic sleeve and 6 ST pigtails 2m G50/125µm OM3</t>
  </si>
  <si>
    <t>12x ST adapter, metal housing with ceramic sleeve and 12 ST pigtails 2m G50/125µm OM2</t>
  </si>
  <si>
    <t>24x ST adapter , metal housing with ceramic sleeve and 24 ST pigtails 2m E09/125µm OS2</t>
  </si>
  <si>
    <t>24x ST adapter, metal housing with ceramic sleeve and 24 ST pigtails 2m G50/125µm OM2</t>
  </si>
  <si>
    <t>24x LCD SM adapter, blue polymer housing, with ceramic sleeve</t>
  </si>
  <si>
    <t>24x LCD MM adapter, beige polymer housing, with ceramic sleeve</t>
  </si>
  <si>
    <t>24x LCD MM adapter, turqouise polymer housing, with ceramic sleeve</t>
  </si>
  <si>
    <t>24x LCD MM adapter, violet polymer housing, with ceramic sleeve</t>
  </si>
  <si>
    <t>24x SCD SM adapter, blue polymer housing, with ceramic sleeve</t>
  </si>
  <si>
    <t>24x SCD MM adapter, beige polymer housing, with PB sleeve</t>
  </si>
  <si>
    <t>24x SCD MM adapter, turqouise polymer housing, with PB sleeve</t>
  </si>
  <si>
    <t>24x SCD MM adapter, violet polymer housing, with PB sleeve</t>
  </si>
  <si>
    <t>24x LCQ MM adapter, beige polymer housing, with ceramic sleeve</t>
  </si>
  <si>
    <t>24x LCQ MM adapter, turqouise polymer housing, with ceramic sleeve</t>
  </si>
  <si>
    <t>24x LCQ MM adapter, violet polymer housing, with ceramic sleeve</t>
  </si>
  <si>
    <t>24x LCQ adapter, beige polymer housing with ceramic sleeve and 96 LC pigtails 2m G50/125µm OM2</t>
  </si>
  <si>
    <t>CAT5e</t>
  </si>
  <si>
    <t>Cat 6 ,RJ45 PC, 0.5m, UTP PVC Grey</t>
  </si>
  <si>
    <t>Cat 6 ,RJ45 PC, 1.5m, UTP PVC Grey</t>
  </si>
  <si>
    <t>Cat 6 ,RJ45 PC, 4m, UTP PVC Grey</t>
  </si>
  <si>
    <t>Cat 6 ,RJ45 PC, 7m, UTP PVC Grey</t>
  </si>
  <si>
    <t>Cat 6 ,RJ45 PC, 0.5m, UTP LSOH Grey</t>
  </si>
  <si>
    <t>Cat 6 ,RJ45 PC, 1.5m, UTP LSOH Grey</t>
  </si>
  <si>
    <t>Cat 6 ,RJ45 PC, 4m, UTP LSOH Grey</t>
  </si>
  <si>
    <t>Cat 6 ,RJ45 PC, 10m, UTP LSOH Grey</t>
  </si>
  <si>
    <t>12U Wall Mounted cabinet 600 x 600mm with accessories (1x6way pdu &amp; 1pcs shelves)</t>
  </si>
  <si>
    <t>15U Wall Mounted cabinet 600 x 600mm with accessories (1x6way pdu &amp; 1pcs shelves)</t>
  </si>
  <si>
    <t>42U Floor standing cabinet 800 x 800mm with accessories (1x6way pdu &amp; 2pcs vertical cable manager.2pcs shelves)</t>
  </si>
  <si>
    <t>42U Floor standing cabinet 800 x 1000mm with accessories (1x6way pdu &amp; 2pcs vertical cable manager.2pcs shelves)</t>
  </si>
  <si>
    <t>27U floor standing cabinet 800x800 with accessories (Fan,1x6 way pdu &amp; shelf) Glass Door</t>
  </si>
  <si>
    <t>42U Floor standing cabinet 600 x 1000mm with accessories (1x6way pdu &amp; .2pcs shelves)</t>
  </si>
  <si>
    <t>12U Way PDU 16A, UK Type</t>
  </si>
  <si>
    <t>ONU 12U wall mounted rack with 19" rails and plate 150mm</t>
  </si>
  <si>
    <t>ONU 12U wall mounted rack with 19" rails and plate 300mm</t>
  </si>
  <si>
    <t>Cat 6 ,RJ45 PC, 1m, UTP LSOH Grey with shielded Connector</t>
  </si>
  <si>
    <t>Cat 6 ,R+F200:F317J45 PC, 2m, UTP LSOH Grey with shielded Connector</t>
  </si>
  <si>
    <t>Cat 6 ,RJ45 PC, 3m, UTP LSOH Grey with shielded Connector</t>
  </si>
  <si>
    <t>Cat 6 ,RJ45 PC, 5m, UTP LSOH Grey with shielded Connector</t>
  </si>
  <si>
    <t>Cat 6 ,RJ45 PC, 10m, UTP LSOH Grey with shielded Connector</t>
  </si>
  <si>
    <t>Cat 6 ,RJ45 PC, 15m, UTP LSOH Grey with shielded Connector</t>
  </si>
  <si>
    <t>Cat 6 ,RJ45 PC, 2m, UTP LSOH Black with shielded Connector</t>
  </si>
  <si>
    <t>Cat 6 ,RJ45 PC, 3m, UTP LSOH Black with shielded Connector</t>
  </si>
  <si>
    <t>Cat 6 ,RJ45 PC, 0.5m, UTP LSOH White with shielded Connector</t>
  </si>
  <si>
    <t>Cat 6 ,RJ45 PC, 2m, UTP LSOH White with shielded Connector</t>
  </si>
  <si>
    <t>Cat 6 ,RJ45 PC, 3m, UTP LSOH White with shielded Connector</t>
  </si>
  <si>
    <t>Cat 6 ,RJ45 PC, 1m, UTP LSOH Yellow with shielded Connector</t>
  </si>
  <si>
    <t>Cat 6 ,RJ45 PC, 2m, UTP LSOH Yellow with shielded Connector</t>
  </si>
  <si>
    <t>Cat 6 ,RJ45 PC, 3m, UTP LSOH Yellow with shielded Connector</t>
  </si>
  <si>
    <t>Cat 6 ,RJ45 PC, 1m, UTP LSOH Blue with shielded Connector</t>
  </si>
  <si>
    <t>Cat 6 ,RJ45 PC, 2m, UTP LSOH Blue with shielded Connector</t>
  </si>
  <si>
    <t>Cat 6 ,RJ45 PC, 3m, UTP LSOH Blue with shielded Connector</t>
  </si>
  <si>
    <t>Cat 6 ,RJ45 PC, 0.5m, UTP LSOH Red with shielded Connector</t>
  </si>
  <si>
    <t>Cat 6 ,RJ45 PC, 1m, UTP LSOH Red with shielded Connector</t>
  </si>
  <si>
    <t>Cat 6 ,RJ45 PC, 2m, UTP LSOH Red with shielded Connector</t>
  </si>
  <si>
    <t>Cat 6 ,RJ45 PC, 3m, UTP LSOH Red with shielded Connector</t>
  </si>
  <si>
    <t>Cat 6 ,RJ45 PC, 1m, UTP LSOH Green with shielded Connector</t>
  </si>
  <si>
    <t>Cat 6 ,RJ45 PC, 2m, UTP LSOH Green with shielded Connector</t>
  </si>
  <si>
    <t>Cat 6 ,RJ45 PC, 3m, UTP LSOH Green with shielded Connector</t>
  </si>
  <si>
    <t xml:space="preserve">Cat 6A,RJ45 PC, 0.5m,  shielded LSOH Grey </t>
  </si>
  <si>
    <t xml:space="preserve">Cat 6A,RJ45 PC, 1m,  shielded LSOH Grey </t>
  </si>
  <si>
    <t xml:space="preserve">Cat 6A,RJ45 PC, 1.5m,  shielded LSOH Grey </t>
  </si>
  <si>
    <t xml:space="preserve">Cat 6A,RJ45 PC, 2m,  shielded LSOH Grey </t>
  </si>
  <si>
    <t xml:space="preserve">Cat 6A,RJ45 PC, 2.5m,  shielded LSOH Grey </t>
  </si>
  <si>
    <t xml:space="preserve">Cat 6A,RJ45 PC, 3m,  shielded LSOH Grey </t>
  </si>
  <si>
    <t xml:space="preserve">Cat 6A,RJ45 PC, 4m,  shielded LSOH Grey </t>
  </si>
  <si>
    <t xml:space="preserve">Cat 6A,RJ45 PC, 6m,  shielded LSOH Grey </t>
  </si>
  <si>
    <t xml:space="preserve">Cat 6A,RJ45 PC, 7m,  shielded LSOH Grey </t>
  </si>
  <si>
    <t xml:space="preserve">Cat 6A,RJ45 PC, 8m,  shielded LSOH Grey </t>
  </si>
  <si>
    <t xml:space="preserve">Cat 6A,RJ45 PC, 9m,  shielded LSOH Grey </t>
  </si>
  <si>
    <t xml:space="preserve">Cat 6A,RJ45 PC, 12.5m,  shielded LSOH Grey </t>
  </si>
  <si>
    <t xml:space="preserve">Cat 6A,RJ45 PC, 20m,  shielded LSOH Grey </t>
  </si>
  <si>
    <t xml:space="preserve">Cat 6A,RJ45 PC, 5m,  shielded LSOH Grey </t>
  </si>
  <si>
    <t xml:space="preserve">Cat 6A,RJ45 PC, 10m,  shielded LSOH Grey </t>
  </si>
  <si>
    <t xml:space="preserve">Cat 6A,RJ45 PC, 15m,  shielded LSOH Grey </t>
  </si>
  <si>
    <t>Cat 6A,RJ45 PC, 1m,  shielded LSOH Green</t>
  </si>
  <si>
    <t>Cat 6A,RJ45 PC, 2m,  shielded LSOH Green</t>
  </si>
  <si>
    <t>Cat 6A,RJ45 PC, 3m,  shielded LSOH Green</t>
  </si>
  <si>
    <t>Cat 6A,RJ45 PC, 0.5m,  shielded LSOH Yellow</t>
  </si>
  <si>
    <t>Cat 6A,RJ45 PC, 1m,  shielded LSOH Yellow</t>
  </si>
  <si>
    <t>Cat 6A,RJ45 PC, 1.5m,  shielded LSOH Yellow</t>
  </si>
  <si>
    <t>Cat 6A,RJ45 PC, 2m,  shielded LSOH Yellow</t>
  </si>
  <si>
    <t>Cat 6A,RJ45 PC, 3m,  shielded LSOH Yellow</t>
  </si>
  <si>
    <t>Cat 6A,RJ45 PC, 1m,  shielded LSOH RED</t>
  </si>
  <si>
    <t>Cat 6A,RJ45 PC, 1.5m,  shielded LSOH Red</t>
  </si>
  <si>
    <t>Cat 6A,RJ45 PC, 2m,  shielded LSOH RED</t>
  </si>
  <si>
    <t>Cat 6A,RJ45 PC, 3m,  shielded LSOH RED</t>
  </si>
  <si>
    <t>Cat 6A,RJ45 PC, 0.5m,  shielded LSOH Blue</t>
  </si>
  <si>
    <t>Cat 6A,RJ45 PC, 1m,  shielded LSOH Blue</t>
  </si>
  <si>
    <t>Cat 6A,RJ45 PC, 2m,  shielded LSOH Blue</t>
  </si>
  <si>
    <t>Cat 6A,RJ45 PC, 3m,  shielded LSOH Blue</t>
  </si>
  <si>
    <t>Cat 6A,RJ45 PC, 0.5m,  shielded LSOH Orange</t>
  </si>
  <si>
    <t>Cat 6A,RJ45 PC, 1m,  shielded LSOH Orange</t>
  </si>
  <si>
    <t>Cat 6A,RJ45 PC, 2m,  shielded LSOH Orange</t>
  </si>
  <si>
    <t>Cat 6A,RJ45 PC, 3m,  shielded LSOH Orange</t>
  </si>
  <si>
    <t>Cat 6A,RJ45 PC, 5m,  shielded LSOH Orange</t>
  </si>
  <si>
    <t>FO Pigtail G50/OM4 SC  02M</t>
  </si>
  <si>
    <t>FO Pigtail G50/OM4 LC  02M</t>
  </si>
  <si>
    <t>FO Pigtail G50/OM2 LC  02M</t>
  </si>
  <si>
    <t>FO Pigtail 09/OS2 SC/APC  02M  Set of 12 pcs</t>
  </si>
  <si>
    <t>FO Pigtail 09/OS2 SC  02M  Set of 12 pcs</t>
  </si>
  <si>
    <t>FO Pigtail G50/OM4 SC  02M  Set of 12 pcs</t>
  </si>
  <si>
    <t>FO Pigtail G50/OM3 SC  02M  Set of 12 pcs</t>
  </si>
  <si>
    <t>FO Pigtail G50/OM2 SC  02M  Set of 12 pcs</t>
  </si>
  <si>
    <t>FO Pigtail G62.5/OM1 SC  02M  Set of 12 pcs</t>
  </si>
  <si>
    <t>FO Pigtail 09/OS2 LC/APC  02M Set of 12 pcs</t>
  </si>
  <si>
    <t>FO Pigtail 09/OS2 LC 02M  Set of 12 pcs</t>
  </si>
  <si>
    <t>FO Pigtail G50/OM4 LC  02M  Set of 12 pcs</t>
  </si>
  <si>
    <t>FO Pigtail G50/OM3 LC  02M  Set of 12 pcs</t>
  </si>
  <si>
    <t>FO Pigtail G50/OM2 LC  02M  Set of 12 pcs</t>
  </si>
  <si>
    <t>FO Pigtail G62.5/OM1 LC  02M  Set of 12 pcs</t>
  </si>
  <si>
    <t>SC Simplex Adapters Plastic MM  beige  ceramic sleeves without flange 132723</t>
  </si>
  <si>
    <t>SC Simplex Adapters Plastic  SM  Blue  ceramic sleeves with flange 132122</t>
  </si>
  <si>
    <t>SC Simplex Adapters Plastic (APC) Green  ceramic sleeves with flange 132126</t>
  </si>
  <si>
    <t>SC Duplex Adapters Plastic MM  beige  ceramic sleeves with flange 132423</t>
  </si>
  <si>
    <t>SC Duplex Adapters Plastic MM  Aqua  ceramic sleeves with flange 132425</t>
  </si>
  <si>
    <t>SC Duplex Adapters Plastic MM  Erika Viollet(RAL4003) ceramic sleeves with flange 132429</t>
  </si>
  <si>
    <t>SC Duplex Adapters Plastic  SM  Blue  ceramic sleeves with flange 132322</t>
  </si>
  <si>
    <t>SC Duplex Adapters Plastic (APC) Green  ceramic sleeves with flange 132326</t>
  </si>
  <si>
    <t>LC Duplex Adapters Plastic MM  beige  ceramic sleeves with flange 131423</t>
  </si>
  <si>
    <t>LC Duplex Adapters Plastic MM  Aqua  ceramic sleeves with flange 131425</t>
  </si>
  <si>
    <t>LC Duplex Adapters Plastic MM Erika Viollet(RAL4003) ceramic sleeves with flange 131429</t>
  </si>
  <si>
    <t>LC Duplex Adapters Plastic  SM  Blue  ceramic sleeves with flange 131322</t>
  </si>
  <si>
    <t>LC Duplex Adapters Plastic (APC) Green  ceramic sleeves with flange 131326</t>
  </si>
  <si>
    <t>LC Quad Adapters Plastic MM  beige  ceramic sleeves with flange 131623</t>
  </si>
  <si>
    <t>LC Quad Adapters Plastic MM  Aqua  ceramic sleeves with flange 131625</t>
  </si>
  <si>
    <t>LC Quad Adapters Plastic MM Erika Viollet(RAL4003) ceramic sleeves with flange 131629</t>
  </si>
  <si>
    <t>LC Quad Adapters Plastic  SM  Blue  ceramic sleeves with flange 131522</t>
  </si>
  <si>
    <t>LC Quad Adapters Plastic (APC) Green  ceramic sleeves with flange 131526</t>
  </si>
  <si>
    <t>LC Duplex Adapters Plastic MM  beige  ceramic sleeves without flange 131723</t>
  </si>
  <si>
    <t>LC Duplex Adapters Plastic MM  Aqua  ceramic sleeves without flange 131725</t>
  </si>
  <si>
    <t>LC Duplex Adapters Plastic MM Erika Viollet(RAL4003) ceramic sleeves without flange 131729</t>
  </si>
  <si>
    <t>LC Duplex Adapters Plastic  SM  Blue  ceramic sleeves without flange 131822</t>
  </si>
  <si>
    <t>LC Duplex Adapters Plastic (APC) Green  ceramic sleeves without flange 131826</t>
  </si>
  <si>
    <t>SC Simplex Adapter Plastic,MM  beige  PhBr sleeves  with flange 132213</t>
  </si>
  <si>
    <t>SC Duplex Adapter Plastic,MM  beige  PhBr sleeves  with flange 132413</t>
  </si>
  <si>
    <t>SC Duplex Adapters Plastic MM  Aqua  PhBr sleeves  with flange 132415</t>
  </si>
  <si>
    <t>SC Duplex Adapters Plastic MM  Erika Viollet(RAL4003)  PhBr sleeves  with flange 132419</t>
  </si>
  <si>
    <t>ST Adapters (D-shape) metal MM PhBr sleeves  133211</t>
  </si>
  <si>
    <t>ST Adapters (D-shape) metal SM ceramic sleeves  133121</t>
  </si>
  <si>
    <t>SC Duplex Adapter Metal Housing MM PhBr sleeves 132411</t>
  </si>
  <si>
    <t>SC Duplex Adapter Metal Housing MM ceramic sleeves 132421</t>
  </si>
  <si>
    <t>SC Duplex Adapter Metal Housing SM ceramic sleeves 132321</t>
  </si>
  <si>
    <t>SC Duplex Adapter Metal Housing SM(APC) ceramic sleeves 132316</t>
  </si>
  <si>
    <t>FC Adapters (D3-shape) metal MM PhBr sleeves  134211</t>
  </si>
  <si>
    <t>FC Adapters (D3-shape) metal SM ceramic sleeves  134121</t>
  </si>
  <si>
    <t>Adapter</t>
  </si>
  <si>
    <t>FO Patch Panel 12 LCD/APC OS2 Loaded</t>
  </si>
  <si>
    <t>FO Patch Panel 24 LCD/APC OS2 Loaded</t>
  </si>
  <si>
    <t>PP/APC</t>
  </si>
  <si>
    <t>FO Duplex OS2 PC- SCD-SCD 02M</t>
  </si>
  <si>
    <t>FO Duplex OS2 PC- SCD-SCD 04M</t>
  </si>
  <si>
    <t>FO Duplex OS2 PC- SCD-SCD 06M</t>
  </si>
  <si>
    <t>FO Duplex OS2 PC- SCD-SCD 07M</t>
  </si>
  <si>
    <t>FO Duplex OS2 PC- SCD-SCD 08M</t>
  </si>
  <si>
    <t>FO Duplex OS2 PC- SCD-SCD 09M</t>
  </si>
  <si>
    <t>FO Duplex OS2 PC- SCD-SCD 10M</t>
  </si>
  <si>
    <t>FO Duplex OM3 PC- SCD-SCD 02M</t>
  </si>
  <si>
    <t>FO Duplex OM3 PC- SCD-SCD 04M</t>
  </si>
  <si>
    <t>FO Duplex OM3 PC- SCD-SCD 06M</t>
  </si>
  <si>
    <t>FO Duplex OM3 PC- SCD-SCD 07M</t>
  </si>
  <si>
    <t>FO Duplex OM3 PC- SCD-SCD 08M</t>
  </si>
  <si>
    <t>FO Duplex OM3 PC- SCD-SCD 09M</t>
  </si>
  <si>
    <t>FO Duplex OM3 PC- SCD-SCD 10M</t>
  </si>
  <si>
    <t>FO Duplex OS2 PC- SCD-LCD 04M</t>
  </si>
  <si>
    <t>FO Duplex OS2 PC- SCD-LCD 06M</t>
  </si>
  <si>
    <t>FO Duplex OS2 PC- SCD-LCD 07M</t>
  </si>
  <si>
    <t>FO Duplex OS2 PC- SCD-LCD 08M</t>
  </si>
  <si>
    <t>FO Duplex OS2 PC- SCD-LCD 09M</t>
  </si>
  <si>
    <t>FO Duplex OM3 PC- SCD-LCD 04M</t>
  </si>
  <si>
    <t>FO Duplex OM3 PC- SCD-LCD 06M</t>
  </si>
  <si>
    <t>FO Duplex OM3 PC- SCD-LCD 07M</t>
  </si>
  <si>
    <t>FO Duplex OM3 PC- SCD-LCD 08M</t>
  </si>
  <si>
    <t>FO Duplex OM3 PC- SCD-LCD 09M</t>
  </si>
  <si>
    <t>FO Duplex OM3 PC- SCD-LCD 10M</t>
  </si>
  <si>
    <t>FO Duplex OS2 PC- LCD-LCD 04M</t>
  </si>
  <si>
    <t>FO Duplex OS2 PC- LCD-LCD 06M</t>
  </si>
  <si>
    <t>FO Duplex OS2 PC- LCD-LCD 07M</t>
  </si>
  <si>
    <t>FO Duplex OS2 PC- LCD-LCD 08M</t>
  </si>
  <si>
    <t>FO Duplex OS2 PC- LCD-LCD 09M</t>
  </si>
  <si>
    <t>FO Duplex OM3 PC- LCD-LCD 06M</t>
  </si>
  <si>
    <t>FO Duplex OM3 PC- LCD-LCD 07M</t>
  </si>
  <si>
    <t>FO Duplex OM3 PC- LCD-LCD 08M</t>
  </si>
  <si>
    <t>FO Duplex OM3 PC- LCD-LCD 09M</t>
  </si>
  <si>
    <t>FO Duplex OM3 PC- LCD-LCD 04M</t>
  </si>
  <si>
    <t>FO Duplex OS2 PC- SCD/APC-SCD/APC 01M</t>
  </si>
  <si>
    <t>FO Duplex OS2 PC- SCD/APC-SCD/APC 02M</t>
  </si>
  <si>
    <t>FO Duplex OS2 PC- SCD/APC-SCD/APC 04M</t>
  </si>
  <si>
    <t>FO Duplex OS2 PC- SCD/APC-SCD/APC 05M</t>
  </si>
  <si>
    <t>FO Duplex OS2 PC- SCD/APC-SCD/APC 06M</t>
  </si>
  <si>
    <t>FO Duplex OS2 PC- SCD/APC-SCD/APC 07M</t>
  </si>
  <si>
    <t>FO Duplex OS2 PC- SCD/APC-SCD/APC 08M</t>
  </si>
  <si>
    <t>FO Duplex OS2 PC- SCD/APC-SCD/APC 09M</t>
  </si>
  <si>
    <t>FO Duplex OS2 PC- SCD/APC-SCD/APC 10M</t>
  </si>
  <si>
    <t>FO Duplex OS2 PC- SCD/APC-LCD/APC 01M</t>
  </si>
  <si>
    <t>FO Duplex OS2 PC- SCD/APC-LCD/APC 02M</t>
  </si>
  <si>
    <t>FO Duplex OS2 PC- SCD/APC-LCD/APC 03M</t>
  </si>
  <si>
    <t>FO Duplex OS2 PC- SCD/APC-LCD/APC 04M</t>
  </si>
  <si>
    <t>FO Duplex OS2 PC- SCD/APC-LCD/APC 05M</t>
  </si>
  <si>
    <t>FO Duplex OS2 PC- SCD/APC-LCD/APC 06M</t>
  </si>
  <si>
    <t>FO Duplex OS2 PC- SCD/APC-LCD/APC 07M</t>
  </si>
  <si>
    <t>FO Duplex OS2 PC- SCD/APC-LCD/APC 08M</t>
  </si>
  <si>
    <t>FO Duplex OS2 PC- SCD/APC-LCD/APC 09M</t>
  </si>
  <si>
    <t>FO Duplex OS2 PC- SCD/APC-LCD/APC 10M</t>
  </si>
  <si>
    <t>FO Duplex OS2 PC- LCD/APC-LCD/APC 01M</t>
  </si>
  <si>
    <t>FO Duplex OS2 PC- LCD/APC-LCD/APC 02M</t>
  </si>
  <si>
    <t>FO Duplex OS2 PC- LCD/APC-LCD/APC 04M</t>
  </si>
  <si>
    <t>FO Duplex OS2 PC- LCD/APC-LCD/APC 05M</t>
  </si>
  <si>
    <t>FO Duplex OS2 PC- LCD/APC-LCD/APC 06M</t>
  </si>
  <si>
    <t>FO Duplex OS2 PC- LCD/APC-LCD/APC 07M</t>
  </si>
  <si>
    <t>FO Duplex OS2 PC- LCD/APC-LCD/APC 08M</t>
  </si>
  <si>
    <t>FO Duplex OS2 PC- LCD/APC-LCD/APC 09M</t>
  </si>
  <si>
    <t>FO Duplex OS2 PC- LCD/APC-LCD/APC 10M</t>
  </si>
  <si>
    <t>OS2/APC</t>
  </si>
  <si>
    <t>FO Duplex OM4 PC- SCD-LCD 01M</t>
  </si>
  <si>
    <t>FO Duplex OM4 PC- SCD-LCD 02M</t>
  </si>
  <si>
    <t>FO Duplex OM4 PC- SCD-LCD 03M</t>
  </si>
  <si>
    <t>FO Duplex OM4 PC- SCD-LCD 04M</t>
  </si>
  <si>
    <t>FO Duplex OM4 PC- SCD-LCD 05M</t>
  </si>
  <si>
    <t>FO Duplex OM4 PC- SCD-LCD 06M</t>
  </si>
  <si>
    <t>FO Duplex OM4 PC- SCD-LCD 07M</t>
  </si>
  <si>
    <t>FO Duplex OM4 PC- SCD-LCD 08M</t>
  </si>
  <si>
    <t>FO Duplex OM4 PC- SCD-LCD 09M</t>
  </si>
  <si>
    <t>FO Duplex OM4 PC- SCD-LCD 10M</t>
  </si>
  <si>
    <t>FO Duplex OM4 PC- SCD-SCD 01M</t>
  </si>
  <si>
    <t>FO Duplex OM4 PC- SCD-SCD 02M</t>
  </si>
  <si>
    <t>FO Duplex OM4 PC- SCD-SCD 03M</t>
  </si>
  <si>
    <t>FO Duplex OM4 PC- SCD-SCD 04M</t>
  </si>
  <si>
    <t>FO Duplex OM4 PC- SCD-SCD 05M</t>
  </si>
  <si>
    <t>FO Duplex OM4 PC- SCD-SCD 06M</t>
  </si>
  <si>
    <t>FO Duplex OM4 PC- SCD-SCD 07M</t>
  </si>
  <si>
    <t>FO Duplex OM4 PC- SCD-SCD 08M</t>
  </si>
  <si>
    <t>FO Duplex OM4 PC- SCD-SCD 09M</t>
  </si>
  <si>
    <t>FO Duplex OM4 PC- SCD-SCD 10M</t>
  </si>
  <si>
    <t>FO Duplex OM4 PC- LCD-LCD 01M</t>
  </si>
  <si>
    <t>FO Duplex OM4 PC- LCD-LCD 02M</t>
  </si>
  <si>
    <t>FO Duplex OM4 PC- LCD-LCD 03M</t>
  </si>
  <si>
    <t>FO Duplex OM4 PC- LCD-LCD 04M</t>
  </si>
  <si>
    <t>FO Duplex OM4 PC- LCD-LCD 05M</t>
  </si>
  <si>
    <t>FO Duplex OM4 PC- LCD-LCD 06M</t>
  </si>
  <si>
    <t>FO Duplex OM4 PC- LCD-LCD 07M</t>
  </si>
  <si>
    <t>FO Duplex OM4 PC- LCD-LCD 08M</t>
  </si>
  <si>
    <t>FO Duplex OM4 PC- LCD-LCD 09M</t>
  </si>
  <si>
    <t>FO Duplex OM4 PC- LCD-LCD 10M</t>
  </si>
  <si>
    <t>SFPC/APC</t>
  </si>
  <si>
    <t xml:space="preserve">List Price </t>
  </si>
  <si>
    <t xml:space="preserve">Discount </t>
  </si>
  <si>
    <t xml:space="preserve">Net Price </t>
  </si>
  <si>
    <t>Catogory</t>
  </si>
  <si>
    <t>Copper</t>
  </si>
  <si>
    <t>OS1</t>
  </si>
  <si>
    <t>42U</t>
  </si>
  <si>
    <t>32U</t>
  </si>
  <si>
    <t>27U</t>
  </si>
  <si>
    <t>15U</t>
  </si>
  <si>
    <t>12U</t>
  </si>
  <si>
    <t>SERVER RACK</t>
  </si>
  <si>
    <t>NETWORK RACK</t>
  </si>
  <si>
    <t>WALL MOUNTED</t>
  </si>
  <si>
    <t>ONU</t>
  </si>
  <si>
    <t>Cable</t>
  </si>
  <si>
    <t>Patch Cord</t>
  </si>
  <si>
    <t>Accessories</t>
  </si>
  <si>
    <t>All</t>
  </si>
  <si>
    <t>15u</t>
  </si>
  <si>
    <t>42u</t>
  </si>
  <si>
    <t>24u</t>
  </si>
  <si>
    <t>12u</t>
  </si>
  <si>
    <t>27u</t>
  </si>
  <si>
    <t xml:space="preserve">Accessories </t>
  </si>
  <si>
    <t>Wall Mounted</t>
  </si>
  <si>
    <t>PDU</t>
  </si>
  <si>
    <t>Description</t>
  </si>
  <si>
    <t>Qty</t>
  </si>
  <si>
    <t>N/A - End User</t>
  </si>
  <si>
    <t>N/A</t>
  </si>
  <si>
    <t>S. No.</t>
  </si>
  <si>
    <t>Material #</t>
  </si>
  <si>
    <t>COO</t>
  </si>
  <si>
    <t>Terms &amp; Conditions</t>
  </si>
  <si>
    <t xml:space="preserve">Delivery: </t>
  </si>
  <si>
    <t>EXW Jebel Ali</t>
  </si>
  <si>
    <t>Validity:</t>
  </si>
  <si>
    <t>Contact:</t>
  </si>
  <si>
    <t>Notes:</t>
  </si>
  <si>
    <t>(+971) 4 422 8129</t>
  </si>
  <si>
    <t>Our standard terms and condition for deliveries and service (latest issue) shall apply exclusively. Customer's terms of business apply only when approved by us in writing.</t>
  </si>
  <si>
    <t>info.cabling.ae@datwyler.com</t>
  </si>
  <si>
    <t>www.cabling.datwyler.com</t>
  </si>
  <si>
    <t>We hope this quotation will be interest to you and would be pleased to execute an order for you.</t>
  </si>
  <si>
    <t>Datwyler Middle East, Unit 1004 &amp; 1005, 10th Floor, IB Tower, Business Bay, P.O Box 263480, Dubai, UAE</t>
  </si>
  <si>
    <t>T +971 4 422 8129, F +971 4 422 8096, www.cabling.datwyler.com</t>
  </si>
  <si>
    <t>Net SP</t>
  </si>
  <si>
    <t>664508</t>
  </si>
  <si>
    <t>187689</t>
  </si>
  <si>
    <t>182874</t>
  </si>
  <si>
    <t>188486</t>
  </si>
  <si>
    <t>1407689</t>
  </si>
  <si>
    <t>240563</t>
  </si>
  <si>
    <t>240562</t>
  </si>
  <si>
    <t>240136</t>
  </si>
  <si>
    <t>191453</t>
  </si>
  <si>
    <t>4000610</t>
  </si>
  <si>
    <t>4000612</t>
  </si>
  <si>
    <t>418014</t>
  </si>
  <si>
    <t>418056</t>
  </si>
  <si>
    <t>417522</t>
  </si>
  <si>
    <t>190178</t>
  </si>
  <si>
    <t>191813</t>
  </si>
  <si>
    <t>191859</t>
  </si>
  <si>
    <t>191704</t>
  </si>
  <si>
    <t>192090</t>
  </si>
  <si>
    <t>191703</t>
  </si>
  <si>
    <t>191801</t>
  </si>
  <si>
    <t>4000703</t>
  </si>
  <si>
    <t>191455</t>
  </si>
  <si>
    <t>440005</t>
  </si>
  <si>
    <t>4000614</t>
  </si>
  <si>
    <t>1408502</t>
  </si>
  <si>
    <t>1414224</t>
  </si>
  <si>
    <t>400312</t>
  </si>
  <si>
    <t>418031</t>
  </si>
  <si>
    <t>1411985</t>
  </si>
  <si>
    <t>185685</t>
  </si>
  <si>
    <t>400102</t>
  </si>
  <si>
    <t>400103</t>
  </si>
  <si>
    <t>400120</t>
  </si>
  <si>
    <t>185862</t>
  </si>
  <si>
    <t>309001</t>
  </si>
  <si>
    <t>Cat6 Patch C.</t>
  </si>
  <si>
    <t>1411480</t>
  </si>
  <si>
    <t>417445</t>
  </si>
  <si>
    <t>418529</t>
  </si>
  <si>
    <t>418505</t>
  </si>
  <si>
    <t>418506</t>
  </si>
  <si>
    <t>418508</t>
  </si>
  <si>
    <t>418510</t>
  </si>
  <si>
    <t>418532</t>
  </si>
  <si>
    <t>418511</t>
  </si>
  <si>
    <t>418512</t>
  </si>
  <si>
    <t>418513</t>
  </si>
  <si>
    <t>418516</t>
  </si>
  <si>
    <t>418531</t>
  </si>
  <si>
    <t>418514</t>
  </si>
  <si>
    <t>418515</t>
  </si>
  <si>
    <t>418517</t>
  </si>
  <si>
    <t>418518</t>
  </si>
  <si>
    <t>418530</t>
  </si>
  <si>
    <t>418519</t>
  </si>
  <si>
    <t>418520</t>
  </si>
  <si>
    <t>418525</t>
  </si>
  <si>
    <t>418528</t>
  </si>
  <si>
    <t>418533</t>
  </si>
  <si>
    <t>418526</t>
  </si>
  <si>
    <t>418527</t>
  </si>
  <si>
    <t>418504</t>
  </si>
  <si>
    <t>418507</t>
  </si>
  <si>
    <t>418509</t>
  </si>
  <si>
    <t>418534</t>
  </si>
  <si>
    <t>1414885</t>
  </si>
  <si>
    <t>1414886</t>
  </si>
  <si>
    <t>418521</t>
  </si>
  <si>
    <t>418522</t>
  </si>
  <si>
    <t>418523</t>
  </si>
  <si>
    <t>418524</t>
  </si>
  <si>
    <t>1412761</t>
  </si>
  <si>
    <t>1412762</t>
  </si>
  <si>
    <t>417985</t>
  </si>
  <si>
    <t>185863</t>
  </si>
  <si>
    <t>1411153</t>
  </si>
  <si>
    <t>1406276</t>
  </si>
  <si>
    <t>309005</t>
  </si>
  <si>
    <t>185864</t>
  </si>
  <si>
    <t>1411151</t>
  </si>
  <si>
    <t>658153</t>
  </si>
  <si>
    <t>1411152</t>
  </si>
  <si>
    <t>185865</t>
  </si>
  <si>
    <t>309022</t>
  </si>
  <si>
    <t>418037</t>
  </si>
  <si>
    <t>418010</t>
  </si>
  <si>
    <t>418011</t>
  </si>
  <si>
    <t>309021</t>
  </si>
  <si>
    <t>185867</t>
  </si>
  <si>
    <t>240600</t>
  </si>
  <si>
    <t>240639</t>
  </si>
  <si>
    <t>240604</t>
  </si>
  <si>
    <t>309023</t>
  </si>
  <si>
    <t>427721</t>
  </si>
  <si>
    <t>240601</t>
  </si>
  <si>
    <t>240640</t>
  </si>
  <si>
    <t>309025</t>
  </si>
  <si>
    <t>240605</t>
  </si>
  <si>
    <t>240642</t>
  </si>
  <si>
    <t>418035</t>
  </si>
  <si>
    <t>418054</t>
  </si>
  <si>
    <t>421161</t>
  </si>
  <si>
    <t>418026</t>
  </si>
  <si>
    <t>1411150</t>
  </si>
  <si>
    <t>309026</t>
  </si>
  <si>
    <t>1411481</t>
  </si>
  <si>
    <t>418162</t>
  </si>
  <si>
    <t>1405304</t>
  </si>
  <si>
    <t>309027</t>
  </si>
  <si>
    <t>422241</t>
  </si>
  <si>
    <t>421141</t>
  </si>
  <si>
    <t>309029</t>
  </si>
  <si>
    <t>1411482</t>
  </si>
  <si>
    <t>421121</t>
  </si>
  <si>
    <t>418061</t>
  </si>
  <si>
    <t>418062</t>
  </si>
  <si>
    <t>309031</t>
  </si>
  <si>
    <t>423341</t>
  </si>
  <si>
    <t>423321</t>
  </si>
  <si>
    <t>309301</t>
  </si>
  <si>
    <t>416994</t>
  </si>
  <si>
    <t>309321</t>
  </si>
  <si>
    <t>309322</t>
  </si>
  <si>
    <t>309323</t>
  </si>
  <si>
    <t>309325</t>
  </si>
  <si>
    <t>309326</t>
  </si>
  <si>
    <t>309327</t>
  </si>
  <si>
    <t>309329</t>
  </si>
  <si>
    <t>309331</t>
  </si>
  <si>
    <t>4000753</t>
  </si>
  <si>
    <t>4000859</t>
  </si>
  <si>
    <t>4000621</t>
  </si>
  <si>
    <t>4000624</t>
  </si>
  <si>
    <t>4000625</t>
  </si>
  <si>
    <t>4000626</t>
  </si>
  <si>
    <t>4000627</t>
  </si>
  <si>
    <t>4000628</t>
  </si>
  <si>
    <t>4000629</t>
  </si>
  <si>
    <t>4000630</t>
  </si>
  <si>
    <t>4000631</t>
  </si>
  <si>
    <t>429921</t>
  </si>
  <si>
    <t>4000632</t>
  </si>
  <si>
    <t>418039</t>
  </si>
  <si>
    <t>400122</t>
  </si>
  <si>
    <t>C. Patch cord</t>
  </si>
  <si>
    <t>400123</t>
  </si>
  <si>
    <t>421111</t>
  </si>
  <si>
    <t>F. Patch cord</t>
  </si>
  <si>
    <t>421112</t>
  </si>
  <si>
    <t>421113</t>
  </si>
  <si>
    <t>418161</t>
  </si>
  <si>
    <t>421114</t>
  </si>
  <si>
    <t>421115</t>
  </si>
  <si>
    <t>421116</t>
  </si>
  <si>
    <t>421117</t>
  </si>
  <si>
    <t>421118</t>
  </si>
  <si>
    <t>421119</t>
  </si>
  <si>
    <t>421120</t>
  </si>
  <si>
    <t>421131</t>
  </si>
  <si>
    <t>421132</t>
  </si>
  <si>
    <t>421133</t>
  </si>
  <si>
    <t>421134</t>
  </si>
  <si>
    <t>421135</t>
  </si>
  <si>
    <t>421136</t>
  </si>
  <si>
    <t>421137</t>
  </si>
  <si>
    <t>421138</t>
  </si>
  <si>
    <t>421139</t>
  </si>
  <si>
    <t>421140</t>
  </si>
  <si>
    <t>421151</t>
  </si>
  <si>
    <t>421152</t>
  </si>
  <si>
    <t>421211</t>
  </si>
  <si>
    <t>421311</t>
  </si>
  <si>
    <t>421312</t>
  </si>
  <si>
    <t>421313</t>
  </si>
  <si>
    <t>421314</t>
  </si>
  <si>
    <t>421315</t>
  </si>
  <si>
    <t>421316</t>
  </si>
  <si>
    <t>421317</t>
  </si>
  <si>
    <t>421318</t>
  </si>
  <si>
    <t>421319</t>
  </si>
  <si>
    <t>421320</t>
  </si>
  <si>
    <t>421331</t>
  </si>
  <si>
    <t>421332</t>
  </si>
  <si>
    <t>421333</t>
  </si>
  <si>
    <t>421335</t>
  </si>
  <si>
    <t>421334</t>
  </si>
  <si>
    <t>421336</t>
  </si>
  <si>
    <t>421337</t>
  </si>
  <si>
    <t>421338</t>
  </si>
  <si>
    <t>421339</t>
  </si>
  <si>
    <t>421340</t>
  </si>
  <si>
    <t>421351</t>
  </si>
  <si>
    <t>418063</t>
  </si>
  <si>
    <t>421352</t>
  </si>
  <si>
    <t>421353</t>
  </si>
  <si>
    <t>421355</t>
  </si>
  <si>
    <t>421360</t>
  </si>
  <si>
    <t>421651</t>
  </si>
  <si>
    <t>422211</t>
  </si>
  <si>
    <t>422213</t>
  </si>
  <si>
    <t>423311</t>
  </si>
  <si>
    <t>423312</t>
  </si>
  <si>
    <t>423313</t>
  </si>
  <si>
    <t>423315</t>
  </si>
  <si>
    <t>4000620</t>
  </si>
  <si>
    <t>423314</t>
  </si>
  <si>
    <t>423316</t>
  </si>
  <si>
    <t>423317</t>
  </si>
  <si>
    <t>423318</t>
  </si>
  <si>
    <t>423319</t>
  </si>
  <si>
    <t>423320</t>
  </si>
  <si>
    <t>423331</t>
  </si>
  <si>
    <t>185841</t>
  </si>
  <si>
    <t>423332</t>
  </si>
  <si>
    <t>423333</t>
  </si>
  <si>
    <t>423335</t>
  </si>
  <si>
    <t>423334</t>
  </si>
  <si>
    <t>423336</t>
  </si>
  <si>
    <t>423337</t>
  </si>
  <si>
    <t>423338</t>
  </si>
  <si>
    <t>423339</t>
  </si>
  <si>
    <t>423340</t>
  </si>
  <si>
    <t>423351</t>
  </si>
  <si>
    <t>423352</t>
  </si>
  <si>
    <t>417857</t>
  </si>
  <si>
    <t>423353</t>
  </si>
  <si>
    <t>423355</t>
  </si>
  <si>
    <t>423358</t>
  </si>
  <si>
    <t>400098</t>
  </si>
  <si>
    <t>417561</t>
  </si>
  <si>
    <t>416902</t>
  </si>
  <si>
    <t>423360</t>
  </si>
  <si>
    <t>423513</t>
  </si>
  <si>
    <t>417550</t>
  </si>
  <si>
    <t>417559</t>
  </si>
  <si>
    <t>423515</t>
  </si>
  <si>
    <t>423520</t>
  </si>
  <si>
    <t>423611</t>
  </si>
  <si>
    <t>417396</t>
  </si>
  <si>
    <t>426611</t>
  </si>
  <si>
    <t>431341</t>
  </si>
  <si>
    <t>431342</t>
  </si>
  <si>
    <t>431343</t>
  </si>
  <si>
    <t>431344</t>
  </si>
  <si>
    <t>431345</t>
  </si>
  <si>
    <t>431346</t>
  </si>
  <si>
    <t>431347</t>
  </si>
  <si>
    <t>431348</t>
  </si>
  <si>
    <t>431349</t>
  </si>
  <si>
    <t>431350</t>
  </si>
  <si>
    <t>431141</t>
  </si>
  <si>
    <t>431142</t>
  </si>
  <si>
    <t>431143</t>
  </si>
  <si>
    <t>431144</t>
  </si>
  <si>
    <t>431145</t>
  </si>
  <si>
    <t>431146</t>
  </si>
  <si>
    <t>431147</t>
  </si>
  <si>
    <t>431148</t>
  </si>
  <si>
    <t>431149</t>
  </si>
  <si>
    <t>431150</t>
  </si>
  <si>
    <t>433341</t>
  </si>
  <si>
    <t>433342</t>
  </si>
  <si>
    <t>433343</t>
  </si>
  <si>
    <t>433344</t>
  </si>
  <si>
    <t>433345</t>
  </si>
  <si>
    <t>433346</t>
  </si>
  <si>
    <t>433347</t>
  </si>
  <si>
    <t>433348</t>
  </si>
  <si>
    <t>433349</t>
  </si>
  <si>
    <t>433350</t>
  </si>
  <si>
    <t>429911</t>
  </si>
  <si>
    <t>429912</t>
  </si>
  <si>
    <t>429913</t>
  </si>
  <si>
    <t>429914</t>
  </si>
  <si>
    <t>429915</t>
  </si>
  <si>
    <t>429916</t>
  </si>
  <si>
    <t>429917</t>
  </si>
  <si>
    <t>429918</t>
  </si>
  <si>
    <t>429919</t>
  </si>
  <si>
    <t>429920</t>
  </si>
  <si>
    <t>427911</t>
  </si>
  <si>
    <t>427912</t>
  </si>
  <si>
    <t>427913</t>
  </si>
  <si>
    <t>427914</t>
  </si>
  <si>
    <t>427915</t>
  </si>
  <si>
    <t>427916</t>
  </si>
  <si>
    <t>427917</t>
  </si>
  <si>
    <t>427918</t>
  </si>
  <si>
    <t>427919</t>
  </si>
  <si>
    <t>427920</t>
  </si>
  <si>
    <t>427711</t>
  </si>
  <si>
    <t>427712</t>
  </si>
  <si>
    <t>427713</t>
  </si>
  <si>
    <t>427714</t>
  </si>
  <si>
    <t>427715</t>
  </si>
  <si>
    <t>427716</t>
  </si>
  <si>
    <t>427717</t>
  </si>
  <si>
    <t>427718</t>
  </si>
  <si>
    <t>427719</t>
  </si>
  <si>
    <t>427720</t>
  </si>
  <si>
    <t>418064</t>
  </si>
  <si>
    <t>416988</t>
  </si>
  <si>
    <t>651558</t>
  </si>
  <si>
    <t>418065</t>
  </si>
  <si>
    <t>651560</t>
  </si>
  <si>
    <t>651562</t>
  </si>
  <si>
    <t>651566</t>
  </si>
  <si>
    <t>651576</t>
  </si>
  <si>
    <t>651578</t>
  </si>
  <si>
    <t>651610</t>
  </si>
  <si>
    <t>417562</t>
  </si>
  <si>
    <t>418066</t>
  </si>
  <si>
    <t>651612</t>
  </si>
  <si>
    <t>651653</t>
  </si>
  <si>
    <t>651660</t>
  </si>
  <si>
    <t>651662</t>
  </si>
  <si>
    <t>651708</t>
  </si>
  <si>
    <t>651710</t>
  </si>
  <si>
    <t>416901</t>
  </si>
  <si>
    <t>651712</t>
  </si>
  <si>
    <t>651758</t>
  </si>
  <si>
    <t>4000699</t>
  </si>
  <si>
    <t>651760</t>
  </si>
  <si>
    <t>651762</t>
  </si>
  <si>
    <t>651803</t>
  </si>
  <si>
    <t>651808</t>
  </si>
  <si>
    <t>185726</t>
  </si>
  <si>
    <t>651810</t>
  </si>
  <si>
    <t>651812</t>
  </si>
  <si>
    <t>651858</t>
  </si>
  <si>
    <t>1401581</t>
  </si>
  <si>
    <t>651860</t>
  </si>
  <si>
    <t>417858</t>
  </si>
  <si>
    <t>651862</t>
  </si>
  <si>
    <t>653503</t>
  </si>
  <si>
    <t>653508</t>
  </si>
  <si>
    <t>417523</t>
  </si>
  <si>
    <t>653509</t>
  </si>
  <si>
    <t>653510</t>
  </si>
  <si>
    <t>653511</t>
  </si>
  <si>
    <t>401241</t>
  </si>
  <si>
    <t>653512</t>
  </si>
  <si>
    <t>653514</t>
  </si>
  <si>
    <t>653518</t>
  </si>
  <si>
    <t>653520</t>
  </si>
  <si>
    <t>653522</t>
  </si>
  <si>
    <t>653524</t>
  </si>
  <si>
    <t>653527</t>
  </si>
  <si>
    <t>653530</t>
  </si>
  <si>
    <t>653516</t>
  </si>
  <si>
    <t>653526</t>
  </si>
  <si>
    <t>653528</t>
  </si>
  <si>
    <t>653558</t>
  </si>
  <si>
    <t>653560</t>
  </si>
  <si>
    <t>653562</t>
  </si>
  <si>
    <t>653603</t>
  </si>
  <si>
    <t>653608</t>
  </si>
  <si>
    <t>653609</t>
  </si>
  <si>
    <t>653610</t>
  </si>
  <si>
    <t>653612</t>
  </si>
  <si>
    <t>653658</t>
  </si>
  <si>
    <t>417560</t>
  </si>
  <si>
    <t>653659</t>
  </si>
  <si>
    <t>4000700</t>
  </si>
  <si>
    <t>653660</t>
  </si>
  <si>
    <t>653662</t>
  </si>
  <si>
    <t>416997</t>
  </si>
  <si>
    <t>653703</t>
  </si>
  <si>
    <t>653708</t>
  </si>
  <si>
    <t>416996</t>
  </si>
  <si>
    <t>653710</t>
  </si>
  <si>
    <t>185719</t>
  </si>
  <si>
    <t>653712</t>
  </si>
  <si>
    <t>653753</t>
  </si>
  <si>
    <t>653758</t>
  </si>
  <si>
    <t>401247</t>
  </si>
  <si>
    <t>401248</t>
  </si>
  <si>
    <t>418067</t>
  </si>
  <si>
    <t>418070</t>
  </si>
  <si>
    <t>653760</t>
  </si>
  <si>
    <t>424441</t>
  </si>
  <si>
    <t>417917</t>
  </si>
  <si>
    <t>185763</t>
  </si>
  <si>
    <t>653762</t>
  </si>
  <si>
    <t>653766</t>
  </si>
  <si>
    <t>309201</t>
  </si>
  <si>
    <t>654062</t>
  </si>
  <si>
    <t>418200</t>
  </si>
  <si>
    <t>418071</t>
  </si>
  <si>
    <t>309197</t>
  </si>
  <si>
    <t>416905</t>
  </si>
  <si>
    <t>309198</t>
  </si>
  <si>
    <t>418072</t>
  </si>
  <si>
    <t>185728</t>
  </si>
  <si>
    <t>418073</t>
  </si>
  <si>
    <t>654158</t>
  </si>
  <si>
    <t>417520</t>
  </si>
  <si>
    <t>421144</t>
  </si>
  <si>
    <t>423348</t>
  </si>
  <si>
    <t>423361</t>
  </si>
  <si>
    <t>427722</t>
  </si>
  <si>
    <t>421122</t>
  </si>
  <si>
    <t>421145</t>
  </si>
  <si>
    <t>421142</t>
  </si>
  <si>
    <t>421162</t>
  </si>
  <si>
    <t>421182</t>
  </si>
  <si>
    <t>429922</t>
  </si>
  <si>
    <t>423322</t>
  </si>
  <si>
    <t>423349</t>
  </si>
  <si>
    <t>423342</t>
  </si>
  <si>
    <t>423362</t>
  </si>
  <si>
    <t>423382</t>
  </si>
  <si>
    <t>425522</t>
  </si>
  <si>
    <t>654162</t>
  </si>
  <si>
    <t>426622</t>
  </si>
  <si>
    <t>417503</t>
  </si>
  <si>
    <t>240130</t>
  </si>
  <si>
    <t>417530</t>
  </si>
  <si>
    <t>4000099</t>
  </si>
  <si>
    <t>4000615</t>
  </si>
  <si>
    <t>4000616</t>
  </si>
  <si>
    <t>4000787</t>
  </si>
  <si>
    <t>4000788</t>
  </si>
  <si>
    <t>4000617</t>
  </si>
  <si>
    <t>4000618</t>
  </si>
  <si>
    <t>4000619</t>
  </si>
  <si>
    <t>415201</t>
  </si>
  <si>
    <t>415203</t>
  </si>
  <si>
    <t>415207</t>
  </si>
  <si>
    <t>415210</t>
  </si>
  <si>
    <t>415211</t>
  </si>
  <si>
    <t>415212</t>
  </si>
  <si>
    <t>415213</t>
  </si>
  <si>
    <t>470545</t>
  </si>
  <si>
    <t>415214</t>
  </si>
  <si>
    <t>415215</t>
  </si>
  <si>
    <t>415216</t>
  </si>
  <si>
    <t>415217</t>
  </si>
  <si>
    <t>415218</t>
  </si>
  <si>
    <t>415219</t>
  </si>
  <si>
    <t>415220</t>
  </si>
  <si>
    <t>240133</t>
  </si>
  <si>
    <t>470546</t>
  </si>
  <si>
    <t>415221</t>
  </si>
  <si>
    <t>415222</t>
  </si>
  <si>
    <t>415223</t>
  </si>
  <si>
    <t>415224</t>
  </si>
  <si>
    <t>415225</t>
  </si>
  <si>
    <t>415226</t>
  </si>
  <si>
    <t>415227</t>
  </si>
  <si>
    <t>415228</t>
  </si>
  <si>
    <t>415229</t>
  </si>
  <si>
    <t>415230</t>
  </si>
  <si>
    <t>415231</t>
  </si>
  <si>
    <t>415232</t>
  </si>
  <si>
    <t>415233</t>
  </si>
  <si>
    <t>415234</t>
  </si>
  <si>
    <t>415235</t>
  </si>
  <si>
    <t>415236</t>
  </si>
  <si>
    <t>415238</t>
  </si>
  <si>
    <t>415239</t>
  </si>
  <si>
    <t>415240</t>
  </si>
  <si>
    <t>240129</t>
  </si>
  <si>
    <t>415242</t>
  </si>
  <si>
    <t>415243</t>
  </si>
  <si>
    <t>470643</t>
  </si>
  <si>
    <t>415244</t>
  </si>
  <si>
    <t>415250</t>
  </si>
  <si>
    <t>415251</t>
  </si>
  <si>
    <t>415252</t>
  </si>
  <si>
    <t>415253</t>
  </si>
  <si>
    <t>415254</t>
  </si>
  <si>
    <t>415255</t>
  </si>
  <si>
    <t>415256</t>
  </si>
  <si>
    <t>415257</t>
  </si>
  <si>
    <t>415258</t>
  </si>
  <si>
    <t>415259</t>
  </si>
  <si>
    <t>415260</t>
  </si>
  <si>
    <t>415261</t>
  </si>
  <si>
    <t>415262</t>
  </si>
  <si>
    <t>415263</t>
  </si>
  <si>
    <t>415264</t>
  </si>
  <si>
    <t>415265</t>
  </si>
  <si>
    <t>415266</t>
  </si>
  <si>
    <t>415267</t>
  </si>
  <si>
    <t>415268</t>
  </si>
  <si>
    <t>415269</t>
  </si>
  <si>
    <t>415270</t>
  </si>
  <si>
    <t>415271</t>
  </si>
  <si>
    <t>415272</t>
  </si>
  <si>
    <t>415273</t>
  </si>
  <si>
    <t>415274</t>
  </si>
  <si>
    <t>415275</t>
  </si>
  <si>
    <t>415276</t>
  </si>
  <si>
    <t>415278</t>
  </si>
  <si>
    <t>415279</t>
  </si>
  <si>
    <t>415280</t>
  </si>
  <si>
    <t>415295</t>
  </si>
  <si>
    <t>415296</t>
  </si>
  <si>
    <t>415298</t>
  </si>
  <si>
    <t>415299</t>
  </si>
  <si>
    <t>4000613</t>
  </si>
  <si>
    <t>191874</t>
  </si>
  <si>
    <t>191876</t>
  </si>
  <si>
    <t>416900</t>
  </si>
  <si>
    <t>416903</t>
  </si>
  <si>
    <t>416904</t>
  </si>
  <si>
    <t>416906</t>
  </si>
  <si>
    <t>416951</t>
  </si>
  <si>
    <t>416955</t>
  </si>
  <si>
    <t>181114</t>
  </si>
  <si>
    <t>416956</t>
  </si>
  <si>
    <t>416958</t>
  </si>
  <si>
    <t>416959</t>
  </si>
  <si>
    <t>231000</t>
  </si>
  <si>
    <t xml:space="preserve">Drop Cable </t>
  </si>
  <si>
    <t>231002</t>
  </si>
  <si>
    <t>181113</t>
  </si>
  <si>
    <t>416964</t>
  </si>
  <si>
    <t>416965</t>
  </si>
  <si>
    <t>416968</t>
  </si>
  <si>
    <t>182936</t>
  </si>
  <si>
    <t>416979</t>
  </si>
  <si>
    <t>191454</t>
  </si>
  <si>
    <t>191879</t>
  </si>
  <si>
    <t>188514</t>
  </si>
  <si>
    <t>417279</t>
  </si>
  <si>
    <t>417299</t>
  </si>
  <si>
    <t>417378</t>
  </si>
  <si>
    <t>417379</t>
  </si>
  <si>
    <t>417980</t>
  </si>
  <si>
    <t>418000</t>
  </si>
  <si>
    <t>418001</t>
  </si>
  <si>
    <t>418002</t>
  </si>
  <si>
    <t>418003</t>
  </si>
  <si>
    <t>231004</t>
  </si>
  <si>
    <t>181112</t>
  </si>
  <si>
    <t>191878</t>
  </si>
  <si>
    <t>418005</t>
  </si>
  <si>
    <t>418006</t>
  </si>
  <si>
    <t>418019</t>
  </si>
  <si>
    <t>192126</t>
  </si>
  <si>
    <t>192138</t>
  </si>
  <si>
    <t>418020</t>
  </si>
  <si>
    <t>192088</t>
  </si>
  <si>
    <t>418021</t>
  </si>
  <si>
    <t>418022</t>
  </si>
  <si>
    <t>191294</t>
  </si>
  <si>
    <t>191797</t>
  </si>
  <si>
    <t>182924</t>
  </si>
  <si>
    <t>177388</t>
  </si>
  <si>
    <t>182911</t>
  </si>
  <si>
    <t>192089</t>
  </si>
  <si>
    <t>179595</t>
  </si>
  <si>
    <t>440042</t>
  </si>
  <si>
    <t>191466</t>
  </si>
  <si>
    <t>440043</t>
  </si>
  <si>
    <t>181101</t>
  </si>
  <si>
    <t>190247</t>
  </si>
  <si>
    <t>190306</t>
  </si>
  <si>
    <t>192085</t>
  </si>
  <si>
    <t>192086</t>
  </si>
  <si>
    <t>440044</t>
  </si>
  <si>
    <t>186367</t>
  </si>
  <si>
    <t>192147</t>
  </si>
  <si>
    <t>177400</t>
  </si>
  <si>
    <t>470542</t>
  </si>
  <si>
    <t>182925</t>
  </si>
  <si>
    <t>191803</t>
  </si>
  <si>
    <t>182943</t>
  </si>
  <si>
    <t>470610</t>
  </si>
  <si>
    <t>191799</t>
  </si>
  <si>
    <t>231001</t>
  </si>
  <si>
    <t>231003</t>
  </si>
  <si>
    <t>470613</t>
  </si>
  <si>
    <t>470622</t>
  </si>
  <si>
    <t>191800</t>
  </si>
  <si>
    <t>186368</t>
  </si>
  <si>
    <t>191456</t>
  </si>
  <si>
    <t>192091</t>
  </si>
  <si>
    <t>470625</t>
  </si>
  <si>
    <t>188515</t>
  </si>
  <si>
    <t>192146</t>
  </si>
  <si>
    <t>190658</t>
  </si>
  <si>
    <t>4000640</t>
  </si>
  <si>
    <t>4001090</t>
  </si>
  <si>
    <t>4000702</t>
  </si>
  <si>
    <t>4000611</t>
  </si>
  <si>
    <t>186038</t>
  </si>
  <si>
    <t>571500</t>
  </si>
  <si>
    <t>191798</t>
  </si>
  <si>
    <t>231005</t>
  </si>
  <si>
    <t>571501</t>
  </si>
  <si>
    <t>192092</t>
  </si>
  <si>
    <t>571502</t>
  </si>
  <si>
    <t>571506</t>
  </si>
  <si>
    <t>571507</t>
  </si>
  <si>
    <t>191802</t>
  </si>
  <si>
    <t>191923</t>
  </si>
  <si>
    <t>192139</t>
  </si>
  <si>
    <t>177398</t>
  </si>
  <si>
    <t>182912</t>
  </si>
  <si>
    <t>192095</t>
  </si>
  <si>
    <t>192096</t>
  </si>
  <si>
    <t>192097</t>
  </si>
  <si>
    <t>192094</t>
  </si>
  <si>
    <t>190227</t>
  </si>
  <si>
    <t>191292</t>
  </si>
  <si>
    <t>192099</t>
  </si>
  <si>
    <t>192093</t>
  </si>
  <si>
    <t>191467</t>
  </si>
  <si>
    <t>190203</t>
  </si>
  <si>
    <t>191256</t>
  </si>
  <si>
    <t>194215</t>
  </si>
  <si>
    <t>CU 662 4P Outdoor Data cable, U/UTP, Category 6, AWG24, 500 mtr</t>
  </si>
  <si>
    <t>309046</t>
  </si>
  <si>
    <t>190204</t>
  </si>
  <si>
    <t>186500</t>
  </si>
  <si>
    <t>177390</t>
  </si>
  <si>
    <t>190205</t>
  </si>
  <si>
    <t>191349</t>
  </si>
  <si>
    <t>192098</t>
  </si>
  <si>
    <t>185557</t>
  </si>
  <si>
    <t>185938</t>
  </si>
  <si>
    <t>190192</t>
  </si>
  <si>
    <t>190166</t>
  </si>
  <si>
    <t>190167</t>
  </si>
  <si>
    <t>191259</t>
  </si>
  <si>
    <t>186459</t>
  </si>
  <si>
    <t>190168</t>
  </si>
  <si>
    <t>190169</t>
  </si>
  <si>
    <t>191235</t>
  </si>
  <si>
    <t>185989</t>
  </si>
  <si>
    <t>186300</t>
  </si>
  <si>
    <t>185990</t>
  </si>
  <si>
    <t>186320</t>
  </si>
  <si>
    <t>190617</t>
  </si>
  <si>
    <t>190077</t>
  </si>
  <si>
    <t>186481</t>
  </si>
  <si>
    <t>190363</t>
  </si>
  <si>
    <t>187364</t>
  </si>
  <si>
    <t>185558</t>
  </si>
  <si>
    <t>191350</t>
  </si>
  <si>
    <t>186379</t>
  </si>
  <si>
    <t>186497</t>
  </si>
  <si>
    <t>191700</t>
  </si>
  <si>
    <t>309103</t>
  </si>
  <si>
    <t>190213</t>
  </si>
  <si>
    <t>186480</t>
  </si>
  <si>
    <t>190193</t>
  </si>
  <si>
    <t>191188</t>
  </si>
  <si>
    <t>191277</t>
  </si>
  <si>
    <t>186499</t>
  </si>
  <si>
    <t>190112</t>
  </si>
  <si>
    <t>571508</t>
  </si>
  <si>
    <t>192933</t>
  </si>
  <si>
    <t>185935</t>
  </si>
  <si>
    <t>192121</t>
  </si>
  <si>
    <t>186355</t>
  </si>
  <si>
    <t>190200</t>
  </si>
  <si>
    <t>187354</t>
  </si>
  <si>
    <t>186483</t>
  </si>
  <si>
    <t>190201</t>
  </si>
  <si>
    <t>190149</t>
  </si>
  <si>
    <t>185934</t>
  </si>
  <si>
    <t>187377</t>
  </si>
  <si>
    <t>185937</t>
  </si>
  <si>
    <t>191825</t>
  </si>
  <si>
    <t>185959</t>
  </si>
  <si>
    <t>186591</t>
  </si>
  <si>
    <t>190747</t>
  </si>
  <si>
    <t>192712</t>
  </si>
  <si>
    <t>180171</t>
  </si>
  <si>
    <t>190202</t>
  </si>
  <si>
    <t>187288</t>
  </si>
  <si>
    <t>186484</t>
  </si>
  <si>
    <t>191867</t>
  </si>
  <si>
    <t>186498</t>
  </si>
  <si>
    <t>184200</t>
  </si>
  <si>
    <t>191706</t>
  </si>
  <si>
    <t>309104</t>
  </si>
  <si>
    <t>190661</t>
  </si>
  <si>
    <t>178872</t>
  </si>
  <si>
    <t>190214</t>
  </si>
  <si>
    <t>190719</t>
  </si>
  <si>
    <t>309047</t>
  </si>
  <si>
    <t>178732</t>
  </si>
  <si>
    <t>187350</t>
  </si>
  <si>
    <t>186363</t>
  </si>
  <si>
    <t>186005</t>
  </si>
  <si>
    <t>190071</t>
  </si>
  <si>
    <t>186639</t>
  </si>
  <si>
    <t>190355</t>
  </si>
  <si>
    <t>191189</t>
  </si>
  <si>
    <t>186350</t>
  </si>
  <si>
    <t>178873</t>
  </si>
  <si>
    <t>192693</t>
  </si>
  <si>
    <t>191190</t>
  </si>
  <si>
    <t>571600</t>
  </si>
  <si>
    <t>187389</t>
  </si>
  <si>
    <t>190604</t>
  </si>
  <si>
    <t>193360</t>
  </si>
  <si>
    <t>190621</t>
  </si>
  <si>
    <t>190092</t>
  </si>
  <si>
    <t>180114</t>
  </si>
  <si>
    <t>190080</t>
  </si>
  <si>
    <t>186638</t>
  </si>
  <si>
    <t>187365</t>
  </si>
  <si>
    <t>190059</t>
  </si>
  <si>
    <t>190662</t>
  </si>
  <si>
    <t>190602</t>
  </si>
  <si>
    <t>185945</t>
  </si>
  <si>
    <t>178773</t>
  </si>
  <si>
    <t>186361</t>
  </si>
  <si>
    <t>182976</t>
  </si>
  <si>
    <t>186595</t>
  </si>
  <si>
    <t>190072</t>
  </si>
  <si>
    <t>190752</t>
  </si>
  <si>
    <t>192131</t>
  </si>
  <si>
    <t>186660</t>
  </si>
  <si>
    <t>190792</t>
  </si>
  <si>
    <t>192148</t>
  </si>
  <si>
    <t>191851</t>
  </si>
  <si>
    <t>187293</t>
  </si>
  <si>
    <t>190215</t>
  </si>
  <si>
    <t>190229</t>
  </si>
  <si>
    <t>187363</t>
  </si>
  <si>
    <t>192150</t>
  </si>
  <si>
    <t>176522</t>
  </si>
  <si>
    <t>186627</t>
  </si>
  <si>
    <t>190194</t>
  </si>
  <si>
    <t>186748</t>
  </si>
  <si>
    <t>186630</t>
  </si>
  <si>
    <t>191806</t>
  </si>
  <si>
    <t>190230</t>
  </si>
  <si>
    <t>190160</t>
  </si>
  <si>
    <t>571601</t>
  </si>
  <si>
    <t>190692</t>
  </si>
  <si>
    <t>190195</t>
  </si>
  <si>
    <t>186356</t>
  </si>
  <si>
    <t>190058</t>
  </si>
  <si>
    <t>187305</t>
  </si>
  <si>
    <t>190161</t>
  </si>
  <si>
    <t>187385</t>
  </si>
  <si>
    <t>190208</t>
  </si>
  <si>
    <t>186455</t>
  </si>
  <si>
    <t>190231</t>
  </si>
  <si>
    <t>186645</t>
  </si>
  <si>
    <t>191796</t>
  </si>
  <si>
    <t>190216</t>
  </si>
  <si>
    <t>190651</t>
  </si>
  <si>
    <t>186643</t>
  </si>
  <si>
    <t>191251</t>
  </si>
  <si>
    <t>190184</t>
  </si>
  <si>
    <t>190217</t>
  </si>
  <si>
    <t>191753</t>
  </si>
  <si>
    <t>190232</t>
  </si>
  <si>
    <t>309105</t>
  </si>
  <si>
    <t>192610</t>
  </si>
  <si>
    <t>191860</t>
  </si>
  <si>
    <t>191755</t>
  </si>
  <si>
    <t>192645</t>
  </si>
  <si>
    <t>190162</t>
  </si>
  <si>
    <t>190171</t>
  </si>
  <si>
    <t>190172</t>
  </si>
  <si>
    <t>309106</t>
  </si>
  <si>
    <t>192159</t>
  </si>
  <si>
    <t>186623</t>
  </si>
  <si>
    <t>190210</t>
  </si>
  <si>
    <t>186487</t>
  </si>
  <si>
    <t>192689</t>
  </si>
  <si>
    <t>186432</t>
  </si>
  <si>
    <t>190218</t>
  </si>
  <si>
    <t>191858</t>
  </si>
  <si>
    <t>190185</t>
  </si>
  <si>
    <t>186366</t>
  </si>
  <si>
    <t>186561</t>
  </si>
  <si>
    <t>186399</t>
  </si>
  <si>
    <t>190223</t>
  </si>
  <si>
    <t>180761</t>
  </si>
  <si>
    <t>192149</t>
  </si>
  <si>
    <t>192156</t>
  </si>
  <si>
    <t>187348</t>
  </si>
  <si>
    <t>186358</t>
  </si>
  <si>
    <t>186590</t>
  </si>
  <si>
    <t>190163</t>
  </si>
  <si>
    <t>186760</t>
  </si>
  <si>
    <t>190368</t>
  </si>
  <si>
    <t>186747</t>
  </si>
  <si>
    <t>187291</t>
  </si>
  <si>
    <t>186439</t>
  </si>
  <si>
    <t>191814</t>
  </si>
  <si>
    <t>190224</t>
  </si>
  <si>
    <t>190219</t>
  </si>
  <si>
    <t>187294</t>
  </si>
  <si>
    <t>190174</t>
  </si>
  <si>
    <t>190650</t>
  </si>
  <si>
    <t>571602</t>
  </si>
  <si>
    <t>190164</t>
  </si>
  <si>
    <t>191698</t>
  </si>
  <si>
    <t>180172</t>
  </si>
  <si>
    <t>190175</t>
  </si>
  <si>
    <t>190764</t>
  </si>
  <si>
    <t>190225</t>
  </si>
  <si>
    <t>190220</t>
  </si>
  <si>
    <t>192713</t>
  </si>
  <si>
    <t>192167</t>
  </si>
  <si>
    <t>187394</t>
  </si>
  <si>
    <t>190226</t>
  </si>
  <si>
    <t>190165</t>
  </si>
  <si>
    <t>191252</t>
  </si>
  <si>
    <t>187360</t>
  </si>
  <si>
    <t>187292</t>
  </si>
  <si>
    <t>190212</t>
  </si>
  <si>
    <t>186458</t>
  </si>
  <si>
    <t>190221</t>
  </si>
  <si>
    <t>192625</t>
  </si>
  <si>
    <t>191197</t>
  </si>
  <si>
    <t>186486</t>
  </si>
  <si>
    <t>191270</t>
  </si>
  <si>
    <t>190369</t>
  </si>
  <si>
    <t>192119</t>
  </si>
  <si>
    <t>181794</t>
  </si>
  <si>
    <t>190696</t>
  </si>
  <si>
    <t>186539</t>
  </si>
  <si>
    <t>190709</t>
  </si>
  <si>
    <t>190699</t>
  </si>
  <si>
    <t>190325</t>
  </si>
  <si>
    <t>191191</t>
  </si>
  <si>
    <t>190176</t>
  </si>
  <si>
    <t>191701</t>
  </si>
  <si>
    <t>191278</t>
  </si>
  <si>
    <t>190605</t>
  </si>
  <si>
    <t>186540</t>
  </si>
  <si>
    <t>191693</t>
  </si>
  <si>
    <t>190399</t>
  </si>
  <si>
    <t>191868</t>
  </si>
  <si>
    <t>190311</t>
  </si>
  <si>
    <t>190700</t>
  </si>
  <si>
    <t>182926</t>
  </si>
  <si>
    <t>Cat7A S/FTP 2x4P multimedia AWG22 LS0H, Orange 500 mtr</t>
  </si>
  <si>
    <t>187665</t>
  </si>
  <si>
    <t>Cat 6 Flex cable, U/UTP,  AWG24  LSOH White 500 mtr</t>
  </si>
  <si>
    <t>181111</t>
  </si>
  <si>
    <t>188512</t>
  </si>
  <si>
    <t>4109319</t>
  </si>
  <si>
    <t>4109320</t>
  </si>
  <si>
    <t>4109321</t>
  </si>
  <si>
    <t>440041</t>
  </si>
  <si>
    <t xml:space="preserve">Cable </t>
  </si>
  <si>
    <t>Floor standing</t>
  </si>
  <si>
    <t xml:space="preserve">Copper </t>
  </si>
  <si>
    <t>Transfer Price USD+Freight+Mark up</t>
  </si>
  <si>
    <t>Note</t>
  </si>
  <si>
    <t>Discount</t>
  </si>
  <si>
    <t>Unit SP</t>
  </si>
  <si>
    <t xml:space="preserve">Number of Single outlet </t>
  </si>
  <si>
    <t xml:space="preserve">Number of Dual Outlet </t>
  </si>
  <si>
    <t xml:space="preserve">Floor Box Adapter </t>
  </si>
  <si>
    <t xml:space="preserve">Average Cable Length </t>
  </si>
  <si>
    <t>Number of IDFs</t>
  </si>
  <si>
    <t xml:space="preserve">Patch Panel Color </t>
  </si>
  <si>
    <t>Grey</t>
  </si>
  <si>
    <t xml:space="preserve">Faceplate Type </t>
  </si>
  <si>
    <t>Angled</t>
  </si>
  <si>
    <t xml:space="preserve">Cable Category </t>
  </si>
  <si>
    <t>Cat6 U/UTP</t>
  </si>
  <si>
    <t>PVC</t>
  </si>
  <si>
    <t>FO Inputs</t>
  </si>
  <si>
    <t xml:space="preserve">link per IDF </t>
  </si>
  <si>
    <t>Average distance IDF-MDF</t>
  </si>
  <si>
    <t>Number of Cabinets in each IDF 42U</t>
  </si>
  <si>
    <t>Number of Cabinets in MDF 42U</t>
  </si>
  <si>
    <t xml:space="preserve">Fiber Type </t>
  </si>
  <si>
    <t xml:space="preserve">Cores per cable </t>
  </si>
  <si>
    <t xml:space="preserve">Type of connector </t>
  </si>
  <si>
    <t>LC</t>
  </si>
  <si>
    <t>Patch Cord Length</t>
  </si>
  <si>
    <r>
      <t xml:space="preserve">The quote is valid for </t>
    </r>
    <r>
      <rPr>
        <b/>
        <sz val="11"/>
        <color rgb="FF000000"/>
        <rFont val="Calibri"/>
        <family val="2"/>
      </rPr>
      <t>30 days</t>
    </r>
    <r>
      <rPr>
        <sz val="11"/>
        <color rgb="FF000000"/>
        <rFont val="Calibri"/>
        <family val="2"/>
      </rPr>
      <t xml:space="preserve"> from the quoted date</t>
    </r>
  </si>
  <si>
    <t>Customer Name</t>
  </si>
  <si>
    <t>Date</t>
  </si>
  <si>
    <t>Email</t>
  </si>
  <si>
    <t>Project Name</t>
  </si>
  <si>
    <t>Ref. NO</t>
  </si>
  <si>
    <t>Att:</t>
  </si>
  <si>
    <t>count blank fo</t>
  </si>
  <si>
    <t>cu</t>
  </si>
  <si>
    <t>Installation</t>
  </si>
  <si>
    <t>IDF PP</t>
  </si>
  <si>
    <t>MDF PP</t>
  </si>
  <si>
    <t>Splice Holder</t>
  </si>
  <si>
    <t>Splice protection HS</t>
  </si>
  <si>
    <t xml:space="preserve">42 U cabinets </t>
  </si>
  <si>
    <t>Splice</t>
  </si>
  <si>
    <t>Pulling</t>
  </si>
  <si>
    <t xml:space="preserve">Cable Length </t>
  </si>
  <si>
    <t>Number of cores terminated in IDF</t>
  </si>
  <si>
    <t>SC</t>
  </si>
  <si>
    <t>Number of cores terminated in MDF</t>
  </si>
  <si>
    <t xml:space="preserve">Number of cabinets </t>
  </si>
  <si>
    <t>Total</t>
  </si>
  <si>
    <t xml:space="preserve">Total number of splices </t>
  </si>
  <si>
    <t>Rack</t>
  </si>
  <si>
    <t>IDF</t>
  </si>
  <si>
    <t>MDF</t>
  </si>
  <si>
    <t>DU</t>
  </si>
  <si>
    <t>PP</t>
  </si>
  <si>
    <t>T IDF</t>
  </si>
  <si>
    <t>hp</t>
  </si>
  <si>
    <t>Core</t>
  </si>
  <si>
    <t>Duplex</t>
  </si>
  <si>
    <t>PP Port (D)</t>
  </si>
  <si>
    <t>PP Qty</t>
  </si>
  <si>
    <t>FO CABLE</t>
  </si>
  <si>
    <t>PATCH CORD</t>
  </si>
  <si>
    <t>PATCH PANEL</t>
  </si>
  <si>
    <t>QTY</t>
  </si>
  <si>
    <t>OS22</t>
  </si>
  <si>
    <t>OS2LC1</t>
  </si>
  <si>
    <t>OS2LC2</t>
  </si>
  <si>
    <t>OS24</t>
  </si>
  <si>
    <t>OS2LC6</t>
  </si>
  <si>
    <t>OS26</t>
  </si>
  <si>
    <t>OS2LC3</t>
  </si>
  <si>
    <t>OS2LC12</t>
  </si>
  <si>
    <t>24 Port (12x LCD) SM PP 1U loaded - Blue polymer housing with ceramic sleeve and 24 LC pigtails 2m OS2</t>
  </si>
  <si>
    <t>OS28</t>
  </si>
  <si>
    <t>OS2LC5</t>
  </si>
  <si>
    <t>OS2LC24</t>
  </si>
  <si>
    <t>48 Port (24x LCD) SM PP 1U loaded - Blue polymer housing with ceramic sleeve and 48 LC pigtails 2m OS2</t>
  </si>
  <si>
    <t>OS212</t>
  </si>
  <si>
    <t>OS2LC10</t>
  </si>
  <si>
    <t>OS224</t>
  </si>
  <si>
    <t>OS2SC1</t>
  </si>
  <si>
    <t>OS2SC2</t>
  </si>
  <si>
    <t>OS248</t>
  </si>
  <si>
    <t>OS2SC6</t>
  </si>
  <si>
    <t>12 Port (06x SCD) SM PP 1U loaded - Blue polymer housing with ceramic sleeve and 12 SC pigtails 2m OS2</t>
  </si>
  <si>
    <t>OS296</t>
  </si>
  <si>
    <t>OS2SC3</t>
  </si>
  <si>
    <t>OS2SC12</t>
  </si>
  <si>
    <t>OS2144</t>
  </si>
  <si>
    <t>OS2SC5</t>
  </si>
  <si>
    <t>OS2SC24</t>
  </si>
  <si>
    <t>OS2216</t>
  </si>
  <si>
    <t>OS2SC10</t>
  </si>
  <si>
    <t>OS2432</t>
  </si>
  <si>
    <t>OM2LC1</t>
  </si>
  <si>
    <t>OM2LC6</t>
  </si>
  <si>
    <t>OV-S 1HE-B 6LCD MM PK 12FP2M G50 OM2 S</t>
  </si>
  <si>
    <t>OM22</t>
  </si>
  <si>
    <t>OM2LC2</t>
  </si>
  <si>
    <t>OM2LC12</t>
  </si>
  <si>
    <t>OV-S 1HE-B 12LCD MM PK 24FP2M G50 OM2 S</t>
  </si>
  <si>
    <t>OM24</t>
  </si>
  <si>
    <t>OM2LC3</t>
  </si>
  <si>
    <t>OM2LC24</t>
  </si>
  <si>
    <t>OV-S 1HE-B 24LCD MM KP 48FP2M G50 OM2 S</t>
  </si>
  <si>
    <t>LCD</t>
  </si>
  <si>
    <t>OM26</t>
  </si>
  <si>
    <t>OM2LC5</t>
  </si>
  <si>
    <t>OM28</t>
  </si>
  <si>
    <t>OM2LC10</t>
  </si>
  <si>
    <t>OM212</t>
  </si>
  <si>
    <t>OM2SC1</t>
  </si>
  <si>
    <t>OM2SC6</t>
  </si>
  <si>
    <t>OV-S 1HE-B 6SCD MM PP 12FP2M G50 OM2 S</t>
  </si>
  <si>
    <t>OM224</t>
  </si>
  <si>
    <t>OM2SC2</t>
  </si>
  <si>
    <t>OM2SC12</t>
  </si>
  <si>
    <t>OV-S 1HE-B 12SCD MM PP 24FP2M G50 OM2 S</t>
  </si>
  <si>
    <t>OM248</t>
  </si>
  <si>
    <t>OM2SC3</t>
  </si>
  <si>
    <t>FO Duplex OM2 PC- SCD-SCD 03M</t>
  </si>
  <si>
    <t>OM2SC24</t>
  </si>
  <si>
    <t>OV-S 1HE-B 24SCD MM PP 48FP2M G50 OM2 S</t>
  </si>
  <si>
    <t>OM296</t>
  </si>
  <si>
    <t>OM2SC5</t>
  </si>
  <si>
    <t>FO Duplex OM2 PC- SCD-SCD 05M</t>
  </si>
  <si>
    <t>OM2144</t>
  </si>
  <si>
    <t>OM2SC10</t>
  </si>
  <si>
    <t>FO Duplex OM2 PC- SCD-SCD 10M</t>
  </si>
  <si>
    <t>SCD</t>
  </si>
  <si>
    <t>OM2216</t>
  </si>
  <si>
    <t>OM2432</t>
  </si>
  <si>
    <t>OM3LC1</t>
  </si>
  <si>
    <t>OM3LC6</t>
  </si>
  <si>
    <t>12 Port (6x LCD) OM3 PP 1U loaded -  turquoise polymer housing with ceramic sleeve and 12 LC pigtails 2m OM3</t>
  </si>
  <si>
    <t>OM32</t>
  </si>
  <si>
    <t>OM3LC2</t>
  </si>
  <si>
    <t>OM3LC12</t>
  </si>
  <si>
    <t xml:space="preserve"> 12x LCD adapter, turqouise polymer housing with ceramic sleeve and 24 LC pigtails 2m G50/125µm OM3</t>
  </si>
  <si>
    <t>OM34</t>
  </si>
  <si>
    <t>OM3LC3</t>
  </si>
  <si>
    <t>OM3LC24</t>
  </si>
  <si>
    <t>OM36</t>
  </si>
  <si>
    <t>OM3LC5</t>
  </si>
  <si>
    <t>OM38</t>
  </si>
  <si>
    <t>OM3LC10</t>
  </si>
  <si>
    <t>OM312</t>
  </si>
  <si>
    <t>OM3SC1</t>
  </si>
  <si>
    <t>OM3SC6</t>
  </si>
  <si>
    <t>OM324</t>
  </si>
  <si>
    <t>OM3SC2</t>
  </si>
  <si>
    <t>OM3SC12</t>
  </si>
  <si>
    <t>OM348</t>
  </si>
  <si>
    <t>OM3SC3</t>
  </si>
  <si>
    <t>OM3SC24</t>
  </si>
  <si>
    <t>OM396</t>
  </si>
  <si>
    <t>OM3SC5</t>
  </si>
  <si>
    <t>OM3144</t>
  </si>
  <si>
    <t>OM3SC10</t>
  </si>
  <si>
    <t>OM3216</t>
  </si>
  <si>
    <t>OM3432</t>
  </si>
  <si>
    <t>OM4LC1</t>
  </si>
  <si>
    <t>FO Duplex OM4 PC- LCD-LCD 01m</t>
  </si>
  <si>
    <t>OM4LC6</t>
  </si>
  <si>
    <t>OM42</t>
  </si>
  <si>
    <t>OM4LC2</t>
  </si>
  <si>
    <t>FO Duplex OM4 PC- LCD-LCD 02m</t>
  </si>
  <si>
    <t>OM4LC12</t>
  </si>
  <si>
    <t>OM44</t>
  </si>
  <si>
    <t>OM4LC3</t>
  </si>
  <si>
    <t>FO Duplex OM4 PC- LCD-LCD 03m</t>
  </si>
  <si>
    <t>OM4LC24</t>
  </si>
  <si>
    <t>OV-S 1HE B 24 LCD KP 48FP2M0 OM4  VI</t>
  </si>
  <si>
    <t>OM46</t>
  </si>
  <si>
    <t>OM4LC5</t>
  </si>
  <si>
    <t>FO Duplex OM4 PC- LCD-LCD 05m</t>
  </si>
  <si>
    <t>OM48</t>
  </si>
  <si>
    <t>OM4LC10</t>
  </si>
  <si>
    <t>FO Duplex OM4 PC- LCD-LCD 10m</t>
  </si>
  <si>
    <t>OM412</t>
  </si>
  <si>
    <t>OM4SC1</t>
  </si>
  <si>
    <t>FO Duplex OM4 PC- SCD-SCD 01m</t>
  </si>
  <si>
    <t>OM4SC6</t>
  </si>
  <si>
    <t>OM424</t>
  </si>
  <si>
    <t>OM4SC2</t>
  </si>
  <si>
    <t>FO Duplex OM4 PC- SCD-SCD 02m</t>
  </si>
  <si>
    <t>OM4SC12</t>
  </si>
  <si>
    <t>OM448</t>
  </si>
  <si>
    <t>OM4SC3</t>
  </si>
  <si>
    <t>FO Duplex OM4 PC- SCD-SCD 03m</t>
  </si>
  <si>
    <t>OM4SC24</t>
  </si>
  <si>
    <t>OV-S 1HE-B 24SCD MM PP 48FP2M G50 OM4 VI</t>
  </si>
  <si>
    <t>OM496</t>
  </si>
  <si>
    <t>OM4SC5</t>
  </si>
  <si>
    <t>FO Duplex OM4 PC- SCD-SCD 05m</t>
  </si>
  <si>
    <t>OM4144</t>
  </si>
  <si>
    <t>OM4SC10</t>
  </si>
  <si>
    <t>FO Duplex OM4 PC- SCD-SCD 10m</t>
  </si>
  <si>
    <t>OM4216</t>
  </si>
  <si>
    <t>OM4432</t>
  </si>
  <si>
    <t>FO 2C drop cable OM2</t>
  </si>
  <si>
    <t xml:space="preserve">FO Universal 96C OM2 </t>
  </si>
  <si>
    <t>FO Universal 144C OM2</t>
  </si>
  <si>
    <t>FO Universal 216C OM2</t>
  </si>
  <si>
    <t>FO Universal 432C OM2</t>
  </si>
  <si>
    <t>FO 2C drop cable OM3</t>
  </si>
  <si>
    <t>FO Universal 144C OM3</t>
  </si>
  <si>
    <t>FO Universal 216C OM3</t>
  </si>
  <si>
    <t>FO Universal 432C OM3</t>
  </si>
  <si>
    <t>FO 2C drop cable OM4</t>
  </si>
  <si>
    <t>FO Universal 96C OM4</t>
  </si>
  <si>
    <t>FO Universal 144C OM4</t>
  </si>
  <si>
    <t>FO Universal 216C OM4</t>
  </si>
  <si>
    <t>FO Universal 432C OM4</t>
  </si>
  <si>
    <t>CU CABLE</t>
  </si>
  <si>
    <t>LSOH</t>
  </si>
  <si>
    <t xml:space="preserve">Face plate type </t>
  </si>
  <si>
    <t xml:space="preserve">Cable Sheath </t>
  </si>
  <si>
    <t xml:space="preserve">Module Color </t>
  </si>
  <si>
    <t>D4</t>
  </si>
  <si>
    <t>LSZH</t>
  </si>
  <si>
    <t>D5</t>
  </si>
  <si>
    <t>Cat6a U/FTP</t>
  </si>
  <si>
    <t>Flat</t>
  </si>
  <si>
    <t xml:space="preserve">Black </t>
  </si>
  <si>
    <t>D6</t>
  </si>
  <si>
    <t>Cat6a F/FTP</t>
  </si>
  <si>
    <t>D7</t>
  </si>
  <si>
    <t>Cat6a S/FTP</t>
  </si>
  <si>
    <t>D8</t>
  </si>
  <si>
    <t>Cat7 S/FTP</t>
  </si>
  <si>
    <t>D9</t>
  </si>
  <si>
    <t>Cat7a S/FTP</t>
  </si>
  <si>
    <t>D10</t>
  </si>
  <si>
    <t>Cable Sheath</t>
  </si>
  <si>
    <t>D11</t>
  </si>
  <si>
    <t>Number of FD or IDF</t>
  </si>
  <si>
    <t>D12</t>
  </si>
  <si>
    <t>Calculated Outputs (BOQ)</t>
  </si>
  <si>
    <t xml:space="preserve">Single Face plate </t>
  </si>
  <si>
    <t xml:space="preserve">Dual Face plates </t>
  </si>
  <si>
    <t xml:space="preserve">Floor box adapter </t>
  </si>
  <si>
    <t xml:space="preserve">RJ45 Modules </t>
  </si>
  <si>
    <t xml:space="preserve">Unloaded Patch Pannel </t>
  </si>
  <si>
    <t xml:space="preserve">Cable Manager </t>
  </si>
  <si>
    <t xml:space="preserve">Patch cord 1M </t>
  </si>
  <si>
    <t xml:space="preserve">Patch cord 3 m </t>
  </si>
  <si>
    <t xml:space="preserve">Cable length </t>
  </si>
  <si>
    <t>305m boxes</t>
  </si>
  <si>
    <t xml:space="preserve">500m rolls </t>
  </si>
  <si>
    <t>Cat6 PP</t>
  </si>
  <si>
    <t>Cat6A PP</t>
  </si>
  <si>
    <t>Termination</t>
  </si>
  <si>
    <t xml:space="preserve">Quantity </t>
  </si>
  <si>
    <t xml:space="preserve">Single face plate </t>
  </si>
  <si>
    <t xml:space="preserve">Dual Face plate </t>
  </si>
  <si>
    <t xml:space="preserve">FB Adapter </t>
  </si>
  <si>
    <t xml:space="preserve">RJ45 Modules. </t>
  </si>
  <si>
    <t xml:space="preserve">cable manager </t>
  </si>
  <si>
    <t>PC 1m</t>
  </si>
  <si>
    <t>PC 3m</t>
  </si>
  <si>
    <t>=IF(A2&gt;89,"A",IF(A2&gt;79,"B", IF(A2&gt;69,"C",IF(A2&gt;59,"D","F"))))</t>
  </si>
  <si>
    <t>=LOOKUP(A2,{0,60,63,67,70,73,77,80,83,87,90,93,97},{"F","D-","D","D+","C-","C","C+","B-","B","B+","A-","A","A+"})</t>
  </si>
  <si>
    <t>SM</t>
  </si>
  <si>
    <t>IDF PP 6 D</t>
  </si>
  <si>
    <t>IDF PP 12 D</t>
  </si>
  <si>
    <t>MDF PP 24 D</t>
  </si>
  <si>
    <t xml:space="preserve">Number of MDF PP </t>
  </si>
  <si>
    <t>Patch Cord 1M</t>
  </si>
  <si>
    <t>Patch Cord 2M</t>
  </si>
  <si>
    <t>Patch Cord 3M</t>
  </si>
  <si>
    <t>After Dis</t>
  </si>
  <si>
    <t>Actual</t>
  </si>
  <si>
    <t>Original</t>
  </si>
  <si>
    <t>        UOM        </t>
  </si>
  <si>
    <t>`</t>
  </si>
  <si>
    <t>Vavlue</t>
  </si>
  <si>
    <t>Range</t>
  </si>
  <si>
    <t>old</t>
  </si>
  <si>
    <t>HOME</t>
  </si>
  <si>
    <t xml:space="preserve">          </t>
  </si>
  <si>
    <t>SYSTEM</t>
  </si>
  <si>
    <t>BILL OF QUANTITY</t>
  </si>
  <si>
    <t xml:space="preserve">DATWYLER DESIGN TOOL
</t>
  </si>
  <si>
    <t>QUOTATION</t>
  </si>
  <si>
    <t>*</t>
  </si>
  <si>
    <t>3229239</t>
  </si>
  <si>
    <t>6898519</t>
  </si>
  <si>
    <t>ARTICLE #</t>
  </si>
  <si>
    <t>DESCRIPTION</t>
  </si>
  <si>
    <t>ITEM</t>
  </si>
  <si>
    <t>CATEGORY</t>
  </si>
  <si>
    <t>LIST PRICE USD</t>
  </si>
  <si>
    <t>DISCOUNT %</t>
  </si>
  <si>
    <t>COPPER INPUTS</t>
  </si>
  <si>
    <t>COPPER SOLUTION</t>
  </si>
  <si>
    <t>FIBER OPTIC INPUTS</t>
  </si>
  <si>
    <t>FIBER OPTIC SOLUTION</t>
  </si>
  <si>
    <t>S. NO.</t>
  </si>
  <si>
    <t>U. PRICE USD</t>
  </si>
  <si>
    <t>T. PRICE USD</t>
  </si>
  <si>
    <t>GRAND TOTAL USD</t>
  </si>
  <si>
    <t>S/N</t>
  </si>
  <si>
    <t>STANDARD DISCOUNT %</t>
  </si>
  <si>
    <t>SPECIAL DISCOUNT %</t>
  </si>
  <si>
    <t>NET U. PRICE USD</t>
  </si>
  <si>
    <t>NET T. PRICE USD</t>
  </si>
  <si>
    <t>Datwyler Middle East FZE</t>
  </si>
  <si>
    <r>
      <t>+971</t>
    </r>
    <r>
      <rPr>
        <sz val="14"/>
        <color theme="1"/>
        <rFont val="Calibri"/>
        <family val="2"/>
      </rPr>
      <t xml:space="preserve"> 4 422 8129</t>
    </r>
  </si>
  <si>
    <t>+971 4 422 8096</t>
  </si>
  <si>
    <t xml:space="preserve">Our standard terms and condition for deliveries and service (latest issue) shall apply exclusively. Customer's terms of </t>
  </si>
  <si>
    <t>business apply only when approved by us in writing.</t>
  </si>
  <si>
    <t>DATE:</t>
  </si>
  <si>
    <t>REFERENCE #:</t>
  </si>
  <si>
    <t>DATE OF INQUIRY:</t>
  </si>
  <si>
    <t>COMPANY:</t>
  </si>
  <si>
    <t>CONTACT:</t>
  </si>
  <si>
    <r>
      <t xml:space="preserve">The quote is valid for </t>
    </r>
    <r>
      <rPr>
        <u/>
        <sz val="14"/>
        <color theme="1"/>
        <rFont val="Calibri"/>
        <family val="2"/>
      </rPr>
      <t>30 days</t>
    </r>
    <r>
      <rPr>
        <sz val="14"/>
        <color theme="1"/>
        <rFont val="Calibri"/>
        <family val="2"/>
      </rPr>
      <t xml:space="preserve"> from the quoted date</t>
    </r>
  </si>
  <si>
    <t>ATT.:</t>
  </si>
  <si>
    <t>TO:</t>
  </si>
  <si>
    <t>4000682</t>
  </si>
  <si>
    <t>240641</t>
  </si>
  <si>
    <t>1408504</t>
  </si>
  <si>
    <t>186437</t>
  </si>
  <si>
    <t>CATEGORY                                                                            ITEM</t>
  </si>
  <si>
    <t>Product Code</t>
  </si>
  <si>
    <t>Storage(UOM)</t>
  </si>
  <si>
    <t>Location</t>
  </si>
  <si>
    <t>Unit</t>
  </si>
  <si>
    <t>Qty.</t>
  </si>
  <si>
    <t>Primary Unit</t>
  </si>
  <si>
    <t>Qty.(in Primary Units)</t>
  </si>
  <si>
    <t>Nt. Wt.</t>
  </si>
  <si>
    <t>Gr. Wt.</t>
  </si>
  <si>
    <t>Gross weight in Kgs</t>
  </si>
  <si>
    <t>Volume
(CBM)</t>
  </si>
  <si>
    <t>BOE No.</t>
  </si>
  <si>
    <t>Origin</t>
  </si>
  <si>
    <t>Lot No.</t>
  </si>
  <si>
    <t>HS Code</t>
  </si>
  <si>
    <t>CBM</t>
  </si>
  <si>
    <t>19BG4002-2</t>
  </si>
  <si>
    <t>MTR</t>
  </si>
  <si>
    <t>2000 MTR/DRM</t>
  </si>
  <si>
    <t>1 DRM</t>
  </si>
  <si>
    <t>SWITZERLAND</t>
  </si>
  <si>
    <t>19BG4003-1</t>
  </si>
  <si>
    <t>19BG2400-2</t>
  </si>
  <si>
    <t>500 MTR/DRM</t>
  </si>
  <si>
    <t>14 DRM</t>
  </si>
  <si>
    <t>19BG4001-1</t>
  </si>
  <si>
    <t>1000 MTR/DRM</t>
  </si>
  <si>
    <t>19BG1505-1</t>
  </si>
  <si>
    <t>PCS</t>
  </si>
  <si>
    <t>742 PCS/CTN</t>
  </si>
  <si>
    <t>600 PCS</t>
  </si>
  <si>
    <t>GERMANY</t>
  </si>
  <si>
    <t>TFR CEVA</t>
  </si>
  <si>
    <t>19BG0101-2</t>
  </si>
  <si>
    <t>10 DRM</t>
  </si>
  <si>
    <t>19BH0600-1</t>
  </si>
  <si>
    <t>CHINA</t>
  </si>
  <si>
    <t>19BG1604-1</t>
  </si>
  <si>
    <t>800 PCS/CTN</t>
  </si>
  <si>
    <t>33 PCS</t>
  </si>
  <si>
    <t>19BG1804-2</t>
  </si>
  <si>
    <t>200 PCS/CTN</t>
  </si>
  <si>
    <t>4 PCS</t>
  </si>
  <si>
    <t>19BG1504-2</t>
  </si>
  <si>
    <t>70 PCS/CTN</t>
  </si>
  <si>
    <t>1 CTN,37 PCS</t>
  </si>
  <si>
    <t>HUNGARY</t>
  </si>
  <si>
    <t>19BM1100-1</t>
  </si>
  <si>
    <t>UNT</t>
  </si>
  <si>
    <t>1 UNT/UNT</t>
  </si>
  <si>
    <t>1 UNT</t>
  </si>
  <si>
    <t>19BG3200-2</t>
  </si>
  <si>
    <t>CZECH REPUBLIC</t>
  </si>
  <si>
    <t>19BG0304-1</t>
  </si>
  <si>
    <t>24 DRM</t>
  </si>
  <si>
    <t>20 PCS/CTN</t>
  </si>
  <si>
    <t>3 CTN,6 PCS</t>
  </si>
  <si>
    <t>19BG1704-2</t>
  </si>
  <si>
    <t>2 CTN,100 PCS</t>
  </si>
  <si>
    <t>19BK0400-2</t>
  </si>
  <si>
    <t>600 PCS/CTN</t>
  </si>
  <si>
    <t>1 CTN</t>
  </si>
  <si>
    <t>19BG1404-2</t>
  </si>
  <si>
    <t>2 PCS/CTN</t>
  </si>
  <si>
    <t>19BL1100-2</t>
  </si>
  <si>
    <t>19BG0702-2</t>
  </si>
  <si>
    <t>305 MTR/CTN</t>
  </si>
  <si>
    <t>30 CTN</t>
  </si>
  <si>
    <t>19BG0702-1</t>
  </si>
  <si>
    <t>19BG1102-2</t>
  </si>
  <si>
    <t>19BG0902-1</t>
  </si>
  <si>
    <t>8 CTN</t>
  </si>
  <si>
    <t>19BG1101-2</t>
  </si>
  <si>
    <t>19BG0903-1</t>
  </si>
  <si>
    <t>19BG2104-1</t>
  </si>
  <si>
    <t>40 PCS/CTN</t>
  </si>
  <si>
    <t>105 CTN,36 PCS</t>
  </si>
  <si>
    <t>19BG2601-2</t>
  </si>
  <si>
    <t>999 MTR</t>
  </si>
  <si>
    <t>19BG0605-2</t>
  </si>
  <si>
    <t>19BG0904-1</t>
  </si>
  <si>
    <t>20 DRM</t>
  </si>
  <si>
    <t>19BG2201-2</t>
  </si>
  <si>
    <t>6 DRM</t>
  </si>
  <si>
    <t>19BG1205-2</t>
  </si>
  <si>
    <t>22 DRM</t>
  </si>
  <si>
    <t>19BG0306-1</t>
  </si>
  <si>
    <t>4 UNT</t>
  </si>
  <si>
    <t>19BG2501-2</t>
  </si>
  <si>
    <t>80 PCS/CTN</t>
  </si>
  <si>
    <t>14 CTN,17 PCS</t>
  </si>
  <si>
    <t>19BG1503-1</t>
  </si>
  <si>
    <t>19BG1601-1</t>
  </si>
  <si>
    <t>19BG1403-1</t>
  </si>
  <si>
    <t>19BG1801-1</t>
  </si>
  <si>
    <t>91 CTN,4 PCS</t>
  </si>
  <si>
    <t>19BG1901-1</t>
  </si>
  <si>
    <t>19BG2600-2</t>
  </si>
  <si>
    <t>12 DRM</t>
  </si>
  <si>
    <t>19BG2002-2</t>
  </si>
  <si>
    <t>2 DRM</t>
  </si>
  <si>
    <t>19BG1902-1</t>
  </si>
  <si>
    <t>5 DRM</t>
  </si>
  <si>
    <t>19BG2600-1</t>
  </si>
  <si>
    <t>19BG1903-1</t>
  </si>
  <si>
    <t>3 DRM</t>
  </si>
  <si>
    <t>19BG1200-1</t>
  </si>
  <si>
    <t>54 DRM</t>
  </si>
  <si>
    <t>19BG2401-1</t>
  </si>
  <si>
    <t>1 DRM,52 MTR</t>
  </si>
  <si>
    <t>19BG2202-2</t>
  </si>
  <si>
    <t>19BG2702-1</t>
  </si>
  <si>
    <t>19BH1500-1</t>
  </si>
  <si>
    <t>19BG0303-2</t>
  </si>
  <si>
    <t>300 PCS/CTN</t>
  </si>
  <si>
    <t>50 PCS</t>
  </si>
  <si>
    <t>391362(SCRAP)</t>
  </si>
  <si>
    <t>19BG5002-2</t>
  </si>
  <si>
    <t>305 MTR/DRM</t>
  </si>
  <si>
    <t>33 DRM</t>
  </si>
  <si>
    <t>NA</t>
  </si>
  <si>
    <t>19BG3300-1</t>
  </si>
  <si>
    <t>1 PCS/CTN</t>
  </si>
  <si>
    <t>2 CTN</t>
  </si>
  <si>
    <t>19BK1700-1</t>
  </si>
  <si>
    <t>19BL2800-2</t>
  </si>
  <si>
    <t>19BG0302-2</t>
  </si>
  <si>
    <t>400 PCS/CTN</t>
  </si>
  <si>
    <t>TAIWAN</t>
  </si>
  <si>
    <t>19BG0402-1</t>
  </si>
  <si>
    <t>9 CTN,15 PCS</t>
  </si>
  <si>
    <t>19BG0203-2</t>
  </si>
  <si>
    <t>10 PCS/CTN</t>
  </si>
  <si>
    <t>11 CTN</t>
  </si>
  <si>
    <t>182912 (GITEX SAMPLE)</t>
  </si>
  <si>
    <t>19BG1302-1</t>
  </si>
  <si>
    <t>20 MTR/CTN</t>
  </si>
  <si>
    <t>GITEX</t>
  </si>
  <si>
    <t>19BG0401-1</t>
  </si>
  <si>
    <t>12 PCS/CTN</t>
  </si>
  <si>
    <t>25 CTN</t>
  </si>
  <si>
    <t>191454 (GITEX SAMPLE)</t>
  </si>
  <si>
    <t>19BG1405-2</t>
  </si>
  <si>
    <t>19BG1300-2</t>
  </si>
  <si>
    <t>192712 (GITEX SAMPLE)</t>
  </si>
  <si>
    <t>20 MTR/DRM</t>
  </si>
  <si>
    <t>19BG0300-1</t>
  </si>
  <si>
    <t>3 PCS</t>
  </si>
  <si>
    <t>162 PCS/CTN</t>
  </si>
  <si>
    <t>24 PCS</t>
  </si>
  <si>
    <t>19BG0400-1</t>
  </si>
  <si>
    <t>131 PCS/CTN</t>
  </si>
  <si>
    <t>78 PCS</t>
  </si>
  <si>
    <t>19BG1802-2</t>
  </si>
  <si>
    <t>150 PCS/CTN</t>
  </si>
  <si>
    <t>6 CTN,100 PCS</t>
  </si>
  <si>
    <t>19BG2400-1</t>
  </si>
  <si>
    <t>POLYBAG</t>
  </si>
  <si>
    <t>1000 PCS/CTN</t>
  </si>
  <si>
    <t>19BG1301-2</t>
  </si>
  <si>
    <t>1 MTR/DRM</t>
  </si>
  <si>
    <t>1 PCS</t>
  </si>
  <si>
    <t>19BG1605-2</t>
  </si>
  <si>
    <t>19BG1404-1</t>
  </si>
  <si>
    <t>140 PCS/CTN</t>
  </si>
  <si>
    <t>14 CTN,40 PCS</t>
  </si>
  <si>
    <t>40 PCS</t>
  </si>
  <si>
    <t>19BG1504-1</t>
  </si>
  <si>
    <t>50 PCS/CTN</t>
  </si>
  <si>
    <t>14 CTN,49 PCS</t>
  </si>
  <si>
    <t>19BG0104-2</t>
  </si>
  <si>
    <t>19BG1505-2</t>
  </si>
  <si>
    <t>8 CTN,9 PCS</t>
  </si>
  <si>
    <t>19BG1604-2</t>
  </si>
  <si>
    <t>100 PCS/CTN</t>
  </si>
  <si>
    <t>4 CTN,77 PCS</t>
  </si>
  <si>
    <t>KOREA (SOUTH)</t>
  </si>
  <si>
    <t>3 CTN,99 PCS</t>
  </si>
  <si>
    <t>19BK0200-1</t>
  </si>
  <si>
    <t>2 UNT</t>
  </si>
  <si>
    <t>19BK0800-1</t>
  </si>
  <si>
    <t>750 PCS/CTN</t>
  </si>
  <si>
    <t>37 PCS</t>
  </si>
  <si>
    <t>7 CTN,100 PCS</t>
  </si>
  <si>
    <t>19BG0603-1</t>
  </si>
  <si>
    <t>10 CTN</t>
  </si>
  <si>
    <t>19BG2003-2</t>
  </si>
  <si>
    <t>5 PCS/CTN</t>
  </si>
  <si>
    <t>19BG0701-2</t>
  </si>
  <si>
    <t>19BG0803-1</t>
  </si>
  <si>
    <t>19BG0504-2</t>
  </si>
  <si>
    <t>19BG0901-1</t>
  </si>
  <si>
    <t>19BG0901-2</t>
  </si>
  <si>
    <t>3 CTN</t>
  </si>
  <si>
    <t>19BG1003-2</t>
  </si>
  <si>
    <t>18 CTN</t>
  </si>
  <si>
    <t>19BG1002-2</t>
  </si>
  <si>
    <t>19BG1000-2</t>
  </si>
  <si>
    <t>45 CTN</t>
  </si>
  <si>
    <t>19BG2204-2</t>
  </si>
  <si>
    <t>240 MTR/DRM</t>
  </si>
  <si>
    <t>68 MTR</t>
  </si>
  <si>
    <t>19BG2206-2</t>
  </si>
  <si>
    <t>19BG2205-1</t>
  </si>
  <si>
    <t>400 MTR/DRM</t>
  </si>
  <si>
    <t>8 DRM,200 MTR</t>
  </si>
  <si>
    <t>19BG2501-1</t>
  </si>
  <si>
    <t>19BG0905-2</t>
  </si>
  <si>
    <t>19BG1004-1</t>
  </si>
  <si>
    <t>17 DRM</t>
  </si>
  <si>
    <t>19BG1005-2</t>
  </si>
  <si>
    <t>19BG1105-2</t>
  </si>
  <si>
    <t>19BG0606-2</t>
  </si>
  <si>
    <t>19BG2203-1</t>
  </si>
  <si>
    <t>20 CTN</t>
  </si>
  <si>
    <t>19BG1201-1</t>
  </si>
  <si>
    <t>19BG1402-1</t>
  </si>
  <si>
    <t>19BG1401-1</t>
  </si>
  <si>
    <t>19BG1603-1</t>
  </si>
  <si>
    <t>19BG1602-2</t>
  </si>
  <si>
    <t>19BG1901-2</t>
  </si>
  <si>
    <t>2 DRM,21 MTR</t>
  </si>
  <si>
    <t>19BG1100-2</t>
  </si>
  <si>
    <t>19BG3900-2</t>
  </si>
  <si>
    <t>19BG2202-1</t>
  </si>
  <si>
    <t>1948 MTR</t>
  </si>
  <si>
    <t>19BG2502-1</t>
  </si>
  <si>
    <t>19BG2303-1</t>
  </si>
  <si>
    <t>190194 (GITEX SAMPLE)</t>
  </si>
  <si>
    <t>190231 (GITEX SAMPLE)</t>
  </si>
  <si>
    <t>19BG0301-1</t>
  </si>
  <si>
    <t>7 CTN,200 PCS</t>
  </si>
  <si>
    <t>19BG0405-2</t>
  </si>
  <si>
    <t>15 CTN</t>
  </si>
  <si>
    <t>19BG0505-2</t>
  </si>
  <si>
    <t>19BG1203-2</t>
  </si>
  <si>
    <t>19BG1304-1</t>
  </si>
  <si>
    <t>19BH0300-2</t>
  </si>
  <si>
    <t>19BH1100-2</t>
  </si>
  <si>
    <t>190221 (GITEX SAMPLE)</t>
  </si>
  <si>
    <t>1 CTN,6 PCS</t>
  </si>
  <si>
    <t>19BG1802-1</t>
  </si>
  <si>
    <t>19BG2602-2</t>
  </si>
  <si>
    <t>19BG4003-2</t>
  </si>
  <si>
    <t>19BG2300-2</t>
  </si>
  <si>
    <t>16 DRM</t>
  </si>
  <si>
    <t>1321 PCS/CTN</t>
  </si>
  <si>
    <t>19BG0201-1</t>
  </si>
  <si>
    <t>19BG1703-2</t>
  </si>
  <si>
    <t>240 PCS/CTN</t>
  </si>
  <si>
    <t>16 PCS</t>
  </si>
  <si>
    <t>19BG0204-2</t>
  </si>
  <si>
    <t>21 DRM</t>
  </si>
  <si>
    <t>19BG2603-2</t>
  </si>
  <si>
    <t>4 PCS/CTN</t>
  </si>
  <si>
    <t>2 CTN,1 PCS</t>
  </si>
  <si>
    <t>19BK0700-1</t>
  </si>
  <si>
    <t>231 PCS</t>
  </si>
  <si>
    <t>19BK1300-1</t>
  </si>
  <si>
    <t>19BG0100-1</t>
  </si>
  <si>
    <t>19BG0703-1</t>
  </si>
  <si>
    <t>19BG0701-1</t>
  </si>
  <si>
    <t>19BG0803-2</t>
  </si>
  <si>
    <t>19BG0802-2</t>
  </si>
  <si>
    <t>19BG0902-2</t>
  </si>
  <si>
    <t>19BG0903-2</t>
  </si>
  <si>
    <t>19BG2304-2</t>
  </si>
  <si>
    <t>1 CTN,150 PCS</t>
  </si>
  <si>
    <t>90 MTR</t>
  </si>
  <si>
    <t>19BG2206-1</t>
  </si>
  <si>
    <t>1 CTN,389 PCS</t>
  </si>
  <si>
    <t>19BG2205-2</t>
  </si>
  <si>
    <t>2 CTN,50 PCS</t>
  </si>
  <si>
    <t>19BG2701-1</t>
  </si>
  <si>
    <t>15 DRM</t>
  </si>
  <si>
    <t>19BG0705-2</t>
  </si>
  <si>
    <t>8 DRM</t>
  </si>
  <si>
    <t>4 DRM</t>
  </si>
  <si>
    <t>19BG0106-1</t>
  </si>
  <si>
    <t>100 MTR/CTN</t>
  </si>
  <si>
    <t>5 CTN</t>
  </si>
  <si>
    <t>19BG1202-1</t>
  </si>
  <si>
    <t>658143(SAMPLE)</t>
  </si>
  <si>
    <t>19BG2203-2</t>
  </si>
  <si>
    <t>17 CTN,78 PCS</t>
  </si>
  <si>
    <t>19BG1301-1</t>
  </si>
  <si>
    <t>19BG1401-2</t>
  </si>
  <si>
    <t>19BG1402-2</t>
  </si>
  <si>
    <t>19BG1702-2</t>
  </si>
  <si>
    <t>19BG2101-2</t>
  </si>
  <si>
    <t>19BG1904-1</t>
  </si>
  <si>
    <t>19BG2301-1</t>
  </si>
  <si>
    <t>19BG1903-2</t>
  </si>
  <si>
    <t>19BG1600-1</t>
  </si>
  <si>
    <t>19BH0200-2</t>
  </si>
  <si>
    <t>19BG1200-2</t>
  </si>
  <si>
    <t>19BH0400-2</t>
  </si>
  <si>
    <t>19BG2102-2</t>
  </si>
  <si>
    <t>19BG2302-1</t>
  </si>
  <si>
    <t>19BH2600-2</t>
  </si>
  <si>
    <t>2 CTN,200 PCS</t>
  </si>
  <si>
    <t>19BG2303-2</t>
  </si>
  <si>
    <t>19BK1800-1</t>
  </si>
  <si>
    <t>19BL2800-1</t>
  </si>
  <si>
    <t>19BG0700-1</t>
  </si>
  <si>
    <t>187394 (GITEX SAMPLE)</t>
  </si>
  <si>
    <t>19BG0404-1</t>
  </si>
  <si>
    <t>4 CTN,200 PCS</t>
  </si>
  <si>
    <t>192068 (GITEX SAMPLE)</t>
  </si>
  <si>
    <t>194215 (GITEX SAMPLE)</t>
  </si>
  <si>
    <t>19BG1304-2</t>
  </si>
  <si>
    <t>190215 (GITEX SAMPLE)</t>
  </si>
  <si>
    <t>187354 (GITEX SAMPLE)</t>
  </si>
  <si>
    <t>30 PCS</t>
  </si>
  <si>
    <t>1 CTN,106 PCS</t>
  </si>
  <si>
    <t>20 PCS</t>
  </si>
  <si>
    <t>6 CTN,20 PCS</t>
  </si>
  <si>
    <t>19BG2402-2</t>
  </si>
  <si>
    <t>4 CTN,60 PCS</t>
  </si>
  <si>
    <t>11 CTN,40 PCS</t>
  </si>
  <si>
    <t>19BG2402-1</t>
  </si>
  <si>
    <t>4 CTN</t>
  </si>
  <si>
    <t>19BG0600-2</t>
  </si>
  <si>
    <t>19BG2200-1</t>
  </si>
  <si>
    <t>19BG2100-2</t>
  </si>
  <si>
    <t>2 CTN,2 PCS</t>
  </si>
  <si>
    <t>19BG1803-1</t>
  </si>
  <si>
    <t>11 DRM</t>
  </si>
  <si>
    <t>19BL1200-2</t>
  </si>
  <si>
    <t>72 CTN,12 PCS</t>
  </si>
  <si>
    <t>182924(SAMPLE)</t>
  </si>
  <si>
    <t>19BG2603-1</t>
  </si>
  <si>
    <t>3 MTR</t>
  </si>
  <si>
    <t>19BK0400-1</t>
  </si>
  <si>
    <t>2 PCS</t>
  </si>
  <si>
    <t>SLOVENIA</t>
  </si>
  <si>
    <t>19BK1300-2</t>
  </si>
  <si>
    <t>19BG0600-1</t>
  </si>
  <si>
    <t>19BG3000-2</t>
  </si>
  <si>
    <t>90 PCS/CTN</t>
  </si>
  <si>
    <t>9 CTN,40 PCS</t>
  </si>
  <si>
    <t>19BG0601-2</t>
  </si>
  <si>
    <t>19BG1104-1</t>
  </si>
  <si>
    <t>19BG1001-1</t>
  </si>
  <si>
    <t>19BG2304-1</t>
  </si>
  <si>
    <t>1 CTN,104 PCS</t>
  </si>
  <si>
    <t>2 CTN,46 PCS</t>
  </si>
  <si>
    <t>19BG2403-2</t>
  </si>
  <si>
    <t>19BG2106-1</t>
  </si>
  <si>
    <t>3 CTN,446 PCS</t>
  </si>
  <si>
    <t>19BG2105-1</t>
  </si>
  <si>
    <t>5 CTN,357 PCS</t>
  </si>
  <si>
    <t>4 CTN,107 PCS</t>
  </si>
  <si>
    <t>19BG0704-2</t>
  </si>
  <si>
    <t>19BG0904-2</t>
  </si>
  <si>
    <t>19BG1204-2</t>
  </si>
  <si>
    <t>19BG0106-2</t>
  </si>
  <si>
    <t>19BG1203-1</t>
  </si>
  <si>
    <t>19BG1302-2</t>
  </si>
  <si>
    <t>19BG1503-2</t>
  </si>
  <si>
    <t>19BG1602-1</t>
  </si>
  <si>
    <t>19BG1701-1</t>
  </si>
  <si>
    <t>19BG1902-2</t>
  </si>
  <si>
    <t>19BG2301-2</t>
  </si>
  <si>
    <t>19BG1600-2</t>
  </si>
  <si>
    <t>19BG2502-2</t>
  </si>
  <si>
    <t>19BH4400-1</t>
  </si>
  <si>
    <t>19BL2700-2</t>
  </si>
  <si>
    <t>19BK1800-2</t>
  </si>
  <si>
    <t>19BG0700-2</t>
  </si>
  <si>
    <t>19BG0403-1</t>
  </si>
  <si>
    <t>25 PCS</t>
  </si>
  <si>
    <t>19BG0302-1</t>
  </si>
  <si>
    <t>19BG0505-1</t>
  </si>
  <si>
    <t>191467 (GITEX SAMPLE)</t>
  </si>
  <si>
    <t>182925 (GITEX SAMPLE)</t>
  </si>
  <si>
    <t>19BG0301-2</t>
  </si>
  <si>
    <t>191455 (GITEX SAMPLE)</t>
  </si>
  <si>
    <t>19BG0502-2</t>
  </si>
  <si>
    <t>19BG0502-1</t>
  </si>
  <si>
    <t>19BH1100-1</t>
  </si>
  <si>
    <t>19BG1305-2</t>
  </si>
  <si>
    <t>186358 (GITEX SAMPLE)</t>
  </si>
  <si>
    <t>190604 (GITEX SAMPLE)</t>
  </si>
  <si>
    <t>1 CTN,40 PCS</t>
  </si>
  <si>
    <t>125 PCS/CTN</t>
  </si>
  <si>
    <t>1 CTN,5 PCS</t>
  </si>
  <si>
    <t>19BG2101-1</t>
  </si>
  <si>
    <t>19BG2602-1</t>
  </si>
  <si>
    <t>2 CTN,20 PCS</t>
  </si>
  <si>
    <t>142 PCS</t>
  </si>
  <si>
    <t>19BG0201-2</t>
  </si>
  <si>
    <t>3 PCS/CTN</t>
  </si>
  <si>
    <t>1 CTN,696 PCS</t>
  </si>
  <si>
    <t>19BG2801-1</t>
  </si>
  <si>
    <t>2 CTN,61 PCS</t>
  </si>
  <si>
    <t>19BG2701-2</t>
  </si>
  <si>
    <t>15 PCS</t>
  </si>
  <si>
    <t>21 CTN,7 PCS</t>
  </si>
  <si>
    <t>19BG3100-2</t>
  </si>
  <si>
    <t>19BG0202-1</t>
  </si>
  <si>
    <t>19BG0202-2</t>
  </si>
  <si>
    <t>500 PCS/CTN</t>
  </si>
  <si>
    <t>19BG1704-1</t>
  </si>
  <si>
    <t>2 CTN,77 PCS</t>
  </si>
  <si>
    <t>19BL1100-1</t>
  </si>
  <si>
    <t>19BG0602-2</t>
  </si>
  <si>
    <t>19BG0602-1</t>
  </si>
  <si>
    <t>22 CTN</t>
  </si>
  <si>
    <t>19BG1002-1</t>
  </si>
  <si>
    <t>19BG2204-1</t>
  </si>
  <si>
    <t>8 CTN,329 PCS</t>
  </si>
  <si>
    <t>2 CTN,70 PCS</t>
  </si>
  <si>
    <t>19BG0805-2</t>
  </si>
  <si>
    <t>19BG0606-1</t>
  </si>
  <si>
    <t>19BG0706-2</t>
  </si>
  <si>
    <t>19BG2601-1</t>
  </si>
  <si>
    <t>2 CTN,6 PCS</t>
  </si>
  <si>
    <t>19BG1202-2</t>
  </si>
  <si>
    <t>19BG1201-2</t>
  </si>
  <si>
    <t>19BG1303-1</t>
  </si>
  <si>
    <t>19BG1502-1</t>
  </si>
  <si>
    <t>19BG1501-2</t>
  </si>
  <si>
    <t>32 CTN</t>
  </si>
  <si>
    <t>19BG1703-1</t>
  </si>
  <si>
    <t>19BG1603-2</t>
  </si>
  <si>
    <t>19BG1701-2</t>
  </si>
  <si>
    <t>33 CTN,36 PCS</t>
  </si>
  <si>
    <t>19BG2500-1</t>
  </si>
  <si>
    <t>19BG1904-2</t>
  </si>
  <si>
    <t>19BG2002-1</t>
  </si>
  <si>
    <t>19BG2001-2</t>
  </si>
  <si>
    <t>39 DRM</t>
  </si>
  <si>
    <t>19BG4200-2</t>
  </si>
  <si>
    <t>19BG4100-1</t>
  </si>
  <si>
    <t>19BG3600-1</t>
  </si>
  <si>
    <t>19BH4400-2</t>
  </si>
  <si>
    <t>19BK1600-1</t>
  </si>
  <si>
    <t>19BM2800-1</t>
  </si>
  <si>
    <t>19BG0404-2</t>
  </si>
  <si>
    <t>7 CTN</t>
  </si>
  <si>
    <t>3 CTN,200 PCS</t>
  </si>
  <si>
    <t>19BG0403-2</t>
  </si>
  <si>
    <t>19BG0503-2</t>
  </si>
  <si>
    <t>190071 (GITEX SAMPLE)</t>
  </si>
  <si>
    <t>19BG0300-2</t>
  </si>
  <si>
    <t>25 PCS/CTN</t>
  </si>
  <si>
    <t>22 CTN,3 PCS</t>
  </si>
  <si>
    <t>4 CTN,141 PCS</t>
  </si>
  <si>
    <t>19BG2100-1</t>
  </si>
  <si>
    <t>19BG2702-2</t>
  </si>
  <si>
    <t>19BG0102-2</t>
  </si>
  <si>
    <t>19BL1200-1</t>
  </si>
  <si>
    <t>19BG0101-1</t>
  </si>
  <si>
    <t>19BG3100-1</t>
  </si>
  <si>
    <t>19BG4000-2</t>
  </si>
  <si>
    <t>19BG0204-1</t>
  </si>
  <si>
    <t>19BG1804-1</t>
  </si>
  <si>
    <t>19BG0501-2</t>
  </si>
  <si>
    <t>19BH1500-2</t>
  </si>
  <si>
    <t>16 CTN,1 PCS</t>
  </si>
  <si>
    <t>58 CTN,9 PCS</t>
  </si>
  <si>
    <t>5 CTN,302 MTR</t>
  </si>
  <si>
    <t>19BK0200-2</t>
  </si>
  <si>
    <t>1 CTN,700 PCS</t>
  </si>
  <si>
    <t>19BG0802-1</t>
  </si>
  <si>
    <t>27 CTN</t>
  </si>
  <si>
    <t>19BG1103-1</t>
  </si>
  <si>
    <t>19BG1101-1</t>
  </si>
  <si>
    <t>15 DRM,239 MTR</t>
  </si>
  <si>
    <t>1 DRM,460 MTR</t>
  </si>
  <si>
    <t>35 CTN,7 PCS</t>
  </si>
  <si>
    <t>19BG0200-2</t>
  </si>
  <si>
    <t>19BG0305-2</t>
  </si>
  <si>
    <t>19BG0306-2</t>
  </si>
  <si>
    <t>19BG0706-1</t>
  </si>
  <si>
    <t>19BG1502-2</t>
  </si>
  <si>
    <t>19BG1601-2</t>
  </si>
  <si>
    <t>19BG1702-1</t>
  </si>
  <si>
    <t>19BG2500-2</t>
  </si>
  <si>
    <t>19BG2001-1</t>
  </si>
  <si>
    <t>19BH0400-1</t>
  </si>
  <si>
    <t>19BG4100-2</t>
  </si>
  <si>
    <t>19BG4700-2</t>
  </si>
  <si>
    <t>19BH5000-2</t>
  </si>
  <si>
    <t>19BG2401-2</t>
  </si>
  <si>
    <t>19BG2403-1</t>
  </si>
  <si>
    <t>499 MTR</t>
  </si>
  <si>
    <t>186590 (GITEX SAMPLE)</t>
  </si>
  <si>
    <t>19BG0405-1</t>
  </si>
  <si>
    <t>177400 (GITEX SAMPLE)</t>
  </si>
  <si>
    <t>182924 (GITEX SAMPLE)</t>
  </si>
  <si>
    <t>191453 (GITEX SAMPLE)</t>
  </si>
  <si>
    <t>194258 (GITEX SAMPLE)</t>
  </si>
  <si>
    <t>181113 (GITEX SAMPLE)</t>
  </si>
  <si>
    <t>19BG0504-1</t>
  </si>
  <si>
    <t>19BG1300-1</t>
  </si>
  <si>
    <t>19BH0300-1</t>
  </si>
  <si>
    <t>191235 (GITEX SAMPLE)</t>
  </si>
  <si>
    <t>190203 (GITEX SAMPLE)</t>
  </si>
  <si>
    <t>190602 (GITEX SAMPLE)</t>
  </si>
  <si>
    <t>193433 (GITEX SAMPLE)</t>
  </si>
  <si>
    <t>1 CTN,20 PCS</t>
  </si>
  <si>
    <t>30 PCS/CTN</t>
  </si>
  <si>
    <t>250 PCS/CTN</t>
  </si>
  <si>
    <t>6 CTN</t>
  </si>
  <si>
    <t>19BG1000-1</t>
  </si>
  <si>
    <t>19BG2200-2</t>
  </si>
  <si>
    <t>19BG2300-1</t>
  </si>
  <si>
    <t>19BG1500-2</t>
  </si>
  <si>
    <t>19BG4001-2</t>
  </si>
  <si>
    <t>7 CTN,194 PCS</t>
  </si>
  <si>
    <t>19BG2801-2</t>
  </si>
  <si>
    <t>19BG1705-2</t>
  </si>
  <si>
    <t>19BG1803-2</t>
  </si>
  <si>
    <t>19BG1605-1</t>
  </si>
  <si>
    <t>69 CTN,4 PCS</t>
  </si>
  <si>
    <t>19BG0304-2</t>
  </si>
  <si>
    <t>19BK0700-2</t>
  </si>
  <si>
    <t>19BG2003-1</t>
  </si>
  <si>
    <t>19BG0801-2</t>
  </si>
  <si>
    <t>19BG0603-2</t>
  </si>
  <si>
    <t>19BG1102-1</t>
  </si>
  <si>
    <t>19BG1003-1</t>
  </si>
  <si>
    <t>3 CTN,110 PCS</t>
  </si>
  <si>
    <t>11 CTN,106 PCS</t>
  </si>
  <si>
    <t>3 CTN,796 PCS</t>
  </si>
  <si>
    <t>19BG2106-2</t>
  </si>
  <si>
    <t>1 CTN,200 PCS</t>
  </si>
  <si>
    <t>19BG2103-1</t>
  </si>
  <si>
    <t>485 MTR</t>
  </si>
  <si>
    <t>19BG1004-2</t>
  </si>
  <si>
    <t>191454(SAMPLE)</t>
  </si>
  <si>
    <t>19BG0406-2</t>
  </si>
  <si>
    <t>19BG0506-2</t>
  </si>
  <si>
    <t>19BG0406-1</t>
  </si>
  <si>
    <t>14 CTN,14 PCS</t>
  </si>
  <si>
    <t>19BG1303-2</t>
  </si>
  <si>
    <t>60 CTN</t>
  </si>
  <si>
    <t>19BG1801-2</t>
  </si>
  <si>
    <t>19BG2102-1</t>
  </si>
  <si>
    <t>19BG4700-1</t>
  </si>
  <si>
    <t>19BH2300-1</t>
  </si>
  <si>
    <t>19BH3300-2</t>
  </si>
  <si>
    <t>19BH2200-1</t>
  </si>
  <si>
    <t>19BK1600-2</t>
  </si>
  <si>
    <t>19BG0100-2</t>
  </si>
  <si>
    <t>9 CTN</t>
  </si>
  <si>
    <t>190178 (GITEX SAMPLE)</t>
  </si>
  <si>
    <t>182784 (GITEX SAMPLE)</t>
  </si>
  <si>
    <t>19BG0401-2</t>
  </si>
  <si>
    <t>13 CTN,4 PCS</t>
  </si>
  <si>
    <t>191923 (GITEX SAMPLE)</t>
  </si>
  <si>
    <t>190169 (GITEX SAMPLE)</t>
  </si>
  <si>
    <t>5 PCS</t>
  </si>
  <si>
    <t>28 PCS/CTN</t>
  </si>
  <si>
    <t>19BG0900-1</t>
  </si>
  <si>
    <t>19BH0500-1</t>
  </si>
  <si>
    <t>2100 MTR/DRM</t>
  </si>
  <si>
    <t>19BG1705-1</t>
  </si>
  <si>
    <t>2 CTN,437 PCS</t>
  </si>
  <si>
    <t>6 CTN,118 PCS</t>
  </si>
  <si>
    <t>4 CTN,74 PCS</t>
  </si>
  <si>
    <t>19BM1200-1</t>
  </si>
  <si>
    <t>19BG0103-2</t>
  </si>
  <si>
    <t>19BG0103-1</t>
  </si>
  <si>
    <t>19BG0102-1</t>
  </si>
  <si>
    <t>19BG0104-1</t>
  </si>
  <si>
    <t>19BK0800-2</t>
  </si>
  <si>
    <t>19BG0601-1</t>
  </si>
  <si>
    <t>19BG0801-1</t>
  </si>
  <si>
    <t>19BG0703-2</t>
  </si>
  <si>
    <t>19BG1103-2</t>
  </si>
  <si>
    <t>19BG1001-2</t>
  </si>
  <si>
    <t>16 CTN,140 PCS</t>
  </si>
  <si>
    <t>143 PCS</t>
  </si>
  <si>
    <t>3 CTN,311 PCS</t>
  </si>
  <si>
    <t>48 PCS</t>
  </si>
  <si>
    <t>188 PCS</t>
  </si>
  <si>
    <t>19BG2103-2</t>
  </si>
  <si>
    <t>318 MTR</t>
  </si>
  <si>
    <t>19BG0604-2</t>
  </si>
  <si>
    <t>19BG0804-2</t>
  </si>
  <si>
    <t>19BG0804-1</t>
  </si>
  <si>
    <t>19 DRM</t>
  </si>
  <si>
    <t>19BG1104-2</t>
  </si>
  <si>
    <t>19BG1204-1</t>
  </si>
  <si>
    <t>19BG0506-1</t>
  </si>
  <si>
    <t>191454(SCRAP)</t>
  </si>
  <si>
    <t>19BG5002-1</t>
  </si>
  <si>
    <t>7 CTN,285 MTR</t>
  </si>
  <si>
    <t>19BH0200-1</t>
  </si>
  <si>
    <t>19BG3600-2</t>
  </si>
  <si>
    <t>19BG3900-1</t>
  </si>
  <si>
    <t>19BH3500-1</t>
  </si>
  <si>
    <t>19BG2302-2</t>
  </si>
  <si>
    <t>19BH3300-1</t>
  </si>
  <si>
    <t>19BG0203-1</t>
  </si>
  <si>
    <t>6 CTN,300 PCS</t>
  </si>
  <si>
    <t>192009 (GITEX SAMPLE)</t>
  </si>
  <si>
    <t>19BG0402-2</t>
  </si>
  <si>
    <t>187688 (GITEX SAMPLE)</t>
  </si>
  <si>
    <t>1000 MTR/CTN</t>
  </si>
  <si>
    <t>20 MTR</t>
  </si>
  <si>
    <t>182936 (GITEX SAMPLE)</t>
  </si>
  <si>
    <t>181112 (GITEX SAMPLE)</t>
  </si>
  <si>
    <t>19BG0503-1</t>
  </si>
  <si>
    <t>19BG0501-1</t>
  </si>
  <si>
    <t>190212 (GITEX SAMPLE)</t>
  </si>
  <si>
    <t>7 PCS</t>
  </si>
  <si>
    <t>54 PCS</t>
  </si>
  <si>
    <t>2 CTN,15 PCS</t>
  </si>
  <si>
    <t>Total Gross weight in Kgs</t>
  </si>
  <si>
    <t>LOGISTICS INFORMATION</t>
  </si>
  <si>
    <t>Total Volume (CBM)</t>
  </si>
  <si>
    <t>LOGISTICS INFORMATION (APROX.)</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</si>
</sst>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 #,##0.00_-;_-* &quot;-&quot;??_-;_-@_-"/>
    <numFmt numFmtId="164" formatCode="_(* #,##0.00_);_(* \(#,##0.00\);_(* &quot;-&quot;??_);_(@_)"/>
    <numFmt numFmtId="165" formatCode="#,###.\-\-"/>
    <numFmt numFmtId="166" formatCode="0.00;[Red]0.00"/>
    <numFmt numFmtId="167" formatCode="[$-409]mmmm\ d\,\ yyyy;@"/>
    <numFmt numFmtId="168" formatCode="[&lt;=9999999]###\-####;\(###\)\ ###\-####"/>
    <numFmt numFmtId="169" formatCode="0.0%"/>
  </numFmts>
  <fonts count="62" x14ac:knownFonts="1">
    <font>
      <sz val="11"/>
      <color theme="1"/>
      <name val="Arial"/>
      <family val="2"/>
    </font>
    <font>
      <sz val="11"/>
      <color theme="1"/>
      <name val="Arial"/>
      <family val="2"/>
    </font>
    <font>
      <sz val="12"/>
      <color theme="1"/>
      <name val="Calibri"/>
      <family val="2"/>
      <scheme val="minor"/>
    </font>
    <font>
      <sz val="12"/>
      <name val="Arial"/>
      <family val="2"/>
    </font>
    <font>
      <sz val="12"/>
      <name val="Calibri"/>
      <family val="2"/>
      <scheme val="minor"/>
    </font>
    <font>
      <sz val="12"/>
      <color rgb="FF000000"/>
      <name val="Calibri"/>
      <family val="2"/>
      <scheme val="minor"/>
    </font>
    <font>
      <sz val="11"/>
      <color theme="1"/>
      <name val="Calibri"/>
      <family val="2"/>
      <scheme val="minor"/>
    </font>
    <font>
      <sz val="12"/>
      <color indexed="8"/>
      <name val="Calibri"/>
      <family val="2"/>
      <scheme val="minor"/>
    </font>
    <font>
      <b/>
      <sz val="11"/>
      <color theme="0"/>
      <name val="Arial"/>
      <family val="2"/>
    </font>
    <font>
      <sz val="12"/>
      <color rgb="FFFF0000"/>
      <name val="Calibri"/>
      <family val="2"/>
      <scheme val="minor"/>
    </font>
    <font>
      <sz val="11"/>
      <color rgb="FFFF0000"/>
      <name val="Arial"/>
      <family val="2"/>
    </font>
    <font>
      <sz val="11"/>
      <color rgb="FF333333"/>
      <name val="Arial"/>
      <family val="2"/>
    </font>
    <font>
      <b/>
      <sz val="11"/>
      <color theme="1"/>
      <name val="Arial"/>
      <family val="2"/>
    </font>
    <font>
      <sz val="11"/>
      <color theme="1"/>
      <name val="Calibri"/>
      <family val="2"/>
    </font>
    <font>
      <b/>
      <sz val="11"/>
      <color theme="1"/>
      <name val="Calibri"/>
      <family val="2"/>
    </font>
    <font>
      <b/>
      <sz val="12"/>
      <color theme="1"/>
      <name val="Calibri"/>
      <family val="2"/>
    </font>
    <font>
      <sz val="12"/>
      <color theme="1"/>
      <name val="Calibri"/>
      <family val="2"/>
    </font>
    <font>
      <b/>
      <sz val="12"/>
      <color theme="0"/>
      <name val="Calibri"/>
      <family val="2"/>
    </font>
    <font>
      <b/>
      <sz val="12"/>
      <color theme="1"/>
      <name val="Calibri"/>
      <family val="2"/>
      <scheme val="minor"/>
    </font>
    <font>
      <b/>
      <sz val="22"/>
      <color rgb="FF9966FF"/>
      <name val="Edwardian Script ITC"/>
      <family val="4"/>
    </font>
    <font>
      <sz val="11"/>
      <name val="Calibri"/>
      <family val="2"/>
    </font>
    <font>
      <u/>
      <sz val="11"/>
      <color theme="10"/>
      <name val="Arial"/>
      <family val="2"/>
    </font>
    <font>
      <sz val="12"/>
      <name val="Calibri"/>
      <family val="2"/>
    </font>
    <font>
      <sz val="10"/>
      <color theme="1"/>
      <name val="Calibri"/>
      <family val="2"/>
    </font>
    <font>
      <sz val="11"/>
      <color rgb="FF000000"/>
      <name val="Arial"/>
      <family val="2"/>
    </font>
    <font>
      <b/>
      <sz val="14"/>
      <color theme="1"/>
      <name val="Arial"/>
      <family val="2"/>
    </font>
    <font>
      <b/>
      <sz val="12"/>
      <color theme="0"/>
      <name val="Arial"/>
      <family val="2"/>
    </font>
    <font>
      <sz val="11"/>
      <name val="Arial"/>
      <family val="2"/>
    </font>
    <font>
      <sz val="11"/>
      <color theme="0"/>
      <name val="Arial"/>
      <family val="2"/>
    </font>
    <font>
      <b/>
      <sz val="12"/>
      <color theme="0"/>
      <name val="Calibri"/>
      <family val="2"/>
      <scheme val="minor"/>
    </font>
    <font>
      <sz val="10"/>
      <name val="Calibri"/>
      <family val="2"/>
      <scheme val="minor"/>
    </font>
    <font>
      <sz val="11"/>
      <name val="Calibri"/>
      <family val="2"/>
      <scheme val="minor"/>
    </font>
    <font>
      <b/>
      <sz val="12"/>
      <color rgb="FF000000"/>
      <name val="Calibri"/>
      <family val="2"/>
    </font>
    <font>
      <sz val="12"/>
      <color rgb="FF000000"/>
      <name val="Calibri"/>
      <family val="2"/>
    </font>
    <font>
      <sz val="11"/>
      <color rgb="FF000000"/>
      <name val="Calibri"/>
      <family val="2"/>
    </font>
    <font>
      <b/>
      <sz val="11"/>
      <color rgb="FF000000"/>
      <name val="Calibri"/>
      <family val="2"/>
    </font>
    <font>
      <u/>
      <sz val="11"/>
      <color rgb="FF000000"/>
      <name val="Calibri"/>
      <family val="2"/>
    </font>
    <font>
      <b/>
      <sz val="11"/>
      <color theme="0"/>
      <name val="Calibri"/>
      <family val="2"/>
    </font>
    <font>
      <sz val="11"/>
      <color rgb="FFCC0000"/>
      <name val="Calibri"/>
      <family val="2"/>
      <scheme val="minor"/>
    </font>
    <font>
      <b/>
      <sz val="11"/>
      <color theme="1"/>
      <name val="Calibri"/>
      <family val="2"/>
      <scheme val="minor"/>
    </font>
    <font>
      <b/>
      <sz val="24"/>
      <color rgb="FFC00000"/>
      <name val="Calibri"/>
      <family val="2"/>
      <scheme val="minor"/>
    </font>
    <font>
      <sz val="11"/>
      <color theme="0"/>
      <name val="Calibri"/>
      <family val="2"/>
      <scheme val="minor"/>
    </font>
    <font>
      <b/>
      <sz val="24"/>
      <color rgb="FFCC3300"/>
      <name val="Calibri"/>
      <family val="2"/>
      <scheme val="minor"/>
    </font>
    <font>
      <b/>
      <sz val="24"/>
      <color theme="2" tint="-0.499984740745262"/>
      <name val="Calibri"/>
      <family val="2"/>
      <scheme val="minor"/>
    </font>
    <font>
      <sz val="11"/>
      <color theme="0" tint="-0.34998626667073579"/>
      <name val="Calibri"/>
      <family val="2"/>
      <scheme val="minor"/>
    </font>
    <font>
      <b/>
      <sz val="12"/>
      <color theme="0" tint="-0.34998626667073579"/>
      <name val="Calibri"/>
      <family val="2"/>
      <scheme val="minor"/>
    </font>
    <font>
      <b/>
      <sz val="11"/>
      <color theme="0" tint="-0.34998626667073579"/>
      <name val="Calibri"/>
      <family val="2"/>
      <scheme val="minor"/>
    </font>
    <font>
      <sz val="14"/>
      <color theme="1"/>
      <name val="Calibri"/>
      <family val="2"/>
      <scheme val="minor"/>
    </font>
    <font>
      <sz val="14"/>
      <color theme="1"/>
      <name val="Calibri"/>
      <family val="2"/>
    </font>
    <font>
      <b/>
      <sz val="16"/>
      <color theme="0"/>
      <name val="Calibri"/>
      <family val="2"/>
    </font>
    <font>
      <sz val="16"/>
      <color theme="1"/>
      <name val="Calibri"/>
      <family val="2"/>
      <scheme val="minor"/>
    </font>
    <font>
      <b/>
      <sz val="14"/>
      <color theme="1"/>
      <name val="Calibri"/>
      <family val="2"/>
    </font>
    <font>
      <sz val="14"/>
      <name val="Calibri"/>
      <family val="2"/>
    </font>
    <font>
      <u/>
      <sz val="14"/>
      <color theme="1"/>
      <name val="Calibri"/>
      <family val="2"/>
    </font>
    <font>
      <b/>
      <sz val="28"/>
      <color theme="2" tint="-0.499984740745262"/>
      <name val="Calibri"/>
      <family val="2"/>
      <scheme val="minor"/>
    </font>
    <font>
      <sz val="16"/>
      <color theme="0"/>
      <name val="Calibri"/>
      <family val="2"/>
      <scheme val="minor"/>
    </font>
    <font>
      <b/>
      <sz val="16"/>
      <color theme="1"/>
      <name val="Calibri"/>
      <family val="2"/>
    </font>
    <font>
      <sz val="14"/>
      <color theme="0"/>
      <name val="Calibri"/>
      <family val="2"/>
      <scheme val="minor"/>
    </font>
    <font>
      <sz val="10"/>
      <color theme="1"/>
      <name val="Calibri"/>
      <family val="2"/>
      <scheme val="minor"/>
    </font>
    <font>
      <sz val="16"/>
      <color theme="1"/>
      <name val="Calibri"/>
      <family val="2"/>
    </font>
    <font>
      <sz val="14"/>
      <name val="Calibri"/>
      <family val="2"/>
      <scheme val="minor"/>
    </font>
    <font>
      <sz val="14"/>
      <color theme="0"/>
      <name val="Calibri"/>
      <family val="2"/>
    </font>
  </fonts>
  <fills count="25">
    <fill>
      <patternFill patternType="none"/>
    </fill>
    <fill>
      <patternFill patternType="gray125"/>
    </fill>
    <fill>
      <patternFill patternType="solid">
        <fgColor rgb="FFC00000"/>
        <bgColor indexed="64"/>
      </patternFill>
    </fill>
    <fill>
      <patternFill patternType="solid">
        <fgColor rgb="FFFFFF00"/>
        <bgColor indexed="64"/>
      </patternFill>
    </fill>
    <fill>
      <patternFill patternType="solid">
        <fgColor theme="2" tint="-0.249977111117893"/>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009FB4"/>
        <bgColor indexed="64"/>
      </patternFill>
    </fill>
    <fill>
      <patternFill patternType="solid">
        <fgColor rgb="FFDF1417"/>
        <bgColor indexed="64"/>
      </patternFill>
    </fill>
    <fill>
      <patternFill patternType="solid">
        <fgColor theme="0"/>
        <bgColor indexed="64"/>
      </patternFill>
    </fill>
    <fill>
      <patternFill patternType="solid">
        <fgColor rgb="FFA5A5A5"/>
      </patternFill>
    </fill>
    <fill>
      <patternFill patternType="solid">
        <fgColor rgb="FFFF0000"/>
        <bgColor indexed="64"/>
      </patternFill>
    </fill>
    <fill>
      <patternFill patternType="solid">
        <fgColor rgb="FFFFC000"/>
        <bgColor indexed="64"/>
      </patternFill>
    </fill>
    <fill>
      <patternFill patternType="solid">
        <fgColor theme="2"/>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rgb="FFEAEAEA"/>
        <bgColor indexed="64"/>
      </patternFill>
    </fill>
    <fill>
      <patternFill patternType="solid">
        <fgColor rgb="FFE8E8E8"/>
        <bgColor indexed="64"/>
      </patternFill>
    </fill>
    <fill>
      <patternFill patternType="solid">
        <fgColor theme="3"/>
        <bgColor indexed="64"/>
      </patternFill>
    </fill>
    <fill>
      <patternFill patternType="solid">
        <fgColor theme="5" tint="0.59999389629810485"/>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dotted">
        <color auto="1"/>
      </left>
      <right/>
      <top/>
      <bottom/>
      <diagonal/>
    </border>
    <border>
      <left/>
      <right style="medium">
        <color indexed="64"/>
      </right>
      <top style="thin">
        <color indexed="64"/>
      </top>
      <bottom style="thin">
        <color indexed="64"/>
      </bottom>
      <diagonal/>
    </border>
    <border>
      <left/>
      <right style="dotted">
        <color auto="1"/>
      </right>
      <top/>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style="thin">
        <color indexed="64"/>
      </top>
      <bottom/>
      <diagonal/>
    </border>
    <border>
      <left style="hair">
        <color theme="1"/>
      </left>
      <right style="hair">
        <color theme="1"/>
      </right>
      <top style="hair">
        <color theme="1"/>
      </top>
      <bottom style="hair">
        <color theme="1"/>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double">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thin">
        <color indexed="64"/>
      </left>
      <right/>
      <top/>
      <bottom/>
      <diagonal/>
    </border>
    <border>
      <left style="thick">
        <color rgb="FF1D9CB5"/>
      </left>
      <right/>
      <top/>
      <bottom/>
      <diagonal/>
    </border>
    <border>
      <left/>
      <right style="thick">
        <color rgb="FF1D9CB5"/>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diagonal/>
    </border>
    <border>
      <left style="thin">
        <color theme="0" tint="-0.499984740745262"/>
      </left>
      <right/>
      <top style="thin">
        <color theme="0" tint="-0.499984740745262"/>
      </top>
      <bottom style="thin">
        <color indexed="64"/>
      </bottom>
      <diagonal/>
    </border>
    <border>
      <left/>
      <right style="thin">
        <color theme="0" tint="-0.499984740745262"/>
      </right>
      <top style="thin">
        <color theme="0" tint="-0.499984740745262"/>
      </top>
      <bottom style="thin">
        <color indexed="64"/>
      </bottom>
      <diagonal/>
    </border>
    <border>
      <left style="thin">
        <color theme="0" tint="-0.499984740745262"/>
      </left>
      <right/>
      <top style="thin">
        <color indexed="64"/>
      </top>
      <bottom/>
      <diagonal/>
    </border>
    <border>
      <left/>
      <right style="thin">
        <color theme="0" tint="-0.499984740745262"/>
      </right>
      <top style="thin">
        <color indexed="64"/>
      </top>
      <bottom/>
      <diagonal/>
    </border>
    <border>
      <left style="thin">
        <color theme="0" tint="-0.499984740745262"/>
      </left>
      <right/>
      <top/>
      <bottom style="hair">
        <color theme="1"/>
      </bottom>
      <diagonal/>
    </border>
    <border>
      <left style="thin">
        <color theme="0" tint="-0.499984740745262"/>
      </left>
      <right/>
      <top style="hair">
        <color theme="1"/>
      </top>
      <bottom style="hair">
        <color theme="1"/>
      </bottom>
      <diagonal/>
    </border>
    <border>
      <left style="thin">
        <color theme="0" tint="-0.499984740745262"/>
      </left>
      <right/>
      <top style="hair">
        <color theme="1"/>
      </top>
      <bottom style="thin">
        <color theme="0" tint="-0.499984740745262"/>
      </bottom>
      <diagonal/>
    </border>
    <border>
      <left style="thin">
        <color indexed="64"/>
      </left>
      <right style="thin">
        <color indexed="64"/>
      </right>
      <top style="thin">
        <color theme="0" tint="-0.499984740745262"/>
      </top>
      <bottom/>
      <diagonal/>
    </border>
    <border>
      <left style="thin">
        <color indexed="64"/>
      </left>
      <right style="thin">
        <color theme="0" tint="-0.499984740745262"/>
      </right>
      <top style="thin">
        <color theme="0" tint="-0.499984740745262"/>
      </top>
      <bottom/>
      <diagonal/>
    </border>
    <border>
      <left style="thin">
        <color theme="0" tint="-0.499984740745262"/>
      </left>
      <right style="hair">
        <color theme="1"/>
      </right>
      <top style="hair">
        <color theme="1"/>
      </top>
      <bottom style="hair">
        <color theme="1"/>
      </bottom>
      <diagonal/>
    </border>
    <border>
      <left style="hair">
        <color theme="1"/>
      </left>
      <right style="thin">
        <color theme="0" tint="-0.499984740745262"/>
      </right>
      <top style="hair">
        <color theme="1"/>
      </top>
      <bottom style="hair">
        <color theme="1"/>
      </bottom>
      <diagonal/>
    </border>
    <border>
      <left style="thin">
        <color theme="0" tint="-0.499984740745262"/>
      </left>
      <right style="hair">
        <color theme="1"/>
      </right>
      <top style="hair">
        <color theme="1"/>
      </top>
      <bottom style="thin">
        <color theme="0" tint="-0.499984740745262"/>
      </bottom>
      <diagonal/>
    </border>
    <border>
      <left style="hair">
        <color theme="1"/>
      </left>
      <right style="hair">
        <color theme="1"/>
      </right>
      <top style="hair">
        <color theme="1"/>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hair">
        <color theme="1"/>
      </bottom>
      <diagonal/>
    </border>
    <border>
      <left style="thin">
        <color theme="0" tint="-0.499984740745262"/>
      </left>
      <right/>
      <top style="thin">
        <color indexed="64"/>
      </top>
      <bottom style="hair">
        <color theme="1"/>
      </bottom>
      <diagonal/>
    </border>
    <border>
      <left/>
      <right/>
      <top style="thin">
        <color indexed="64"/>
      </top>
      <bottom style="hair">
        <color theme="1"/>
      </bottom>
      <diagonal/>
    </border>
    <border>
      <left/>
      <right style="thin">
        <color theme="0" tint="-0.499984740745262"/>
      </right>
      <top style="thin">
        <color indexed="64"/>
      </top>
      <bottom style="hair">
        <color theme="1"/>
      </bottom>
      <diagonal/>
    </border>
    <border>
      <left/>
      <right/>
      <top style="hair">
        <color theme="1"/>
      </top>
      <bottom style="hair">
        <color theme="1"/>
      </bottom>
      <diagonal/>
    </border>
    <border>
      <left/>
      <right style="thin">
        <color theme="0" tint="-0.499984740745262"/>
      </right>
      <top style="hair">
        <color theme="1"/>
      </top>
      <bottom style="hair">
        <color theme="1"/>
      </bottom>
      <diagonal/>
    </border>
    <border>
      <left/>
      <right style="hair">
        <color indexed="64"/>
      </right>
      <top style="hair">
        <color indexed="64"/>
      </top>
      <bottom style="hair">
        <color indexed="64"/>
      </bottom>
      <diagonal/>
    </border>
    <border>
      <left style="hair">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right style="hair">
        <color theme="0" tint="-0.499984740745262"/>
      </right>
      <top style="thin">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thin">
        <color indexed="64"/>
      </left>
      <right style="hair">
        <color theme="1"/>
      </right>
      <top style="hair">
        <color theme="1"/>
      </top>
      <bottom style="hair">
        <color theme="1"/>
      </bottom>
      <diagonal/>
    </border>
    <border>
      <left style="hair">
        <color theme="1"/>
      </left>
      <right style="thin">
        <color indexed="64"/>
      </right>
      <top style="hair">
        <color theme="1"/>
      </top>
      <bottom style="hair">
        <color theme="1"/>
      </bottom>
      <diagonal/>
    </border>
    <border>
      <left style="thin">
        <color indexed="64"/>
      </left>
      <right style="hair">
        <color theme="1"/>
      </right>
      <top style="hair">
        <color theme="1"/>
      </top>
      <bottom style="thin">
        <color indexed="64"/>
      </bottom>
      <diagonal/>
    </border>
    <border>
      <left style="hair">
        <color theme="1"/>
      </left>
      <right style="hair">
        <color theme="1"/>
      </right>
      <top style="hair">
        <color theme="1"/>
      </top>
      <bottom style="thin">
        <color indexed="64"/>
      </bottom>
      <diagonal/>
    </border>
    <border>
      <left style="hair">
        <color theme="1"/>
      </left>
      <right style="thin">
        <color indexed="64"/>
      </right>
      <top style="hair">
        <color theme="1"/>
      </top>
      <bottom style="thin">
        <color indexed="64"/>
      </bottom>
      <diagonal/>
    </border>
    <border>
      <left/>
      <right/>
      <top style="thin">
        <color indexed="64"/>
      </top>
      <bottom/>
      <diagonal/>
    </border>
    <border>
      <left style="thin">
        <color indexed="64"/>
      </left>
      <right style="hair">
        <color theme="1"/>
      </right>
      <top/>
      <bottom style="hair">
        <color theme="1"/>
      </bottom>
      <diagonal/>
    </border>
    <border>
      <left style="hair">
        <color theme="1"/>
      </left>
      <right style="hair">
        <color theme="1"/>
      </right>
      <top/>
      <bottom style="hair">
        <color theme="1"/>
      </bottom>
      <diagonal/>
    </border>
    <border>
      <left style="hair">
        <color theme="1"/>
      </left>
      <right style="thin">
        <color indexed="64"/>
      </right>
      <top/>
      <bottom style="hair">
        <color theme="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theme="1"/>
      </left>
      <right style="hair">
        <color theme="1"/>
      </right>
      <top style="hair">
        <color theme="1"/>
      </top>
      <bottom/>
      <diagonal/>
    </border>
    <border>
      <left style="hair">
        <color theme="1"/>
      </left>
      <right style="thin">
        <color theme="0" tint="-0.499984740745262"/>
      </right>
      <top style="hair">
        <color theme="1"/>
      </top>
      <bottom/>
      <diagonal/>
    </border>
    <border>
      <left style="hair">
        <color theme="1"/>
      </left>
      <right style="thin">
        <color theme="0" tint="-0.499984740745262"/>
      </right>
      <top style="hair">
        <color theme="1"/>
      </top>
      <bottom style="thin">
        <color theme="0" tint="-0.499984740745262"/>
      </bottom>
      <diagonal/>
    </border>
    <border>
      <left style="medium">
        <color rgb="FFDF1417"/>
      </left>
      <right/>
      <top style="medium">
        <color rgb="FFDF1417"/>
      </top>
      <bottom style="medium">
        <color rgb="FFDF1417"/>
      </bottom>
      <diagonal/>
    </border>
    <border>
      <left style="hair">
        <color theme="0" tint="-0.499984740745262"/>
      </left>
      <right style="hair">
        <color theme="0" tint="-0.499984740745262"/>
      </right>
      <top style="thin">
        <color theme="0" tint="-0.499984740745262"/>
      </top>
      <bottom/>
      <diagonal/>
    </border>
    <border>
      <left style="hair">
        <color theme="0" tint="-0.499984740745262"/>
      </left>
      <right style="thin">
        <color theme="0" tint="-0.499984740745262"/>
      </right>
      <top style="thin">
        <color theme="0" tint="-0.499984740745262"/>
      </top>
      <bottom/>
      <diagonal/>
    </border>
    <border>
      <left style="thin">
        <color theme="0" tint="-0.499984740745262"/>
      </left>
      <right style="hair">
        <color theme="0" tint="-0.499984740745262"/>
      </right>
      <top style="thin">
        <color theme="0" tint="-0.499984740745262"/>
      </top>
      <bottom/>
      <diagonal/>
    </border>
    <border>
      <left style="thin">
        <color indexed="64"/>
      </left>
      <right/>
      <top style="hair">
        <color theme="1"/>
      </top>
      <bottom style="hair">
        <color theme="1"/>
      </bottom>
      <diagonal/>
    </border>
    <border>
      <left/>
      <right style="hair">
        <color theme="1"/>
      </right>
      <top style="hair">
        <color theme="1"/>
      </top>
      <bottom style="hair">
        <color theme="1"/>
      </bottom>
      <diagonal/>
    </border>
    <border>
      <left style="thin">
        <color indexed="64"/>
      </left>
      <right/>
      <top style="hair">
        <color theme="1"/>
      </top>
      <bottom style="thin">
        <color indexed="64"/>
      </bottom>
      <diagonal/>
    </border>
    <border>
      <left/>
      <right/>
      <top style="hair">
        <color theme="1"/>
      </top>
      <bottom style="thin">
        <color indexed="64"/>
      </bottom>
      <diagonal/>
    </border>
    <border>
      <left/>
      <right style="hair">
        <color theme="1"/>
      </right>
      <top style="hair">
        <color theme="1"/>
      </top>
      <bottom style="thin">
        <color indexed="64"/>
      </bottom>
      <diagonal/>
    </border>
    <border>
      <left/>
      <right style="hair">
        <color theme="1"/>
      </right>
      <top style="thin">
        <color indexed="64"/>
      </top>
      <bottom style="hair">
        <color theme="1"/>
      </bottom>
      <diagonal/>
    </border>
    <border>
      <left/>
      <right/>
      <top style="thin">
        <color theme="0" tint="-0.499984740745262"/>
      </top>
      <bottom style="thin">
        <color indexed="64"/>
      </bottom>
      <diagonal/>
    </border>
    <border>
      <left/>
      <right/>
      <top style="hair">
        <color theme="1"/>
      </top>
      <bottom style="thin">
        <color theme="0" tint="-0.499984740745262"/>
      </bottom>
      <diagonal/>
    </border>
    <border>
      <left/>
      <right style="hair">
        <color theme="1"/>
      </right>
      <top style="hair">
        <color theme="1"/>
      </top>
      <bottom style="thin">
        <color theme="0" tint="-0.499984740745262"/>
      </bottom>
      <diagonal/>
    </border>
  </borders>
  <cellStyleXfs count="8">
    <xf numFmtId="0" fontId="0" fillId="0" borderId="0"/>
    <xf numFmtId="164" fontId="1" fillId="0" borderId="0" applyFont="0" applyFill="0" applyBorder="0" applyAlignment="0" applyProtection="0"/>
    <xf numFmtId="0" fontId="3" fillId="0" borderId="0"/>
    <xf numFmtId="0" fontId="6" fillId="0" borderId="0"/>
    <xf numFmtId="9" fontId="1" fillId="0" borderId="0" applyFont="0" applyFill="0" applyBorder="0" applyAlignment="0" applyProtection="0"/>
    <xf numFmtId="164" fontId="6" fillId="0" borderId="0" applyFont="0" applyFill="0" applyBorder="0" applyAlignment="0" applyProtection="0"/>
    <xf numFmtId="0" fontId="21" fillId="0" borderId="0" applyNumberFormat="0" applyFill="0" applyBorder="0" applyAlignment="0" applyProtection="0"/>
    <xf numFmtId="0" fontId="8" fillId="10" borderId="15" applyNumberFormat="0" applyAlignment="0" applyProtection="0"/>
  </cellStyleXfs>
  <cellXfs count="505">
    <xf numFmtId="0" fontId="0" fillId="0" borderId="0" xfId="0"/>
    <xf numFmtId="0" fontId="2" fillId="0" borderId="1" xfId="0" applyFont="1" applyFill="1" applyBorder="1" applyAlignment="1">
      <alignment horizontal="left" vertical="center"/>
    </xf>
    <xf numFmtId="165" fontId="4" fillId="0" borderId="1" xfId="1" applyNumberFormat="1" applyFont="1" applyFill="1" applyBorder="1" applyAlignment="1">
      <alignment horizontal="left" vertical="center"/>
    </xf>
    <xf numFmtId="0" fontId="4" fillId="0" borderId="1" xfId="3" applyNumberFormat="1" applyFont="1" applyFill="1" applyBorder="1" applyAlignment="1" applyProtection="1">
      <alignment horizontal="left" vertical="center"/>
      <protection hidden="1"/>
    </xf>
    <xf numFmtId="0" fontId="7" fillId="0" borderId="1" xfId="3" applyNumberFormat="1" applyFont="1" applyFill="1" applyBorder="1" applyAlignment="1" applyProtection="1">
      <alignment horizontal="left" vertical="center"/>
      <protection hidden="1"/>
    </xf>
    <xf numFmtId="0" fontId="0" fillId="0" borderId="1" xfId="0" applyBorder="1"/>
    <xf numFmtId="0" fontId="0" fillId="0" borderId="0" xfId="0" applyAlignment="1">
      <alignment horizontal="center"/>
    </xf>
    <xf numFmtId="2" fontId="4" fillId="0" borderId="1" xfId="1" applyNumberFormat="1" applyFont="1" applyFill="1" applyBorder="1" applyAlignment="1">
      <alignment horizontal="left" vertical="top" wrapText="1"/>
    </xf>
    <xf numFmtId="2" fontId="4" fillId="0" borderId="1" xfId="1" applyNumberFormat="1" applyFont="1" applyFill="1" applyBorder="1" applyAlignment="1">
      <alignment horizontal="left" vertical="top"/>
    </xf>
    <xf numFmtId="164" fontId="0" fillId="0" borderId="0" xfId="1" applyFont="1" applyAlignment="1">
      <alignment horizontal="center" vertical="center"/>
    </xf>
    <xf numFmtId="0" fontId="8" fillId="2" borderId="1" xfId="0" applyFont="1" applyFill="1" applyBorder="1" applyAlignment="1">
      <alignment horizontal="center" vertical="center"/>
    </xf>
    <xf numFmtId="9" fontId="8" fillId="2" borderId="1" xfId="4" applyFont="1" applyFill="1" applyBorder="1" applyAlignment="1">
      <alignment horizontal="center" vertical="center"/>
    </xf>
    <xf numFmtId="0" fontId="2" fillId="0" borderId="1" xfId="0" applyFont="1" applyFill="1" applyBorder="1" applyAlignment="1">
      <alignment horizontal="center" vertical="center"/>
    </xf>
    <xf numFmtId="0" fontId="7" fillId="0" borderId="1" xfId="3" applyNumberFormat="1" applyFont="1" applyFill="1" applyBorder="1" applyAlignment="1" applyProtection="1">
      <alignment horizontal="center" vertical="center"/>
      <protection hidden="1"/>
    </xf>
    <xf numFmtId="3" fontId="7" fillId="0" borderId="1" xfId="3" applyNumberFormat="1" applyFont="1" applyFill="1" applyBorder="1" applyAlignment="1" applyProtection="1">
      <alignment horizontal="center" vertical="center"/>
      <protection hidden="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Fill="1"/>
    <xf numFmtId="0" fontId="0" fillId="0" borderId="1" xfId="0" applyFont="1" applyFill="1" applyBorder="1"/>
    <xf numFmtId="164" fontId="0" fillId="5" borderId="1" xfId="1" applyFont="1" applyFill="1" applyBorder="1" applyAlignment="1">
      <alignment horizontal="center" vertical="center"/>
    </xf>
    <xf numFmtId="0" fontId="0" fillId="3" borderId="0" xfId="0" applyFill="1"/>
    <xf numFmtId="0" fontId="2" fillId="3" borderId="1" xfId="0" applyFont="1" applyFill="1" applyBorder="1" applyAlignment="1">
      <alignment horizontal="center" vertical="center"/>
    </xf>
    <xf numFmtId="0" fontId="2" fillId="3" borderId="1" xfId="0" applyFont="1" applyFill="1" applyBorder="1" applyAlignment="1">
      <alignment horizontal="left" vertical="center"/>
    </xf>
    <xf numFmtId="164" fontId="0" fillId="3" borderId="1" xfId="1" applyFont="1" applyFill="1" applyBorder="1" applyAlignment="1">
      <alignment horizontal="center" vertical="center"/>
    </xf>
    <xf numFmtId="0" fontId="10" fillId="0" borderId="0" xfId="0" applyFont="1"/>
    <xf numFmtId="2" fontId="2" fillId="0" borderId="1" xfId="1" applyNumberFormat="1" applyFont="1" applyFill="1" applyBorder="1" applyAlignment="1">
      <alignment horizontal="left" vertical="top" wrapText="1"/>
    </xf>
    <xf numFmtId="0" fontId="9" fillId="0" borderId="1" xfId="0" applyFont="1" applyFill="1" applyBorder="1" applyAlignment="1">
      <alignment horizontal="center" vertical="center"/>
    </xf>
    <xf numFmtId="0" fontId="9" fillId="0" borderId="1" xfId="0" applyFont="1" applyFill="1" applyBorder="1" applyAlignment="1">
      <alignment horizontal="left" vertical="center"/>
    </xf>
    <xf numFmtId="2" fontId="9" fillId="0" borderId="1" xfId="1" applyNumberFormat="1" applyFont="1" applyFill="1" applyBorder="1" applyAlignment="1">
      <alignment horizontal="left" vertical="top"/>
    </xf>
    <xf numFmtId="0" fontId="11" fillId="0" borderId="1" xfId="0" applyFont="1" applyBorder="1"/>
    <xf numFmtId="0" fontId="0" fillId="0" borderId="0" xfId="0" applyAlignment="1">
      <alignment horizontal="center"/>
    </xf>
    <xf numFmtId="0" fontId="2" fillId="6" borderId="1" xfId="0" applyFont="1" applyFill="1" applyBorder="1" applyAlignment="1">
      <alignment horizontal="center" vertical="center"/>
    </xf>
    <xf numFmtId="0" fontId="2" fillId="6" borderId="1" xfId="0" applyFont="1" applyFill="1" applyBorder="1" applyAlignment="1">
      <alignment horizontal="left" vertical="center"/>
    </xf>
    <xf numFmtId="0" fontId="10" fillId="0" borderId="0" xfId="0" applyFont="1" applyFill="1"/>
    <xf numFmtId="9" fontId="0" fillId="0" borderId="0" xfId="4" applyFont="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12" fillId="0" borderId="0" xfId="0" applyNumberFormat="1" applyFont="1" applyFill="1" applyAlignment="1">
      <alignment horizontal="center" vertical="center"/>
    </xf>
    <xf numFmtId="0" fontId="12" fillId="0" borderId="0" xfId="0" applyFont="1" applyFill="1" applyAlignment="1">
      <alignment horizontal="center" vertical="center"/>
    </xf>
    <xf numFmtId="164" fontId="12" fillId="0" borderId="0" xfId="1" applyFont="1" applyFill="1" applyAlignment="1">
      <alignment horizontal="center" vertical="center"/>
    </xf>
    <xf numFmtId="9" fontId="12" fillId="0" borderId="0" xfId="4" applyFont="1" applyFill="1" applyAlignment="1">
      <alignment horizontal="center" vertical="center"/>
    </xf>
    <xf numFmtId="9" fontId="0" fillId="0" borderId="1" xfId="4" applyFont="1" applyBorder="1" applyAlignment="1">
      <alignment horizontal="center" vertical="center"/>
    </xf>
    <xf numFmtId="0" fontId="0" fillId="0" borderId="0" xfId="0" applyAlignment="1" applyProtection="1">
      <alignment horizontal="center" vertical="center"/>
      <protection hidden="1"/>
    </xf>
    <xf numFmtId="0" fontId="0" fillId="0" borderId="0" xfId="0" applyFill="1" applyAlignment="1" applyProtection="1">
      <alignment horizontal="center" vertical="center"/>
      <protection hidden="1"/>
    </xf>
    <xf numFmtId="43" fontId="0" fillId="0" borderId="1" xfId="0" applyNumberFormat="1" applyBorder="1"/>
    <xf numFmtId="0" fontId="13" fillId="0" borderId="0" xfId="3" applyFont="1" applyAlignment="1" applyProtection="1">
      <alignment horizontal="center" vertical="center"/>
      <protection hidden="1"/>
    </xf>
    <xf numFmtId="0" fontId="6" fillId="0" borderId="0" xfId="3" applyAlignment="1" applyProtection="1">
      <alignment horizontal="center" vertical="center"/>
      <protection hidden="1"/>
    </xf>
    <xf numFmtId="0" fontId="2" fillId="0" borderId="0" xfId="3" applyFont="1" applyAlignment="1" applyProtection="1">
      <alignment horizontal="center" vertical="center"/>
      <protection hidden="1"/>
    </xf>
    <xf numFmtId="0" fontId="19" fillId="0" borderId="0" xfId="3" applyFont="1" applyBorder="1" applyAlignment="1" applyProtection="1">
      <alignment horizontal="center" vertical="center"/>
      <protection hidden="1"/>
    </xf>
    <xf numFmtId="0" fontId="13" fillId="0" borderId="0" xfId="3" applyFont="1" applyBorder="1" applyAlignment="1" applyProtection="1">
      <alignment horizontal="center" vertical="center"/>
      <protection hidden="1"/>
    </xf>
    <xf numFmtId="0" fontId="6" fillId="0" borderId="0" xfId="3" applyBorder="1" applyAlignment="1" applyProtection="1">
      <alignment horizontal="center" vertical="center"/>
      <protection hidden="1"/>
    </xf>
    <xf numFmtId="0" fontId="13" fillId="0" borderId="0" xfId="3" applyNumberFormat="1" applyFont="1" applyAlignment="1" applyProtection="1">
      <alignment horizontal="center" vertical="center"/>
      <protection hidden="1"/>
    </xf>
    <xf numFmtId="15" fontId="2" fillId="0" borderId="0" xfId="3" applyNumberFormat="1" applyFont="1" applyAlignment="1" applyProtection="1">
      <alignment horizontal="center" vertical="center"/>
      <protection hidden="1"/>
    </xf>
    <xf numFmtId="15" fontId="16" fillId="0" borderId="0" xfId="3" applyNumberFormat="1" applyFont="1" applyAlignment="1" applyProtection="1">
      <alignment horizontal="center" vertical="center"/>
      <protection hidden="1"/>
    </xf>
    <xf numFmtId="164" fontId="17" fillId="8" borderId="5" xfId="1" applyFont="1" applyFill="1" applyBorder="1" applyAlignment="1" applyProtection="1">
      <alignment horizontal="center" vertical="center"/>
      <protection hidden="1"/>
    </xf>
    <xf numFmtId="0" fontId="18" fillId="0" borderId="0" xfId="3" applyFont="1" applyAlignment="1" applyProtection="1">
      <alignment horizontal="center" vertical="center"/>
      <protection hidden="1"/>
    </xf>
    <xf numFmtId="0" fontId="18" fillId="0" borderId="0" xfId="3" applyNumberFormat="1" applyFont="1" applyAlignment="1" applyProtection="1">
      <alignment horizontal="center" vertical="center"/>
      <protection hidden="1"/>
    </xf>
    <xf numFmtId="0" fontId="4" fillId="0" borderId="0" xfId="3" applyFont="1" applyAlignment="1" applyProtection="1">
      <alignment horizontal="center" vertical="center" wrapText="1"/>
      <protection hidden="1"/>
    </xf>
    <xf numFmtId="0" fontId="22" fillId="0" borderId="0" xfId="3" applyFont="1" applyBorder="1" applyAlignment="1" applyProtection="1">
      <alignment horizontal="center" vertical="center" wrapText="1"/>
      <protection hidden="1"/>
    </xf>
    <xf numFmtId="0" fontId="20" fillId="0" borderId="0" xfId="3" applyFont="1" applyAlignment="1" applyProtection="1">
      <alignment horizontal="center" vertical="center" wrapText="1"/>
      <protection hidden="1"/>
    </xf>
    <xf numFmtId="0" fontId="20" fillId="0" borderId="0" xfId="3" applyFont="1" applyBorder="1" applyAlignment="1" applyProtection="1">
      <alignment horizontal="center" vertical="center" wrapText="1"/>
      <protection hidden="1"/>
    </xf>
    <xf numFmtId="0" fontId="16" fillId="0" borderId="0" xfId="3" applyFont="1" applyBorder="1" applyAlignment="1" applyProtection="1">
      <alignment horizontal="center" vertical="center"/>
      <protection hidden="1"/>
    </xf>
    <xf numFmtId="0" fontId="6" fillId="0" borderId="0" xfId="3" applyNumberFormat="1" applyAlignment="1" applyProtection="1">
      <alignment horizontal="center" vertical="center"/>
      <protection hidden="1"/>
    </xf>
    <xf numFmtId="0" fontId="6" fillId="0" borderId="0" xfId="3" applyNumberFormat="1" applyBorder="1" applyAlignment="1" applyProtection="1">
      <alignment horizontal="center" vertical="center"/>
      <protection hidden="1"/>
    </xf>
    <xf numFmtId="0" fontId="0" fillId="0" borderId="1" xfId="0" applyBorder="1" applyAlignment="1">
      <alignment horizontal="left" vertical="center"/>
    </xf>
    <xf numFmtId="0" fontId="0" fillId="0" borderId="1" xfId="0" applyFill="1" applyBorder="1"/>
    <xf numFmtId="0" fontId="0" fillId="4" borderId="1" xfId="0" applyFill="1" applyBorder="1" applyAlignment="1">
      <alignment horizontal="right"/>
    </xf>
    <xf numFmtId="0" fontId="2" fillId="3" borderId="1" xfId="0" applyNumberFormat="1" applyFont="1" applyFill="1" applyBorder="1" applyAlignment="1">
      <alignment horizontal="center" vertical="center"/>
    </xf>
    <xf numFmtId="0" fontId="0" fillId="0" borderId="1" xfId="0" applyNumberFormat="1" applyBorder="1" applyAlignment="1">
      <alignment horizontal="center"/>
    </xf>
    <xf numFmtId="0" fontId="2" fillId="0" borderId="1" xfId="0" applyNumberFormat="1" applyFont="1" applyFill="1" applyBorder="1" applyAlignment="1">
      <alignment horizontal="center" vertical="center"/>
    </xf>
    <xf numFmtId="0" fontId="5" fillId="0" borderId="1" xfId="0" applyNumberFormat="1" applyFont="1" applyFill="1" applyBorder="1" applyAlignment="1">
      <alignment horizontal="center" vertical="center"/>
    </xf>
    <xf numFmtId="0" fontId="4" fillId="0" borderId="1" xfId="2" applyNumberFormat="1" applyFont="1" applyFill="1" applyBorder="1" applyAlignment="1">
      <alignment horizontal="center" vertical="center"/>
    </xf>
    <xf numFmtId="0" fontId="2" fillId="6" borderId="1" xfId="0" applyNumberFormat="1" applyFont="1" applyFill="1" applyBorder="1" applyAlignment="1">
      <alignment horizontal="center" vertical="center"/>
    </xf>
    <xf numFmtId="0" fontId="0" fillId="0" borderId="1" xfId="0" applyNumberFormat="1" applyFont="1" applyFill="1" applyBorder="1" applyAlignment="1">
      <alignment horizontal="center"/>
    </xf>
    <xf numFmtId="0" fontId="0" fillId="0" borderId="1" xfId="1" applyNumberFormat="1" applyFont="1" applyFill="1" applyBorder="1" applyAlignment="1">
      <alignment horizontal="center" vertical="center"/>
    </xf>
    <xf numFmtId="0" fontId="0" fillId="0" borderId="1" xfId="0" applyNumberFormat="1" applyBorder="1" applyAlignment="1">
      <alignment horizontal="right"/>
    </xf>
    <xf numFmtId="0" fontId="0" fillId="0" borderId="1" xfId="0" applyNumberFormat="1" applyFill="1" applyBorder="1" applyAlignment="1">
      <alignment horizontal="right" vertical="center"/>
    </xf>
    <xf numFmtId="0" fontId="2" fillId="0" borderId="1" xfId="3" applyNumberFormat="1" applyFont="1" applyFill="1" applyBorder="1" applyAlignment="1">
      <alignment horizontal="center" vertical="center"/>
    </xf>
    <xf numFmtId="0" fontId="4" fillId="0" borderId="1" xfId="0" applyNumberFormat="1" applyFont="1" applyFill="1" applyBorder="1" applyAlignment="1">
      <alignment horizontal="center" vertical="top"/>
    </xf>
    <xf numFmtId="0" fontId="9" fillId="0" borderId="1" xfId="0" applyNumberFormat="1" applyFont="1" applyFill="1" applyBorder="1" applyAlignment="1">
      <alignment horizontal="center" vertical="top"/>
    </xf>
    <xf numFmtId="0" fontId="4" fillId="0" borderId="1" xfId="0" applyNumberFormat="1" applyFont="1" applyFill="1" applyBorder="1" applyAlignment="1">
      <alignment horizontal="center" vertical="top" wrapText="1"/>
    </xf>
    <xf numFmtId="0" fontId="9" fillId="0" borderId="1" xfId="0" applyNumberFormat="1" applyFont="1" applyFill="1" applyBorder="1" applyAlignment="1">
      <alignment horizontal="center" vertical="center"/>
    </xf>
    <xf numFmtId="0" fontId="4" fillId="0" borderId="1" xfId="1" applyNumberFormat="1" applyFont="1" applyFill="1" applyBorder="1" applyAlignment="1">
      <alignment horizontal="center" vertical="top"/>
    </xf>
    <xf numFmtId="0" fontId="0" fillId="0" borderId="0" xfId="0" applyNumberFormat="1" applyAlignment="1">
      <alignment horizontal="center" vertical="center"/>
    </xf>
    <xf numFmtId="0" fontId="8" fillId="2" borderId="1" xfId="0" applyNumberFormat="1" applyFont="1" applyFill="1" applyBorder="1" applyAlignment="1">
      <alignment horizontal="center" vertical="center"/>
    </xf>
    <xf numFmtId="0" fontId="0" fillId="0" borderId="0" xfId="0" applyNumberFormat="1" applyFill="1" applyAlignment="1">
      <alignment horizontal="center" vertical="center"/>
    </xf>
    <xf numFmtId="0" fontId="2" fillId="0" borderId="1" xfId="0" applyNumberFormat="1" applyFont="1" applyFill="1" applyBorder="1" applyAlignment="1">
      <alignment horizontal="center" vertical="top"/>
    </xf>
    <xf numFmtId="0" fontId="13" fillId="0" borderId="0" xfId="0" applyFont="1"/>
    <xf numFmtId="0" fontId="0" fillId="0" borderId="0" xfId="0" applyNumberFormat="1" applyAlignment="1" applyProtection="1">
      <alignment horizontal="center" vertical="center"/>
      <protection locked="0"/>
    </xf>
    <xf numFmtId="0" fontId="0" fillId="0" borderId="0" xfId="0" applyAlignment="1">
      <alignment horizontal="left" vertical="center"/>
    </xf>
    <xf numFmtId="164" fontId="2" fillId="0" borderId="0" xfId="1" applyFont="1" applyAlignment="1">
      <alignment horizontal="center" vertical="center"/>
    </xf>
    <xf numFmtId="10" fontId="25" fillId="0" borderId="0" xfId="4" applyNumberFormat="1" applyFont="1" applyAlignment="1" applyProtection="1">
      <alignment horizontal="center" vertical="center"/>
      <protection locked="0"/>
    </xf>
    <xf numFmtId="166" fontId="0" fillId="0" borderId="0" xfId="0" applyNumberFormat="1" applyAlignment="1">
      <alignment horizontal="center" vertical="center"/>
    </xf>
    <xf numFmtId="0" fontId="28" fillId="0" borderId="1" xfId="0" applyFont="1" applyBorder="1" applyAlignment="1">
      <alignment horizontal="center" vertical="center"/>
    </xf>
    <xf numFmtId="0" fontId="8" fillId="2" borderId="1" xfId="0" applyNumberFormat="1" applyFont="1" applyFill="1" applyBorder="1" applyAlignment="1" applyProtection="1">
      <alignment horizontal="center" vertical="center"/>
      <protection locked="0"/>
    </xf>
    <xf numFmtId="164" fontId="8" fillId="2" borderId="1" xfId="1" applyFont="1" applyFill="1" applyBorder="1" applyAlignment="1">
      <alignment horizontal="center" vertical="center"/>
    </xf>
    <xf numFmtId="0" fontId="8" fillId="2" borderId="1" xfId="0" applyFont="1" applyFill="1" applyBorder="1" applyAlignment="1" applyProtection="1">
      <alignment horizontal="center" vertical="center"/>
      <protection locked="0"/>
    </xf>
    <xf numFmtId="0" fontId="8" fillId="2" borderId="1" xfId="0" applyFont="1" applyFill="1" applyBorder="1" applyAlignment="1">
      <alignment horizontal="center" vertical="center" wrapText="1"/>
    </xf>
    <xf numFmtId="166" fontId="8" fillId="2" borderId="1" xfId="0" applyNumberFormat="1" applyFont="1" applyFill="1" applyBorder="1" applyAlignment="1">
      <alignment horizontal="center" vertical="center"/>
    </xf>
    <xf numFmtId="0" fontId="28" fillId="0" borderId="0" xfId="0" applyFont="1" applyAlignment="1">
      <alignment horizontal="center" vertical="center"/>
    </xf>
    <xf numFmtId="0" fontId="0" fillId="0" borderId="1" xfId="0" applyNumberFormat="1" applyBorder="1" applyAlignment="1">
      <alignment horizontal="center" vertical="center"/>
    </xf>
    <xf numFmtId="10" fontId="0" fillId="0" borderId="1" xfId="0" applyNumberFormat="1" applyBorder="1" applyAlignment="1" applyProtection="1">
      <alignment horizontal="center" vertical="center"/>
      <protection locked="0"/>
    </xf>
    <xf numFmtId="2" fontId="0" fillId="0" borderId="1" xfId="0" applyNumberFormat="1" applyFill="1" applyBorder="1" applyAlignment="1">
      <alignment horizontal="center" vertical="center"/>
    </xf>
    <xf numFmtId="0" fontId="0" fillId="0" borderId="1" xfId="0" applyFill="1" applyBorder="1" applyAlignment="1">
      <alignment horizontal="center" vertical="center"/>
    </xf>
    <xf numFmtId="166" fontId="0" fillId="0" borderId="1" xfId="0" applyNumberFormat="1" applyBorder="1" applyAlignment="1">
      <alignment horizontal="center" vertical="center"/>
    </xf>
    <xf numFmtId="0" fontId="0" fillId="11" borderId="1" xfId="0" applyFill="1" applyBorder="1" applyAlignment="1">
      <alignment horizontal="center" vertical="center"/>
    </xf>
    <xf numFmtId="10" fontId="0" fillId="0" borderId="1" xfId="0" applyNumberFormat="1" applyFill="1" applyBorder="1" applyAlignment="1" applyProtection="1">
      <alignment horizontal="center" vertical="center"/>
      <protection locked="0"/>
    </xf>
    <xf numFmtId="166" fontId="0" fillId="0" borderId="1" xfId="0" applyNumberFormat="1" applyFill="1" applyBorder="1" applyAlignment="1">
      <alignment horizontal="center" vertical="center"/>
    </xf>
    <xf numFmtId="0" fontId="0" fillId="12" borderId="1" xfId="0" applyFill="1" applyBorder="1" applyAlignment="1">
      <alignment horizontal="center" vertical="center"/>
    </xf>
    <xf numFmtId="0" fontId="2" fillId="12" borderId="1" xfId="3"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10" fontId="0" fillId="12" borderId="1" xfId="0" applyNumberFormat="1" applyFill="1" applyBorder="1" applyAlignment="1" applyProtection="1">
      <alignment horizontal="center" vertical="center"/>
      <protection locked="0"/>
    </xf>
    <xf numFmtId="2" fontId="0" fillId="12" borderId="1" xfId="0" applyNumberFormat="1" applyFill="1" applyBorder="1" applyAlignment="1">
      <alignment horizontal="center" vertical="center"/>
    </xf>
    <xf numFmtId="166" fontId="0" fillId="12" borderId="1" xfId="0" applyNumberFormat="1" applyFill="1" applyBorder="1" applyAlignment="1">
      <alignment horizontal="center" vertical="center"/>
    </xf>
    <xf numFmtId="2" fontId="0" fillId="0" borderId="1" xfId="0" applyNumberFormat="1" applyBorder="1" applyAlignment="1">
      <alignment horizontal="center" vertical="center"/>
    </xf>
    <xf numFmtId="0" fontId="0" fillId="13" borderId="0" xfId="0" applyFill="1" applyAlignment="1" applyProtection="1">
      <alignment horizontal="center" vertical="center"/>
      <protection hidden="1"/>
    </xf>
    <xf numFmtId="0" fontId="6" fillId="6" borderId="17" xfId="0" applyFont="1" applyFill="1" applyBorder="1" applyAlignment="1" applyProtection="1">
      <alignment horizontal="left" vertical="center" indent="1"/>
      <protection hidden="1"/>
    </xf>
    <xf numFmtId="0" fontId="6" fillId="6" borderId="17" xfId="0" applyFont="1" applyFill="1" applyBorder="1" applyAlignment="1" applyProtection="1">
      <alignment horizontal="center" vertical="center"/>
      <protection hidden="1"/>
    </xf>
    <xf numFmtId="0" fontId="6" fillId="13" borderId="17" xfId="0" applyFont="1" applyFill="1" applyBorder="1" applyAlignment="1" applyProtection="1">
      <alignment horizontal="left" vertical="center" indent="1"/>
      <protection hidden="1"/>
    </xf>
    <xf numFmtId="0" fontId="6" fillId="13" borderId="17" xfId="0" applyFont="1" applyFill="1" applyBorder="1" applyAlignment="1" applyProtection="1">
      <alignment horizontal="center" vertical="center"/>
      <protection hidden="1"/>
    </xf>
    <xf numFmtId="164" fontId="17" fillId="14" borderId="7" xfId="1" applyFont="1" applyFill="1" applyBorder="1" applyAlignment="1" applyProtection="1">
      <alignment horizontal="center" vertical="center"/>
      <protection hidden="1"/>
    </xf>
    <xf numFmtId="0" fontId="32" fillId="0" borderId="0" xfId="3" applyFont="1" applyFill="1" applyBorder="1" applyAlignment="1" applyProtection="1">
      <alignment horizontal="left" vertical="center"/>
      <protection hidden="1"/>
    </xf>
    <xf numFmtId="0" fontId="32" fillId="0" borderId="0" xfId="3" applyNumberFormat="1" applyFont="1" applyFill="1" applyBorder="1" applyAlignment="1" applyProtection="1">
      <alignment horizontal="left" vertical="center"/>
      <protection hidden="1"/>
    </xf>
    <xf numFmtId="0" fontId="33" fillId="0" borderId="0" xfId="3" applyFont="1" applyFill="1" applyBorder="1" applyAlignment="1" applyProtection="1">
      <alignment horizontal="left" vertical="center"/>
      <protection hidden="1"/>
    </xf>
    <xf numFmtId="0" fontId="33" fillId="0" borderId="0" xfId="3" applyFont="1" applyFill="1" applyBorder="1" applyAlignment="1" applyProtection="1">
      <alignment horizontal="center" vertical="center"/>
      <protection hidden="1"/>
    </xf>
    <xf numFmtId="0" fontId="34" fillId="0" borderId="0" xfId="3" applyFont="1" applyFill="1" applyBorder="1" applyAlignment="1" applyProtection="1">
      <alignment horizontal="left" vertical="center"/>
      <protection hidden="1"/>
    </xf>
    <xf numFmtId="0" fontId="35" fillId="0" borderId="0" xfId="3" applyFont="1" applyFill="1" applyBorder="1" applyAlignment="1" applyProtection="1">
      <alignment horizontal="left" vertical="center"/>
      <protection hidden="1"/>
    </xf>
    <xf numFmtId="0" fontId="33" fillId="0" borderId="4" xfId="3" applyFont="1" applyFill="1" applyBorder="1" applyAlignment="1" applyProtection="1">
      <alignment horizontal="center" vertical="center"/>
      <protection hidden="1"/>
    </xf>
    <xf numFmtId="0" fontId="32" fillId="0" borderId="4" xfId="3" applyFont="1" applyFill="1" applyBorder="1" applyAlignment="1" applyProtection="1">
      <alignment horizontal="right" vertical="center"/>
      <protection hidden="1"/>
    </xf>
    <xf numFmtId="0" fontId="34" fillId="0" borderId="0" xfId="3" applyFont="1" applyFill="1" applyBorder="1" applyAlignment="1" applyProtection="1">
      <alignment vertical="center"/>
      <protection hidden="1"/>
    </xf>
    <xf numFmtId="0" fontId="22" fillId="0" borderId="0" xfId="3" applyFont="1" applyFill="1" applyBorder="1" applyAlignment="1" applyProtection="1">
      <alignment horizontal="center" vertical="center" wrapText="1"/>
      <protection hidden="1"/>
    </xf>
    <xf numFmtId="0" fontId="6" fillId="0" borderId="0" xfId="3" applyFill="1" applyBorder="1" applyAlignment="1" applyProtection="1">
      <alignment horizontal="left" vertical="center"/>
      <protection hidden="1"/>
    </xf>
    <xf numFmtId="0" fontId="13" fillId="0" borderId="0" xfId="3" applyFont="1" applyFill="1" applyBorder="1" applyAlignment="1" applyProtection="1">
      <alignment horizontal="left" vertical="center"/>
      <protection hidden="1"/>
    </xf>
    <xf numFmtId="0" fontId="6" fillId="0" borderId="0" xfId="3" applyFill="1" applyBorder="1" applyAlignment="1" applyProtection="1">
      <alignment vertical="center"/>
      <protection hidden="1"/>
    </xf>
    <xf numFmtId="0" fontId="13" fillId="0" borderId="0" xfId="3" applyFont="1" applyFill="1" applyBorder="1" applyAlignment="1" applyProtection="1">
      <alignment horizontal="center" vertical="center"/>
      <protection hidden="1"/>
    </xf>
    <xf numFmtId="0" fontId="13" fillId="0" borderId="0" xfId="3" applyFont="1" applyFill="1" applyBorder="1" applyAlignment="1" applyProtection="1">
      <alignment vertical="center"/>
      <protection hidden="1"/>
    </xf>
    <xf numFmtId="0" fontId="6" fillId="0" borderId="0" xfId="3" applyAlignment="1" applyProtection="1">
      <alignment horizontal="left" vertical="center"/>
      <protection hidden="1"/>
    </xf>
    <xf numFmtId="0" fontId="6" fillId="0" borderId="0" xfId="3" applyAlignment="1" applyProtection="1">
      <alignment vertical="center"/>
      <protection hidden="1"/>
    </xf>
    <xf numFmtId="0" fontId="6" fillId="0" borderId="0" xfId="3" applyBorder="1" applyAlignment="1" applyProtection="1">
      <alignment vertical="center"/>
      <protection hidden="1"/>
    </xf>
    <xf numFmtId="0" fontId="18" fillId="16" borderId="18" xfId="3" applyFont="1" applyFill="1" applyBorder="1" applyAlignment="1">
      <alignment horizontal="center" vertical="center"/>
    </xf>
    <xf numFmtId="0" fontId="18" fillId="16" borderId="19" xfId="3" applyFont="1" applyFill="1" applyBorder="1" applyAlignment="1">
      <alignment horizontal="center" vertical="center"/>
    </xf>
    <xf numFmtId="0" fontId="0" fillId="0" borderId="0" xfId="0" applyProtection="1">
      <protection locked="0"/>
    </xf>
    <xf numFmtId="0" fontId="2" fillId="0" borderId="14" xfId="0" applyNumberFormat="1" applyFont="1" applyFill="1" applyBorder="1" applyAlignment="1" applyProtection="1">
      <alignment horizontal="left" vertical="center"/>
      <protection locked="0"/>
    </xf>
    <xf numFmtId="0" fontId="2" fillId="0" borderId="8" xfId="0" applyNumberFormat="1" applyFont="1" applyFill="1" applyBorder="1" applyAlignment="1" applyProtection="1">
      <alignment horizontal="left" vertical="center"/>
      <protection locked="0"/>
    </xf>
    <xf numFmtId="0" fontId="0" fillId="0" borderId="22" xfId="0" applyNumberFormat="1" applyBorder="1" applyAlignment="1">
      <alignment horizontal="left" vertical="center"/>
    </xf>
    <xf numFmtId="0" fontId="13" fillId="17" borderId="23" xfId="0" applyFont="1" applyFill="1" applyBorder="1" applyAlignment="1" applyProtection="1">
      <alignment horizontal="center" vertical="center"/>
      <protection locked="0"/>
    </xf>
    <xf numFmtId="0" fontId="6" fillId="0" borderId="10" xfId="3" applyFont="1" applyFill="1" applyBorder="1" applyAlignment="1">
      <alignment horizontal="center" vertical="center"/>
    </xf>
    <xf numFmtId="0" fontId="0" fillId="0" borderId="24" xfId="0" applyNumberFormat="1" applyBorder="1" applyAlignment="1">
      <alignment horizontal="left" vertical="center"/>
    </xf>
    <xf numFmtId="49" fontId="13" fillId="17" borderId="25" xfId="0" applyNumberFormat="1" applyFont="1" applyFill="1" applyBorder="1" applyAlignment="1" applyProtection="1">
      <alignment horizontal="center" vertical="center"/>
      <protection locked="0"/>
    </xf>
    <xf numFmtId="0" fontId="8" fillId="5" borderId="1" xfId="0" applyNumberFormat="1" applyFont="1" applyFill="1" applyBorder="1" applyAlignment="1">
      <alignment horizontal="center" vertical="center"/>
    </xf>
    <xf numFmtId="0" fontId="0" fillId="3" borderId="1" xfId="0" applyNumberFormat="1" applyFill="1" applyBorder="1" applyAlignment="1">
      <alignment horizontal="center" vertical="center"/>
    </xf>
    <xf numFmtId="0" fontId="0" fillId="3" borderId="0" xfId="0" applyNumberFormat="1" applyFill="1" applyAlignment="1">
      <alignment horizontal="center" vertical="center"/>
    </xf>
    <xf numFmtId="0" fontId="12" fillId="0" borderId="0" xfId="0" applyNumberFormat="1" applyFont="1" applyAlignment="1">
      <alignment horizontal="center" vertical="center"/>
    </xf>
    <xf numFmtId="0" fontId="26" fillId="18" borderId="0" xfId="0" applyNumberFormat="1" applyFont="1" applyFill="1" applyAlignment="1">
      <alignment horizontal="center" vertical="center"/>
    </xf>
    <xf numFmtId="0" fontId="26" fillId="18" borderId="1" xfId="0" applyNumberFormat="1" applyFont="1" applyFill="1" applyBorder="1" applyAlignment="1">
      <alignment horizontal="center" vertical="center"/>
    </xf>
    <xf numFmtId="0" fontId="12" fillId="5" borderId="0" xfId="0" applyNumberFormat="1" applyFont="1" applyFill="1" applyAlignment="1">
      <alignment horizontal="center" vertical="center"/>
    </xf>
    <xf numFmtId="0" fontId="12" fillId="5" borderId="1" xfId="0" applyNumberFormat="1" applyFont="1" applyFill="1" applyBorder="1" applyAlignment="1">
      <alignment horizontal="center" vertical="center"/>
    </xf>
    <xf numFmtId="0" fontId="12" fillId="5" borderId="1" xfId="0" quotePrefix="1" applyNumberFormat="1" applyFont="1" applyFill="1" applyBorder="1" applyAlignment="1">
      <alignment horizontal="center" vertical="center"/>
    </xf>
    <xf numFmtId="0" fontId="12" fillId="5" borderId="1" xfId="0" applyNumberFormat="1" applyFont="1" applyFill="1" applyBorder="1" applyAlignment="1">
      <alignment horizontal="right" vertical="center"/>
    </xf>
    <xf numFmtId="0" fontId="12" fillId="3" borderId="0" xfId="0" applyNumberFormat="1" applyFont="1" applyFill="1" applyAlignment="1">
      <alignment horizontal="center" vertical="center"/>
    </xf>
    <xf numFmtId="0" fontId="12" fillId="3" borderId="1" xfId="0" applyNumberFormat="1" applyFont="1" applyFill="1" applyBorder="1" applyAlignment="1">
      <alignment horizontal="center" vertical="center"/>
    </xf>
    <xf numFmtId="0" fontId="12" fillId="3" borderId="1" xfId="0" applyNumberFormat="1" applyFont="1" applyFill="1" applyBorder="1" applyAlignment="1">
      <alignment horizontal="right" vertical="center"/>
    </xf>
    <xf numFmtId="0" fontId="0" fillId="9" borderId="1" xfId="0" applyNumberFormat="1" applyFill="1" applyBorder="1" applyAlignment="1">
      <alignment horizontal="center" vertical="center"/>
    </xf>
    <xf numFmtId="0" fontId="0" fillId="0" borderId="1" xfId="0" applyNumberFormat="1" applyBorder="1" applyAlignment="1">
      <alignment horizontal="left" vertical="center"/>
    </xf>
    <xf numFmtId="0" fontId="10" fillId="3" borderId="1" xfId="0" applyNumberFormat="1" applyFont="1" applyFill="1" applyBorder="1" applyAlignment="1">
      <alignment horizontal="center" vertical="center"/>
    </xf>
    <xf numFmtId="0" fontId="0" fillId="0" borderId="16" xfId="0" applyNumberFormat="1" applyBorder="1" applyAlignment="1">
      <alignment horizontal="center" vertical="center"/>
    </xf>
    <xf numFmtId="0" fontId="0" fillId="0" borderId="26" xfId="0" applyNumberFormat="1" applyBorder="1" applyAlignment="1">
      <alignment horizontal="center" vertical="center"/>
    </xf>
    <xf numFmtId="0" fontId="0" fillId="0" borderId="0" xfId="0" applyNumberFormat="1" applyBorder="1" applyAlignment="1">
      <alignment horizontal="center" vertical="center"/>
    </xf>
    <xf numFmtId="49" fontId="4" fillId="0" borderId="1" xfId="0" applyNumberFormat="1" applyFont="1" applyFill="1" applyBorder="1" applyAlignment="1" applyProtection="1">
      <alignment horizontal="left" vertical="center"/>
      <protection locked="0"/>
    </xf>
    <xf numFmtId="0" fontId="27" fillId="0" borderId="1" xfId="0" applyNumberFormat="1" applyFont="1" applyFill="1" applyBorder="1" applyAlignment="1">
      <alignment horizontal="center" vertical="center"/>
    </xf>
    <xf numFmtId="49" fontId="4" fillId="0" borderId="1" xfId="3" applyNumberFormat="1" applyFont="1" applyFill="1" applyBorder="1" applyAlignment="1" applyProtection="1">
      <alignment horizontal="left" vertical="center"/>
      <protection locked="0"/>
    </xf>
    <xf numFmtId="0" fontId="6" fillId="19" borderId="27" xfId="0" applyFont="1" applyFill="1" applyBorder="1" applyAlignment="1">
      <alignment horizontal="left" vertical="center" indent="1"/>
    </xf>
    <xf numFmtId="1" fontId="38" fillId="19" borderId="28" xfId="1" applyNumberFormat="1" applyFont="1" applyFill="1" applyBorder="1" applyAlignment="1">
      <alignment horizontal="center" vertical="center"/>
    </xf>
    <xf numFmtId="0" fontId="2" fillId="0" borderId="1" xfId="0" applyNumberFormat="1" applyFont="1" applyFill="1" applyBorder="1" applyAlignment="1">
      <alignment horizontal="left"/>
    </xf>
    <xf numFmtId="0" fontId="6" fillId="20" borderId="27" xfId="0" applyFont="1" applyFill="1" applyBorder="1" applyAlignment="1">
      <alignment horizontal="left" vertical="center" indent="1"/>
    </xf>
    <xf numFmtId="1" fontId="38" fillId="20" borderId="28" xfId="1" applyNumberFormat="1" applyFont="1" applyFill="1" applyBorder="1" applyAlignment="1">
      <alignment horizontal="center" vertical="center"/>
    </xf>
    <xf numFmtId="0" fontId="0" fillId="0" borderId="1" xfId="0" applyBorder="1" applyAlignment="1">
      <alignment horizontal="left"/>
    </xf>
    <xf numFmtId="0" fontId="38" fillId="19" borderId="28" xfId="0" applyFont="1" applyFill="1" applyBorder="1" applyAlignment="1">
      <alignment horizontal="center" vertical="center"/>
    </xf>
    <xf numFmtId="49" fontId="9" fillId="0" borderId="1" xfId="0" applyNumberFormat="1" applyFont="1" applyFill="1" applyBorder="1" applyAlignment="1">
      <alignment horizontal="center" vertical="center"/>
    </xf>
    <xf numFmtId="0" fontId="13" fillId="0" borderId="1" xfId="0" applyFont="1" applyBorder="1"/>
    <xf numFmtId="1" fontId="13" fillId="0" borderId="1" xfId="1" applyNumberFormat="1" applyFont="1" applyBorder="1"/>
    <xf numFmtId="49" fontId="9" fillId="0" borderId="1" xfId="0" applyNumberFormat="1" applyFont="1" applyFill="1" applyBorder="1" applyAlignment="1">
      <alignment horizontal="center" vertical="top"/>
    </xf>
    <xf numFmtId="49" fontId="2" fillId="0" borderId="1" xfId="0" applyNumberFormat="1" applyFont="1" applyFill="1" applyBorder="1" applyAlignment="1">
      <alignment horizontal="center" vertical="center"/>
    </xf>
    <xf numFmtId="49" fontId="5"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top"/>
    </xf>
    <xf numFmtId="49" fontId="4" fillId="0" borderId="1" xfId="1" applyNumberFormat="1" applyFont="1" applyFill="1" applyBorder="1" applyAlignment="1">
      <alignment horizontal="center" vertical="top"/>
    </xf>
    <xf numFmtId="0" fontId="15" fillId="16" borderId="18" xfId="3" applyFont="1" applyFill="1" applyBorder="1" applyAlignment="1">
      <alignment horizontal="center" vertical="center"/>
    </xf>
    <xf numFmtId="0" fontId="15" fillId="16" borderId="19" xfId="3" applyFont="1" applyFill="1" applyBorder="1" applyAlignment="1">
      <alignment horizontal="center" vertical="center"/>
    </xf>
    <xf numFmtId="0" fontId="13" fillId="0" borderId="13" xfId="3" applyFont="1" applyFill="1" applyBorder="1" applyAlignment="1">
      <alignment horizontal="center" vertical="center"/>
    </xf>
    <xf numFmtId="0" fontId="16" fillId="0" borderId="14" xfId="0" applyNumberFormat="1" applyFont="1" applyFill="1" applyBorder="1" applyAlignment="1" applyProtection="1">
      <alignment horizontal="left" vertical="center"/>
      <protection locked="0"/>
    </xf>
    <xf numFmtId="0" fontId="13" fillId="0" borderId="10" xfId="3" applyFont="1" applyFill="1" applyBorder="1" applyAlignment="1">
      <alignment horizontal="center" vertical="center"/>
    </xf>
    <xf numFmtId="0" fontId="16" fillId="0" borderId="8" xfId="0" applyNumberFormat="1" applyFont="1" applyFill="1" applyBorder="1" applyAlignment="1" applyProtection="1">
      <alignment horizontal="left" vertical="center"/>
      <protection locked="0"/>
    </xf>
    <xf numFmtId="0" fontId="16" fillId="0" borderId="8" xfId="0" quotePrefix="1" applyFont="1" applyFill="1" applyBorder="1" applyAlignment="1" applyProtection="1">
      <alignment horizontal="left" vertical="center"/>
      <protection locked="0"/>
    </xf>
    <xf numFmtId="0" fontId="13" fillId="0" borderId="11" xfId="3" applyFont="1" applyFill="1" applyBorder="1" applyAlignment="1">
      <alignment horizontal="center" vertical="center"/>
    </xf>
    <xf numFmtId="49" fontId="16" fillId="0" borderId="12" xfId="0" applyNumberFormat="1" applyFont="1" applyFill="1" applyBorder="1" applyAlignment="1" applyProtection="1">
      <alignment horizontal="left" vertical="center"/>
      <protection locked="0"/>
    </xf>
    <xf numFmtId="0" fontId="0" fillId="0" borderId="0" xfId="0" quotePrefix="1"/>
    <xf numFmtId="0" fontId="0" fillId="3" borderId="0" xfId="0" applyFill="1" applyProtection="1">
      <protection hidden="1"/>
    </xf>
    <xf numFmtId="0" fontId="6" fillId="0" borderId="13" xfId="3" applyFont="1" applyFill="1" applyBorder="1" applyAlignment="1">
      <alignment horizontal="center" vertical="center"/>
    </xf>
    <xf numFmtId="0" fontId="6" fillId="0" borderId="11" xfId="3" applyFont="1" applyFill="1" applyBorder="1" applyAlignment="1">
      <alignment horizontal="center" vertical="center"/>
    </xf>
    <xf numFmtId="49" fontId="2" fillId="0" borderId="12" xfId="0" applyNumberFormat="1" applyFont="1" applyFill="1" applyBorder="1" applyAlignment="1" applyProtection="1">
      <alignment horizontal="left" vertical="center"/>
      <protection locked="0"/>
    </xf>
    <xf numFmtId="0" fontId="31" fillId="9" borderId="29" xfId="0" applyFont="1" applyFill="1" applyBorder="1" applyAlignment="1" applyProtection="1">
      <alignment horizontal="center" vertical="center"/>
      <protection locked="0"/>
    </xf>
    <xf numFmtId="0" fontId="30" fillId="9" borderId="29" xfId="7" applyFont="1" applyFill="1" applyBorder="1" applyAlignment="1" applyProtection="1">
      <alignment horizontal="center" vertical="center"/>
      <protection locked="0"/>
    </xf>
    <xf numFmtId="0" fontId="29" fillId="15" borderId="33" xfId="0" applyFont="1" applyFill="1" applyBorder="1" applyAlignment="1" applyProtection="1">
      <alignment horizontal="left" vertical="center" indent="1"/>
      <protection hidden="1"/>
    </xf>
    <xf numFmtId="0" fontId="6" fillId="6" borderId="35" xfId="0" applyFont="1" applyFill="1" applyBorder="1" applyAlignment="1" applyProtection="1">
      <alignment horizontal="left" vertical="center" indent="1"/>
      <protection hidden="1"/>
    </xf>
    <xf numFmtId="0" fontId="6" fillId="13" borderId="36" xfId="0" applyFont="1" applyFill="1" applyBorder="1" applyAlignment="1" applyProtection="1">
      <alignment horizontal="left" vertical="center" indent="1"/>
      <protection hidden="1"/>
    </xf>
    <xf numFmtId="0" fontId="6" fillId="6" borderId="36" xfId="0" applyFont="1" applyFill="1" applyBorder="1" applyAlignment="1" applyProtection="1">
      <alignment horizontal="left" vertical="center" indent="1"/>
      <protection hidden="1"/>
    </xf>
    <xf numFmtId="0" fontId="6" fillId="13" borderId="37" xfId="0" applyFont="1" applyFill="1" applyBorder="1" applyAlignment="1" applyProtection="1">
      <alignment horizontal="left" vertical="center" indent="1"/>
      <protection hidden="1"/>
    </xf>
    <xf numFmtId="0" fontId="6" fillId="6" borderId="40" xfId="0" applyFont="1" applyFill="1" applyBorder="1" applyAlignment="1" applyProtection="1">
      <alignment horizontal="center" vertical="center"/>
      <protection hidden="1"/>
    </xf>
    <xf numFmtId="0" fontId="6" fillId="13" borderId="40" xfId="0" applyFont="1" applyFill="1" applyBorder="1" applyAlignment="1" applyProtection="1">
      <alignment horizontal="center" vertical="center"/>
      <protection hidden="1"/>
    </xf>
    <xf numFmtId="0" fontId="6" fillId="6" borderId="42" xfId="0" applyFont="1" applyFill="1" applyBorder="1" applyAlignment="1" applyProtection="1">
      <alignment horizontal="center" vertical="center"/>
      <protection hidden="1"/>
    </xf>
    <xf numFmtId="0" fontId="6" fillId="6" borderId="43" xfId="0" applyFont="1" applyFill="1" applyBorder="1" applyAlignment="1" applyProtection="1">
      <alignment horizontal="left" vertical="center" indent="1"/>
      <protection hidden="1"/>
    </xf>
    <xf numFmtId="0" fontId="6" fillId="6" borderId="43" xfId="0" applyFont="1" applyFill="1" applyBorder="1" applyAlignment="1" applyProtection="1">
      <alignment horizontal="center" vertical="center"/>
      <protection hidden="1"/>
    </xf>
    <xf numFmtId="0" fontId="29" fillId="15" borderId="44" xfId="0" applyFont="1" applyFill="1" applyBorder="1" applyAlignment="1" applyProtection="1">
      <alignment horizontal="left" vertical="center" indent="1"/>
      <protection hidden="1"/>
    </xf>
    <xf numFmtId="0" fontId="29" fillId="15" borderId="45" xfId="0" applyFont="1" applyFill="1" applyBorder="1" applyAlignment="1" applyProtection="1">
      <alignment vertical="center"/>
      <protection hidden="1"/>
    </xf>
    <xf numFmtId="0" fontId="6" fillId="6" borderId="46" xfId="0" applyFont="1" applyFill="1" applyBorder="1" applyAlignment="1" applyProtection="1">
      <alignment horizontal="left" vertical="center" indent="1"/>
      <protection hidden="1"/>
    </xf>
    <xf numFmtId="0" fontId="6" fillId="6" borderId="37" xfId="0" applyFont="1" applyFill="1" applyBorder="1" applyAlignment="1" applyProtection="1">
      <alignment horizontal="left" vertical="center" indent="1"/>
      <protection hidden="1"/>
    </xf>
    <xf numFmtId="0" fontId="29" fillId="15" borderId="48" xfId="3" applyFont="1" applyFill="1" applyBorder="1" applyAlignment="1" applyProtection="1">
      <alignment vertical="center"/>
      <protection hidden="1"/>
    </xf>
    <xf numFmtId="0" fontId="29" fillId="15" borderId="49" xfId="3" applyFont="1" applyFill="1" applyBorder="1" applyAlignment="1" applyProtection="1">
      <alignment vertical="center"/>
      <protection hidden="1"/>
    </xf>
    <xf numFmtId="0" fontId="29" fillId="15" borderId="50" xfId="3" applyFont="1" applyFill="1" applyBorder="1" applyAlignment="1" applyProtection="1">
      <alignment vertical="center"/>
      <protection hidden="1"/>
    </xf>
    <xf numFmtId="10" fontId="12" fillId="0" borderId="1" xfId="0" applyNumberFormat="1" applyFont="1" applyBorder="1" applyAlignment="1">
      <alignment horizontal="center" vertical="center"/>
    </xf>
    <xf numFmtId="0" fontId="0" fillId="0" borderId="1" xfId="0" applyNumberFormat="1" applyBorder="1" applyAlignment="1">
      <alignment horizontal="center" vertical="center"/>
    </xf>
    <xf numFmtId="0" fontId="0" fillId="0" borderId="52" xfId="0" applyNumberFormat="1" applyBorder="1" applyAlignment="1">
      <alignment horizontal="left" vertical="center"/>
    </xf>
    <xf numFmtId="0" fontId="12" fillId="0" borderId="1" xfId="0" applyNumberFormat="1" applyFont="1" applyBorder="1" applyAlignment="1">
      <alignment horizontal="center" vertical="center"/>
    </xf>
    <xf numFmtId="0" fontId="6" fillId="6" borderId="54" xfId="0" applyFont="1" applyFill="1" applyBorder="1" applyAlignment="1" applyProtection="1">
      <alignment horizontal="center" vertical="center"/>
      <protection hidden="1"/>
    </xf>
    <xf numFmtId="0" fontId="6" fillId="6" borderId="55" xfId="0" applyFont="1" applyFill="1" applyBorder="1" applyAlignment="1" applyProtection="1">
      <alignment horizontal="center" vertical="center"/>
      <protection hidden="1"/>
    </xf>
    <xf numFmtId="0" fontId="6" fillId="13" borderId="54" xfId="0" applyFont="1" applyFill="1" applyBorder="1" applyAlignment="1" applyProtection="1">
      <alignment horizontal="center" vertical="center"/>
      <protection hidden="1"/>
    </xf>
    <xf numFmtId="0" fontId="6" fillId="13" borderId="55" xfId="0" applyFont="1" applyFill="1" applyBorder="1" applyAlignment="1" applyProtection="1">
      <alignment horizontal="center" vertical="center"/>
      <protection hidden="1"/>
    </xf>
    <xf numFmtId="0" fontId="6" fillId="13" borderId="55" xfId="0" applyFont="1" applyFill="1" applyBorder="1" applyAlignment="1" applyProtection="1">
      <alignment horizontal="left" vertical="center" indent="1"/>
      <protection hidden="1"/>
    </xf>
    <xf numFmtId="0" fontId="6" fillId="6" borderId="55" xfId="0" applyFont="1" applyFill="1" applyBorder="1" applyAlignment="1" applyProtection="1">
      <alignment horizontal="left" vertical="center" indent="1"/>
      <protection hidden="1"/>
    </xf>
    <xf numFmtId="164" fontId="6" fillId="13" borderId="55" xfId="1" applyFont="1" applyFill="1" applyBorder="1" applyAlignment="1" applyProtection="1">
      <alignment horizontal="center" vertical="center"/>
      <protection hidden="1"/>
    </xf>
    <xf numFmtId="164" fontId="6" fillId="6" borderId="55" xfId="1" applyFont="1" applyFill="1" applyBorder="1" applyAlignment="1" applyProtection="1">
      <alignment horizontal="center" vertical="center"/>
      <protection hidden="1"/>
    </xf>
    <xf numFmtId="0" fontId="6" fillId="13" borderId="0" xfId="0" applyFont="1" applyFill="1" applyAlignment="1" applyProtection="1">
      <alignment horizontal="center" vertical="center"/>
      <protection hidden="1"/>
    </xf>
    <xf numFmtId="0" fontId="6" fillId="13" borderId="0" xfId="0" applyFont="1" applyFill="1" applyAlignment="1" applyProtection="1">
      <alignment horizontal="left" vertical="center" indent="1"/>
      <protection hidden="1"/>
    </xf>
    <xf numFmtId="0" fontId="18" fillId="13" borderId="0" xfId="0" applyFont="1" applyFill="1" applyAlignment="1" applyProtection="1">
      <alignment horizontal="center" vertical="center"/>
      <protection hidden="1"/>
    </xf>
    <xf numFmtId="0" fontId="6" fillId="0" borderId="0" xfId="0" applyNumberFormat="1" applyFont="1" applyAlignment="1" applyProtection="1">
      <alignment horizontal="center" vertical="center"/>
      <protection hidden="1"/>
    </xf>
    <xf numFmtId="164" fontId="2" fillId="22" borderId="0" xfId="1" applyFont="1" applyFill="1" applyAlignment="1" applyProtection="1">
      <alignment horizontal="center" vertical="center"/>
      <protection hidden="1"/>
    </xf>
    <xf numFmtId="164" fontId="6" fillId="6" borderId="55" xfId="1" applyFont="1" applyFill="1" applyBorder="1" applyAlignment="1" applyProtection="1">
      <alignment horizontal="left" vertical="center" indent="1"/>
      <protection hidden="1"/>
    </xf>
    <xf numFmtId="164" fontId="6" fillId="13" borderId="55" xfId="1" applyFont="1" applyFill="1" applyBorder="1" applyAlignment="1" applyProtection="1">
      <alignment horizontal="left" vertical="center" indent="1"/>
      <protection hidden="1"/>
    </xf>
    <xf numFmtId="164" fontId="6" fillId="6" borderId="56" xfId="1" applyFont="1" applyFill="1" applyBorder="1" applyAlignment="1" applyProtection="1">
      <alignment horizontal="left" vertical="center" indent="1"/>
      <protection hidden="1"/>
    </xf>
    <xf numFmtId="164" fontId="6" fillId="13" borderId="56" xfId="1" applyFont="1" applyFill="1" applyBorder="1" applyAlignment="1" applyProtection="1">
      <alignment horizontal="left" vertical="center" indent="1"/>
      <protection hidden="1"/>
    </xf>
    <xf numFmtId="0" fontId="6" fillId="22" borderId="0" xfId="0" applyFont="1" applyFill="1" applyBorder="1" applyAlignment="1" applyProtection="1">
      <alignment horizontal="center" vertical="center"/>
      <protection hidden="1"/>
    </xf>
    <xf numFmtId="9" fontId="41" fillId="22" borderId="0" xfId="4" applyFont="1" applyFill="1" applyBorder="1" applyAlignment="1" applyProtection="1">
      <alignment horizontal="center" vertical="center"/>
      <protection hidden="1"/>
    </xf>
    <xf numFmtId="0" fontId="6" fillId="13" borderId="0" xfId="0" applyFont="1" applyFill="1" applyBorder="1" applyAlignment="1" applyProtection="1">
      <alignment horizontal="center" vertical="center"/>
      <protection hidden="1"/>
    </xf>
    <xf numFmtId="0" fontId="18" fillId="22" borderId="0" xfId="0" applyFont="1" applyFill="1" applyAlignment="1" applyProtection="1">
      <alignment horizontal="center" vertical="center"/>
      <protection hidden="1"/>
    </xf>
    <xf numFmtId="9" fontId="29" fillId="22" borderId="0" xfId="4" applyFont="1" applyFill="1" applyAlignment="1" applyProtection="1">
      <alignment horizontal="center" vertical="center"/>
      <protection hidden="1"/>
    </xf>
    <xf numFmtId="0" fontId="6" fillId="22" borderId="0" xfId="0" applyFont="1" applyFill="1" applyAlignment="1" applyProtection="1">
      <alignment horizontal="center" vertical="center"/>
      <protection hidden="1"/>
    </xf>
    <xf numFmtId="166" fontId="6" fillId="22" borderId="0" xfId="0" applyNumberFormat="1" applyFont="1" applyFill="1" applyAlignment="1" applyProtection="1">
      <alignment horizontal="center" vertical="center"/>
      <protection hidden="1"/>
    </xf>
    <xf numFmtId="9" fontId="41" fillId="22" borderId="0" xfId="4" applyFont="1" applyFill="1" applyAlignment="1" applyProtection="1">
      <alignment horizontal="center" vertical="center"/>
      <protection hidden="1"/>
    </xf>
    <xf numFmtId="0" fontId="6" fillId="22" borderId="57" xfId="0" applyFont="1" applyFill="1" applyBorder="1" applyAlignment="1" applyProtection="1">
      <alignment horizontal="center" vertical="center"/>
      <protection hidden="1"/>
    </xf>
    <xf numFmtId="0" fontId="6" fillId="22" borderId="58" xfId="0" applyFont="1" applyFill="1" applyBorder="1" applyAlignment="1" applyProtection="1">
      <alignment horizontal="center"/>
      <protection locked="0"/>
    </xf>
    <xf numFmtId="0" fontId="6" fillId="22" borderId="58" xfId="0" applyFont="1" applyFill="1" applyBorder="1" applyAlignment="1" applyProtection="1">
      <alignment horizontal="center" vertical="center"/>
      <protection hidden="1"/>
    </xf>
    <xf numFmtId="0" fontId="6" fillId="22" borderId="58" xfId="0" applyFont="1" applyFill="1" applyBorder="1" applyAlignment="1" applyProtection="1">
      <alignment horizontal="left" vertical="center" indent="1"/>
      <protection hidden="1"/>
    </xf>
    <xf numFmtId="164" fontId="6" fillId="22" borderId="58" xfId="1" applyFont="1" applyFill="1" applyBorder="1" applyAlignment="1" applyProtection="1">
      <alignment horizontal="center" vertical="center"/>
      <protection hidden="1"/>
    </xf>
    <xf numFmtId="0" fontId="6" fillId="22" borderId="0" xfId="0" applyNumberFormat="1" applyFont="1" applyFill="1" applyAlignment="1" applyProtection="1">
      <alignment horizontal="center" vertical="center"/>
      <protection hidden="1"/>
    </xf>
    <xf numFmtId="0" fontId="6" fillId="22" borderId="0" xfId="0" applyFont="1" applyFill="1" applyAlignment="1" applyProtection="1">
      <alignment horizontal="left" vertical="center" indent="1"/>
      <protection hidden="1"/>
    </xf>
    <xf numFmtId="164" fontId="6" fillId="22" borderId="0" xfId="1" applyFont="1" applyFill="1" applyAlignment="1" applyProtection="1">
      <alignment horizontal="center" vertical="center"/>
      <protection hidden="1"/>
    </xf>
    <xf numFmtId="9" fontId="6" fillId="22" borderId="0" xfId="4" applyFont="1" applyFill="1" applyAlignment="1" applyProtection="1">
      <alignment horizontal="center" vertical="center"/>
      <protection hidden="1"/>
    </xf>
    <xf numFmtId="164" fontId="6" fillId="22" borderId="0" xfId="1" applyNumberFormat="1" applyFont="1" applyFill="1" applyAlignment="1" applyProtection="1">
      <alignment horizontal="center" vertical="center"/>
      <protection hidden="1"/>
    </xf>
    <xf numFmtId="0" fontId="6" fillId="6" borderId="55" xfId="0" applyFont="1" applyFill="1" applyBorder="1" applyAlignment="1" applyProtection="1">
      <alignment horizontal="center" vertical="center"/>
      <protection locked="0"/>
    </xf>
    <xf numFmtId="0" fontId="6" fillId="13" borderId="55" xfId="0" applyFont="1" applyFill="1" applyBorder="1" applyAlignment="1" applyProtection="1">
      <alignment horizontal="center" vertical="center"/>
      <protection locked="0"/>
    </xf>
    <xf numFmtId="0" fontId="44" fillId="13" borderId="0" xfId="0" applyFont="1" applyFill="1" applyAlignment="1" applyProtection="1">
      <alignment horizontal="center" vertical="center"/>
      <protection hidden="1"/>
    </xf>
    <xf numFmtId="0" fontId="44" fillId="21" borderId="0" xfId="0" applyNumberFormat="1" applyFont="1" applyFill="1" applyBorder="1" applyAlignment="1" applyProtection="1">
      <alignment horizontal="center" vertical="center"/>
      <protection hidden="1"/>
    </xf>
    <xf numFmtId="0" fontId="44" fillId="13" borderId="0" xfId="0" applyFont="1" applyFill="1" applyAlignment="1" applyProtection="1">
      <alignment horizontal="center" vertical="center"/>
      <protection locked="0"/>
    </xf>
    <xf numFmtId="0" fontId="44" fillId="21" borderId="0" xfId="0" applyNumberFormat="1" applyFont="1" applyFill="1" applyBorder="1" applyAlignment="1" applyProtection="1">
      <alignment horizontal="center" vertical="center"/>
      <protection locked="0"/>
    </xf>
    <xf numFmtId="0" fontId="45" fillId="13" borderId="0" xfId="0" applyFont="1" applyFill="1" applyAlignment="1" applyProtection="1">
      <alignment horizontal="center" vertical="center"/>
      <protection hidden="1"/>
    </xf>
    <xf numFmtId="0" fontId="46" fillId="21" borderId="0" xfId="0" applyFont="1" applyFill="1" applyBorder="1" applyAlignment="1" applyProtection="1">
      <alignment horizontal="center" vertical="center"/>
      <protection locked="0"/>
    </xf>
    <xf numFmtId="0" fontId="46" fillId="21" borderId="0" xfId="0" applyFont="1" applyFill="1" applyBorder="1" applyAlignment="1" applyProtection="1">
      <alignment horizontal="left" vertical="center"/>
      <protection locked="0"/>
    </xf>
    <xf numFmtId="0" fontId="40" fillId="22" borderId="0" xfId="0" applyFont="1" applyFill="1" applyBorder="1" applyAlignment="1" applyProtection="1">
      <alignment vertical="top"/>
      <protection hidden="1"/>
    </xf>
    <xf numFmtId="0" fontId="43" fillId="22" borderId="0" xfId="0" applyFont="1" applyFill="1" applyBorder="1" applyAlignment="1" applyProtection="1">
      <alignment vertical="center"/>
      <protection hidden="1"/>
    </xf>
    <xf numFmtId="0" fontId="40" fillId="22" borderId="0" xfId="0" applyFont="1" applyFill="1" applyBorder="1" applyAlignment="1" applyProtection="1">
      <alignment vertical="center"/>
      <protection hidden="1"/>
    </xf>
    <xf numFmtId="0" fontId="18" fillId="0" borderId="72" xfId="3" applyFont="1" applyBorder="1" applyAlignment="1" applyProtection="1">
      <alignment horizontal="center" vertical="center"/>
      <protection hidden="1"/>
    </xf>
    <xf numFmtId="0" fontId="18" fillId="0" borderId="72" xfId="3" applyNumberFormat="1" applyFont="1" applyBorder="1" applyAlignment="1" applyProtection="1">
      <alignment horizontal="center" vertical="center"/>
      <protection hidden="1"/>
    </xf>
    <xf numFmtId="0" fontId="2" fillId="0" borderId="72" xfId="3" applyFont="1" applyBorder="1" applyAlignment="1" applyProtection="1">
      <alignment horizontal="center" vertical="center"/>
      <protection hidden="1"/>
    </xf>
    <xf numFmtId="0" fontId="13" fillId="0" borderId="0" xfId="3" applyFont="1" applyFill="1" applyAlignment="1" applyProtection="1">
      <alignment horizontal="center" vertical="center"/>
      <protection hidden="1"/>
    </xf>
    <xf numFmtId="0" fontId="14" fillId="0" borderId="0" xfId="3" applyNumberFormat="1" applyFont="1" applyFill="1" applyAlignment="1" applyProtection="1">
      <alignment horizontal="center" vertical="center"/>
      <protection hidden="1"/>
    </xf>
    <xf numFmtId="0" fontId="18" fillId="0" borderId="0" xfId="3" applyFont="1" applyBorder="1" applyAlignment="1" applyProtection="1">
      <alignment horizontal="center" vertical="center"/>
      <protection hidden="1"/>
    </xf>
    <xf numFmtId="0" fontId="18" fillId="0" borderId="0" xfId="3" applyNumberFormat="1" applyFont="1" applyBorder="1" applyAlignment="1" applyProtection="1">
      <alignment horizontal="center" vertical="center"/>
      <protection hidden="1"/>
    </xf>
    <xf numFmtId="0" fontId="2" fillId="0" borderId="0" xfId="3" applyFont="1" applyBorder="1" applyAlignment="1" applyProtection="1">
      <alignment horizontal="center" vertical="center"/>
      <protection hidden="1"/>
    </xf>
    <xf numFmtId="164" fontId="17" fillId="8" borderId="0" xfId="1" applyFont="1" applyFill="1" applyBorder="1" applyAlignment="1" applyProtection="1">
      <alignment horizontal="center" vertical="center"/>
      <protection hidden="1"/>
    </xf>
    <xf numFmtId="0" fontId="47" fillId="6" borderId="67" xfId="0" applyFont="1" applyFill="1" applyBorder="1" applyAlignment="1" applyProtection="1">
      <alignment horizontal="center" vertical="center"/>
      <protection hidden="1"/>
    </xf>
    <xf numFmtId="0" fontId="47" fillId="6" borderId="17" xfId="0" applyFont="1" applyFill="1" applyBorder="1" applyAlignment="1" applyProtection="1">
      <alignment horizontal="left" vertical="center" indent="1"/>
      <protection hidden="1"/>
    </xf>
    <xf numFmtId="2" fontId="47" fillId="6" borderId="17" xfId="0" applyNumberFormat="1" applyFont="1" applyFill="1" applyBorder="1" applyAlignment="1" applyProtection="1">
      <alignment horizontal="right" vertical="center" indent="1"/>
      <protection hidden="1"/>
    </xf>
    <xf numFmtId="0" fontId="47" fillId="6" borderId="17" xfId="0" applyFont="1" applyFill="1" applyBorder="1" applyAlignment="1" applyProtection="1">
      <alignment horizontal="center" vertical="center"/>
      <protection hidden="1"/>
    </xf>
    <xf numFmtId="164" fontId="48" fillId="0" borderId="5" xfId="1" applyFont="1" applyFill="1" applyBorder="1" applyAlignment="1" applyProtection="1">
      <alignment horizontal="center" vertical="center"/>
      <protection hidden="1"/>
    </xf>
    <xf numFmtId="0" fontId="47" fillId="0" borderId="0" xfId="3" applyFont="1" applyAlignment="1" applyProtection="1">
      <alignment horizontal="center" vertical="center"/>
      <protection hidden="1"/>
    </xf>
    <xf numFmtId="0" fontId="47" fillId="13" borderId="67" xfId="0" applyFont="1" applyFill="1" applyBorder="1" applyAlignment="1" applyProtection="1">
      <alignment horizontal="center" vertical="center"/>
      <protection hidden="1"/>
    </xf>
    <xf numFmtId="0" fontId="47" fillId="13" borderId="17" xfId="0" applyFont="1" applyFill="1" applyBorder="1" applyAlignment="1" applyProtection="1">
      <alignment horizontal="left" vertical="center" indent="1"/>
      <protection hidden="1"/>
    </xf>
    <xf numFmtId="2" fontId="47" fillId="13" borderId="17" xfId="0" applyNumberFormat="1" applyFont="1" applyFill="1" applyBorder="1" applyAlignment="1" applyProtection="1">
      <alignment horizontal="right" vertical="center" indent="1"/>
      <protection hidden="1"/>
    </xf>
    <xf numFmtId="0" fontId="47" fillId="13" borderId="17" xfId="0" applyFont="1" applyFill="1" applyBorder="1" applyAlignment="1" applyProtection="1">
      <alignment horizontal="center" vertical="center"/>
      <protection hidden="1"/>
    </xf>
    <xf numFmtId="0" fontId="47" fillId="13" borderId="69" xfId="0" applyFont="1" applyFill="1" applyBorder="1" applyAlignment="1" applyProtection="1">
      <alignment horizontal="center" vertical="center"/>
      <protection hidden="1"/>
    </xf>
    <xf numFmtId="0" fontId="47" fillId="13" borderId="70" xfId="0" applyFont="1" applyFill="1" applyBorder="1" applyAlignment="1" applyProtection="1">
      <alignment horizontal="left" vertical="center" indent="1"/>
      <protection hidden="1"/>
    </xf>
    <xf numFmtId="2" fontId="47" fillId="13" borderId="70" xfId="0" applyNumberFormat="1" applyFont="1" applyFill="1" applyBorder="1" applyAlignment="1" applyProtection="1">
      <alignment horizontal="right" vertical="center" indent="1"/>
      <protection hidden="1"/>
    </xf>
    <xf numFmtId="0" fontId="47" fillId="13" borderId="70" xfId="0" applyFont="1" applyFill="1" applyBorder="1" applyAlignment="1" applyProtection="1">
      <alignment horizontal="center" vertical="center"/>
      <protection hidden="1"/>
    </xf>
    <xf numFmtId="2" fontId="49" fillId="7" borderId="2" xfId="3" applyNumberFormat="1" applyFont="1" applyFill="1" applyBorder="1" applyAlignment="1" applyProtection="1">
      <alignment horizontal="center" vertical="center"/>
      <protection hidden="1"/>
    </xf>
    <xf numFmtId="0" fontId="50" fillId="0" borderId="0" xfId="3" applyFont="1" applyAlignment="1" applyProtection="1">
      <alignment horizontal="center" vertical="center"/>
      <protection hidden="1"/>
    </xf>
    <xf numFmtId="0" fontId="51" fillId="0" borderId="0" xfId="3" applyFont="1" applyAlignment="1" applyProtection="1">
      <alignment horizontal="left" vertical="center"/>
      <protection hidden="1"/>
    </xf>
    <xf numFmtId="0" fontId="48" fillId="0" borderId="0" xfId="3" applyFont="1" applyAlignment="1" applyProtection="1">
      <alignment horizontal="left" vertical="center"/>
      <protection hidden="1"/>
    </xf>
    <xf numFmtId="0" fontId="47" fillId="0" borderId="4" xfId="3" applyFont="1" applyBorder="1" applyAlignment="1" applyProtection="1">
      <alignment horizontal="center" vertical="center"/>
      <protection hidden="1"/>
    </xf>
    <xf numFmtId="0" fontId="51" fillId="0" borderId="4" xfId="3" applyFont="1" applyBorder="1" applyAlignment="1" applyProtection="1">
      <alignment horizontal="right" vertical="center"/>
      <protection hidden="1"/>
    </xf>
    <xf numFmtId="0" fontId="48" fillId="0" borderId="4" xfId="3" applyFont="1" applyBorder="1" applyAlignment="1" applyProtection="1">
      <alignment horizontal="center" vertical="center"/>
      <protection hidden="1"/>
    </xf>
    <xf numFmtId="0" fontId="48" fillId="0" borderId="0" xfId="3" applyFont="1" applyAlignment="1" applyProtection="1">
      <alignment horizontal="center" vertical="center"/>
      <protection hidden="1"/>
    </xf>
    <xf numFmtId="0" fontId="48" fillId="0" borderId="0" xfId="3" applyNumberFormat="1" applyFont="1" applyAlignment="1" applyProtection="1">
      <alignment horizontal="center" vertical="center"/>
      <protection hidden="1"/>
    </xf>
    <xf numFmtId="0" fontId="51" fillId="0" borderId="0" xfId="3" applyFont="1" applyAlignment="1" applyProtection="1">
      <alignment horizontal="center" vertical="center"/>
      <protection hidden="1"/>
    </xf>
    <xf numFmtId="0" fontId="51" fillId="0" borderId="0" xfId="3" applyNumberFormat="1" applyFont="1" applyAlignment="1" applyProtection="1">
      <alignment horizontal="center" vertical="center"/>
      <protection hidden="1"/>
    </xf>
    <xf numFmtId="15" fontId="48" fillId="0" borderId="0" xfId="3" applyNumberFormat="1" applyFont="1" applyAlignment="1" applyProtection="1">
      <alignment horizontal="center" vertical="center"/>
      <protection hidden="1"/>
    </xf>
    <xf numFmtId="0" fontId="47" fillId="6" borderId="73" xfId="0" applyFont="1" applyFill="1" applyBorder="1" applyAlignment="1" applyProtection="1">
      <alignment horizontal="center" vertical="center"/>
      <protection hidden="1"/>
    </xf>
    <xf numFmtId="0" fontId="47" fillId="6" borderId="74" xfId="0" applyFont="1" applyFill="1" applyBorder="1" applyAlignment="1" applyProtection="1">
      <alignment horizontal="left" vertical="center" indent="1"/>
      <protection hidden="1"/>
    </xf>
    <xf numFmtId="0" fontId="47" fillId="6" borderId="74" xfId="0" applyFont="1" applyFill="1" applyBorder="1" applyAlignment="1" applyProtection="1">
      <alignment horizontal="center" vertical="center"/>
      <protection hidden="1"/>
    </xf>
    <xf numFmtId="2" fontId="49" fillId="14" borderId="76" xfId="3" applyNumberFormat="1" applyFont="1" applyFill="1" applyBorder="1" applyAlignment="1" applyProtection="1">
      <alignment horizontal="center" vertical="center"/>
      <protection hidden="1"/>
    </xf>
    <xf numFmtId="2" fontId="49" fillId="14" borderId="3" xfId="3" applyNumberFormat="1" applyFont="1" applyFill="1" applyBorder="1" applyAlignment="1" applyProtection="1">
      <alignment horizontal="center" vertical="center"/>
      <protection hidden="1"/>
    </xf>
    <xf numFmtId="2" fontId="49" fillId="14" borderId="3" xfId="3" quotePrefix="1" applyNumberFormat="1" applyFont="1" applyFill="1" applyBorder="1" applyAlignment="1" applyProtection="1">
      <alignment horizontal="center" vertical="center"/>
      <protection hidden="1"/>
    </xf>
    <xf numFmtId="2" fontId="49" fillId="14" borderId="77" xfId="3" applyNumberFormat="1" applyFont="1" applyFill="1" applyBorder="1" applyAlignment="1" applyProtection="1">
      <alignment horizontal="center" vertical="center"/>
      <protection hidden="1"/>
    </xf>
    <xf numFmtId="0" fontId="32" fillId="0" borderId="0" xfId="3" applyNumberFormat="1" applyFont="1" applyFill="1" applyBorder="1" applyAlignment="1" applyProtection="1">
      <alignment horizontal="center" vertical="center"/>
      <protection hidden="1"/>
    </xf>
    <xf numFmtId="0" fontId="34" fillId="0" borderId="0" xfId="3" applyNumberFormat="1" applyFont="1" applyFill="1" applyBorder="1" applyAlignment="1" applyProtection="1">
      <alignment horizontal="center" vertical="center"/>
      <protection hidden="1"/>
    </xf>
    <xf numFmtId="0" fontId="35" fillId="0" borderId="0" xfId="3" applyNumberFormat="1" applyFont="1" applyFill="1" applyBorder="1" applyAlignment="1" applyProtection="1">
      <alignment horizontal="center" vertical="center"/>
      <protection hidden="1"/>
    </xf>
    <xf numFmtId="0" fontId="6" fillId="13" borderId="54" xfId="0" applyFont="1" applyFill="1" applyBorder="1" applyAlignment="1" applyProtection="1">
      <alignment horizontal="center" vertical="center"/>
      <protection locked="0"/>
    </xf>
    <xf numFmtId="0" fontId="6" fillId="6" borderId="54" xfId="0" applyFont="1" applyFill="1" applyBorder="1" applyAlignment="1" applyProtection="1">
      <alignment horizontal="center" vertical="center"/>
      <protection locked="0"/>
    </xf>
    <xf numFmtId="0" fontId="56" fillId="0" borderId="0" xfId="3" applyFont="1" applyAlignment="1" applyProtection="1">
      <alignment horizontal="left" vertical="center"/>
      <protection hidden="1"/>
    </xf>
    <xf numFmtId="164" fontId="49" fillId="14" borderId="77" xfId="1" applyFont="1" applyFill="1" applyBorder="1" applyAlignment="1" applyProtection="1">
      <alignment horizontal="center" vertical="center"/>
      <protection hidden="1"/>
    </xf>
    <xf numFmtId="164" fontId="47" fillId="6" borderId="74" xfId="1" applyFont="1" applyFill="1" applyBorder="1" applyAlignment="1" applyProtection="1">
      <alignment horizontal="right" vertical="center" indent="1"/>
      <protection hidden="1"/>
    </xf>
    <xf numFmtId="164" fontId="47" fillId="13" borderId="17" xfId="1" applyFont="1" applyFill="1" applyBorder="1" applyAlignment="1" applyProtection="1">
      <alignment horizontal="right" vertical="center" indent="1"/>
      <protection hidden="1"/>
    </xf>
    <xf numFmtId="164" fontId="47" fillId="6" borderId="17" xfId="1" applyFont="1" applyFill="1" applyBorder="1" applyAlignment="1" applyProtection="1">
      <alignment horizontal="right" vertical="center" indent="1"/>
      <protection hidden="1"/>
    </xf>
    <xf numFmtId="0" fontId="6" fillId="6" borderId="54" xfId="0" applyFont="1" applyFill="1" applyBorder="1" applyAlignment="1" applyProtection="1">
      <alignment horizontal="center" vertical="center"/>
      <protection locked="0" hidden="1"/>
    </xf>
    <xf numFmtId="0" fontId="6" fillId="13" borderId="54" xfId="0" applyFont="1" applyFill="1" applyBorder="1" applyAlignment="1" applyProtection="1">
      <alignment horizontal="center" vertical="center"/>
      <protection locked="0" hidden="1"/>
    </xf>
    <xf numFmtId="10" fontId="0" fillId="4" borderId="0" xfId="4" applyNumberFormat="1" applyFont="1" applyFill="1" applyAlignment="1">
      <alignment horizontal="left" vertical="center"/>
    </xf>
    <xf numFmtId="0" fontId="57" fillId="7" borderId="0" xfId="0" applyFont="1" applyFill="1" applyBorder="1" applyAlignment="1" applyProtection="1">
      <alignment horizontal="center" vertical="center"/>
      <protection locked="0" hidden="1"/>
    </xf>
    <xf numFmtId="3" fontId="58" fillId="9" borderId="29" xfId="0" applyNumberFormat="1" applyFont="1" applyFill="1" applyBorder="1" applyAlignment="1" applyProtection="1">
      <alignment horizontal="left" vertical="center"/>
      <protection locked="0"/>
    </xf>
    <xf numFmtId="4" fontId="6" fillId="6" borderId="17" xfId="0" applyNumberFormat="1" applyFont="1" applyFill="1" applyBorder="1" applyAlignment="1" applyProtection="1">
      <alignment horizontal="right" vertical="center" indent="1"/>
      <protection hidden="1"/>
    </xf>
    <xf numFmtId="4" fontId="6" fillId="13" borderId="17" xfId="0" applyNumberFormat="1" applyFont="1" applyFill="1" applyBorder="1" applyAlignment="1" applyProtection="1">
      <alignment horizontal="right" vertical="center" indent="1"/>
      <protection hidden="1"/>
    </xf>
    <xf numFmtId="4" fontId="29" fillId="15" borderId="50" xfId="3" applyNumberFormat="1" applyFont="1" applyFill="1" applyBorder="1" applyAlignment="1" applyProtection="1">
      <alignment vertical="center"/>
      <protection hidden="1"/>
    </xf>
    <xf numFmtId="4" fontId="6" fillId="6" borderId="41" xfId="0" applyNumberFormat="1" applyFont="1" applyFill="1" applyBorder="1" applyAlignment="1" applyProtection="1">
      <alignment horizontal="right" vertical="center" indent="1"/>
      <protection hidden="1"/>
    </xf>
    <xf numFmtId="4" fontId="6" fillId="13" borderId="41" xfId="0" applyNumberFormat="1" applyFont="1" applyFill="1" applyBorder="1" applyAlignment="1" applyProtection="1">
      <alignment horizontal="right" vertical="center" indent="1"/>
      <protection hidden="1"/>
    </xf>
    <xf numFmtId="4" fontId="29" fillId="15" borderId="51" xfId="3" applyNumberFormat="1" applyFont="1" applyFill="1" applyBorder="1" applyAlignment="1" applyProtection="1">
      <alignment vertical="center"/>
      <protection hidden="1"/>
    </xf>
    <xf numFmtId="3" fontId="6" fillId="6" borderId="17" xfId="1" applyNumberFormat="1" applyFont="1" applyFill="1" applyBorder="1" applyAlignment="1" applyProtection="1">
      <alignment horizontal="center" vertical="center"/>
      <protection hidden="1"/>
    </xf>
    <xf numFmtId="3" fontId="6" fillId="13" borderId="17" xfId="1" applyNumberFormat="1" applyFont="1" applyFill="1" applyBorder="1" applyAlignment="1" applyProtection="1">
      <alignment horizontal="center" vertical="center"/>
      <protection hidden="1"/>
    </xf>
    <xf numFmtId="3" fontId="29" fillId="15" borderId="50" xfId="3" applyNumberFormat="1" applyFont="1" applyFill="1" applyBorder="1" applyAlignment="1" applyProtection="1">
      <alignment vertical="center"/>
      <protection hidden="1"/>
    </xf>
    <xf numFmtId="3" fontId="0" fillId="0" borderId="1" xfId="1" applyNumberFormat="1" applyFont="1" applyFill="1" applyBorder="1" applyAlignment="1">
      <alignment horizontal="center" vertical="center"/>
    </xf>
    <xf numFmtId="3" fontId="0" fillId="12" borderId="1" xfId="1" applyNumberFormat="1" applyFont="1" applyFill="1" applyBorder="1" applyAlignment="1">
      <alignment horizontal="center" vertical="center"/>
    </xf>
    <xf numFmtId="3" fontId="0" fillId="0" borderId="0" xfId="0" applyNumberFormat="1"/>
    <xf numFmtId="37" fontId="0" fillId="0" borderId="1" xfId="1" applyNumberFormat="1" applyFont="1" applyFill="1" applyBorder="1" applyAlignment="1">
      <alignment horizontal="center" vertical="center"/>
    </xf>
    <xf numFmtId="2" fontId="17" fillId="23" borderId="30" xfId="3" applyNumberFormat="1" applyFont="1" applyFill="1" applyBorder="1" applyAlignment="1" applyProtection="1">
      <alignment horizontal="center" vertical="center"/>
      <protection hidden="1"/>
    </xf>
    <xf numFmtId="2" fontId="17" fillId="23" borderId="38" xfId="3" applyNumberFormat="1" applyFont="1" applyFill="1" applyBorder="1" applyAlignment="1" applyProtection="1">
      <alignment horizontal="center" vertical="center"/>
      <protection hidden="1"/>
    </xf>
    <xf numFmtId="2" fontId="17" fillId="23" borderId="38" xfId="3" quotePrefix="1" applyNumberFormat="1" applyFont="1" applyFill="1" applyBorder="1" applyAlignment="1" applyProtection="1">
      <alignment horizontal="center" vertical="center"/>
      <protection hidden="1"/>
    </xf>
    <xf numFmtId="2" fontId="17" fillId="23" borderId="39" xfId="3" applyNumberFormat="1" applyFont="1" applyFill="1" applyBorder="1" applyAlignment="1" applyProtection="1">
      <alignment horizontal="center" vertical="center"/>
      <protection hidden="1"/>
    </xf>
    <xf numFmtId="0" fontId="29" fillId="23" borderId="31" xfId="0" applyFont="1" applyFill="1" applyBorder="1" applyAlignment="1" applyProtection="1">
      <alignment horizontal="left" vertical="center" indent="1"/>
      <protection hidden="1"/>
    </xf>
    <xf numFmtId="10" fontId="29" fillId="23" borderId="32" xfId="1" applyNumberFormat="1" applyFont="1" applyFill="1" applyBorder="1" applyAlignment="1" applyProtection="1">
      <alignment horizontal="center" vertical="center"/>
      <protection locked="0"/>
    </xf>
    <xf numFmtId="4" fontId="6" fillId="6" borderId="78" xfId="0" applyNumberFormat="1" applyFont="1" applyFill="1" applyBorder="1" applyAlignment="1" applyProtection="1">
      <alignment horizontal="right" vertical="center" indent="1"/>
      <protection hidden="1"/>
    </xf>
    <xf numFmtId="0" fontId="6" fillId="6" borderId="78" xfId="0" applyFont="1" applyFill="1" applyBorder="1" applyAlignment="1" applyProtection="1">
      <alignment horizontal="center" vertical="center"/>
      <protection hidden="1"/>
    </xf>
    <xf numFmtId="3" fontId="6" fillId="6" borderId="78" xfId="0" applyNumberFormat="1" applyFont="1" applyFill="1" applyBorder="1" applyAlignment="1" applyProtection="1">
      <alignment horizontal="center" vertical="center"/>
      <protection hidden="1"/>
    </xf>
    <xf numFmtId="4" fontId="6" fillId="6" borderId="79" xfId="0" applyNumberFormat="1" applyFont="1" applyFill="1" applyBorder="1" applyAlignment="1" applyProtection="1">
      <alignment horizontal="right" vertical="center" indent="1"/>
      <protection hidden="1"/>
    </xf>
    <xf numFmtId="4" fontId="17" fillId="23" borderId="1" xfId="3" applyNumberFormat="1" applyFont="1" applyFill="1" applyBorder="1" applyAlignment="1" applyProtection="1">
      <alignment horizontal="right" vertical="center"/>
      <protection hidden="1"/>
    </xf>
    <xf numFmtId="3" fontId="6" fillId="6" borderId="55" xfId="0" applyNumberFormat="1" applyFont="1" applyFill="1" applyBorder="1" applyAlignment="1" applyProtection="1">
      <alignment horizontal="center" vertical="center"/>
      <protection locked="0"/>
    </xf>
    <xf numFmtId="3" fontId="6" fillId="13" borderId="55" xfId="0" applyNumberFormat="1" applyFont="1" applyFill="1" applyBorder="1" applyAlignment="1" applyProtection="1">
      <alignment horizontal="center" vertical="center"/>
      <protection locked="0"/>
    </xf>
    <xf numFmtId="3" fontId="6" fillId="22" borderId="58" xfId="1" applyNumberFormat="1" applyFont="1" applyFill="1" applyBorder="1" applyAlignment="1" applyProtection="1">
      <alignment horizontal="center" vertical="center"/>
      <protection locked="0"/>
    </xf>
    <xf numFmtId="169" fontId="6" fillId="6" borderId="55" xfId="4" applyNumberFormat="1" applyFont="1" applyFill="1" applyBorder="1" applyAlignment="1" applyProtection="1">
      <alignment horizontal="center" vertical="center"/>
      <protection hidden="1"/>
    </xf>
    <xf numFmtId="169" fontId="6" fillId="13" borderId="55" xfId="4" applyNumberFormat="1" applyFont="1" applyFill="1" applyBorder="1" applyAlignment="1" applyProtection="1">
      <alignment horizontal="center" vertical="center"/>
      <protection hidden="1"/>
    </xf>
    <xf numFmtId="169" fontId="6" fillId="22" borderId="58" xfId="4" applyNumberFormat="1" applyFont="1" applyFill="1" applyBorder="1" applyAlignment="1" applyProtection="1">
      <alignment horizontal="center" vertical="center"/>
      <protection hidden="1"/>
    </xf>
    <xf numFmtId="169" fontId="6" fillId="6" borderId="55" xfId="4" applyNumberFormat="1" applyFont="1" applyFill="1" applyBorder="1" applyAlignment="1" applyProtection="1">
      <alignment horizontal="center" vertical="center"/>
      <protection locked="0"/>
    </xf>
    <xf numFmtId="169" fontId="6" fillId="13" borderId="55" xfId="4" applyNumberFormat="1" applyFont="1" applyFill="1" applyBorder="1" applyAlignment="1" applyProtection="1">
      <alignment horizontal="center" vertical="center"/>
      <protection locked="0"/>
    </xf>
    <xf numFmtId="169" fontId="6" fillId="22" borderId="58" xfId="4" applyNumberFormat="1" applyFont="1" applyFill="1" applyBorder="1" applyAlignment="1" applyProtection="1">
      <alignment horizontal="center" vertical="center"/>
      <protection locked="0"/>
    </xf>
    <xf numFmtId="0" fontId="51" fillId="0" borderId="0" xfId="3" applyFont="1" applyAlignment="1" applyProtection="1">
      <alignment horizontal="right" vertical="center"/>
      <protection hidden="1"/>
    </xf>
    <xf numFmtId="0" fontId="6" fillId="13" borderId="0" xfId="0" applyFont="1" applyFill="1" applyAlignment="1" applyProtection="1">
      <alignment horizontal="center" vertical="center"/>
      <protection locked="0" hidden="1"/>
    </xf>
    <xf numFmtId="0" fontId="44" fillId="13" borderId="0" xfId="0" applyFont="1" applyFill="1" applyAlignment="1" applyProtection="1">
      <alignment horizontal="center" vertical="center"/>
      <protection locked="0" hidden="1"/>
    </xf>
    <xf numFmtId="0" fontId="44" fillId="21" borderId="0" xfId="0" applyNumberFormat="1" applyFont="1" applyFill="1" applyBorder="1" applyAlignment="1" applyProtection="1">
      <alignment horizontal="center" vertical="center"/>
      <protection locked="0" hidden="1"/>
    </xf>
    <xf numFmtId="0" fontId="18" fillId="13" borderId="0" xfId="0" applyFont="1" applyFill="1" applyAlignment="1" applyProtection="1">
      <alignment horizontal="center" vertical="center"/>
      <protection locked="0" hidden="1"/>
    </xf>
    <xf numFmtId="0" fontId="45" fillId="13" borderId="0" xfId="0" applyFont="1" applyFill="1" applyAlignment="1" applyProtection="1">
      <alignment horizontal="center" vertical="center"/>
      <protection locked="0" hidden="1"/>
    </xf>
    <xf numFmtId="0" fontId="29" fillId="15" borderId="34" xfId="0" applyFont="1" applyFill="1" applyBorder="1" applyAlignment="1" applyProtection="1">
      <alignment vertical="center"/>
      <protection hidden="1"/>
    </xf>
    <xf numFmtId="0" fontId="6" fillId="13" borderId="42" xfId="0" applyFont="1" applyFill="1" applyBorder="1" applyAlignment="1" applyProtection="1">
      <alignment horizontal="center" vertical="center"/>
      <protection hidden="1"/>
    </xf>
    <xf numFmtId="0" fontId="6" fillId="13" borderId="43" xfId="0" applyFont="1" applyFill="1" applyBorder="1" applyAlignment="1" applyProtection="1">
      <alignment horizontal="center" vertical="center"/>
      <protection hidden="1"/>
    </xf>
    <xf numFmtId="0" fontId="6" fillId="13" borderId="43" xfId="0" applyFont="1" applyFill="1" applyBorder="1" applyAlignment="1" applyProtection="1">
      <alignment horizontal="left" vertical="center" indent="1"/>
      <protection hidden="1"/>
    </xf>
    <xf numFmtId="4" fontId="6" fillId="13" borderId="43" xfId="0" applyNumberFormat="1" applyFont="1" applyFill="1" applyBorder="1" applyAlignment="1" applyProtection="1">
      <alignment horizontal="right" vertical="center" indent="1"/>
      <protection hidden="1"/>
    </xf>
    <xf numFmtId="3" fontId="6" fillId="13" borderId="43" xfId="1" applyNumberFormat="1" applyFont="1" applyFill="1" applyBorder="1" applyAlignment="1" applyProtection="1">
      <alignment horizontal="center" vertical="center"/>
      <protection hidden="1"/>
    </xf>
    <xf numFmtId="4" fontId="6" fillId="13" borderId="80" xfId="0" applyNumberFormat="1" applyFont="1" applyFill="1" applyBorder="1" applyAlignment="1" applyProtection="1">
      <alignment horizontal="right" vertical="center" indent="1"/>
      <protection hidden="1"/>
    </xf>
    <xf numFmtId="0" fontId="6" fillId="13" borderId="0" xfId="0" applyFont="1" applyFill="1" applyAlignment="1" applyProtection="1">
      <alignment vertical="center"/>
      <protection hidden="1"/>
    </xf>
    <xf numFmtId="0" fontId="39" fillId="13" borderId="0" xfId="0" applyFont="1" applyFill="1" applyAlignment="1" applyProtection="1">
      <alignment horizontal="left" vertical="center" indent="2"/>
      <protection hidden="1"/>
    </xf>
    <xf numFmtId="2" fontId="29" fillId="23" borderId="44" xfId="3" applyNumberFormat="1" applyFont="1" applyFill="1" applyBorder="1" applyAlignment="1" applyProtection="1">
      <alignment horizontal="center" vertical="center"/>
      <protection hidden="1"/>
    </xf>
    <xf numFmtId="2" fontId="29" fillId="23" borderId="62" xfId="3" applyNumberFormat="1" applyFont="1" applyFill="1" applyBorder="1" applyAlignment="1" applyProtection="1">
      <alignment horizontal="center" vertical="center"/>
      <protection hidden="1"/>
    </xf>
    <xf numFmtId="2" fontId="29" fillId="23" borderId="45" xfId="3" applyNumberFormat="1" applyFont="1" applyFill="1" applyBorder="1" applyAlignment="1" applyProtection="1">
      <alignment horizontal="center" vertical="center"/>
      <protection hidden="1"/>
    </xf>
    <xf numFmtId="0" fontId="57" fillId="7" borderId="0" xfId="0" applyFont="1" applyFill="1" applyBorder="1" applyAlignment="1" applyProtection="1">
      <alignment horizontal="center" vertical="center"/>
      <protection hidden="1"/>
    </xf>
    <xf numFmtId="0" fontId="57" fillId="7" borderId="0" xfId="0" applyFont="1" applyFill="1" applyBorder="1" applyAlignment="1" applyProtection="1">
      <alignment horizontal="left" vertical="center" indent="1"/>
      <protection hidden="1"/>
    </xf>
    <xf numFmtId="164" fontId="57" fillId="7" borderId="0" xfId="1" applyFont="1" applyFill="1" applyBorder="1" applyAlignment="1" applyProtection="1">
      <alignment horizontal="center" vertical="center"/>
      <protection hidden="1"/>
    </xf>
    <xf numFmtId="9" fontId="29" fillId="15" borderId="60" xfId="4" applyFont="1" applyFill="1" applyBorder="1" applyAlignment="1" applyProtection="1">
      <alignment horizontal="center" vertical="center"/>
      <protection hidden="1"/>
    </xf>
    <xf numFmtId="0" fontId="29" fillId="15" borderId="53" xfId="3" applyFont="1" applyFill="1" applyBorder="1" applyAlignment="1" applyProtection="1">
      <alignment horizontal="center" vertical="center"/>
      <protection hidden="1"/>
    </xf>
    <xf numFmtId="2" fontId="29" fillId="14" borderId="61" xfId="3" applyNumberFormat="1" applyFont="1" applyFill="1" applyBorder="1" applyAlignment="1" applyProtection="1">
      <alignment horizontal="center" vertical="center"/>
      <protection hidden="1"/>
    </xf>
    <xf numFmtId="2" fontId="29" fillId="14" borderId="56" xfId="3" applyNumberFormat="1" applyFont="1" applyFill="1" applyBorder="1" applyAlignment="1" applyProtection="1">
      <alignment horizontal="center" vertical="center"/>
      <protection hidden="1"/>
    </xf>
    <xf numFmtId="0" fontId="6" fillId="6" borderId="56" xfId="0" applyFont="1" applyFill="1" applyBorder="1" applyAlignment="1" applyProtection="1">
      <alignment horizontal="center" vertical="center"/>
      <protection hidden="1"/>
    </xf>
    <xf numFmtId="0" fontId="6" fillId="13" borderId="61" xfId="0" applyFont="1" applyFill="1" applyBorder="1" applyAlignment="1" applyProtection="1">
      <alignment horizontal="center" vertical="center"/>
      <protection hidden="1"/>
    </xf>
    <xf numFmtId="0" fontId="6" fillId="13" borderId="56" xfId="0" applyFont="1" applyFill="1" applyBorder="1" applyAlignment="1" applyProtection="1">
      <alignment horizontal="center" vertical="center"/>
      <protection hidden="1"/>
    </xf>
    <xf numFmtId="0" fontId="6" fillId="13" borderId="58" xfId="0" applyFont="1" applyFill="1" applyBorder="1" applyAlignment="1" applyProtection="1">
      <alignment horizontal="center" vertical="center"/>
      <protection hidden="1"/>
    </xf>
    <xf numFmtId="0" fontId="6" fillId="13" borderId="59" xfId="0" applyFont="1" applyFill="1" applyBorder="1" applyAlignment="1" applyProtection="1">
      <alignment horizontal="center" vertical="center"/>
      <protection hidden="1"/>
    </xf>
    <xf numFmtId="0" fontId="6" fillId="13" borderId="57" xfId="0" applyFont="1" applyFill="1" applyBorder="1" applyAlignment="1" applyProtection="1">
      <alignment horizontal="center" vertical="center"/>
      <protection hidden="1"/>
    </xf>
    <xf numFmtId="0" fontId="60" fillId="9" borderId="81" xfId="0" applyFont="1" applyFill="1" applyBorder="1" applyAlignment="1" applyProtection="1">
      <alignment horizontal="center" vertical="center"/>
      <protection hidden="1"/>
    </xf>
    <xf numFmtId="3" fontId="47" fillId="6" borderId="74" xfId="1" applyNumberFormat="1" applyFont="1" applyFill="1" applyBorder="1" applyAlignment="1" applyProtection="1">
      <alignment horizontal="center" vertical="center"/>
      <protection hidden="1"/>
    </xf>
    <xf numFmtId="3" fontId="47" fillId="13" borderId="17" xfId="1" applyNumberFormat="1" applyFont="1" applyFill="1" applyBorder="1" applyAlignment="1" applyProtection="1">
      <alignment horizontal="center" vertical="center"/>
      <protection hidden="1"/>
    </xf>
    <xf numFmtId="3" fontId="47" fillId="6" borderId="17" xfId="1" applyNumberFormat="1" applyFont="1" applyFill="1" applyBorder="1" applyAlignment="1" applyProtection="1">
      <alignment horizontal="center" vertical="center"/>
      <protection hidden="1"/>
    </xf>
    <xf numFmtId="3" fontId="47" fillId="13" borderId="70" xfId="1" applyNumberFormat="1" applyFont="1" applyFill="1" applyBorder="1" applyAlignment="1" applyProtection="1">
      <alignment horizontal="center" vertical="center"/>
      <protection hidden="1"/>
    </xf>
    <xf numFmtId="4" fontId="47" fillId="6" borderId="75" xfId="1" applyNumberFormat="1" applyFont="1" applyFill="1" applyBorder="1" applyAlignment="1" applyProtection="1">
      <alignment horizontal="right" vertical="center" indent="1"/>
      <protection hidden="1"/>
    </xf>
    <xf numFmtId="4" fontId="47" fillId="13" borderId="68" xfId="1" applyNumberFormat="1" applyFont="1" applyFill="1" applyBorder="1" applyAlignment="1" applyProtection="1">
      <alignment horizontal="right" vertical="center" indent="1"/>
      <protection hidden="1"/>
    </xf>
    <xf numFmtId="4" fontId="47" fillId="6" borderId="68" xfId="1" applyNumberFormat="1" applyFont="1" applyFill="1" applyBorder="1" applyAlignment="1" applyProtection="1">
      <alignment horizontal="right" vertical="center" indent="1"/>
      <protection hidden="1"/>
    </xf>
    <xf numFmtId="4" fontId="47" fillId="6" borderId="68" xfId="0" applyNumberFormat="1" applyFont="1" applyFill="1" applyBorder="1" applyAlignment="1" applyProtection="1">
      <alignment horizontal="right" vertical="center" indent="1"/>
      <protection hidden="1"/>
    </xf>
    <xf numFmtId="4" fontId="47" fillId="13" borderId="68" xfId="0" applyNumberFormat="1" applyFont="1" applyFill="1" applyBorder="1" applyAlignment="1" applyProtection="1">
      <alignment horizontal="right" vertical="center" indent="1"/>
      <protection hidden="1"/>
    </xf>
    <xf numFmtId="4" fontId="47" fillId="13" borderId="71" xfId="0" applyNumberFormat="1" applyFont="1" applyFill="1" applyBorder="1" applyAlignment="1" applyProtection="1">
      <alignment horizontal="right" vertical="center" indent="1"/>
      <protection hidden="1"/>
    </xf>
    <xf numFmtId="0" fontId="61" fillId="9" borderId="0" xfId="3" applyFont="1" applyFill="1" applyAlignment="1" applyProtection="1">
      <alignment horizontal="left" vertical="center"/>
      <protection hidden="1"/>
    </xf>
    <xf numFmtId="0" fontId="0" fillId="0" borderId="0" xfId="0" applyAlignment="1">
      <alignment horizontal="left"/>
    </xf>
    <xf numFmtId="0" fontId="0" fillId="0" borderId="0" xfId="0" applyAlignment="1">
      <alignment horizontal="left" wrapText="1"/>
    </xf>
    <xf numFmtId="3" fontId="0" fillId="0" borderId="0" xfId="0" applyNumberFormat="1" applyAlignment="1">
      <alignment horizontal="left"/>
    </xf>
    <xf numFmtId="0" fontId="0" fillId="24" borderId="0" xfId="0" applyFill="1" applyAlignment="1">
      <alignment horizontal="left"/>
    </xf>
    <xf numFmtId="1" fontId="0" fillId="0" borderId="0" xfId="0" applyNumberFormat="1" applyAlignment="1">
      <alignment horizontal="left"/>
    </xf>
    <xf numFmtId="4" fontId="0" fillId="0" borderId="0" xfId="0" applyNumberFormat="1" applyAlignment="1">
      <alignment horizontal="left"/>
    </xf>
    <xf numFmtId="2" fontId="29" fillId="14" borderId="82" xfId="3" applyNumberFormat="1" applyFont="1" applyFill="1" applyBorder="1" applyAlignment="1" applyProtection="1">
      <alignment horizontal="center" vertical="center" wrapText="1"/>
      <protection hidden="1"/>
    </xf>
    <xf numFmtId="164" fontId="29" fillId="14" borderId="83" xfId="1" applyFont="1" applyFill="1" applyBorder="1" applyAlignment="1" applyProtection="1">
      <alignment horizontal="center" vertical="center" wrapText="1"/>
      <protection hidden="1"/>
    </xf>
    <xf numFmtId="2" fontId="29" fillId="14" borderId="84" xfId="3" applyNumberFormat="1" applyFont="1" applyFill="1" applyBorder="1" applyAlignment="1" applyProtection="1">
      <alignment horizontal="center" vertical="center"/>
      <protection hidden="1"/>
    </xf>
    <xf numFmtId="2" fontId="29" fillId="14" borderId="82" xfId="3" applyNumberFormat="1" applyFont="1" applyFill="1" applyBorder="1" applyAlignment="1" applyProtection="1">
      <alignment horizontal="center" vertical="center"/>
      <protection hidden="1"/>
    </xf>
    <xf numFmtId="2" fontId="29" fillId="14" borderId="82" xfId="3" applyNumberFormat="1" applyFont="1" applyFill="1" applyBorder="1" applyAlignment="1" applyProtection="1">
      <alignment horizontal="left" vertical="center" indent="1"/>
      <protection hidden="1"/>
    </xf>
    <xf numFmtId="164" fontId="29" fillId="14" borderId="82" xfId="1" applyFont="1" applyFill="1" applyBorder="1" applyAlignment="1" applyProtection="1">
      <alignment horizontal="center" vertical="center"/>
      <protection hidden="1"/>
    </xf>
    <xf numFmtId="9" fontId="29" fillId="14" borderId="82" xfId="4" applyFont="1" applyFill="1" applyBorder="1" applyAlignment="1" applyProtection="1">
      <alignment horizontal="center" vertical="center" wrapText="1"/>
      <protection hidden="1"/>
    </xf>
    <xf numFmtId="164" fontId="29" fillId="14" borderId="83" xfId="1" applyFont="1" applyFill="1" applyBorder="1" applyAlignment="1" applyProtection="1">
      <alignment horizontal="center" vertical="center"/>
      <protection hidden="1"/>
    </xf>
    <xf numFmtId="0" fontId="6" fillId="6" borderId="65" xfId="0" applyFont="1" applyFill="1" applyBorder="1" applyAlignment="1" applyProtection="1">
      <alignment horizontal="center" vertical="center"/>
      <protection hidden="1"/>
    </xf>
    <xf numFmtId="0" fontId="6" fillId="6" borderId="66" xfId="0" applyFont="1" applyFill="1" applyBorder="1" applyAlignment="1" applyProtection="1">
      <alignment horizontal="center" vertical="center"/>
      <protection locked="0"/>
    </xf>
    <xf numFmtId="0" fontId="6" fillId="6" borderId="66" xfId="0" applyFont="1" applyFill="1" applyBorder="1" applyAlignment="1" applyProtection="1">
      <alignment horizontal="left" vertical="center" indent="1"/>
      <protection hidden="1"/>
    </xf>
    <xf numFmtId="0" fontId="6" fillId="6" borderId="66" xfId="0" applyFont="1" applyFill="1" applyBorder="1" applyAlignment="1" applyProtection="1">
      <alignment horizontal="center" vertical="center"/>
      <protection hidden="1"/>
    </xf>
    <xf numFmtId="164" fontId="6" fillId="6" borderId="66" xfId="1" applyFont="1" applyFill="1" applyBorder="1" applyAlignment="1" applyProtection="1">
      <alignment horizontal="left" vertical="center" indent="1"/>
      <protection hidden="1"/>
    </xf>
    <xf numFmtId="169" fontId="6" fillId="6" borderId="66" xfId="4" applyNumberFormat="1" applyFont="1" applyFill="1" applyBorder="1" applyAlignment="1" applyProtection="1">
      <alignment horizontal="center" vertical="center"/>
      <protection hidden="1"/>
    </xf>
    <xf numFmtId="169" fontId="6" fillId="6" borderId="66" xfId="4" applyNumberFormat="1" applyFont="1" applyFill="1" applyBorder="1" applyAlignment="1" applyProtection="1">
      <alignment horizontal="center" vertical="center"/>
      <protection locked="0"/>
    </xf>
    <xf numFmtId="164" fontId="6" fillId="6" borderId="66" xfId="1" applyFont="1" applyFill="1" applyBorder="1" applyAlignment="1" applyProtection="1">
      <alignment horizontal="center" vertical="center"/>
      <protection hidden="1"/>
    </xf>
    <xf numFmtId="3" fontId="6" fillId="6" borderId="66" xfId="0" applyNumberFormat="1" applyFont="1" applyFill="1" applyBorder="1" applyAlignment="1" applyProtection="1">
      <alignment horizontal="center" vertical="center"/>
      <protection locked="0"/>
    </xf>
    <xf numFmtId="164" fontId="6" fillId="6" borderId="53" xfId="1" applyFont="1" applyFill="1" applyBorder="1" applyAlignment="1" applyProtection="1">
      <alignment horizontal="left" vertical="center" indent="1"/>
      <protection hidden="1"/>
    </xf>
    <xf numFmtId="164" fontId="39" fillId="6" borderId="58" xfId="1" applyFont="1" applyFill="1" applyBorder="1" applyAlignment="1" applyProtection="1">
      <alignment horizontal="left" vertical="center" indent="1"/>
      <protection hidden="1"/>
    </xf>
    <xf numFmtId="164" fontId="39" fillId="6" borderId="59" xfId="1" applyFont="1" applyFill="1" applyBorder="1" applyAlignment="1" applyProtection="1">
      <alignment horizontal="left" vertical="center" indent="1"/>
      <protection hidden="1"/>
    </xf>
    <xf numFmtId="0" fontId="47" fillId="13" borderId="68" xfId="0" applyFont="1" applyFill="1" applyBorder="1" applyAlignment="1" applyProtection="1">
      <alignment horizontal="center"/>
      <protection hidden="1"/>
    </xf>
    <xf numFmtId="4" fontId="47" fillId="6" borderId="71" xfId="1" applyNumberFormat="1" applyFont="1" applyFill="1" applyBorder="1" applyAlignment="1" applyProtection="1">
      <alignment horizontal="center" vertical="center"/>
      <protection hidden="1"/>
    </xf>
    <xf numFmtId="0" fontId="12" fillId="3" borderId="0" xfId="0" applyFont="1" applyFill="1" applyAlignment="1">
      <alignment horizontal="center" vertical="center"/>
    </xf>
    <xf numFmtId="4" fontId="39" fillId="6" borderId="41" xfId="0" applyNumberFormat="1" applyFont="1" applyFill="1" applyBorder="1" applyAlignment="1" applyProtection="1">
      <alignment horizontal="right" vertical="center" indent="1"/>
      <protection hidden="1"/>
    </xf>
    <xf numFmtId="4" fontId="39" fillId="13" borderId="80" xfId="0" applyNumberFormat="1" applyFont="1" applyFill="1" applyBorder="1" applyAlignment="1" applyProtection="1">
      <alignment horizontal="right" vertical="center" indent="1"/>
      <protection hidden="1"/>
    </xf>
    <xf numFmtId="2" fontId="47" fillId="13" borderId="68" xfId="0" applyNumberFormat="1" applyFont="1" applyFill="1" applyBorder="1" applyAlignment="1" applyProtection="1">
      <alignment horizontal="right"/>
      <protection hidden="1"/>
    </xf>
    <xf numFmtId="4" fontId="47" fillId="6" borderId="71" xfId="1" applyNumberFormat="1" applyFont="1" applyFill="1" applyBorder="1" applyAlignment="1" applyProtection="1">
      <alignment horizontal="right" vertical="center"/>
      <protection hidden="1"/>
    </xf>
    <xf numFmtId="0" fontId="40" fillId="22" borderId="0" xfId="0" applyFont="1" applyFill="1" applyBorder="1" applyAlignment="1" applyProtection="1">
      <alignment horizontal="left" vertical="center"/>
      <protection hidden="1"/>
    </xf>
    <xf numFmtId="0" fontId="42" fillId="22" borderId="0" xfId="0" applyFont="1" applyFill="1" applyBorder="1" applyAlignment="1" applyProtection="1">
      <alignment horizontal="left" vertical="center" indent="22"/>
      <protection hidden="1"/>
    </xf>
    <xf numFmtId="0" fontId="43" fillId="22" borderId="0" xfId="0" applyFont="1" applyFill="1" applyBorder="1" applyAlignment="1" applyProtection="1">
      <alignment horizontal="left" vertical="center"/>
      <protection hidden="1"/>
    </xf>
    <xf numFmtId="0" fontId="43" fillId="13" borderId="0" xfId="0" applyFont="1" applyFill="1" applyAlignment="1" applyProtection="1">
      <alignment horizontal="left" vertical="center"/>
      <protection hidden="1"/>
    </xf>
    <xf numFmtId="0" fontId="40" fillId="13" borderId="0" xfId="0" applyFont="1" applyFill="1" applyAlignment="1" applyProtection="1">
      <alignment horizontal="left" vertical="center"/>
      <protection hidden="1"/>
    </xf>
    <xf numFmtId="0" fontId="29" fillId="13" borderId="0" xfId="3" applyFont="1" applyFill="1" applyBorder="1" applyAlignment="1" applyProtection="1">
      <alignment horizontal="right" vertical="center" indent="4"/>
      <protection hidden="1"/>
    </xf>
    <xf numFmtId="0" fontId="55" fillId="9" borderId="63" xfId="3" applyFont="1" applyFill="1" applyBorder="1" applyAlignment="1" applyProtection="1">
      <alignment horizontal="center" vertical="center"/>
      <protection locked="0"/>
    </xf>
    <xf numFmtId="0" fontId="55" fillId="9" borderId="64" xfId="3" applyFont="1" applyFill="1" applyBorder="1" applyAlignment="1" applyProtection="1">
      <alignment horizontal="center" vertical="center"/>
      <protection locked="0"/>
    </xf>
    <xf numFmtId="0" fontId="39" fillId="13" borderId="0" xfId="0" applyFont="1" applyFill="1" applyAlignment="1" applyProtection="1">
      <alignment horizontal="left" vertical="center" indent="1"/>
      <protection hidden="1"/>
    </xf>
    <xf numFmtId="0" fontId="51" fillId="0" borderId="0" xfId="3" applyFont="1" applyAlignment="1" applyProtection="1">
      <alignment horizontal="right" vertical="center" indent="1"/>
      <protection hidden="1"/>
    </xf>
    <xf numFmtId="0" fontId="53" fillId="0" borderId="0" xfId="6" applyFont="1" applyBorder="1" applyAlignment="1" applyProtection="1">
      <alignment horizontal="left" vertical="center" wrapText="1"/>
      <protection hidden="1"/>
    </xf>
    <xf numFmtId="0" fontId="52" fillId="0" borderId="0" xfId="3" applyFont="1" applyAlignment="1" applyProtection="1">
      <alignment horizontal="left" vertical="center" wrapText="1"/>
      <protection hidden="1"/>
    </xf>
    <xf numFmtId="0" fontId="52" fillId="0" borderId="6" xfId="3" applyFont="1" applyBorder="1" applyAlignment="1" applyProtection="1">
      <alignment horizontal="left" vertical="center" wrapText="1"/>
      <protection hidden="1"/>
    </xf>
    <xf numFmtId="168" fontId="48" fillId="0" borderId="0" xfId="3" quotePrefix="1" applyNumberFormat="1" applyFont="1" applyBorder="1" applyAlignment="1" applyProtection="1">
      <alignment horizontal="left" vertical="center"/>
      <protection hidden="1"/>
    </xf>
    <xf numFmtId="168" fontId="48" fillId="0" borderId="0" xfId="3" applyNumberFormat="1" applyFont="1" applyBorder="1" applyAlignment="1" applyProtection="1">
      <alignment horizontal="left" vertical="center"/>
      <protection hidden="1"/>
    </xf>
    <xf numFmtId="0" fontId="47" fillId="0" borderId="0" xfId="3" quotePrefix="1" applyFont="1" applyAlignment="1" applyProtection="1">
      <alignment horizontal="left" vertical="center"/>
      <protection hidden="1"/>
    </xf>
    <xf numFmtId="0" fontId="47" fillId="13" borderId="85" xfId="0" applyFont="1" applyFill="1" applyBorder="1" applyAlignment="1" applyProtection="1">
      <alignment horizontal="center"/>
      <protection hidden="1"/>
    </xf>
    <xf numFmtId="0" fontId="47" fillId="13" borderId="50" xfId="0" applyFont="1" applyFill="1" applyBorder="1" applyAlignment="1" applyProtection="1">
      <alignment horizontal="center"/>
      <protection hidden="1"/>
    </xf>
    <xf numFmtId="0" fontId="47" fillId="13" borderId="86" xfId="0" applyFont="1" applyFill="1" applyBorder="1" applyAlignment="1" applyProtection="1">
      <alignment horizontal="center"/>
      <protection hidden="1"/>
    </xf>
    <xf numFmtId="2" fontId="49" fillId="14" borderId="76" xfId="3" applyNumberFormat="1" applyFont="1" applyFill="1" applyBorder="1" applyAlignment="1" applyProtection="1">
      <alignment horizontal="center" vertical="center"/>
      <protection hidden="1"/>
    </xf>
    <xf numFmtId="2" fontId="49" fillId="14" borderId="3" xfId="3" applyNumberFormat="1" applyFont="1" applyFill="1" applyBorder="1" applyAlignment="1" applyProtection="1">
      <alignment horizontal="center" vertical="center"/>
      <protection hidden="1"/>
    </xf>
    <xf numFmtId="2" fontId="49" fillId="14" borderId="77" xfId="3" applyNumberFormat="1" applyFont="1" applyFill="1" applyBorder="1" applyAlignment="1" applyProtection="1">
      <alignment horizontal="center" vertical="center"/>
      <protection hidden="1"/>
    </xf>
    <xf numFmtId="0" fontId="47" fillId="6" borderId="87" xfId="0" applyFont="1" applyFill="1" applyBorder="1" applyAlignment="1" applyProtection="1">
      <alignment horizontal="center"/>
      <protection hidden="1"/>
    </xf>
    <xf numFmtId="0" fontId="47" fillId="6" borderId="88" xfId="0" applyFont="1" applyFill="1" applyBorder="1" applyAlignment="1" applyProtection="1">
      <alignment horizontal="center"/>
      <protection hidden="1"/>
    </xf>
    <xf numFmtId="0" fontId="47" fillId="6" borderId="89" xfId="0" applyFont="1" applyFill="1" applyBorder="1" applyAlignment="1" applyProtection="1">
      <alignment horizontal="center"/>
      <protection hidden="1"/>
    </xf>
    <xf numFmtId="0" fontId="54" fillId="0" borderId="0" xfId="0" applyFont="1" applyFill="1" applyAlignment="1" applyProtection="1">
      <alignment horizontal="left" vertical="center"/>
      <protection hidden="1"/>
    </xf>
    <xf numFmtId="0" fontId="59" fillId="0" borderId="0" xfId="3" applyFont="1" applyBorder="1" applyAlignment="1" applyProtection="1">
      <alignment horizontal="left" vertical="center"/>
      <protection hidden="1"/>
    </xf>
    <xf numFmtId="167" fontId="48" fillId="0" borderId="0" xfId="3" applyNumberFormat="1" applyFont="1" applyAlignment="1" applyProtection="1">
      <alignment horizontal="left" vertical="center" indent="1"/>
      <protection locked="0"/>
    </xf>
    <xf numFmtId="0" fontId="48" fillId="0" borderId="0" xfId="3" applyFont="1" applyAlignment="1" applyProtection="1">
      <alignment horizontal="left" vertical="center" indent="1"/>
      <protection locked="0"/>
    </xf>
    <xf numFmtId="0" fontId="51" fillId="0" borderId="0" xfId="3" applyFont="1" applyAlignment="1" applyProtection="1">
      <alignment horizontal="center" vertical="center"/>
      <protection hidden="1"/>
    </xf>
    <xf numFmtId="168" fontId="48" fillId="0" borderId="0" xfId="3" applyNumberFormat="1" applyFont="1" applyAlignment="1" applyProtection="1">
      <alignment horizontal="left" vertical="center" indent="1"/>
      <protection locked="0"/>
    </xf>
    <xf numFmtId="2" fontId="49" fillId="14" borderId="76" xfId="3" applyNumberFormat="1" applyFont="1" applyFill="1" applyBorder="1" applyAlignment="1" applyProtection="1">
      <alignment horizontal="right" vertical="center" indent="1"/>
      <protection hidden="1"/>
    </xf>
    <xf numFmtId="2" fontId="49" fillId="14" borderId="3" xfId="3" applyNumberFormat="1" applyFont="1" applyFill="1" applyBorder="1" applyAlignment="1" applyProtection="1">
      <alignment horizontal="right" vertical="center" indent="1"/>
      <protection hidden="1"/>
    </xf>
    <xf numFmtId="0" fontId="43" fillId="0" borderId="0" xfId="0" applyFont="1" applyFill="1" applyAlignment="1" applyProtection="1">
      <alignment horizontal="left" vertical="center"/>
      <protection hidden="1"/>
    </xf>
    <xf numFmtId="0" fontId="40" fillId="0" borderId="0" xfId="0" applyFont="1" applyFill="1" applyAlignment="1" applyProtection="1">
      <alignment horizontal="left" vertical="center"/>
      <protection hidden="1"/>
    </xf>
    <xf numFmtId="0" fontId="19" fillId="0" borderId="0" xfId="3" applyFont="1" applyBorder="1" applyAlignment="1" applyProtection="1">
      <alignment horizontal="center" vertical="center"/>
      <protection hidden="1"/>
    </xf>
    <xf numFmtId="0" fontId="43" fillId="22" borderId="62" xfId="0" applyFont="1" applyFill="1" applyBorder="1" applyAlignment="1" applyProtection="1">
      <alignment horizontal="left" vertical="top"/>
      <protection hidden="1"/>
    </xf>
    <xf numFmtId="0" fontId="29" fillId="15" borderId="47" xfId="3" applyFont="1" applyFill="1" applyBorder="1" applyAlignment="1" applyProtection="1">
      <alignment horizontal="left" vertical="center" indent="1"/>
      <protection hidden="1"/>
    </xf>
    <xf numFmtId="0" fontId="29" fillId="15" borderId="48" xfId="3" applyFont="1" applyFill="1" applyBorder="1" applyAlignment="1" applyProtection="1">
      <alignment horizontal="left" vertical="center" indent="1"/>
      <protection hidden="1"/>
    </xf>
    <xf numFmtId="0" fontId="29" fillId="15" borderId="36" xfId="3" applyFont="1" applyFill="1" applyBorder="1" applyAlignment="1" applyProtection="1">
      <alignment horizontal="left" vertical="center" indent="1"/>
      <protection hidden="1"/>
    </xf>
    <xf numFmtId="0" fontId="29" fillId="15" borderId="50" xfId="3" applyFont="1" applyFill="1" applyBorder="1" applyAlignment="1" applyProtection="1">
      <alignment horizontal="left" vertical="center" indent="1"/>
      <protection hidden="1"/>
    </xf>
    <xf numFmtId="0" fontId="23" fillId="0" borderId="0" xfId="3" applyFont="1" applyAlignment="1" applyProtection="1">
      <alignment horizontal="center" vertical="center"/>
      <protection hidden="1"/>
    </xf>
    <xf numFmtId="168" fontId="34" fillId="0" borderId="0" xfId="3" applyNumberFormat="1" applyFont="1" applyFill="1" applyBorder="1" applyAlignment="1" applyProtection="1">
      <alignment horizontal="left" vertical="center"/>
      <protection hidden="1"/>
    </xf>
    <xf numFmtId="2" fontId="17" fillId="23" borderId="76" xfId="3" applyNumberFormat="1" applyFont="1" applyFill="1" applyBorder="1" applyAlignment="1" applyProtection="1">
      <alignment horizontal="right" vertical="center"/>
      <protection hidden="1"/>
    </xf>
    <xf numFmtId="2" fontId="17" fillId="23" borderId="3" xfId="3" applyNumberFormat="1" applyFont="1" applyFill="1" applyBorder="1" applyAlignment="1" applyProtection="1">
      <alignment horizontal="right" vertical="center"/>
      <protection hidden="1"/>
    </xf>
    <xf numFmtId="2" fontId="17" fillId="23" borderId="77" xfId="3" applyNumberFormat="1" applyFont="1" applyFill="1" applyBorder="1" applyAlignment="1" applyProtection="1">
      <alignment horizontal="right" vertical="center"/>
      <protection hidden="1"/>
    </xf>
    <xf numFmtId="2" fontId="17" fillId="14" borderId="7" xfId="3" applyNumberFormat="1" applyFont="1" applyFill="1" applyBorder="1" applyAlignment="1" applyProtection="1">
      <alignment horizontal="right" vertical="center" indent="1"/>
      <protection hidden="1"/>
    </xf>
    <xf numFmtId="0" fontId="20" fillId="0" borderId="0" xfId="3" applyFont="1" applyFill="1" applyBorder="1" applyAlignment="1" applyProtection="1">
      <alignment horizontal="left" vertical="center" wrapText="1"/>
      <protection hidden="1"/>
    </xf>
    <xf numFmtId="0" fontId="20" fillId="0" borderId="6" xfId="3" applyFont="1" applyFill="1" applyBorder="1" applyAlignment="1" applyProtection="1">
      <alignment horizontal="left" vertical="center" wrapText="1"/>
      <protection hidden="1"/>
    </xf>
    <xf numFmtId="0" fontId="36" fillId="0" borderId="0" xfId="6" applyFont="1" applyFill="1" applyBorder="1" applyAlignment="1" applyProtection="1">
      <alignment horizontal="left" vertical="center" wrapText="1"/>
      <protection hidden="1"/>
    </xf>
    <xf numFmtId="2" fontId="17" fillId="23" borderId="31" xfId="3" applyNumberFormat="1" applyFont="1" applyFill="1" applyBorder="1" applyAlignment="1" applyProtection="1">
      <alignment horizontal="center" vertical="center"/>
      <protection hidden="1"/>
    </xf>
    <xf numFmtId="2" fontId="17" fillId="23" borderId="91" xfId="3" applyNumberFormat="1" applyFont="1" applyFill="1" applyBorder="1" applyAlignment="1" applyProtection="1">
      <alignment horizontal="center" vertical="center"/>
      <protection hidden="1"/>
    </xf>
    <xf numFmtId="2" fontId="17" fillId="23" borderId="32" xfId="3" applyNumberFormat="1" applyFont="1" applyFill="1" applyBorder="1" applyAlignment="1" applyProtection="1">
      <alignment horizontal="center" vertical="center"/>
      <protection hidden="1"/>
    </xf>
    <xf numFmtId="0" fontId="6" fillId="6" borderId="47" xfId="0" applyFont="1" applyFill="1" applyBorder="1" applyAlignment="1" applyProtection="1">
      <alignment horizontal="center" vertical="center"/>
      <protection hidden="1"/>
    </xf>
    <xf numFmtId="0" fontId="6" fillId="6" borderId="48" xfId="0" applyFont="1" applyFill="1" applyBorder="1" applyAlignment="1" applyProtection="1">
      <alignment horizontal="center" vertical="center"/>
      <protection hidden="1"/>
    </xf>
    <xf numFmtId="0" fontId="6" fillId="6" borderId="90" xfId="0" applyFont="1" applyFill="1" applyBorder="1" applyAlignment="1" applyProtection="1">
      <alignment horizontal="center" vertical="center"/>
      <protection hidden="1"/>
    </xf>
    <xf numFmtId="0" fontId="6" fillId="13" borderId="37" xfId="0" applyFont="1" applyFill="1" applyBorder="1" applyAlignment="1" applyProtection="1">
      <alignment horizontal="center" vertical="center"/>
      <protection hidden="1"/>
    </xf>
    <xf numFmtId="0" fontId="6" fillId="13" borderId="92" xfId="0" applyFont="1" applyFill="1" applyBorder="1" applyAlignment="1" applyProtection="1">
      <alignment horizontal="center" vertical="center"/>
      <protection hidden="1"/>
    </xf>
    <xf numFmtId="0" fontId="6" fillId="13" borderId="93" xfId="0" applyFont="1" applyFill="1" applyBorder="1" applyAlignment="1" applyProtection="1">
      <alignment horizontal="center" vertical="center"/>
      <protection hidden="1"/>
    </xf>
    <xf numFmtId="0" fontId="27" fillId="0" borderId="0" xfId="0" applyFont="1" applyAlignment="1">
      <alignment horizontal="left" wrapText="1"/>
    </xf>
    <xf numFmtId="0" fontId="37" fillId="8" borderId="20" xfId="0" applyFont="1" applyFill="1" applyBorder="1" applyAlignment="1">
      <alignment horizontal="center" vertical="center"/>
    </xf>
    <xf numFmtId="0" fontId="37" fillId="8" borderId="21" xfId="0" applyFont="1" applyFill="1" applyBorder="1" applyAlignment="1">
      <alignment horizontal="center" vertical="center"/>
    </xf>
    <xf numFmtId="0" fontId="12" fillId="0" borderId="1" xfId="0" applyNumberFormat="1" applyFont="1" applyBorder="1" applyAlignment="1">
      <alignment horizontal="center" vertical="center"/>
    </xf>
    <xf numFmtId="0" fontId="26" fillId="18" borderId="1" xfId="0" applyNumberFormat="1" applyFont="1" applyFill="1" applyBorder="1" applyAlignment="1">
      <alignment horizontal="center" vertical="center"/>
    </xf>
    <xf numFmtId="0" fontId="0" fillId="0" borderId="0" xfId="0" applyAlignment="1">
      <alignment horizontal="center"/>
    </xf>
    <xf numFmtId="0" fontId="0" fillId="0" borderId="9" xfId="0" applyBorder="1" applyAlignment="1">
      <alignment horizontal="center"/>
    </xf>
    <xf numFmtId="0" fontId="13" fillId="7" borderId="1" xfId="0" applyFont="1" applyFill="1" applyBorder="1" applyAlignment="1">
      <alignment horizontal="center"/>
    </xf>
    <xf numFmtId="0" fontId="0" fillId="0" borderId="1" xfId="0" applyBorder="1" applyAlignment="1">
      <alignment horizontal="center" vertical="center"/>
    </xf>
    <xf numFmtId="0" fontId="0" fillId="7" borderId="0" xfId="0" applyFill="1" applyAlignment="1">
      <alignment horizontal="center"/>
    </xf>
  </cellXfs>
  <cellStyles count="8">
    <cellStyle name="Check Cell" xfId="7" builtinId="23"/>
    <cellStyle name="Comma" xfId="1" builtinId="3"/>
    <cellStyle name="Comma 2" xfId="5"/>
    <cellStyle name="Hyperlink" xfId="6" builtinId="8"/>
    <cellStyle name="Normal" xfId="0" builtinId="0"/>
    <cellStyle name="Normal 2" xfId="3"/>
    <cellStyle name="Percent" xfId="4" builtinId="5"/>
    <cellStyle name="Standard_Basis  - LWL Preisliste 08 2000" xfId="2"/>
  </cellStyles>
  <dxfs count="4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color theme="1" tint="0.499984740745262"/>
      </font>
    </dxf>
    <dxf>
      <font>
        <strike/>
        <color theme="1" tint="0.499984740745262"/>
      </font>
    </dxf>
    <dxf>
      <fill>
        <patternFill>
          <bgColor rgb="FFFF0000"/>
        </patternFill>
      </fill>
    </dxf>
    <dxf>
      <font>
        <color theme="0"/>
      </font>
      <fill>
        <patternFill>
          <bgColor rgb="FFFF00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9FB4"/>
      <color rgb="FFDF1417"/>
      <color rgb="FF8E0000"/>
      <color rgb="FFB00000"/>
      <color rgb="FF006876"/>
      <color rgb="FF000000"/>
      <color rgb="FFE8E8E8"/>
      <color rgb="FFDDDDDD"/>
      <color rgb="FFEAEAEA"/>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List" dx="22" fmlaLink="$X$3" fmlaRange="$X$5:$X$8" sel="1" val="0"/>
</file>

<file path=xl/ctrlProps/ctrlProp2.xml><?xml version="1.0" encoding="utf-8"?>
<formControlPr xmlns="http://schemas.microsoft.com/office/spreadsheetml/2009/9/main" objectType="List" dx="22" fmlaLink="$Y$3" sel="1" val="0">
  <itemLst>
    <item val="All"/>
    <item val="OS2"/>
    <item val="OM1"/>
    <item val="OM2"/>
    <item val="OM3"/>
    <item val="OM4"/>
    <item val="CAT6"/>
    <item val="CAT6A"/>
    <item val="CAT7"/>
    <item val="CAT7A"/>
    <item val="Wall Mounted"/>
    <item val="Floor Standing"/>
    <item val="ONU"/>
    <item val="PDU"/>
  </itemLst>
</formControlPr>
</file>

<file path=xl/ctrlProps/ctrlProp3.xml><?xml version="1.0" encoding="utf-8"?>
<formControlPr xmlns="http://schemas.microsoft.com/office/spreadsheetml/2009/9/main" objectType="List" dx="22" fmlaLink="$Z$3" sel="1" val="0">
  <itemLst>
    <item val="All"/>
    <item val="Cable"/>
    <item val="Patch Panel"/>
    <item val="Patch Cord"/>
    <item val="Accessories"/>
    <item val="Rack"/>
  </itemLst>
</formControlPr>
</file>

<file path=xl/ctrlProps/ctrlProp4.xml><?xml version="1.0" encoding="utf-8"?>
<formControlPr xmlns="http://schemas.microsoft.com/office/spreadsheetml/2009/9/main" objectType="Drop" dropStyle="combo" dx="16" fmlaLink="CU!$O$43" fmlaRange="CU!$G$10:$G$11" noThreeD="1" sel="0" val="0"/>
</file>

<file path=xl/ctrlProps/ctrlProp5.xml><?xml version="1.0" encoding="utf-8"?>
<formControlPr xmlns="http://schemas.microsoft.com/office/spreadsheetml/2009/9/main" objectType="Drop" dropLines="4" dropStyle="combo" dx="16" fmlaLink="CU!$O$49" noThreeD="1" sel="0" val="0">
  <itemLst>
    <item val="OS2"/>
    <item val="OM2"/>
    <item val="OM3"/>
    <item val="OM4"/>
  </itemLst>
</formControlPr>
</file>

<file path=xl/ctrlProps/ctrlProp6.xml><?xml version="1.0" encoding="utf-8"?>
<formControlPr xmlns="http://schemas.microsoft.com/office/spreadsheetml/2009/9/main" objectType="Drop" dropLines="7" dropStyle="combo" dx="16" fmlaLink="CU!$O$50" noThreeD="1" sel="0" val="0">
  <itemLst>
    <item val="4"/>
    <item val="6"/>
    <item val="8"/>
    <item val="12"/>
    <item val="24"/>
    <item val="48"/>
    <item val="96"/>
  </itemLst>
</formControlPr>
</file>

<file path=xl/ctrlProps/ctrlProp7.xml><?xml version="1.0" encoding="utf-8"?>
<formControlPr xmlns="http://schemas.microsoft.com/office/spreadsheetml/2009/9/main" objectType="Drop" dropLines="2" dropStyle="combo" dx="16" fmlaLink="CU!$O$47" noThreeD="1" sel="0" val="0">
  <itemLst>
    <item val="LSZH"/>
    <item val="PVC"/>
  </itemLst>
</formControlPr>
</file>

<file path=xl/ctrlProps/ctrlProp8.xml><?xml version="1.0" encoding="utf-8"?>
<formControlPr xmlns="http://schemas.microsoft.com/office/spreadsheetml/2009/9/main" objectType="Drop" dropStyle="combo" dx="16" fmlaLink="CU!$O$46" fmlaRange="CU!$B$10:$B$15" noThreeD="1" sel="0" val="0"/>
</file>

<file path=xl/ctrlProps/ctrlProp9.xml><?xml version="1.0" encoding="utf-8"?>
<formControlPr xmlns="http://schemas.microsoft.com/office/spreadsheetml/2009/9/main" objectType="Drop" dropLines="2" dropStyle="combo" dx="16" fmlaLink="CU!$O$44" fmlaRange="CU!$E$10:$E$11" noThreeD="1" sel="0" val="0"/>
</file>

<file path=xl/ctrlProps/ctrlProp10.xml><?xml version="1.0" encoding="utf-8"?>
<formControlPr xmlns="http://schemas.microsoft.com/office/spreadsheetml/2009/9/main" objectType="Drop" dropLines="2" dropStyle="combo" dx="16" fmlaLink="CU!$O$53" fmlaRange="FO!$G$22:$G$23" noThreeD="1" sel="0" val="0"/>
</file>

<file path=xl/ctrlProps/ctrlProp11.xml><?xml version="1.0" encoding="utf-8"?>
<formControlPr xmlns="http://schemas.microsoft.com/office/spreadsheetml/2009/9/main" objectType="Drop" dropLines="5" dropStyle="combo" dx="16" fmlaLink="CU!$O$56" fmlaRange="FO!$H$22:$H$26" noThreeD="1" sel="0" val="0"/>
</file>

<file path=xl/ctrlProps/ctrlProp12.xml><?xml version="1.0" encoding="utf-8"?>
<formControlPr xmlns="http://schemas.microsoft.com/office/spreadsheetml/2009/9/main" objectType="CheckBox" checked="Checked" fmlaLink="FO!$E$6" lockText="1" noThreeD="1"/>
</file>

<file path=xl/ctrlProps/ctrlProp13.xml><?xml version="1.0" encoding="utf-8"?>
<formControlPr xmlns="http://schemas.microsoft.com/office/spreadsheetml/2009/9/main" objectType="CheckBox" checked="Checked" fmlaLink="FO!$F$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1</xdr:col>
      <xdr:colOff>23132</xdr:colOff>
      <xdr:row>2</xdr:row>
      <xdr:rowOff>12520</xdr:rowOff>
    </xdr:from>
    <xdr:to>
      <xdr:col>4</xdr:col>
      <xdr:colOff>60555</xdr:colOff>
      <xdr:row>2</xdr:row>
      <xdr:rowOff>387424</xdr:rowOff>
    </xdr:to>
    <xdr:sp macro="[0]!B_Serch_Click" textlink="">
      <xdr:nvSpPr>
        <xdr:cNvPr id="3" name="B_SERCH"/>
        <xdr:cNvSpPr/>
      </xdr:nvSpPr>
      <xdr:spPr>
        <a:xfrm>
          <a:off x="340632" y="975603"/>
          <a:ext cx="2048256" cy="374904"/>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HOME</a:t>
          </a:r>
        </a:p>
      </xdr:txBody>
    </xdr:sp>
    <xdr:clientData fPrintsWithSheet="0"/>
  </xdr:twoCellAnchor>
  <xdr:twoCellAnchor>
    <xdr:from>
      <xdr:col>4</xdr:col>
      <xdr:colOff>142462</xdr:colOff>
      <xdr:row>2</xdr:row>
      <xdr:rowOff>15283</xdr:rowOff>
    </xdr:from>
    <xdr:to>
      <xdr:col>4</xdr:col>
      <xdr:colOff>2190718</xdr:colOff>
      <xdr:row>2</xdr:row>
      <xdr:rowOff>390187</xdr:rowOff>
    </xdr:to>
    <xdr:sp macro="[0]!B_GotoQuote_Click" textlink="">
      <xdr:nvSpPr>
        <xdr:cNvPr id="4" name="B_Quotation"/>
        <xdr:cNvSpPr/>
      </xdr:nvSpPr>
      <xdr:spPr>
        <a:xfrm>
          <a:off x="2457037" y="977308"/>
          <a:ext cx="2048256" cy="374904"/>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QUOTATION</a:t>
          </a:r>
        </a:p>
      </xdr:txBody>
    </xdr:sp>
    <xdr:clientData/>
  </xdr:twoCellAnchor>
  <xdr:twoCellAnchor editAs="oneCell">
    <xdr:from>
      <xdr:col>13</xdr:col>
      <xdr:colOff>357816</xdr:colOff>
      <xdr:row>0</xdr:row>
      <xdr:rowOff>268816</xdr:rowOff>
    </xdr:from>
    <xdr:to>
      <xdr:col>15</xdr:col>
      <xdr:colOff>722313</xdr:colOff>
      <xdr:row>1</xdr:row>
      <xdr:rowOff>185928</xdr:rowOff>
    </xdr:to>
    <xdr:pic>
      <xdr:nvPicPr>
        <xdr:cNvPr id="6"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40754" y="268816"/>
          <a:ext cx="2638590" cy="524331"/>
        </a:xfrm>
        <a:prstGeom prst="rect">
          <a:avLst/>
        </a:prstGeom>
      </xdr:spPr>
    </xdr:pic>
    <xdr:clientData/>
  </xdr:twoCellAnchor>
  <xdr:twoCellAnchor>
    <xdr:from>
      <xdr:col>1</xdr:col>
      <xdr:colOff>15875</xdr:colOff>
      <xdr:row>0</xdr:row>
      <xdr:rowOff>551222</xdr:rowOff>
    </xdr:from>
    <xdr:to>
      <xdr:col>13</xdr:col>
      <xdr:colOff>250031</xdr:colOff>
      <xdr:row>0</xdr:row>
      <xdr:rowOff>551222</xdr:rowOff>
    </xdr:to>
    <xdr:cxnSp macro="">
      <xdr:nvCxnSpPr>
        <xdr:cNvPr id="7" name="Straight Connector 6"/>
        <xdr:cNvCxnSpPr/>
      </xdr:nvCxnSpPr>
      <xdr:spPr>
        <a:xfrm>
          <a:off x="325438" y="551222"/>
          <a:ext cx="15807531" cy="0"/>
        </a:xfrm>
        <a:prstGeom prst="line">
          <a:avLst/>
        </a:prstGeom>
        <a:ln>
          <a:solidFill>
            <a:schemeClr val="bg1">
              <a:lumMod val="75000"/>
            </a:schemeClr>
          </a:solidFill>
        </a:ln>
        <a:effectLst/>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4378325</xdr:colOff>
      <xdr:row>2</xdr:row>
      <xdr:rowOff>31966</xdr:rowOff>
    </xdr:from>
    <xdr:to>
      <xdr:col>4</xdr:col>
      <xdr:colOff>6439958</xdr:colOff>
      <xdr:row>2</xdr:row>
      <xdr:rowOff>401108</xdr:rowOff>
    </xdr:to>
    <xdr:sp macro="[0]!B_Clear_Click" textlink="">
      <xdr:nvSpPr>
        <xdr:cNvPr id="13" name="B_Clear"/>
        <xdr:cNvSpPr/>
      </xdr:nvSpPr>
      <xdr:spPr>
        <a:xfrm>
          <a:off x="6696075" y="995049"/>
          <a:ext cx="2061633" cy="369142"/>
        </a:xfrm>
        <a:prstGeom prst="round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RESET</a:t>
          </a:r>
        </a:p>
      </xdr:txBody>
    </xdr:sp>
    <xdr:clientData/>
  </xdr:twoCellAnchor>
  <xdr:twoCellAnchor>
    <xdr:from>
      <xdr:col>4</xdr:col>
      <xdr:colOff>2266537</xdr:colOff>
      <xdr:row>2</xdr:row>
      <xdr:rowOff>14225</xdr:rowOff>
    </xdr:from>
    <xdr:to>
      <xdr:col>4</xdr:col>
      <xdr:colOff>4314793</xdr:colOff>
      <xdr:row>2</xdr:row>
      <xdr:rowOff>389129</xdr:rowOff>
    </xdr:to>
    <xdr:sp macro="[0]!DownloadPDFfromBOQ" textlink="">
      <xdr:nvSpPr>
        <xdr:cNvPr id="8" name="B_Quotation"/>
        <xdr:cNvSpPr/>
      </xdr:nvSpPr>
      <xdr:spPr>
        <a:xfrm>
          <a:off x="4584287" y="977308"/>
          <a:ext cx="2048256" cy="374904"/>
        </a:xfrm>
        <a:prstGeom prst="roundRect">
          <a:avLst/>
        </a:prstGeom>
        <a:solidFill>
          <a:srgbClr val="009FB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DATASHEETS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66675</xdr:rowOff>
        </xdr:from>
        <xdr:to>
          <xdr:col>3</xdr:col>
          <xdr:colOff>9525</xdr:colOff>
          <xdr:row>2</xdr:row>
          <xdr:rowOff>657225</xdr:rowOff>
        </xdr:to>
        <xdr:sp macro="" textlink="">
          <xdr:nvSpPr>
            <xdr:cNvPr id="3008" name="LB_System" hidden="1">
              <a:extLst>
                <a:ext uri="{63B3BB69-23CF-44E3-9099-C40C66FF867C}">
                  <a14:compatExt spid="_x0000_s30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2</xdr:row>
          <xdr:rowOff>66675</xdr:rowOff>
        </xdr:from>
        <xdr:to>
          <xdr:col>3</xdr:col>
          <xdr:colOff>2800350</xdr:colOff>
          <xdr:row>2</xdr:row>
          <xdr:rowOff>657225</xdr:rowOff>
        </xdr:to>
        <xdr:sp macro="" textlink="">
          <xdr:nvSpPr>
            <xdr:cNvPr id="3009" name="LB_Item" hidden="1">
              <a:extLst>
                <a:ext uri="{63B3BB69-23CF-44E3-9099-C40C66FF867C}">
                  <a14:compatExt spid="_x0000_s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2933700</xdr:colOff>
          <xdr:row>2</xdr:row>
          <xdr:rowOff>66675</xdr:rowOff>
        </xdr:from>
        <xdr:to>
          <xdr:col>3</xdr:col>
          <xdr:colOff>5591175</xdr:colOff>
          <xdr:row>2</xdr:row>
          <xdr:rowOff>657225</xdr:rowOff>
        </xdr:to>
        <xdr:sp macro="" textlink="">
          <xdr:nvSpPr>
            <xdr:cNvPr id="3010" name="LB_Category" hidden="1">
              <a:extLst>
                <a:ext uri="{63B3BB69-23CF-44E3-9099-C40C66FF867C}">
                  <a14:compatExt spid="_x0000_s30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2233492</xdr:colOff>
      <xdr:row>3</xdr:row>
      <xdr:rowOff>10910</xdr:rowOff>
    </xdr:from>
    <xdr:to>
      <xdr:col>3</xdr:col>
      <xdr:colOff>4281748</xdr:colOff>
      <xdr:row>3</xdr:row>
      <xdr:rowOff>385814</xdr:rowOff>
    </xdr:to>
    <xdr:sp macro="[0]!B_GotoInput_Click" textlink="">
      <xdr:nvSpPr>
        <xdr:cNvPr id="16" name="B_BoQ"/>
        <xdr:cNvSpPr/>
      </xdr:nvSpPr>
      <xdr:spPr>
        <a:xfrm>
          <a:off x="5214817" y="1477760"/>
          <a:ext cx="2048256" cy="374904"/>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BILL OF QUANTITY</a:t>
          </a:r>
        </a:p>
      </xdr:txBody>
    </xdr:sp>
    <xdr:clientData/>
  </xdr:twoCellAnchor>
  <xdr:twoCellAnchor>
    <xdr:from>
      <xdr:col>3</xdr:col>
      <xdr:colOff>149764</xdr:colOff>
      <xdr:row>3</xdr:row>
      <xdr:rowOff>14552</xdr:rowOff>
    </xdr:from>
    <xdr:to>
      <xdr:col>3</xdr:col>
      <xdr:colOff>2198020</xdr:colOff>
      <xdr:row>3</xdr:row>
      <xdr:rowOff>390260</xdr:rowOff>
    </xdr:to>
    <xdr:sp macro="[0]!But_TransInput_Click" textlink="">
      <xdr:nvSpPr>
        <xdr:cNvPr id="17" name="B_Add2BoQ"/>
        <xdr:cNvSpPr/>
      </xdr:nvSpPr>
      <xdr:spPr>
        <a:xfrm>
          <a:off x="3016789" y="1481402"/>
          <a:ext cx="2048256" cy="375708"/>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ADD</a:t>
          </a:r>
          <a:r>
            <a:rPr lang="en-GB" sz="1200" b="1" baseline="0"/>
            <a:t> ITEM</a:t>
          </a:r>
          <a:endParaRPr lang="en-GB" sz="1200" b="1"/>
        </a:p>
      </xdr:txBody>
    </xdr:sp>
    <xdr:clientData/>
  </xdr:twoCellAnchor>
  <xdr:twoCellAnchor>
    <xdr:from>
      <xdr:col>6</xdr:col>
      <xdr:colOff>400049</xdr:colOff>
      <xdr:row>2</xdr:row>
      <xdr:rowOff>685799</xdr:rowOff>
    </xdr:from>
    <xdr:to>
      <xdr:col>7</xdr:col>
      <xdr:colOff>1209675</xdr:colOff>
      <xdr:row>3</xdr:row>
      <xdr:rowOff>374903</xdr:rowOff>
    </xdr:to>
    <xdr:sp macro="[0]!b_DDT_Click" textlink="">
      <xdr:nvSpPr>
        <xdr:cNvPr id="20" name="B_DDT"/>
        <xdr:cNvSpPr/>
      </xdr:nvSpPr>
      <xdr:spPr>
        <a:xfrm>
          <a:off x="14773274" y="1466849"/>
          <a:ext cx="2047876" cy="374904"/>
        </a:xfrm>
        <a:prstGeom prst="roundRect">
          <a:avLst/>
        </a:prstGeom>
        <a:solidFill>
          <a:srgbClr val="DF141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Datwyler Design Tool</a:t>
          </a:r>
        </a:p>
      </xdr:txBody>
    </xdr:sp>
    <xdr:clientData/>
  </xdr:twoCellAnchor>
  <xdr:twoCellAnchor editAs="oneCell">
    <xdr:from>
      <xdr:col>5</xdr:col>
      <xdr:colOff>1015042</xdr:colOff>
      <xdr:row>0</xdr:row>
      <xdr:rowOff>227720</xdr:rowOff>
    </xdr:from>
    <xdr:to>
      <xdr:col>7</xdr:col>
      <xdr:colOff>1171575</xdr:colOff>
      <xdr:row>1</xdr:row>
      <xdr:rowOff>219973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45317" y="227720"/>
          <a:ext cx="2633033" cy="535178"/>
        </a:xfrm>
        <a:prstGeom prst="rect">
          <a:avLst/>
        </a:prstGeom>
      </xdr:spPr>
    </xdr:pic>
    <xdr:clientData/>
  </xdr:twoCellAnchor>
  <xdr:twoCellAnchor>
    <xdr:from>
      <xdr:col>1</xdr:col>
      <xdr:colOff>9525</xdr:colOff>
      <xdr:row>0</xdr:row>
      <xdr:rowOff>514350</xdr:rowOff>
    </xdr:from>
    <xdr:to>
      <xdr:col>5</xdr:col>
      <xdr:colOff>967417</xdr:colOff>
      <xdr:row>0</xdr:row>
      <xdr:rowOff>514359</xdr:rowOff>
    </xdr:to>
    <xdr:cxnSp macro="">
      <xdr:nvCxnSpPr>
        <xdr:cNvPr id="4" name="Straight Connector 3"/>
        <xdr:cNvCxnSpPr/>
      </xdr:nvCxnSpPr>
      <xdr:spPr>
        <a:xfrm>
          <a:off x="228600" y="514350"/>
          <a:ext cx="14369092" cy="9"/>
        </a:xfrm>
        <a:prstGeom prst="line">
          <a:avLst/>
        </a:prstGeom>
        <a:ln>
          <a:solidFill>
            <a:schemeClr val="bg1">
              <a:lumMod val="75000"/>
            </a:schemeClr>
          </a:solidFill>
        </a:ln>
        <a:effectLst/>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2949584</xdr:colOff>
      <xdr:row>2</xdr:row>
      <xdr:rowOff>78200</xdr:rowOff>
    </xdr:from>
    <xdr:to>
      <xdr:col>3</xdr:col>
      <xdr:colOff>5605378</xdr:colOff>
      <xdr:row>2</xdr:row>
      <xdr:rowOff>672112</xdr:rowOff>
    </xdr:to>
    <xdr:sp macro="" textlink="">
      <xdr:nvSpPr>
        <xdr:cNvPr id="3" name="Rectangle 2"/>
        <xdr:cNvSpPr/>
      </xdr:nvSpPr>
      <xdr:spPr>
        <a:xfrm>
          <a:off x="5818290" y="851406"/>
          <a:ext cx="2655794" cy="593912"/>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ysClr val="windowText" lastClr="000000"/>
            </a:solidFill>
          </a:endParaRPr>
        </a:p>
      </xdr:txBody>
    </xdr:sp>
    <xdr:clientData/>
  </xdr:twoCellAnchor>
  <xdr:twoCellAnchor>
    <xdr:from>
      <xdr:col>3</xdr:col>
      <xdr:colOff>145092</xdr:colOff>
      <xdr:row>2</xdr:row>
      <xdr:rowOff>73230</xdr:rowOff>
    </xdr:from>
    <xdr:to>
      <xdr:col>3</xdr:col>
      <xdr:colOff>2800886</xdr:colOff>
      <xdr:row>2</xdr:row>
      <xdr:rowOff>667142</xdr:rowOff>
    </xdr:to>
    <xdr:sp macro="" textlink="">
      <xdr:nvSpPr>
        <xdr:cNvPr id="14" name="Rectangle 13"/>
        <xdr:cNvSpPr/>
      </xdr:nvSpPr>
      <xdr:spPr>
        <a:xfrm>
          <a:off x="3010875" y="860078"/>
          <a:ext cx="2655794" cy="593912"/>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ysClr val="windowText" lastClr="000000"/>
            </a:solidFill>
          </a:endParaRPr>
        </a:p>
      </xdr:txBody>
    </xdr:sp>
    <xdr:clientData/>
  </xdr:twoCellAnchor>
  <xdr:twoCellAnchor>
    <xdr:from>
      <xdr:col>1</xdr:col>
      <xdr:colOff>13203</xdr:colOff>
      <xdr:row>2</xdr:row>
      <xdr:rowOff>76542</xdr:rowOff>
    </xdr:from>
    <xdr:to>
      <xdr:col>3</xdr:col>
      <xdr:colOff>18562</xdr:colOff>
      <xdr:row>2</xdr:row>
      <xdr:rowOff>670454</xdr:rowOff>
    </xdr:to>
    <xdr:sp macro="" textlink="">
      <xdr:nvSpPr>
        <xdr:cNvPr id="21" name="Rectangle 20"/>
        <xdr:cNvSpPr/>
      </xdr:nvSpPr>
      <xdr:spPr>
        <a:xfrm>
          <a:off x="349379" y="860954"/>
          <a:ext cx="2649948" cy="593912"/>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400050</xdr:colOff>
          <xdr:row>3</xdr:row>
          <xdr:rowOff>9525</xdr:rowOff>
        </xdr:from>
        <xdr:to>
          <xdr:col>3</xdr:col>
          <xdr:colOff>0</xdr:colOff>
          <xdr:row>3</xdr:row>
          <xdr:rowOff>371475</xdr:rowOff>
        </xdr:to>
        <xdr:sp macro="" textlink="">
          <xdr:nvSpPr>
            <xdr:cNvPr id="3011" name="TxtB_Serch" hidden="1">
              <a:extLst>
                <a:ext uri="{63B3BB69-23CF-44E3-9099-C40C66FF867C}">
                  <a14:compatExt spid="_x0000_s3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5337</xdr:colOff>
      <xdr:row>3</xdr:row>
      <xdr:rowOff>3259</xdr:rowOff>
    </xdr:from>
    <xdr:to>
      <xdr:col>3</xdr:col>
      <xdr:colOff>14596</xdr:colOff>
      <xdr:row>3</xdr:row>
      <xdr:rowOff>391786</xdr:rowOff>
    </xdr:to>
    <xdr:sp macro="" textlink="">
      <xdr:nvSpPr>
        <xdr:cNvPr id="22" name="Rectangle 21"/>
        <xdr:cNvSpPr/>
      </xdr:nvSpPr>
      <xdr:spPr>
        <a:xfrm>
          <a:off x="341513" y="1471230"/>
          <a:ext cx="2653848" cy="388527"/>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ysClr val="windowText" lastClr="000000"/>
            </a:solidFill>
          </a:endParaRPr>
        </a:p>
      </xdr:txBody>
    </xdr:sp>
    <xdr:clientData/>
  </xdr:twoCellAnchor>
  <xdr:twoCellAnchor editAs="oneCell">
    <xdr:from>
      <xdr:col>1</xdr:col>
      <xdr:colOff>18890</xdr:colOff>
      <xdr:row>3</xdr:row>
      <xdr:rowOff>1</xdr:rowOff>
    </xdr:from>
    <xdr:to>
      <xdr:col>1</xdr:col>
      <xdr:colOff>392735</xdr:colOff>
      <xdr:row>3</xdr:row>
      <xdr:rowOff>390221</xdr:rowOff>
    </xdr:to>
    <xdr:pic macro="[0]!Picture18_Click">
      <xdr:nvPicPr>
        <xdr:cNvPr id="19" name="Picture 18"/>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842" t="4375" r="16785" b="45750"/>
        <a:stretch/>
      </xdr:blipFill>
      <xdr:spPr>
        <a:xfrm>
          <a:off x="355066" y="1467972"/>
          <a:ext cx="373845" cy="390220"/>
        </a:xfrm>
        <a:prstGeom prst="rect">
          <a:avLst/>
        </a:prstGeom>
      </xdr:spPr>
    </xdr:pic>
    <xdr:clientData/>
  </xdr:twoCellAnchor>
  <xdr:twoCellAnchor>
    <xdr:from>
      <xdr:col>3</xdr:col>
      <xdr:colOff>4341283</xdr:colOff>
      <xdr:row>3</xdr:row>
      <xdr:rowOff>14214</xdr:rowOff>
    </xdr:from>
    <xdr:to>
      <xdr:col>3</xdr:col>
      <xdr:colOff>6400799</xdr:colOff>
      <xdr:row>3</xdr:row>
      <xdr:rowOff>370116</xdr:rowOff>
    </xdr:to>
    <xdr:sp macro="[0]!DownloadPDFfromHome" textlink="">
      <xdr:nvSpPr>
        <xdr:cNvPr id="5" name="Rounded Rectangle 4"/>
        <xdr:cNvSpPr/>
      </xdr:nvSpPr>
      <xdr:spPr>
        <a:xfrm>
          <a:off x="7318526" y="1483785"/>
          <a:ext cx="2059516" cy="355902"/>
        </a:xfrm>
        <a:prstGeom prst="roundRect">
          <a:avLst/>
        </a:prstGeom>
        <a:solidFill>
          <a:srgbClr val="009FB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DATASHEET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268059</xdr:colOff>
      <xdr:row>1</xdr:row>
      <xdr:rowOff>178127</xdr:rowOff>
    </xdr:from>
    <xdr:to>
      <xdr:col>7</xdr:col>
      <xdr:colOff>1437527</xdr:colOff>
      <xdr:row>4</xdr:row>
      <xdr:rowOff>171450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9988" y="368627"/>
          <a:ext cx="3047254" cy="619252"/>
        </a:xfrm>
        <a:prstGeom prst="rect">
          <a:avLst/>
        </a:prstGeom>
      </xdr:spPr>
    </xdr:pic>
    <xdr:clientData/>
  </xdr:twoCellAnchor>
  <xdr:twoCellAnchor editAs="oneCell">
    <xdr:from>
      <xdr:col>1</xdr:col>
      <xdr:colOff>57149</xdr:colOff>
      <xdr:row>9</xdr:row>
      <xdr:rowOff>69850</xdr:rowOff>
    </xdr:from>
    <xdr:to>
      <xdr:col>3</xdr:col>
      <xdr:colOff>10885</xdr:colOff>
      <xdr:row>10</xdr:row>
      <xdr:rowOff>200025</xdr:rowOff>
    </xdr:to>
    <xdr:sp macro="[0]!B_Serch_Click" textlink="">
      <xdr:nvSpPr>
        <xdr:cNvPr id="7" name="B_SERCH"/>
        <xdr:cNvSpPr/>
      </xdr:nvSpPr>
      <xdr:spPr>
        <a:xfrm>
          <a:off x="209549" y="2232025"/>
          <a:ext cx="1830161" cy="368300"/>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HOME</a:t>
          </a:r>
        </a:p>
      </xdr:txBody>
    </xdr:sp>
    <xdr:clientData fPrintsWithSheet="0"/>
  </xdr:twoCellAnchor>
  <xdr:twoCellAnchor editAs="oneCell">
    <xdr:from>
      <xdr:col>3</xdr:col>
      <xdr:colOff>1976666</xdr:colOff>
      <xdr:row>9</xdr:row>
      <xdr:rowOff>73025</xdr:rowOff>
    </xdr:from>
    <xdr:to>
      <xdr:col>3</xdr:col>
      <xdr:colOff>3805466</xdr:colOff>
      <xdr:row>10</xdr:row>
      <xdr:rowOff>200660</xdr:rowOff>
    </xdr:to>
    <xdr:sp macro="[0]!B_Print_Click" textlink="">
      <xdr:nvSpPr>
        <xdr:cNvPr id="8" name="B_Printq"/>
        <xdr:cNvSpPr/>
      </xdr:nvSpPr>
      <xdr:spPr>
        <a:xfrm>
          <a:off x="4005491" y="2235200"/>
          <a:ext cx="1828800" cy="365760"/>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PRINT</a:t>
          </a:r>
        </a:p>
      </xdr:txBody>
    </xdr:sp>
    <xdr:clientData fPrintsWithSheet="0"/>
  </xdr:twoCellAnchor>
  <xdr:twoCellAnchor editAs="oneCell">
    <xdr:from>
      <xdr:col>3</xdr:col>
      <xdr:colOff>79378</xdr:colOff>
      <xdr:row>9</xdr:row>
      <xdr:rowOff>69850</xdr:rowOff>
    </xdr:from>
    <xdr:to>
      <xdr:col>3</xdr:col>
      <xdr:colOff>1908178</xdr:colOff>
      <xdr:row>10</xdr:row>
      <xdr:rowOff>197485</xdr:rowOff>
    </xdr:to>
    <xdr:sp macro="[0]!B_GotoInput_Click" textlink="">
      <xdr:nvSpPr>
        <xdr:cNvPr id="9" name="B_Quote"/>
        <xdr:cNvSpPr/>
      </xdr:nvSpPr>
      <xdr:spPr>
        <a:xfrm>
          <a:off x="2108203" y="2232025"/>
          <a:ext cx="1828800" cy="365760"/>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200" b="1">
              <a:solidFill>
                <a:schemeClr val="lt1"/>
              </a:solidFill>
              <a:effectLst/>
              <a:latin typeface="+mn-lt"/>
              <a:ea typeface="+mn-ea"/>
              <a:cs typeface="+mn-cs"/>
            </a:rPr>
            <a:t>BILL OF QUANTITY</a:t>
          </a:r>
          <a:endParaRPr lang="en-GB" sz="1200">
            <a:effectLst/>
          </a:endParaRPr>
        </a:p>
      </xdr:txBody>
    </xdr:sp>
    <xdr:clientData fPrintsWithSheet="0"/>
  </xdr:twoCellAnchor>
  <xdr:twoCellAnchor editAs="oneCell">
    <xdr:from>
      <xdr:col>3</xdr:col>
      <xdr:colOff>3884387</xdr:colOff>
      <xdr:row>9</xdr:row>
      <xdr:rowOff>73025</xdr:rowOff>
    </xdr:from>
    <xdr:to>
      <xdr:col>3</xdr:col>
      <xdr:colOff>5713187</xdr:colOff>
      <xdr:row>10</xdr:row>
      <xdr:rowOff>200660</xdr:rowOff>
    </xdr:to>
    <xdr:sp macro="[0]!DownloadPDFfromqUoute" textlink="">
      <xdr:nvSpPr>
        <xdr:cNvPr id="6" name="B_Refresh"/>
        <xdr:cNvSpPr/>
      </xdr:nvSpPr>
      <xdr:spPr>
        <a:xfrm>
          <a:off x="5913212" y="2235200"/>
          <a:ext cx="1828800" cy="365760"/>
        </a:xfrm>
        <a:prstGeom prst="roundRect">
          <a:avLst/>
        </a:prstGeom>
        <a:solidFill>
          <a:srgbClr val="009FB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DATA SHEETS</a:t>
          </a:r>
        </a:p>
      </xdr:txBody>
    </xdr:sp>
    <xdr:clientData fPrintsWithSheet="0"/>
  </xdr:twoCellAnchor>
  <xdr:twoCellAnchor>
    <xdr:from>
      <xdr:col>1</xdr:col>
      <xdr:colOff>27214</xdr:colOff>
      <xdr:row>3</xdr:row>
      <xdr:rowOff>85725</xdr:rowOff>
    </xdr:from>
    <xdr:to>
      <xdr:col>5</xdr:col>
      <xdr:colOff>153759</xdr:colOff>
      <xdr:row>3</xdr:row>
      <xdr:rowOff>85725</xdr:rowOff>
    </xdr:to>
    <xdr:cxnSp macro="">
      <xdr:nvCxnSpPr>
        <xdr:cNvPr id="10" name="Straight Connector 9"/>
        <xdr:cNvCxnSpPr/>
      </xdr:nvCxnSpPr>
      <xdr:spPr>
        <a:xfrm>
          <a:off x="176893" y="711654"/>
          <a:ext cx="10508795" cy="0"/>
        </a:xfrm>
        <a:prstGeom prst="line">
          <a:avLst/>
        </a:prstGeom>
        <a:ln>
          <a:solidFill>
            <a:schemeClr val="bg1">
              <a:lumMod val="75000"/>
            </a:schemeClr>
          </a:solidFill>
        </a:ln>
        <a:effectLst/>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2390775</xdr:colOff>
          <xdr:row>7</xdr:row>
          <xdr:rowOff>200025</xdr:rowOff>
        </xdr:from>
        <xdr:to>
          <xdr:col>3</xdr:col>
          <xdr:colOff>1076325</xdr:colOff>
          <xdr:row>9</xdr:row>
          <xdr:rowOff>0</xdr:rowOff>
        </xdr:to>
        <xdr:sp macro="" textlink="">
          <xdr:nvSpPr>
            <xdr:cNvPr id="9222" name="DD_PP_Color"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9217" name="DD_FO_Fiber_Type"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200025</xdr:rowOff>
        </xdr:from>
        <xdr:to>
          <xdr:col>4</xdr:col>
          <xdr:colOff>0</xdr:colOff>
          <xdr:row>19</xdr:row>
          <xdr:rowOff>0</xdr:rowOff>
        </xdr:to>
        <xdr:sp macro="" textlink="">
          <xdr:nvSpPr>
            <xdr:cNvPr id="9218" name="DD_FO_Fiber_Core"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2390775</xdr:colOff>
          <xdr:row>10</xdr:row>
          <xdr:rowOff>200025</xdr:rowOff>
        </xdr:from>
        <xdr:to>
          <xdr:col>4</xdr:col>
          <xdr:colOff>0</xdr:colOff>
          <xdr:row>12</xdr:row>
          <xdr:rowOff>0</xdr:rowOff>
        </xdr:to>
        <xdr:sp macro="" textlink="">
          <xdr:nvSpPr>
            <xdr:cNvPr id="9219" name="DD_PVC_LSOH"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2390775</xdr:colOff>
          <xdr:row>9</xdr:row>
          <xdr:rowOff>200025</xdr:rowOff>
        </xdr:from>
        <xdr:to>
          <xdr:col>4</xdr:col>
          <xdr:colOff>0</xdr:colOff>
          <xdr:row>11</xdr:row>
          <xdr:rowOff>0</xdr:rowOff>
        </xdr:to>
        <xdr:sp macro="" textlink="">
          <xdr:nvSpPr>
            <xdr:cNvPr id="9220" name="dd_Cable_Category"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0</xdr:colOff>
          <xdr:row>10</xdr:row>
          <xdr:rowOff>0</xdr:rowOff>
        </xdr:to>
        <xdr:sp macro="" textlink="">
          <xdr:nvSpPr>
            <xdr:cNvPr id="9221" name="DD_FP_Type"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200025</xdr:rowOff>
        </xdr:from>
        <xdr:to>
          <xdr:col>4</xdr:col>
          <xdr:colOff>0</xdr:colOff>
          <xdr:row>20</xdr:row>
          <xdr:rowOff>0</xdr:rowOff>
        </xdr:to>
        <xdr:sp macro="" textlink="">
          <xdr:nvSpPr>
            <xdr:cNvPr id="9223" name="DD_FO_Connector_type"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200025</xdr:rowOff>
        </xdr:from>
        <xdr:to>
          <xdr:col>4</xdr:col>
          <xdr:colOff>0</xdr:colOff>
          <xdr:row>21</xdr:row>
          <xdr:rowOff>0</xdr:rowOff>
        </xdr:to>
        <xdr:sp macro="" textlink="">
          <xdr:nvSpPr>
            <xdr:cNvPr id="9224" name="DD_FO_PC_Length"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1819275</xdr:colOff>
      <xdr:row>0</xdr:row>
      <xdr:rowOff>1152525</xdr:rowOff>
    </xdr:from>
    <xdr:to>
      <xdr:col>3</xdr:col>
      <xdr:colOff>1074319</xdr:colOff>
      <xdr:row>0</xdr:row>
      <xdr:rowOff>1524000</xdr:rowOff>
    </xdr:to>
    <xdr:sp macro="[0]!Print1" textlink="">
      <xdr:nvSpPr>
        <xdr:cNvPr id="2" name="B_Print"/>
        <xdr:cNvSpPr/>
      </xdr:nvSpPr>
      <xdr:spPr>
        <a:xfrm>
          <a:off x="2295525" y="1152525"/>
          <a:ext cx="1645819" cy="371475"/>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PRINT</a:t>
          </a:r>
        </a:p>
      </xdr:txBody>
    </xdr:sp>
    <xdr:clientData/>
  </xdr:twoCellAnchor>
  <xdr:twoCellAnchor>
    <xdr:from>
      <xdr:col>1</xdr:col>
      <xdr:colOff>236763</xdr:colOff>
      <xdr:row>0</xdr:row>
      <xdr:rowOff>1586318</xdr:rowOff>
    </xdr:from>
    <xdr:to>
      <xdr:col>2</xdr:col>
      <xdr:colOff>1752600</xdr:colOff>
      <xdr:row>0</xdr:row>
      <xdr:rowOff>1943099</xdr:rowOff>
    </xdr:to>
    <xdr:sp macro="[0]!ClearData" textlink="">
      <xdr:nvSpPr>
        <xdr:cNvPr id="14" name="B_Clear"/>
        <xdr:cNvSpPr/>
      </xdr:nvSpPr>
      <xdr:spPr>
        <a:xfrm>
          <a:off x="474888" y="1586318"/>
          <a:ext cx="1753962" cy="356781"/>
        </a:xfrm>
        <a:prstGeom prst="roundRect">
          <a:avLst/>
        </a:prstGeom>
        <a:solidFill>
          <a:srgbClr val="DF141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RESET</a:t>
          </a:r>
          <a:endParaRPr lang="en-GB" sz="900" b="1"/>
        </a:p>
      </xdr:txBody>
    </xdr:sp>
    <xdr:clientData/>
  </xdr:twoCellAnchor>
  <xdr:twoCellAnchor>
    <xdr:from>
      <xdr:col>5</xdr:col>
      <xdr:colOff>47451</xdr:colOff>
      <xdr:row>0</xdr:row>
      <xdr:rowOff>859649</xdr:rowOff>
    </xdr:from>
    <xdr:to>
      <xdr:col>6</xdr:col>
      <xdr:colOff>768916</xdr:colOff>
      <xdr:row>0</xdr:row>
      <xdr:rowOff>1183500</xdr:rowOff>
    </xdr:to>
    <xdr:sp macro="" textlink="">
      <xdr:nvSpPr>
        <xdr:cNvPr id="15" name="TextBox 14"/>
        <xdr:cNvSpPr txBox="1"/>
      </xdr:nvSpPr>
      <xdr:spPr>
        <a:xfrm>
          <a:off x="4352751" y="859649"/>
          <a:ext cx="1235815"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COMPANY</a:t>
          </a:r>
        </a:p>
      </xdr:txBody>
    </xdr:sp>
    <xdr:clientData/>
  </xdr:twoCellAnchor>
  <xdr:twoCellAnchor>
    <xdr:from>
      <xdr:col>5</xdr:col>
      <xdr:colOff>51261</xdr:colOff>
      <xdr:row>0</xdr:row>
      <xdr:rowOff>1189515</xdr:rowOff>
    </xdr:from>
    <xdr:to>
      <xdr:col>6</xdr:col>
      <xdr:colOff>772726</xdr:colOff>
      <xdr:row>0</xdr:row>
      <xdr:rowOff>1513366</xdr:rowOff>
    </xdr:to>
    <xdr:sp macro="" textlink="">
      <xdr:nvSpPr>
        <xdr:cNvPr id="16" name="TextBox 15"/>
        <xdr:cNvSpPr txBox="1"/>
      </xdr:nvSpPr>
      <xdr:spPr>
        <a:xfrm>
          <a:off x="4356561" y="1189515"/>
          <a:ext cx="1235815"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ATTENTION</a:t>
          </a:r>
        </a:p>
      </xdr:txBody>
    </xdr:sp>
    <xdr:clientData/>
  </xdr:twoCellAnchor>
  <xdr:twoCellAnchor>
    <xdr:from>
      <xdr:col>5</xdr:col>
      <xdr:colOff>55071</xdr:colOff>
      <xdr:row>0</xdr:row>
      <xdr:rowOff>1547855</xdr:rowOff>
    </xdr:from>
    <xdr:to>
      <xdr:col>6</xdr:col>
      <xdr:colOff>776536</xdr:colOff>
      <xdr:row>0</xdr:row>
      <xdr:rowOff>1871706</xdr:rowOff>
    </xdr:to>
    <xdr:sp macro="" textlink="">
      <xdr:nvSpPr>
        <xdr:cNvPr id="17" name="TextBox 16"/>
        <xdr:cNvSpPr txBox="1"/>
      </xdr:nvSpPr>
      <xdr:spPr>
        <a:xfrm>
          <a:off x="4360371" y="1547855"/>
          <a:ext cx="1235815"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CONTACT</a:t>
          </a:r>
        </a:p>
      </xdr:txBody>
    </xdr:sp>
    <xdr:clientData/>
  </xdr:twoCellAnchor>
  <xdr:twoCellAnchor>
    <xdr:from>
      <xdr:col>7</xdr:col>
      <xdr:colOff>6638158</xdr:colOff>
      <xdr:row>0</xdr:row>
      <xdr:rowOff>859649</xdr:rowOff>
    </xdr:from>
    <xdr:to>
      <xdr:col>8</xdr:col>
      <xdr:colOff>657226</xdr:colOff>
      <xdr:row>0</xdr:row>
      <xdr:rowOff>1183500</xdr:rowOff>
    </xdr:to>
    <xdr:sp macro="" textlink="">
      <xdr:nvSpPr>
        <xdr:cNvPr id="18" name="TextBox 17"/>
        <xdr:cNvSpPr txBox="1"/>
      </xdr:nvSpPr>
      <xdr:spPr>
        <a:xfrm>
          <a:off x="12381733" y="859649"/>
          <a:ext cx="1067568"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DATE</a:t>
          </a:r>
        </a:p>
      </xdr:txBody>
    </xdr:sp>
    <xdr:clientData/>
  </xdr:twoCellAnchor>
  <xdr:twoCellAnchor>
    <xdr:from>
      <xdr:col>7</xdr:col>
      <xdr:colOff>6641967</xdr:colOff>
      <xdr:row>0</xdr:row>
      <xdr:rowOff>1189515</xdr:rowOff>
    </xdr:from>
    <xdr:to>
      <xdr:col>8</xdr:col>
      <xdr:colOff>647700</xdr:colOff>
      <xdr:row>0</xdr:row>
      <xdr:rowOff>1513366</xdr:rowOff>
    </xdr:to>
    <xdr:sp macro="" textlink="">
      <xdr:nvSpPr>
        <xdr:cNvPr id="19" name="TextBox 18"/>
        <xdr:cNvSpPr txBox="1"/>
      </xdr:nvSpPr>
      <xdr:spPr>
        <a:xfrm>
          <a:off x="12385542" y="1189515"/>
          <a:ext cx="1054233"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PROJECT</a:t>
          </a:r>
        </a:p>
      </xdr:txBody>
    </xdr:sp>
    <xdr:clientData/>
  </xdr:twoCellAnchor>
  <xdr:twoCellAnchor>
    <xdr:from>
      <xdr:col>7</xdr:col>
      <xdr:colOff>6645778</xdr:colOff>
      <xdr:row>0</xdr:row>
      <xdr:rowOff>1547855</xdr:rowOff>
    </xdr:from>
    <xdr:to>
      <xdr:col>8</xdr:col>
      <xdr:colOff>657226</xdr:colOff>
      <xdr:row>0</xdr:row>
      <xdr:rowOff>1871706</xdr:rowOff>
    </xdr:to>
    <xdr:sp macro="" textlink="">
      <xdr:nvSpPr>
        <xdr:cNvPr id="20" name="TextBox 19"/>
        <xdr:cNvSpPr txBox="1"/>
      </xdr:nvSpPr>
      <xdr:spPr>
        <a:xfrm>
          <a:off x="12389353" y="1547855"/>
          <a:ext cx="1059948"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b="0"/>
            <a:t>REFERENCE #</a:t>
          </a:r>
        </a:p>
      </xdr:txBody>
    </xdr:sp>
    <xdr:clientData/>
  </xdr:twoCellAnchor>
  <xdr:twoCellAnchor>
    <xdr:from>
      <xdr:col>2</xdr:col>
      <xdr:colOff>1819275</xdr:colOff>
      <xdr:row>0</xdr:row>
      <xdr:rowOff>1590675</xdr:rowOff>
    </xdr:from>
    <xdr:to>
      <xdr:col>3</xdr:col>
      <xdr:colOff>1074419</xdr:colOff>
      <xdr:row>0</xdr:row>
      <xdr:rowOff>1943101</xdr:rowOff>
    </xdr:to>
    <xdr:sp macro="[0]!CopyOutput" textlink="">
      <xdr:nvSpPr>
        <xdr:cNvPr id="21" name="B_Print"/>
        <xdr:cNvSpPr/>
      </xdr:nvSpPr>
      <xdr:spPr>
        <a:xfrm>
          <a:off x="2295525" y="1590675"/>
          <a:ext cx="1645919" cy="352426"/>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EXPORT .xls</a:t>
          </a:r>
        </a:p>
      </xdr:txBody>
    </xdr:sp>
    <xdr:clientData/>
  </xdr:twoCellAnchor>
  <mc:AlternateContent xmlns:mc="http://schemas.openxmlformats.org/markup-compatibility/2006">
    <mc:Choice xmlns:a14="http://schemas.microsoft.com/office/drawing/2010/main" Requires="a14">
      <xdr:twoCellAnchor editAs="oneCell">
        <xdr:from>
          <xdr:col>1</xdr:col>
          <xdr:colOff>200025</xdr:colOff>
          <xdr:row>0</xdr:row>
          <xdr:rowOff>847725</xdr:rowOff>
        </xdr:from>
        <xdr:to>
          <xdr:col>2</xdr:col>
          <xdr:colOff>1905000</xdr:colOff>
          <xdr:row>0</xdr:row>
          <xdr:rowOff>1085850</xdr:rowOff>
        </xdr:to>
        <xdr:sp macro="" textlink="">
          <xdr:nvSpPr>
            <xdr:cNvPr id="9228" name="CB_FO" hidden="1">
              <a:extLst>
                <a:ext uri="{63B3BB69-23CF-44E3-9099-C40C66FF867C}">
                  <a14:compatExt spid="_x0000_s9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100" b="0" i="0" u="none" strike="noStrike" baseline="0">
                  <a:solidFill>
                    <a:srgbClr val="000000"/>
                  </a:solidFill>
                  <a:latin typeface="Arial"/>
                  <a:cs typeface="Arial"/>
                </a:rPr>
                <a:t> FIBER OPTIC SOLUTION</a:t>
              </a:r>
            </a:p>
          </xdr:txBody>
        </xdr:sp>
        <xdr:clientData/>
      </xdr:twoCellAnchor>
    </mc:Choice>
    <mc:Fallback/>
  </mc:AlternateContent>
  <xdr:twoCellAnchor editAs="oneCell">
    <xdr:from>
      <xdr:col>1</xdr:col>
      <xdr:colOff>190500</xdr:colOff>
      <xdr:row>0</xdr:row>
      <xdr:rowOff>590550</xdr:rowOff>
    </xdr:from>
    <xdr:to>
      <xdr:col>2</xdr:col>
      <xdr:colOff>1733550</xdr:colOff>
      <xdr:row>0</xdr:row>
      <xdr:rowOff>828675</xdr:rowOff>
    </xdr:to>
    <xdr:sp macro="" textlink="">
      <xdr:nvSpPr>
        <xdr:cNvPr id="9237" name="CB_CU"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6</xdr:col>
          <xdr:colOff>838200</xdr:colOff>
          <xdr:row>0</xdr:row>
          <xdr:rowOff>904875</xdr:rowOff>
        </xdr:from>
        <xdr:to>
          <xdr:col>7</xdr:col>
          <xdr:colOff>2981325</xdr:colOff>
          <xdr:row>0</xdr:row>
          <xdr:rowOff>1171575</xdr:rowOff>
        </xdr:to>
        <xdr:sp macro="" textlink="">
          <xdr:nvSpPr>
            <xdr:cNvPr id="9231" name="TextBox1" hidden="1">
              <a:extLst>
                <a:ext uri="{63B3BB69-23CF-44E3-9099-C40C66FF867C}">
                  <a14:compatExt spid="_x0000_s9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828675</xdr:colOff>
          <xdr:row>0</xdr:row>
          <xdr:rowOff>1238250</xdr:rowOff>
        </xdr:from>
        <xdr:to>
          <xdr:col>7</xdr:col>
          <xdr:colOff>2971800</xdr:colOff>
          <xdr:row>0</xdr:row>
          <xdr:rowOff>1514475</xdr:rowOff>
        </xdr:to>
        <xdr:sp macro="" textlink="">
          <xdr:nvSpPr>
            <xdr:cNvPr id="9232" name="TextBox2" hidden="1">
              <a:extLst>
                <a:ext uri="{63B3BB69-23CF-44E3-9099-C40C66FF867C}">
                  <a14:compatExt spid="_x0000_s9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819150</xdr:colOff>
          <xdr:row>0</xdr:row>
          <xdr:rowOff>1600200</xdr:rowOff>
        </xdr:from>
        <xdr:to>
          <xdr:col>7</xdr:col>
          <xdr:colOff>2962275</xdr:colOff>
          <xdr:row>0</xdr:row>
          <xdr:rowOff>1876425</xdr:rowOff>
        </xdr:to>
        <xdr:sp macro="" textlink="">
          <xdr:nvSpPr>
            <xdr:cNvPr id="9233" name="TextBox3" hidden="1">
              <a:extLst>
                <a:ext uri="{63B3BB69-23CF-44E3-9099-C40C66FF867C}">
                  <a14:compatExt spid="_x0000_s9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695325</xdr:colOff>
          <xdr:row>0</xdr:row>
          <xdr:rowOff>895350</xdr:rowOff>
        </xdr:from>
        <xdr:to>
          <xdr:col>11</xdr:col>
          <xdr:colOff>1114425</xdr:colOff>
          <xdr:row>0</xdr:row>
          <xdr:rowOff>1162050</xdr:rowOff>
        </xdr:to>
        <xdr:sp macro="" textlink="">
          <xdr:nvSpPr>
            <xdr:cNvPr id="9234" name="TextBox4" hidden="1">
              <a:extLst>
                <a:ext uri="{63B3BB69-23CF-44E3-9099-C40C66FF867C}">
                  <a14:compatExt spid="_x0000_s92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695325</xdr:colOff>
          <xdr:row>0</xdr:row>
          <xdr:rowOff>1228725</xdr:rowOff>
        </xdr:from>
        <xdr:to>
          <xdr:col>11</xdr:col>
          <xdr:colOff>1114425</xdr:colOff>
          <xdr:row>0</xdr:row>
          <xdr:rowOff>1504950</xdr:rowOff>
        </xdr:to>
        <xdr:sp macro="" textlink="">
          <xdr:nvSpPr>
            <xdr:cNvPr id="9235" name="TextBox5" hidden="1">
              <a:extLst>
                <a:ext uri="{63B3BB69-23CF-44E3-9099-C40C66FF867C}">
                  <a14:compatExt spid="_x0000_s92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695325</xdr:colOff>
          <xdr:row>0</xdr:row>
          <xdr:rowOff>1590675</xdr:rowOff>
        </xdr:from>
        <xdr:to>
          <xdr:col>11</xdr:col>
          <xdr:colOff>1114425</xdr:colOff>
          <xdr:row>0</xdr:row>
          <xdr:rowOff>1866900</xdr:rowOff>
        </xdr:to>
        <xdr:sp macro="" textlink="">
          <xdr:nvSpPr>
            <xdr:cNvPr id="9236" name="TextBox6" hidden="1">
              <a:extLst>
                <a:ext uri="{63B3BB69-23CF-44E3-9099-C40C66FF867C}">
                  <a14:compatExt spid="_x0000_s92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3981</xdr:colOff>
      <xdr:row>0</xdr:row>
      <xdr:rowOff>1148443</xdr:rowOff>
    </xdr:from>
    <xdr:to>
      <xdr:col>2</xdr:col>
      <xdr:colOff>1738993</xdr:colOff>
      <xdr:row>0</xdr:row>
      <xdr:rowOff>1519918</xdr:rowOff>
    </xdr:to>
    <xdr:sp macro="[0]!B_Serch_Click" textlink="">
      <xdr:nvSpPr>
        <xdr:cNvPr id="28" name="B_SERCH"/>
        <xdr:cNvSpPr/>
      </xdr:nvSpPr>
      <xdr:spPr>
        <a:xfrm>
          <a:off x="482952" y="1148443"/>
          <a:ext cx="1735012" cy="371475"/>
        </a:xfrm>
        <a:prstGeom prst="roundRect">
          <a:avLst/>
        </a:prstGeom>
        <a:solidFill>
          <a:schemeClr val="bg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HOME</a:t>
          </a:r>
          <a:endParaRPr lang="en-GB" sz="900" b="1"/>
        </a:p>
      </xdr:txBody>
    </xdr:sp>
    <xdr:clientData/>
  </xdr:twoCellAnchor>
  <xdr:twoCellAnchor editAs="oneCell">
    <xdr:from>
      <xdr:col>9</xdr:col>
      <xdr:colOff>262063</xdr:colOff>
      <xdr:row>0</xdr:row>
      <xdr:rowOff>222219</xdr:rowOff>
    </xdr:from>
    <xdr:to>
      <xdr:col>11</xdr:col>
      <xdr:colOff>1094661</xdr:colOff>
      <xdr:row>0</xdr:row>
      <xdr:rowOff>704896</xdr:rowOff>
    </xdr:to>
    <xdr:pic>
      <xdr:nvPicPr>
        <xdr:cNvPr id="29" name="Picture 2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67920" y="222219"/>
          <a:ext cx="2383812" cy="482677"/>
        </a:xfrm>
        <a:prstGeom prst="rect">
          <a:avLst/>
        </a:prstGeom>
      </xdr:spPr>
    </xdr:pic>
    <xdr:clientData fPrintsWithSheet="0"/>
  </xdr:twoCellAnchor>
  <xdr:twoCellAnchor>
    <xdr:from>
      <xdr:col>2</xdr:col>
      <xdr:colOff>54429</xdr:colOff>
      <xdr:row>0</xdr:row>
      <xdr:rowOff>480491</xdr:rowOff>
    </xdr:from>
    <xdr:to>
      <xdr:col>9</xdr:col>
      <xdr:colOff>182584</xdr:colOff>
      <xdr:row>0</xdr:row>
      <xdr:rowOff>480491</xdr:rowOff>
    </xdr:to>
    <xdr:cxnSp macro="">
      <xdr:nvCxnSpPr>
        <xdr:cNvPr id="30" name="Straight Connector 29"/>
        <xdr:cNvCxnSpPr/>
      </xdr:nvCxnSpPr>
      <xdr:spPr>
        <a:xfrm>
          <a:off x="544286" y="480491"/>
          <a:ext cx="13844155" cy="0"/>
        </a:xfrm>
        <a:prstGeom prst="line">
          <a:avLst/>
        </a:prstGeom>
        <a:ln>
          <a:solidFill>
            <a:schemeClr val="bg1">
              <a:lumMod val="75000"/>
            </a:schemeClr>
          </a:solidFill>
        </a:ln>
        <a:effectLst/>
      </xdr:spPr>
      <xdr:style>
        <a:lnRef idx="1">
          <a:schemeClr val="dk1"/>
        </a:lnRef>
        <a:fillRef idx="0">
          <a:schemeClr val="dk1"/>
        </a:fillRef>
        <a:effectRef idx="0">
          <a:schemeClr val="dk1"/>
        </a:effectRef>
        <a:fontRef idx="minor">
          <a:schemeClr val="tx1"/>
        </a:fontRef>
      </xdr:style>
    </xdr:cxnSp>
    <xdr:clientData fPrintsWithSheet="0"/>
  </xdr:twoCellAnchor>
  <mc:AlternateContent xmlns:mc="http://schemas.openxmlformats.org/markup-compatibility/2006">
    <mc:Choice xmlns:a14="http://schemas.microsoft.com/office/drawing/2010/main" Requires="a14">
      <xdr:twoCellAnchor editAs="oneCell">
        <xdr:from>
          <xdr:col>1</xdr:col>
          <xdr:colOff>190500</xdr:colOff>
          <xdr:row>0</xdr:row>
          <xdr:rowOff>590550</xdr:rowOff>
        </xdr:from>
        <xdr:to>
          <xdr:col>2</xdr:col>
          <xdr:colOff>1733550</xdr:colOff>
          <xdr:row>0</xdr:row>
          <xdr:rowOff>828675</xdr:rowOff>
        </xdr:to>
        <xdr:sp macro="" textlink="">
          <xdr:nvSpPr>
            <xdr:cNvPr id="9229" name="CB_CU" hidden="1">
              <a:extLst>
                <a:ext uri="{63B3BB69-23CF-44E3-9099-C40C66FF867C}">
                  <a14:compatExt spid="_x0000_s9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100" b="0" i="0" u="none" strike="noStrike" baseline="0">
                  <a:solidFill>
                    <a:srgbClr val="000000"/>
                  </a:solidFill>
                  <a:latin typeface="Arial"/>
                  <a:cs typeface="Arial"/>
                </a:rPr>
                <a:t> COPPER SOLUTION</a:t>
              </a:r>
            </a:p>
          </xdr:txBody>
        </xdr:sp>
        <xdr:clientData/>
      </xdr:twoCellAnchor>
    </mc:Choice>
    <mc:Fallback/>
  </mc:AlternateContent>
  <xdr:twoCellAnchor editAs="oneCell">
    <xdr:from>
      <xdr:col>1</xdr:col>
      <xdr:colOff>190500</xdr:colOff>
      <xdr:row>0</xdr:row>
      <xdr:rowOff>590550</xdr:rowOff>
    </xdr:from>
    <xdr:to>
      <xdr:col>2</xdr:col>
      <xdr:colOff>1733550</xdr:colOff>
      <xdr:row>0</xdr:row>
      <xdr:rowOff>828675</xdr:rowOff>
    </xdr:to>
    <xdr:sp macro="" textlink="">
      <xdr:nvSpPr>
        <xdr:cNvPr id="3"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4" name="AutoShape 21" hidden="1">
          <a:extLst>
            <a:ext uri="{63B3BB69-23CF-44E3-9099-C40C66FF867C}">
              <a14:compatExt xmlns:a14="http://schemas.microsoft.com/office/drawing/2010/main" spid="_x0000_s9237"/>
            </a:ext>
          </a:extLst>
        </xdr:cNvPr>
        <xdr:cNvSpPr/>
      </xdr:nvSpPr>
      <xdr:spPr>
        <a:xfrm>
          <a:off x="0" y="0"/>
          <a:ext cx="0" cy="0"/>
        </a:xfrm>
        <a:prstGeom prst="rect">
          <a:avLst/>
        </a:prstGeom>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5"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6"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7"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8"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10"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11"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12"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13"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5</xdr:col>
      <xdr:colOff>21165</xdr:colOff>
      <xdr:row>20</xdr:row>
      <xdr:rowOff>116417</xdr:rowOff>
    </xdr:from>
    <xdr:to>
      <xdr:col>6</xdr:col>
      <xdr:colOff>920749</xdr:colOff>
      <xdr:row>21</xdr:row>
      <xdr:rowOff>190500</xdr:rowOff>
    </xdr:to>
    <xdr:sp macro="[0]!DownloadPDFfromDDT" textlink="">
      <xdr:nvSpPr>
        <xdr:cNvPr id="22" name="Rounded Rectangle 21"/>
        <xdr:cNvSpPr/>
      </xdr:nvSpPr>
      <xdr:spPr>
        <a:xfrm>
          <a:off x="4339165" y="6074834"/>
          <a:ext cx="1418167" cy="275166"/>
        </a:xfrm>
        <a:prstGeom prst="roundRect">
          <a:avLst/>
        </a:prstGeom>
        <a:solidFill>
          <a:srgbClr val="009FB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t>DATA</a:t>
          </a:r>
          <a:r>
            <a:rPr lang="en-GB" sz="1200" b="1" baseline="0"/>
            <a:t> SHEET</a:t>
          </a:r>
          <a:endParaRPr lang="en-GB" sz="1200" b="1"/>
        </a:p>
      </xdr:txBody>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23"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24"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25"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26"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27"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31"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16"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25"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26"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27"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30"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38"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39"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0"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1"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2"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3"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4"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5"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6"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7"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8"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49"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50"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190500</xdr:colOff>
      <xdr:row>0</xdr:row>
      <xdr:rowOff>590550</xdr:rowOff>
    </xdr:from>
    <xdr:to>
      <xdr:col>2</xdr:col>
      <xdr:colOff>1733550</xdr:colOff>
      <xdr:row>0</xdr:row>
      <xdr:rowOff>828675</xdr:rowOff>
    </xdr:to>
    <xdr:sp macro="" textlink="">
      <xdr:nvSpPr>
        <xdr:cNvPr id="9251" name="AutoShape 21" hidden="1">
          <a:extLst>
            <a:ext uri="{63B3BB69-23CF-44E3-9099-C40C66FF867C}">
              <a14:compatExt xmlns:a14="http://schemas.microsoft.com/office/drawing/2010/main" spid="_x0000_s9237"/>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190500</xdr:colOff>
          <xdr:row>0</xdr:row>
          <xdr:rowOff>590550</xdr:rowOff>
        </xdr:from>
        <xdr:to>
          <xdr:col>2</xdr:col>
          <xdr:colOff>1733550</xdr:colOff>
          <xdr:row>0</xdr:row>
          <xdr:rowOff>828675</xdr:rowOff>
        </xdr:to>
        <xdr:sp macro="" textlink="">
          <xdr:nvSpPr>
            <xdr:cNvPr id="9252" name="AutoShape 21" hidden="1">
              <a:extLst>
                <a:ext uri="{63B3BB69-23CF-44E3-9099-C40C66FF867C}">
                  <a14:compatExt spid="_x0000_s92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7</xdr:col>
      <xdr:colOff>781050</xdr:colOff>
      <xdr:row>51</xdr:row>
      <xdr:rowOff>95250</xdr:rowOff>
    </xdr:from>
    <xdr:to>
      <xdr:col>11</xdr:col>
      <xdr:colOff>19530</xdr:colOff>
      <xdr:row>54</xdr:row>
      <xdr:rowOff>38168</xdr:rowOff>
    </xdr:to>
    <xdr:pic>
      <xdr:nvPicPr>
        <xdr:cNvPr id="2" name="Picture 1"/>
        <xdr:cNvPicPr>
          <a:picLocks noChangeAspect="1"/>
        </xdr:cNvPicPr>
      </xdr:nvPicPr>
      <xdr:blipFill>
        <a:blip xmlns:r="http://schemas.openxmlformats.org/officeDocument/2006/relationships" r:embed="rId1"/>
        <a:stretch>
          <a:fillRect/>
        </a:stretch>
      </xdr:blipFill>
      <xdr:spPr>
        <a:xfrm>
          <a:off x="8839200" y="9658350"/>
          <a:ext cx="3439005" cy="48584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a:solidFill>
            <a:schemeClr val="bg1">
              <a:lumMod val="75000"/>
            </a:schemeClr>
          </a:solidFill>
        </a:ln>
        <a:effectLst/>
      </a:spPr>
      <a:bodyPr/>
      <a:lstStyle/>
      <a:style>
        <a:lnRef idx="1">
          <a:schemeClr val="dk1"/>
        </a:lnRef>
        <a:fillRef idx="0">
          <a:schemeClr val="dk1"/>
        </a:fillRef>
        <a:effectRef idx="0">
          <a:schemeClr val="dk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info.cabling.ae@datwyler.com" TargetMode="External"/><Relationship Id="rId1" Type="http://schemas.openxmlformats.org/officeDocument/2006/relationships/hyperlink" Target="http://www.cabling.datwyler.com/" TargetMode="Externa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7.emf"/><Relationship Id="rId18" Type="http://schemas.openxmlformats.org/officeDocument/2006/relationships/ctrlProp" Target="../ctrlProps/ctrlProp5.xml"/><Relationship Id="rId26" Type="http://schemas.openxmlformats.org/officeDocument/2006/relationships/ctrlProp" Target="../ctrlProps/ctrlProp13.xml"/><Relationship Id="rId3" Type="http://schemas.openxmlformats.org/officeDocument/2006/relationships/printerSettings" Target="../printerSettings/printerSettings5.bin"/><Relationship Id="rId21" Type="http://schemas.openxmlformats.org/officeDocument/2006/relationships/ctrlProp" Target="../ctrlProps/ctrlProp8.xml"/><Relationship Id="rId7" Type="http://schemas.openxmlformats.org/officeDocument/2006/relationships/control" Target="../activeX/activeX2.xml"/><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2" Type="http://schemas.openxmlformats.org/officeDocument/2006/relationships/hyperlink" Target="mailto:info.cabling.ae@datwyler.com" TargetMode="External"/><Relationship Id="rId16" Type="http://schemas.openxmlformats.org/officeDocument/2006/relationships/image" Target="../media/image8.emf"/><Relationship Id="rId20" Type="http://schemas.openxmlformats.org/officeDocument/2006/relationships/ctrlProp" Target="../ctrlProps/ctrlProp7.xml"/><Relationship Id="rId1" Type="http://schemas.openxmlformats.org/officeDocument/2006/relationships/hyperlink" Target="http://www.cabling.datwyler.com/" TargetMode="External"/><Relationship Id="rId6" Type="http://schemas.openxmlformats.org/officeDocument/2006/relationships/vmlDrawing" Target="../drawings/vmlDrawing3.vml"/><Relationship Id="rId11" Type="http://schemas.openxmlformats.org/officeDocument/2006/relationships/image" Target="../media/image6.emf"/><Relationship Id="rId24"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drawing" Target="../drawings/drawing4.xml"/><Relationship Id="rId9" Type="http://schemas.openxmlformats.org/officeDocument/2006/relationships/control" Target="../activeX/activeX3.xml"/><Relationship Id="rId14" Type="http://schemas.openxmlformats.org/officeDocument/2006/relationships/control" Target="../activeX/activeX6.xml"/><Relationship Id="rId22"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533"/>
  <sheetViews>
    <sheetView zoomScale="80" zoomScaleNormal="80" workbookViewId="0">
      <pane ySplit="8" topLeftCell="A849" activePane="bottomLeft" state="frozen"/>
      <selection activeCell="C11" sqref="C11"/>
      <selection pane="bottomLeft" activeCell="B878" sqref="B878"/>
    </sheetView>
  </sheetViews>
  <sheetFormatPr defaultRowHeight="15.95" customHeight="1" x14ac:dyDescent="0.2"/>
  <cols>
    <col min="1" max="1" width="6.625" customWidth="1"/>
    <col min="2" max="2" width="15.5" style="83" bestFit="1" customWidth="1"/>
    <col min="3" max="3" width="9" style="6"/>
    <col min="4" max="4" width="105.625" bestFit="1" customWidth="1"/>
    <col min="5" max="5" width="9.75" style="15" customWidth="1"/>
    <col min="6" max="6" width="11.625" style="15" customWidth="1"/>
    <col min="7" max="7" width="13.875" style="15" customWidth="1"/>
    <col min="8" max="8" width="15" style="9" bestFit="1" customWidth="1"/>
    <col min="9" max="9" width="9" style="34"/>
    <col min="10" max="10" width="13.75" customWidth="1"/>
  </cols>
  <sheetData>
    <row r="1" spans="2:10" ht="15.95" customHeight="1" x14ac:dyDescent="0.2">
      <c r="C1" s="30"/>
    </row>
    <row r="2" spans="2:10" ht="15" x14ac:dyDescent="0.2">
      <c r="B2" s="37"/>
      <c r="C2" s="35"/>
      <c r="D2" s="17"/>
      <c r="E2" s="36"/>
      <c r="F2" s="36"/>
      <c r="G2" s="36"/>
      <c r="H2" s="36"/>
      <c r="I2" s="36"/>
      <c r="J2" s="36"/>
    </row>
    <row r="3" spans="2:10" ht="15" x14ac:dyDescent="0.2">
      <c r="B3" s="84" t="s">
        <v>30</v>
      </c>
      <c r="C3" s="10" t="s">
        <v>31</v>
      </c>
      <c r="D3" s="10" t="s">
        <v>48</v>
      </c>
      <c r="E3" s="10" t="s">
        <v>587</v>
      </c>
      <c r="F3" s="10" t="s">
        <v>588</v>
      </c>
      <c r="G3" s="10" t="s">
        <v>32</v>
      </c>
      <c r="H3" s="11" t="s">
        <v>931</v>
      </c>
      <c r="I3" s="36"/>
      <c r="J3" s="36"/>
    </row>
    <row r="4" spans="2:10" ht="14.25" x14ac:dyDescent="0.2">
      <c r="B4" s="85"/>
      <c r="C4" s="35"/>
      <c r="D4" s="17"/>
      <c r="E4" s="36"/>
      <c r="F4" s="36"/>
      <c r="G4" s="36"/>
      <c r="H4" s="36"/>
      <c r="I4" s="36"/>
      <c r="J4" s="36"/>
    </row>
    <row r="5" spans="2:10" s="15" customFormat="1" ht="15" x14ac:dyDescent="0.2">
      <c r="B5" s="37"/>
      <c r="C5" s="38"/>
      <c r="D5" s="38"/>
      <c r="E5" s="38"/>
      <c r="F5" s="38"/>
      <c r="G5" s="38"/>
      <c r="H5" s="39"/>
      <c r="I5" s="40"/>
      <c r="J5" s="38"/>
    </row>
    <row r="6" spans="2:10" s="15" customFormat="1" ht="15" x14ac:dyDescent="0.2">
      <c r="B6" s="37"/>
      <c r="C6" s="38"/>
      <c r="D6" s="38"/>
      <c r="E6" s="38"/>
      <c r="F6" s="38"/>
      <c r="G6" s="38"/>
      <c r="H6" s="39"/>
      <c r="I6" s="40"/>
      <c r="J6" s="38"/>
    </row>
    <row r="7" spans="2:10" ht="14.25" x14ac:dyDescent="0.2">
      <c r="G7" s="15" t="s">
        <v>932</v>
      </c>
      <c r="H7" s="324">
        <v>0.56000000000000005</v>
      </c>
    </row>
    <row r="8" spans="2:10" ht="23.25" customHeight="1" x14ac:dyDescent="0.2">
      <c r="B8" s="84" t="s">
        <v>30</v>
      </c>
      <c r="C8" s="10" t="s">
        <v>31</v>
      </c>
      <c r="D8" s="10" t="s">
        <v>48</v>
      </c>
      <c r="E8" s="10" t="s">
        <v>587</v>
      </c>
      <c r="F8" s="10" t="s">
        <v>588</v>
      </c>
      <c r="G8" s="10" t="s">
        <v>32</v>
      </c>
      <c r="H8" s="11" t="s">
        <v>931</v>
      </c>
      <c r="I8" s="11" t="s">
        <v>932</v>
      </c>
      <c r="J8" s="10" t="s">
        <v>933</v>
      </c>
    </row>
    <row r="9" spans="2:10" ht="15.95" customHeight="1" x14ac:dyDescent="0.2">
      <c r="B9" s="77" t="s">
        <v>19</v>
      </c>
      <c r="C9" s="12" t="s">
        <v>628</v>
      </c>
      <c r="D9" s="3" t="s">
        <v>426</v>
      </c>
      <c r="E9" s="22" t="s">
        <v>600</v>
      </c>
      <c r="F9" s="1" t="s">
        <v>584</v>
      </c>
      <c r="G9" s="13" t="s">
        <v>631</v>
      </c>
      <c r="H9" s="23">
        <v>8602</v>
      </c>
      <c r="I9" s="41">
        <f t="shared" ref="I9:I72" si="0">$H$7</f>
        <v>0.56000000000000005</v>
      </c>
      <c r="J9" s="44">
        <f t="shared" ref="J9:J72" si="1">H9-H9*I9</f>
        <v>3784.8799999999992</v>
      </c>
    </row>
    <row r="10" spans="2:10" ht="15.95" customHeight="1" x14ac:dyDescent="0.2">
      <c r="B10" s="77" t="s">
        <v>18</v>
      </c>
      <c r="C10" s="12" t="s">
        <v>628</v>
      </c>
      <c r="D10" s="3" t="s">
        <v>424</v>
      </c>
      <c r="E10" s="22" t="s">
        <v>600</v>
      </c>
      <c r="F10" s="1" t="s">
        <v>584</v>
      </c>
      <c r="G10" s="12" t="s">
        <v>42</v>
      </c>
      <c r="H10" s="23">
        <v>11303.6</v>
      </c>
      <c r="I10" s="41">
        <f t="shared" si="0"/>
        <v>0.56000000000000005</v>
      </c>
      <c r="J10" s="44">
        <f t="shared" si="1"/>
        <v>4973.5839999999998</v>
      </c>
    </row>
    <row r="11" spans="2:10" ht="15.95" customHeight="1" x14ac:dyDescent="0.2">
      <c r="B11" s="77" t="s">
        <v>17</v>
      </c>
      <c r="C11" s="12" t="s">
        <v>628</v>
      </c>
      <c r="D11" s="3" t="s">
        <v>423</v>
      </c>
      <c r="E11" s="22" t="s">
        <v>600</v>
      </c>
      <c r="F11" s="1" t="s">
        <v>584</v>
      </c>
      <c r="G11" s="12" t="s">
        <v>42</v>
      </c>
      <c r="H11" s="23">
        <v>7136.8</v>
      </c>
      <c r="I11" s="41">
        <f t="shared" si="0"/>
        <v>0.56000000000000005</v>
      </c>
      <c r="J11" s="44">
        <f t="shared" si="1"/>
        <v>3140.1919999999996</v>
      </c>
    </row>
    <row r="12" spans="2:10" ht="15.95" customHeight="1" x14ac:dyDescent="0.2">
      <c r="B12" s="77" t="s">
        <v>16</v>
      </c>
      <c r="C12" s="12" t="s">
        <v>628</v>
      </c>
      <c r="D12" s="3" t="s">
        <v>422</v>
      </c>
      <c r="E12" s="22" t="s">
        <v>600</v>
      </c>
      <c r="F12" s="1" t="s">
        <v>584</v>
      </c>
      <c r="G12" s="12" t="s">
        <v>41</v>
      </c>
      <c r="H12" s="23">
        <v>6872.8</v>
      </c>
      <c r="I12" s="41">
        <f t="shared" si="0"/>
        <v>0.56000000000000005</v>
      </c>
      <c r="J12" s="44">
        <f t="shared" si="1"/>
        <v>3024.0319999999997</v>
      </c>
    </row>
    <row r="13" spans="2:10" ht="15.95" customHeight="1" x14ac:dyDescent="0.2">
      <c r="B13" s="77" t="s">
        <v>15</v>
      </c>
      <c r="C13" s="12" t="s">
        <v>628</v>
      </c>
      <c r="D13" s="3" t="s">
        <v>421</v>
      </c>
      <c r="E13" s="22" t="s">
        <v>600</v>
      </c>
      <c r="F13" s="1" t="s">
        <v>584</v>
      </c>
      <c r="G13" s="12" t="s">
        <v>41</v>
      </c>
      <c r="H13" s="23">
        <v>4919.2000000000007</v>
      </c>
      <c r="I13" s="41">
        <f t="shared" si="0"/>
        <v>0.56000000000000005</v>
      </c>
      <c r="J13" s="44">
        <f t="shared" si="1"/>
        <v>2164.4479999999999</v>
      </c>
    </row>
    <row r="14" spans="2:10" ht="15.95" customHeight="1" x14ac:dyDescent="0.2">
      <c r="B14" s="77" t="s">
        <v>22</v>
      </c>
      <c r="C14" s="12" t="s">
        <v>628</v>
      </c>
      <c r="D14" s="3" t="s">
        <v>492</v>
      </c>
      <c r="E14" s="22" t="s">
        <v>600</v>
      </c>
      <c r="F14" s="1" t="s">
        <v>584</v>
      </c>
      <c r="G14" s="12" t="s">
        <v>42</v>
      </c>
      <c r="H14" s="23">
        <v>28089.600000000002</v>
      </c>
      <c r="I14" s="41">
        <f t="shared" si="0"/>
        <v>0.56000000000000005</v>
      </c>
      <c r="J14" s="44">
        <f t="shared" si="1"/>
        <v>12359.423999999999</v>
      </c>
    </row>
    <row r="15" spans="2:10" ht="15.95" customHeight="1" x14ac:dyDescent="0.2">
      <c r="B15" s="77" t="s">
        <v>14</v>
      </c>
      <c r="C15" s="12" t="s">
        <v>628</v>
      </c>
      <c r="D15" s="3" t="s">
        <v>413</v>
      </c>
      <c r="E15" s="22" t="s">
        <v>600</v>
      </c>
      <c r="F15" s="1" t="s">
        <v>582</v>
      </c>
      <c r="G15" s="13" t="s">
        <v>631</v>
      </c>
      <c r="H15" s="23">
        <v>5505.5000000000018</v>
      </c>
      <c r="I15" s="41">
        <f t="shared" si="0"/>
        <v>0.56000000000000005</v>
      </c>
      <c r="J15" s="44">
        <f t="shared" si="1"/>
        <v>2422.4200000000005</v>
      </c>
    </row>
    <row r="16" spans="2:10" ht="15.95" customHeight="1" x14ac:dyDescent="0.2">
      <c r="B16" s="77" t="s">
        <v>13</v>
      </c>
      <c r="C16" s="12" t="s">
        <v>628</v>
      </c>
      <c r="D16" s="3" t="s">
        <v>410</v>
      </c>
      <c r="E16" s="22" t="s">
        <v>600</v>
      </c>
      <c r="F16" s="1" t="s">
        <v>582</v>
      </c>
      <c r="G16" s="12" t="s">
        <v>42</v>
      </c>
      <c r="H16" s="23">
        <v>5802.5000000000009</v>
      </c>
      <c r="I16" s="41">
        <f t="shared" si="0"/>
        <v>0.56000000000000005</v>
      </c>
      <c r="J16" s="44">
        <f t="shared" si="1"/>
        <v>2553.1</v>
      </c>
    </row>
    <row r="17" spans="1:10" ht="15.95" customHeight="1" x14ac:dyDescent="0.2">
      <c r="A17" s="33"/>
      <c r="B17" s="77" t="s">
        <v>12</v>
      </c>
      <c r="C17" s="12" t="s">
        <v>628</v>
      </c>
      <c r="D17" s="3" t="s">
        <v>402</v>
      </c>
      <c r="E17" s="22" t="s">
        <v>600</v>
      </c>
      <c r="F17" s="1" t="s">
        <v>582</v>
      </c>
      <c r="G17" s="14" t="s">
        <v>44</v>
      </c>
      <c r="H17" s="23">
        <v>3685.0000000000014</v>
      </c>
      <c r="I17" s="41">
        <f t="shared" si="0"/>
        <v>0.56000000000000005</v>
      </c>
      <c r="J17" s="44">
        <f t="shared" si="1"/>
        <v>1621.4000000000005</v>
      </c>
    </row>
    <row r="18" spans="1:10" ht="15.95" customHeight="1" x14ac:dyDescent="0.2">
      <c r="B18" s="77" t="s">
        <v>25</v>
      </c>
      <c r="C18" s="12" t="s">
        <v>628</v>
      </c>
      <c r="D18" s="3" t="s">
        <v>505</v>
      </c>
      <c r="E18" s="22" t="s">
        <v>600</v>
      </c>
      <c r="F18" s="1" t="s">
        <v>584</v>
      </c>
      <c r="G18" s="12" t="s">
        <v>42</v>
      </c>
      <c r="H18" s="23">
        <v>22268.400000000001</v>
      </c>
      <c r="I18" s="41">
        <f t="shared" si="0"/>
        <v>0.56000000000000005</v>
      </c>
      <c r="J18" s="44">
        <f t="shared" si="1"/>
        <v>9798.0959999999995</v>
      </c>
    </row>
    <row r="19" spans="1:10" ht="15.95" customHeight="1" x14ac:dyDescent="0.2">
      <c r="B19" s="77" t="s">
        <v>23</v>
      </c>
      <c r="C19" s="12" t="s">
        <v>628</v>
      </c>
      <c r="D19" s="3" t="s">
        <v>503</v>
      </c>
      <c r="E19" s="22" t="s">
        <v>600</v>
      </c>
      <c r="F19" s="1" t="s">
        <v>584</v>
      </c>
      <c r="G19" s="12" t="s">
        <v>41</v>
      </c>
      <c r="H19" s="23">
        <v>13402.400000000001</v>
      </c>
      <c r="I19" s="41">
        <f t="shared" si="0"/>
        <v>0.56000000000000005</v>
      </c>
      <c r="J19" s="44">
        <f t="shared" si="1"/>
        <v>5897.0559999999996</v>
      </c>
    </row>
    <row r="20" spans="1:10" ht="15.95" customHeight="1" x14ac:dyDescent="0.2">
      <c r="B20" s="77" t="s">
        <v>24</v>
      </c>
      <c r="C20" s="12" t="s">
        <v>628</v>
      </c>
      <c r="D20" s="3" t="s">
        <v>504</v>
      </c>
      <c r="E20" s="22" t="s">
        <v>600</v>
      </c>
      <c r="F20" s="1" t="s">
        <v>584</v>
      </c>
      <c r="G20" s="12" t="s">
        <v>42</v>
      </c>
      <c r="H20" s="23">
        <v>14405.6</v>
      </c>
      <c r="I20" s="41">
        <f t="shared" si="0"/>
        <v>0.56000000000000005</v>
      </c>
      <c r="J20" s="44">
        <f t="shared" si="1"/>
        <v>6338.463999999999</v>
      </c>
    </row>
    <row r="21" spans="1:10" ht="15.95" customHeight="1" x14ac:dyDescent="0.2">
      <c r="B21" s="77" t="s">
        <v>29</v>
      </c>
      <c r="C21" s="12" t="s">
        <v>628</v>
      </c>
      <c r="D21" s="3" t="s">
        <v>539</v>
      </c>
      <c r="E21" s="22" t="s">
        <v>600</v>
      </c>
      <c r="F21" s="1" t="s">
        <v>584</v>
      </c>
      <c r="G21" s="12" t="s">
        <v>42</v>
      </c>
      <c r="H21" s="23">
        <v>11448.800000000001</v>
      </c>
      <c r="I21" s="41">
        <f t="shared" si="0"/>
        <v>0.56000000000000005</v>
      </c>
      <c r="J21" s="44">
        <f t="shared" si="1"/>
        <v>5037.4719999999998</v>
      </c>
    </row>
    <row r="22" spans="1:10" ht="15.95" customHeight="1" x14ac:dyDescent="0.2">
      <c r="A22" s="33"/>
      <c r="B22" s="77" t="s">
        <v>28</v>
      </c>
      <c r="C22" s="12" t="s">
        <v>628</v>
      </c>
      <c r="D22" s="3" t="s">
        <v>536</v>
      </c>
      <c r="E22" s="22" t="s">
        <v>600</v>
      </c>
      <c r="F22" s="1" t="s">
        <v>584</v>
      </c>
      <c r="G22" s="12" t="s">
        <v>42</v>
      </c>
      <c r="H22" s="23">
        <v>4039.2000000000003</v>
      </c>
      <c r="I22" s="41">
        <f t="shared" si="0"/>
        <v>0.56000000000000005</v>
      </c>
      <c r="J22" s="44">
        <f t="shared" si="1"/>
        <v>1777.248</v>
      </c>
    </row>
    <row r="23" spans="1:10" ht="15.95" customHeight="1" x14ac:dyDescent="0.2">
      <c r="B23" s="77" t="s">
        <v>27</v>
      </c>
      <c r="C23" s="12" t="s">
        <v>628</v>
      </c>
      <c r="D23" s="3" t="s">
        <v>520</v>
      </c>
      <c r="E23" s="22" t="s">
        <v>600</v>
      </c>
      <c r="F23" s="1" t="s">
        <v>584</v>
      </c>
      <c r="G23" s="12" t="s">
        <v>42</v>
      </c>
      <c r="H23" s="23">
        <v>9917.6</v>
      </c>
      <c r="I23" s="41">
        <f t="shared" si="0"/>
        <v>0.56000000000000005</v>
      </c>
      <c r="J23" s="44">
        <f t="shared" si="1"/>
        <v>4363.7439999999997</v>
      </c>
    </row>
    <row r="24" spans="1:10" ht="15.95" customHeight="1" x14ac:dyDescent="0.2">
      <c r="A24" s="33"/>
      <c r="B24" s="77" t="s">
        <v>26</v>
      </c>
      <c r="C24" s="12" t="s">
        <v>628</v>
      </c>
      <c r="D24" s="3" t="s">
        <v>516</v>
      </c>
      <c r="E24" s="22" t="s">
        <v>600</v>
      </c>
      <c r="F24" s="1" t="s">
        <v>584</v>
      </c>
      <c r="G24" s="12" t="s">
        <v>42</v>
      </c>
      <c r="H24" s="23">
        <v>2763.2000000000003</v>
      </c>
      <c r="I24" s="41">
        <f t="shared" si="0"/>
        <v>0.56000000000000005</v>
      </c>
      <c r="J24" s="44">
        <f t="shared" si="1"/>
        <v>1215.808</v>
      </c>
    </row>
    <row r="25" spans="1:10" ht="15.95" customHeight="1" x14ac:dyDescent="0.2">
      <c r="B25" s="77" t="s">
        <v>21</v>
      </c>
      <c r="C25" s="12" t="s">
        <v>628</v>
      </c>
      <c r="D25" s="3" t="s">
        <v>464</v>
      </c>
      <c r="E25" s="22" t="s">
        <v>600</v>
      </c>
      <c r="F25" s="1" t="s">
        <v>584</v>
      </c>
      <c r="G25" s="13" t="s">
        <v>631</v>
      </c>
      <c r="H25" s="23">
        <v>8118.0000000000009</v>
      </c>
      <c r="I25" s="41">
        <f t="shared" si="0"/>
        <v>0.56000000000000005</v>
      </c>
      <c r="J25" s="44">
        <f t="shared" si="1"/>
        <v>3571.92</v>
      </c>
    </row>
    <row r="26" spans="1:10" ht="15.95" customHeight="1" x14ac:dyDescent="0.2">
      <c r="B26" s="77" t="s">
        <v>20</v>
      </c>
      <c r="C26" s="12" t="s">
        <v>628</v>
      </c>
      <c r="D26" s="3" t="s">
        <v>458</v>
      </c>
      <c r="E26" s="22" t="s">
        <v>600</v>
      </c>
      <c r="F26" s="1" t="s">
        <v>584</v>
      </c>
      <c r="G26" s="12" t="s">
        <v>42</v>
      </c>
      <c r="H26" s="23">
        <v>4246</v>
      </c>
      <c r="I26" s="41">
        <f t="shared" si="0"/>
        <v>0.56000000000000005</v>
      </c>
      <c r="J26" s="44">
        <f t="shared" si="1"/>
        <v>1868.2399999999998</v>
      </c>
    </row>
    <row r="27" spans="1:10" ht="15.95" customHeight="1" x14ac:dyDescent="0.2">
      <c r="A27" s="17"/>
      <c r="B27" s="77" t="s">
        <v>11</v>
      </c>
      <c r="C27" s="12" t="s">
        <v>628</v>
      </c>
      <c r="D27" s="3" t="s">
        <v>365</v>
      </c>
      <c r="E27" s="22" t="s">
        <v>600</v>
      </c>
      <c r="F27" s="1" t="s">
        <v>584</v>
      </c>
      <c r="G27" s="13" t="s">
        <v>44</v>
      </c>
      <c r="H27" s="23">
        <v>1610.4</v>
      </c>
      <c r="I27" s="41">
        <f t="shared" si="0"/>
        <v>0.56000000000000005</v>
      </c>
      <c r="J27" s="44">
        <f t="shared" si="1"/>
        <v>708.57599999999991</v>
      </c>
    </row>
    <row r="28" spans="1:10" ht="15.75" x14ac:dyDescent="0.2">
      <c r="B28" s="69">
        <v>4000788</v>
      </c>
      <c r="C28" s="12" t="s">
        <v>0</v>
      </c>
      <c r="D28" s="8" t="s">
        <v>834</v>
      </c>
      <c r="E28" s="1" t="s">
        <v>600</v>
      </c>
      <c r="F28" s="66" t="s">
        <v>835</v>
      </c>
      <c r="G28" s="12" t="s">
        <v>44</v>
      </c>
      <c r="H28" s="23">
        <v>450</v>
      </c>
      <c r="I28" s="41">
        <f t="shared" si="0"/>
        <v>0.56000000000000005</v>
      </c>
      <c r="J28" s="44">
        <f t="shared" si="1"/>
        <v>197.99999999999997</v>
      </c>
    </row>
    <row r="29" spans="1:10" ht="15.95" customHeight="1" x14ac:dyDescent="0.2">
      <c r="B29" s="69">
        <v>4000787</v>
      </c>
      <c r="C29" s="12" t="s">
        <v>0</v>
      </c>
      <c r="D29" s="8" t="s">
        <v>833</v>
      </c>
      <c r="E29" s="1" t="s">
        <v>600</v>
      </c>
      <c r="F29" s="66" t="s">
        <v>835</v>
      </c>
      <c r="G29" s="12" t="s">
        <v>44</v>
      </c>
      <c r="H29" s="23">
        <v>275</v>
      </c>
      <c r="I29" s="41">
        <f t="shared" si="0"/>
        <v>0.56000000000000005</v>
      </c>
      <c r="J29" s="44">
        <f t="shared" si="1"/>
        <v>120.99999999999997</v>
      </c>
    </row>
    <row r="30" spans="1:10" ht="15.95" customHeight="1" x14ac:dyDescent="0.2">
      <c r="B30" s="70">
        <v>4000639</v>
      </c>
      <c r="C30" s="12" t="s">
        <v>0</v>
      </c>
      <c r="D30" s="8" t="s">
        <v>8</v>
      </c>
      <c r="E30" s="8" t="s">
        <v>600</v>
      </c>
      <c r="F30" s="8" t="s">
        <v>581</v>
      </c>
      <c r="G30" s="12" t="s">
        <v>40</v>
      </c>
      <c r="H30" s="23">
        <v>14.18333333333333</v>
      </c>
      <c r="I30" s="41">
        <f t="shared" si="0"/>
        <v>0.56000000000000005</v>
      </c>
      <c r="J30" s="44">
        <f t="shared" si="1"/>
        <v>6.2406666666666641</v>
      </c>
    </row>
    <row r="31" spans="1:10" ht="15.95" customHeight="1" x14ac:dyDescent="0.2">
      <c r="B31" s="69">
        <v>4000632</v>
      </c>
      <c r="C31" s="12" t="s">
        <v>0</v>
      </c>
      <c r="D31" s="1" t="s">
        <v>291</v>
      </c>
      <c r="E31" s="1" t="s">
        <v>600</v>
      </c>
      <c r="F31" s="1" t="s">
        <v>930</v>
      </c>
      <c r="G31" s="12" t="s">
        <v>44</v>
      </c>
      <c r="H31" s="19">
        <v>25.999999999999993</v>
      </c>
      <c r="I31" s="41">
        <f t="shared" si="0"/>
        <v>0.56000000000000005</v>
      </c>
      <c r="J31" s="44">
        <f t="shared" si="1"/>
        <v>11.439999999999996</v>
      </c>
    </row>
    <row r="32" spans="1:10" ht="15.95" customHeight="1" x14ac:dyDescent="0.2">
      <c r="B32" s="69">
        <v>4000631</v>
      </c>
      <c r="C32" s="12" t="s">
        <v>0</v>
      </c>
      <c r="D32" s="1" t="s">
        <v>290</v>
      </c>
      <c r="E32" s="1" t="s">
        <v>600</v>
      </c>
      <c r="F32" s="1" t="s">
        <v>930</v>
      </c>
      <c r="G32" s="12" t="s">
        <v>44</v>
      </c>
      <c r="H32" s="19">
        <v>21.999999999999993</v>
      </c>
      <c r="I32" s="41">
        <f t="shared" si="0"/>
        <v>0.56000000000000005</v>
      </c>
      <c r="J32" s="44">
        <f t="shared" si="1"/>
        <v>9.6799999999999962</v>
      </c>
    </row>
    <row r="33" spans="2:10" ht="15.95" customHeight="1" x14ac:dyDescent="0.2">
      <c r="B33" s="69">
        <v>4000630</v>
      </c>
      <c r="C33" s="12" t="s">
        <v>0</v>
      </c>
      <c r="D33" s="1" t="s">
        <v>289</v>
      </c>
      <c r="E33" s="1" t="s">
        <v>600</v>
      </c>
      <c r="F33" s="1" t="s">
        <v>930</v>
      </c>
      <c r="G33" s="12" t="s">
        <v>44</v>
      </c>
      <c r="H33" s="19">
        <v>20.799999999999994</v>
      </c>
      <c r="I33" s="41">
        <f t="shared" si="0"/>
        <v>0.56000000000000005</v>
      </c>
      <c r="J33" s="44">
        <f t="shared" si="1"/>
        <v>9.1519999999999957</v>
      </c>
    </row>
    <row r="34" spans="2:10" ht="15.95" customHeight="1" x14ac:dyDescent="0.2">
      <c r="B34" s="69">
        <v>4000629</v>
      </c>
      <c r="C34" s="12" t="s">
        <v>0</v>
      </c>
      <c r="D34" s="1" t="s">
        <v>288</v>
      </c>
      <c r="E34" s="1" t="s">
        <v>600</v>
      </c>
      <c r="F34" s="1" t="s">
        <v>930</v>
      </c>
      <c r="G34" s="12" t="s">
        <v>44</v>
      </c>
      <c r="H34" s="19">
        <v>18.666666666666661</v>
      </c>
      <c r="I34" s="41">
        <f t="shared" si="0"/>
        <v>0.56000000000000005</v>
      </c>
      <c r="J34" s="44">
        <f t="shared" si="1"/>
        <v>8.2133333333333294</v>
      </c>
    </row>
    <row r="35" spans="2:10" ht="15.95" customHeight="1" x14ac:dyDescent="0.2">
      <c r="B35" s="69">
        <v>4000628</v>
      </c>
      <c r="C35" s="12" t="s">
        <v>0</v>
      </c>
      <c r="D35" s="1" t="s">
        <v>287</v>
      </c>
      <c r="E35" s="1" t="s">
        <v>600</v>
      </c>
      <c r="F35" s="1" t="s">
        <v>930</v>
      </c>
      <c r="G35" s="12" t="s">
        <v>44</v>
      </c>
      <c r="H35" s="19">
        <v>17.799999999999994</v>
      </c>
      <c r="I35" s="41">
        <f t="shared" si="0"/>
        <v>0.56000000000000005</v>
      </c>
      <c r="J35" s="44">
        <f t="shared" si="1"/>
        <v>7.8319999999999954</v>
      </c>
    </row>
    <row r="36" spans="2:10" ht="15.95" customHeight="1" x14ac:dyDescent="0.2">
      <c r="B36" s="69">
        <v>4000627</v>
      </c>
      <c r="C36" s="12" t="s">
        <v>0</v>
      </c>
      <c r="D36" s="1" t="s">
        <v>286</v>
      </c>
      <c r="E36" s="1" t="s">
        <v>600</v>
      </c>
      <c r="F36" s="1" t="s">
        <v>930</v>
      </c>
      <c r="G36" s="12" t="s">
        <v>44</v>
      </c>
      <c r="H36" s="19">
        <v>22.599999999999991</v>
      </c>
      <c r="I36" s="41">
        <f t="shared" si="0"/>
        <v>0.56000000000000005</v>
      </c>
      <c r="J36" s="44">
        <f t="shared" si="1"/>
        <v>9.9439999999999955</v>
      </c>
    </row>
    <row r="37" spans="2:10" ht="15.95" customHeight="1" x14ac:dyDescent="0.2">
      <c r="B37" s="69">
        <v>4000626</v>
      </c>
      <c r="C37" s="12" t="s">
        <v>0</v>
      </c>
      <c r="D37" s="1" t="s">
        <v>285</v>
      </c>
      <c r="E37" s="1" t="s">
        <v>600</v>
      </c>
      <c r="F37" s="1" t="s">
        <v>930</v>
      </c>
      <c r="G37" s="12" t="s">
        <v>44</v>
      </c>
      <c r="H37" s="19">
        <v>19.266666666666662</v>
      </c>
      <c r="I37" s="41">
        <f t="shared" si="0"/>
        <v>0.56000000000000005</v>
      </c>
      <c r="J37" s="44">
        <f t="shared" si="1"/>
        <v>8.4773333333333305</v>
      </c>
    </row>
    <row r="38" spans="2:10" ht="15.95" customHeight="1" x14ac:dyDescent="0.2">
      <c r="B38" s="69">
        <v>4000625</v>
      </c>
      <c r="C38" s="12" t="s">
        <v>0</v>
      </c>
      <c r="D38" s="1" t="s">
        <v>284</v>
      </c>
      <c r="E38" s="1" t="s">
        <v>600</v>
      </c>
      <c r="F38" s="1" t="s">
        <v>930</v>
      </c>
      <c r="G38" s="12" t="s">
        <v>44</v>
      </c>
      <c r="H38" s="19">
        <v>17.933333333333326</v>
      </c>
      <c r="I38" s="41">
        <f t="shared" si="0"/>
        <v>0.56000000000000005</v>
      </c>
      <c r="J38" s="44">
        <f t="shared" si="1"/>
        <v>7.8906666666666627</v>
      </c>
    </row>
    <row r="39" spans="2:10" ht="15.95" customHeight="1" x14ac:dyDescent="0.2">
      <c r="B39" s="69">
        <v>4000624</v>
      </c>
      <c r="C39" s="12" t="s">
        <v>0</v>
      </c>
      <c r="D39" s="1" t="s">
        <v>283</v>
      </c>
      <c r="E39" s="1" t="s">
        <v>600</v>
      </c>
      <c r="F39" s="1" t="s">
        <v>930</v>
      </c>
      <c r="G39" s="12" t="s">
        <v>44</v>
      </c>
      <c r="H39" s="19">
        <v>17.266666666666659</v>
      </c>
      <c r="I39" s="41">
        <f t="shared" si="0"/>
        <v>0.56000000000000005</v>
      </c>
      <c r="J39" s="44">
        <f t="shared" si="1"/>
        <v>7.5973333333333297</v>
      </c>
    </row>
    <row r="40" spans="2:10" ht="15.95" customHeight="1" x14ac:dyDescent="0.2">
      <c r="B40" s="69">
        <v>4000621</v>
      </c>
      <c r="C40" s="12" t="s">
        <v>0</v>
      </c>
      <c r="D40" s="1" t="s">
        <v>282</v>
      </c>
      <c r="E40" s="1" t="s">
        <v>600</v>
      </c>
      <c r="F40" s="1" t="s">
        <v>930</v>
      </c>
      <c r="G40" s="12" t="s">
        <v>44</v>
      </c>
      <c r="H40" s="19">
        <v>16.599999999999994</v>
      </c>
      <c r="I40" s="41">
        <f t="shared" si="0"/>
        <v>0.56000000000000005</v>
      </c>
      <c r="J40" s="44">
        <f t="shared" si="1"/>
        <v>7.3039999999999967</v>
      </c>
    </row>
    <row r="41" spans="2:10" ht="15.95" customHeight="1" x14ac:dyDescent="0.2">
      <c r="B41" s="69">
        <v>4000620</v>
      </c>
      <c r="C41" s="12" t="s">
        <v>0</v>
      </c>
      <c r="D41" s="8" t="s">
        <v>9</v>
      </c>
      <c r="E41" s="1" t="s">
        <v>600</v>
      </c>
      <c r="F41" s="8" t="s">
        <v>645</v>
      </c>
      <c r="G41" s="12" t="s">
        <v>45</v>
      </c>
      <c r="H41" s="23">
        <v>13.500000000000002</v>
      </c>
      <c r="I41" s="41">
        <f t="shared" si="0"/>
        <v>0.56000000000000005</v>
      </c>
      <c r="J41" s="44">
        <f t="shared" si="1"/>
        <v>5.94</v>
      </c>
    </row>
    <row r="42" spans="2:10" ht="15.95" customHeight="1" x14ac:dyDescent="0.2">
      <c r="B42" s="69">
        <v>4000619</v>
      </c>
      <c r="C42" s="12" t="s">
        <v>0</v>
      </c>
      <c r="D42" s="8" t="s">
        <v>294</v>
      </c>
      <c r="E42" s="1" t="s">
        <v>600</v>
      </c>
      <c r="F42" s="66" t="s">
        <v>835</v>
      </c>
      <c r="G42" s="12" t="s">
        <v>44</v>
      </c>
      <c r="H42" s="23">
        <v>175</v>
      </c>
      <c r="I42" s="41">
        <f t="shared" si="0"/>
        <v>0.56000000000000005</v>
      </c>
      <c r="J42" s="44">
        <f t="shared" si="1"/>
        <v>76.999999999999986</v>
      </c>
    </row>
    <row r="43" spans="2:10" ht="15.95" customHeight="1" x14ac:dyDescent="0.2">
      <c r="B43" s="69">
        <v>4000618</v>
      </c>
      <c r="C43" s="12" t="s">
        <v>0</v>
      </c>
      <c r="D43" s="8" t="s">
        <v>10</v>
      </c>
      <c r="E43" s="1" t="s">
        <v>600</v>
      </c>
      <c r="F43" s="66" t="s">
        <v>835</v>
      </c>
      <c r="G43" s="12" t="s">
        <v>45</v>
      </c>
      <c r="H43" s="23">
        <v>1565</v>
      </c>
      <c r="I43" s="41">
        <f t="shared" si="0"/>
        <v>0.56000000000000005</v>
      </c>
      <c r="J43" s="44">
        <f t="shared" si="1"/>
        <v>688.59999999999991</v>
      </c>
    </row>
    <row r="44" spans="2:10" ht="15.95" customHeight="1" x14ac:dyDescent="0.2">
      <c r="B44" s="69">
        <v>4000617</v>
      </c>
      <c r="C44" s="12" t="s">
        <v>0</v>
      </c>
      <c r="D44" s="8" t="s">
        <v>295</v>
      </c>
      <c r="E44" s="1" t="s">
        <v>600</v>
      </c>
      <c r="F44" s="66" t="s">
        <v>835</v>
      </c>
      <c r="G44" s="12" t="s">
        <v>44</v>
      </c>
      <c r="H44" s="23">
        <v>200</v>
      </c>
      <c r="I44" s="41">
        <f t="shared" si="0"/>
        <v>0.56000000000000005</v>
      </c>
      <c r="J44" s="44">
        <f t="shared" si="1"/>
        <v>87.999999999999986</v>
      </c>
    </row>
    <row r="45" spans="2:10" ht="15.95" customHeight="1" x14ac:dyDescent="0.2">
      <c r="B45" s="69">
        <v>4000616</v>
      </c>
      <c r="C45" s="12" t="s">
        <v>0</v>
      </c>
      <c r="D45" s="8" t="s">
        <v>293</v>
      </c>
      <c r="E45" s="1" t="s">
        <v>600</v>
      </c>
      <c r="F45" s="66" t="s">
        <v>835</v>
      </c>
      <c r="G45" s="12" t="s">
        <v>44</v>
      </c>
      <c r="H45" s="23">
        <v>425</v>
      </c>
      <c r="I45" s="41">
        <f t="shared" si="0"/>
        <v>0.56000000000000005</v>
      </c>
      <c r="J45" s="44">
        <f t="shared" si="1"/>
        <v>186.99999999999997</v>
      </c>
    </row>
    <row r="46" spans="2:10" ht="15.95" customHeight="1" x14ac:dyDescent="0.2">
      <c r="B46" s="69">
        <v>4000615</v>
      </c>
      <c r="C46" s="12" t="s">
        <v>0</v>
      </c>
      <c r="D46" s="8" t="s">
        <v>292</v>
      </c>
      <c r="E46" s="1" t="s">
        <v>600</v>
      </c>
      <c r="F46" s="66" t="s">
        <v>835</v>
      </c>
      <c r="G46" s="12" t="s">
        <v>44</v>
      </c>
      <c r="H46" s="23">
        <v>250</v>
      </c>
      <c r="I46" s="41">
        <f t="shared" si="0"/>
        <v>0.56000000000000005</v>
      </c>
      <c r="J46" s="44">
        <f t="shared" si="1"/>
        <v>110</v>
      </c>
    </row>
    <row r="47" spans="2:10" ht="15.95" customHeight="1" x14ac:dyDescent="0.2">
      <c r="B47" s="69">
        <v>1414886</v>
      </c>
      <c r="C47" s="12" t="s">
        <v>0</v>
      </c>
      <c r="D47" s="1" t="s">
        <v>825</v>
      </c>
      <c r="E47" s="5" t="s">
        <v>600</v>
      </c>
      <c r="F47" s="1" t="s">
        <v>646</v>
      </c>
      <c r="G47" s="16" t="s">
        <v>832</v>
      </c>
      <c r="H47" s="23">
        <v>2.2148148148148148</v>
      </c>
      <c r="I47" s="41">
        <f t="shared" si="0"/>
        <v>0.56000000000000005</v>
      </c>
      <c r="J47" s="44">
        <f t="shared" si="1"/>
        <v>0.97451851851851834</v>
      </c>
    </row>
    <row r="48" spans="2:10" ht="15.95" customHeight="1" x14ac:dyDescent="0.2">
      <c r="B48" s="69">
        <v>1414885</v>
      </c>
      <c r="C48" s="12" t="s">
        <v>0</v>
      </c>
      <c r="D48" s="1" t="s">
        <v>824</v>
      </c>
      <c r="E48" s="5" t="s">
        <v>600</v>
      </c>
      <c r="F48" s="1" t="s">
        <v>646</v>
      </c>
      <c r="G48" s="16" t="s">
        <v>832</v>
      </c>
      <c r="H48" s="23">
        <v>1.874074074074074</v>
      </c>
      <c r="I48" s="41">
        <f t="shared" si="0"/>
        <v>0.56000000000000005</v>
      </c>
      <c r="J48" s="44">
        <f t="shared" si="1"/>
        <v>0.82459259259259254</v>
      </c>
    </row>
    <row r="49" spans="1:10" ht="15.95" customHeight="1" x14ac:dyDescent="0.2">
      <c r="B49" s="67">
        <v>1414224</v>
      </c>
      <c r="C49" s="21" t="s">
        <v>0</v>
      </c>
      <c r="D49" s="22" t="s">
        <v>169</v>
      </c>
      <c r="E49" s="22" t="s">
        <v>600</v>
      </c>
      <c r="F49" s="22" t="s">
        <v>646</v>
      </c>
      <c r="G49" s="21" t="s">
        <v>40</v>
      </c>
      <c r="H49" s="23">
        <v>0.85301241295791685</v>
      </c>
      <c r="I49" s="41">
        <f t="shared" si="0"/>
        <v>0.56000000000000005</v>
      </c>
      <c r="J49" s="44">
        <f t="shared" si="1"/>
        <v>0.3753254617014834</v>
      </c>
    </row>
    <row r="50" spans="1:10" ht="15.95" customHeight="1" x14ac:dyDescent="0.2">
      <c r="B50" s="69">
        <v>1412762</v>
      </c>
      <c r="C50" s="12" t="s">
        <v>0</v>
      </c>
      <c r="D50" s="1" t="s">
        <v>831</v>
      </c>
      <c r="E50" s="5" t="s">
        <v>600</v>
      </c>
      <c r="F50" s="1" t="s">
        <v>646</v>
      </c>
      <c r="G50" s="16" t="s">
        <v>832</v>
      </c>
      <c r="H50" s="23">
        <v>2.7259259259259259</v>
      </c>
      <c r="I50" s="41">
        <f t="shared" si="0"/>
        <v>0.56000000000000005</v>
      </c>
      <c r="J50" s="44">
        <f t="shared" si="1"/>
        <v>1.1994074074074073</v>
      </c>
    </row>
    <row r="51" spans="1:10" ht="15.95" customHeight="1" x14ac:dyDescent="0.2">
      <c r="B51" s="69">
        <v>1412761</v>
      </c>
      <c r="C51" s="12" t="s">
        <v>0</v>
      </c>
      <c r="D51" s="1" t="s">
        <v>830</v>
      </c>
      <c r="E51" s="5" t="s">
        <v>600</v>
      </c>
      <c r="F51" s="1" t="s">
        <v>646</v>
      </c>
      <c r="G51" s="16" t="s">
        <v>832</v>
      </c>
      <c r="H51" s="23">
        <v>2.3851851851851853</v>
      </c>
      <c r="I51" s="41">
        <f t="shared" si="0"/>
        <v>0.56000000000000005</v>
      </c>
      <c r="J51" s="44">
        <f t="shared" si="1"/>
        <v>1.0494814814814815</v>
      </c>
    </row>
    <row r="52" spans="1:10" ht="15.95" customHeight="1" x14ac:dyDescent="0.2">
      <c r="B52" s="67">
        <v>1411153</v>
      </c>
      <c r="C52" s="21" t="s">
        <v>0</v>
      </c>
      <c r="D52" s="22" t="s">
        <v>201</v>
      </c>
      <c r="E52" s="22" t="s">
        <v>600</v>
      </c>
      <c r="F52" s="22" t="s">
        <v>646</v>
      </c>
      <c r="G52" s="21" t="s">
        <v>40</v>
      </c>
      <c r="H52" s="23">
        <v>2.1227906088260311</v>
      </c>
      <c r="I52" s="41">
        <f t="shared" si="0"/>
        <v>0.56000000000000005</v>
      </c>
      <c r="J52" s="44">
        <f t="shared" si="1"/>
        <v>0.93402786788345349</v>
      </c>
    </row>
    <row r="53" spans="1:10" ht="15.95" customHeight="1" x14ac:dyDescent="0.2">
      <c r="B53" s="67">
        <v>1411152</v>
      </c>
      <c r="C53" s="21" t="s">
        <v>0</v>
      </c>
      <c r="D53" s="22" t="s">
        <v>191</v>
      </c>
      <c r="E53" s="22" t="s">
        <v>600</v>
      </c>
      <c r="F53" s="22" t="s">
        <v>645</v>
      </c>
      <c r="G53" s="21" t="s">
        <v>40</v>
      </c>
      <c r="H53" s="23">
        <v>3.2697547683923713</v>
      </c>
      <c r="I53" s="41">
        <f t="shared" si="0"/>
        <v>0.56000000000000005</v>
      </c>
      <c r="J53" s="44">
        <f t="shared" si="1"/>
        <v>1.4386920980926432</v>
      </c>
    </row>
    <row r="54" spans="1:10" ht="15.95" customHeight="1" x14ac:dyDescent="0.2">
      <c r="B54" s="67">
        <v>1411151</v>
      </c>
      <c r="C54" s="21" t="s">
        <v>0</v>
      </c>
      <c r="D54" s="22" t="s">
        <v>200</v>
      </c>
      <c r="E54" s="22" t="s">
        <v>600</v>
      </c>
      <c r="F54" s="22" t="s">
        <v>645</v>
      </c>
      <c r="G54" s="21" t="s">
        <v>40</v>
      </c>
      <c r="H54" s="23">
        <v>3.1477766827062443</v>
      </c>
      <c r="I54" s="41">
        <f t="shared" si="0"/>
        <v>0.56000000000000005</v>
      </c>
      <c r="J54" s="44">
        <f t="shared" si="1"/>
        <v>1.3850217403907474</v>
      </c>
    </row>
    <row r="55" spans="1:10" ht="15.95" customHeight="1" x14ac:dyDescent="0.2">
      <c r="B55" s="67">
        <v>1411150</v>
      </c>
      <c r="C55" s="21" t="s">
        <v>0</v>
      </c>
      <c r="D55" s="22" t="s">
        <v>199</v>
      </c>
      <c r="E55" s="22" t="s">
        <v>600</v>
      </c>
      <c r="F55" s="22" t="s">
        <v>645</v>
      </c>
      <c r="G55" s="21" t="s">
        <v>40</v>
      </c>
      <c r="H55" s="23">
        <v>5.5086091947359277</v>
      </c>
      <c r="I55" s="41">
        <f t="shared" si="0"/>
        <v>0.56000000000000005</v>
      </c>
      <c r="J55" s="44">
        <f t="shared" si="1"/>
        <v>2.4237880456838079</v>
      </c>
    </row>
    <row r="56" spans="1:10" ht="15.95" customHeight="1" x14ac:dyDescent="0.2">
      <c r="B56" s="67">
        <v>1405304</v>
      </c>
      <c r="C56" s="21" t="s">
        <v>0</v>
      </c>
      <c r="D56" s="22" t="s">
        <v>187</v>
      </c>
      <c r="E56" s="22" t="s">
        <v>600</v>
      </c>
      <c r="F56" s="22" t="s">
        <v>645</v>
      </c>
      <c r="G56" s="21" t="s">
        <v>40</v>
      </c>
      <c r="H56" s="23">
        <v>6.1961852861035442</v>
      </c>
      <c r="I56" s="41">
        <f t="shared" si="0"/>
        <v>0.56000000000000005</v>
      </c>
      <c r="J56" s="44">
        <f t="shared" si="1"/>
        <v>2.7263215258855591</v>
      </c>
    </row>
    <row r="57" spans="1:10" ht="15.95" customHeight="1" x14ac:dyDescent="0.2">
      <c r="B57" s="67">
        <v>1401581</v>
      </c>
      <c r="C57" s="21" t="s">
        <v>0</v>
      </c>
      <c r="D57" s="22" t="s">
        <v>192</v>
      </c>
      <c r="E57" s="22" t="s">
        <v>600</v>
      </c>
      <c r="F57" s="22" t="s">
        <v>646</v>
      </c>
      <c r="G57" s="21" t="s">
        <v>40</v>
      </c>
      <c r="H57" s="23">
        <v>123.2748006862448</v>
      </c>
      <c r="I57" s="41">
        <f t="shared" si="0"/>
        <v>0.56000000000000005</v>
      </c>
      <c r="J57" s="44">
        <f t="shared" si="1"/>
        <v>54.240912301947702</v>
      </c>
    </row>
    <row r="58" spans="1:10" ht="15.95" customHeight="1" x14ac:dyDescent="0.2">
      <c r="B58" s="69">
        <v>571602</v>
      </c>
      <c r="C58" s="12" t="s">
        <v>0</v>
      </c>
      <c r="D58" s="1" t="s">
        <v>276</v>
      </c>
      <c r="E58" s="1" t="s">
        <v>600</v>
      </c>
      <c r="F58" s="1" t="s">
        <v>585</v>
      </c>
      <c r="G58" s="12" t="s">
        <v>44</v>
      </c>
      <c r="H58" s="23">
        <v>717.76294277929139</v>
      </c>
      <c r="I58" s="41">
        <f t="shared" si="0"/>
        <v>0.56000000000000005</v>
      </c>
      <c r="J58" s="44">
        <f t="shared" si="1"/>
        <v>315.81569482288819</v>
      </c>
    </row>
    <row r="59" spans="1:10" ht="15.95" customHeight="1" x14ac:dyDescent="0.2">
      <c r="B59" s="69">
        <v>571601</v>
      </c>
      <c r="C59" s="12" t="s">
        <v>0</v>
      </c>
      <c r="D59" s="1" t="s">
        <v>246</v>
      </c>
      <c r="E59" s="1" t="s">
        <v>600</v>
      </c>
      <c r="F59" s="1" t="s">
        <v>585</v>
      </c>
      <c r="G59" s="12" t="s">
        <v>43</v>
      </c>
      <c r="H59" s="23">
        <v>614.38828337874645</v>
      </c>
      <c r="I59" s="41">
        <f t="shared" si="0"/>
        <v>0.56000000000000005</v>
      </c>
      <c r="J59" s="44">
        <f t="shared" si="1"/>
        <v>270.33084468664839</v>
      </c>
    </row>
    <row r="60" spans="1:10" ht="15.95" customHeight="1" x14ac:dyDescent="0.2">
      <c r="B60" s="69">
        <v>571600</v>
      </c>
      <c r="C60" s="12" t="s">
        <v>0</v>
      </c>
      <c r="D60" s="1" t="s">
        <v>241</v>
      </c>
      <c r="E60" s="1" t="s">
        <v>600</v>
      </c>
      <c r="F60" s="1" t="s">
        <v>585</v>
      </c>
      <c r="G60" s="12" t="s">
        <v>42</v>
      </c>
      <c r="H60" s="23">
        <v>643.46730245231595</v>
      </c>
      <c r="I60" s="41">
        <f t="shared" si="0"/>
        <v>0.56000000000000005</v>
      </c>
      <c r="J60" s="44">
        <f t="shared" si="1"/>
        <v>283.12561307901899</v>
      </c>
    </row>
    <row r="61" spans="1:10" ht="15.95" customHeight="1" x14ac:dyDescent="0.2">
      <c r="B61" s="70">
        <v>571595</v>
      </c>
      <c r="C61" s="12" t="s">
        <v>0</v>
      </c>
      <c r="D61" s="8" t="s">
        <v>630</v>
      </c>
      <c r="E61" s="8" t="s">
        <v>600</v>
      </c>
      <c r="F61" s="8" t="s">
        <v>646</v>
      </c>
      <c r="G61" s="12" t="s">
        <v>40</v>
      </c>
      <c r="H61" s="23">
        <v>17.037037037037035</v>
      </c>
      <c r="I61" s="41">
        <f t="shared" si="0"/>
        <v>0.56000000000000005</v>
      </c>
      <c r="J61" s="44">
        <f t="shared" si="1"/>
        <v>7.4962962962962951</v>
      </c>
    </row>
    <row r="62" spans="1:10" ht="15.95" customHeight="1" x14ac:dyDescent="0.2">
      <c r="A62" s="33"/>
      <c r="B62" s="69">
        <v>571508</v>
      </c>
      <c r="C62" s="12" t="s">
        <v>0</v>
      </c>
      <c r="D62" s="1" t="s">
        <v>274</v>
      </c>
      <c r="E62" s="1" t="s">
        <v>600</v>
      </c>
      <c r="F62" s="1" t="s">
        <v>585</v>
      </c>
      <c r="G62" s="12" t="s">
        <v>44</v>
      </c>
      <c r="H62" s="23">
        <v>424.77929155313342</v>
      </c>
      <c r="I62" s="41">
        <f t="shared" si="0"/>
        <v>0.56000000000000005</v>
      </c>
      <c r="J62" s="44">
        <f t="shared" si="1"/>
        <v>186.90288828337867</v>
      </c>
    </row>
    <row r="63" spans="1:10" ht="15.95" customHeight="1" x14ac:dyDescent="0.2">
      <c r="A63" s="17"/>
      <c r="B63" s="69">
        <v>571507</v>
      </c>
      <c r="C63" s="12" t="s">
        <v>0</v>
      </c>
      <c r="D63" s="1" t="s">
        <v>244</v>
      </c>
      <c r="E63" s="1" t="s">
        <v>600</v>
      </c>
      <c r="F63" s="1" t="s">
        <v>585</v>
      </c>
      <c r="G63" s="12" t="s">
        <v>43</v>
      </c>
      <c r="H63" s="23">
        <v>324.2352406902815</v>
      </c>
      <c r="I63" s="41">
        <f t="shared" si="0"/>
        <v>0.56000000000000005</v>
      </c>
      <c r="J63" s="44">
        <f t="shared" si="1"/>
        <v>142.66350590372383</v>
      </c>
    </row>
    <row r="64" spans="1:10" ht="15.95" customHeight="1" x14ac:dyDescent="0.2">
      <c r="A64" s="17"/>
      <c r="B64" s="69">
        <v>571506</v>
      </c>
      <c r="C64" s="12" t="s">
        <v>0</v>
      </c>
      <c r="D64" s="1" t="s">
        <v>240</v>
      </c>
      <c r="E64" s="1" t="s">
        <v>600</v>
      </c>
      <c r="F64" s="1" t="s">
        <v>585</v>
      </c>
      <c r="G64" s="12" t="s">
        <v>42</v>
      </c>
      <c r="H64" s="23">
        <v>321.31062670299724</v>
      </c>
      <c r="I64" s="41">
        <f t="shared" si="0"/>
        <v>0.56000000000000005</v>
      </c>
      <c r="J64" s="44">
        <f t="shared" si="1"/>
        <v>141.37667574931876</v>
      </c>
    </row>
    <row r="65" spans="1:10" ht="15.95" customHeight="1" x14ac:dyDescent="0.2">
      <c r="B65" s="69">
        <v>571502</v>
      </c>
      <c r="C65" s="12" t="s">
        <v>0</v>
      </c>
      <c r="D65" s="1" t="s">
        <v>275</v>
      </c>
      <c r="E65" s="1" t="s">
        <v>600</v>
      </c>
      <c r="F65" s="1" t="s">
        <v>585</v>
      </c>
      <c r="G65" s="12" t="s">
        <v>44</v>
      </c>
      <c r="H65" s="23">
        <v>806.9950045413259</v>
      </c>
      <c r="I65" s="41">
        <f t="shared" si="0"/>
        <v>0.56000000000000005</v>
      </c>
      <c r="J65" s="44">
        <f t="shared" si="1"/>
        <v>355.07780199818336</v>
      </c>
    </row>
    <row r="66" spans="1:10" ht="15.95" customHeight="1" x14ac:dyDescent="0.2">
      <c r="B66" s="69">
        <v>571501</v>
      </c>
      <c r="C66" s="12" t="s">
        <v>0</v>
      </c>
      <c r="D66" s="1" t="s">
        <v>245</v>
      </c>
      <c r="E66" s="1" t="s">
        <v>600</v>
      </c>
      <c r="F66" s="1" t="s">
        <v>585</v>
      </c>
      <c r="G66" s="12" t="s">
        <v>43</v>
      </c>
      <c r="H66" s="23">
        <v>666.8851044504994</v>
      </c>
      <c r="I66" s="41">
        <f t="shared" si="0"/>
        <v>0.56000000000000005</v>
      </c>
      <c r="J66" s="44">
        <f t="shared" si="1"/>
        <v>293.42944595821967</v>
      </c>
    </row>
    <row r="67" spans="1:10" ht="15.75" x14ac:dyDescent="0.2">
      <c r="B67" s="69">
        <v>571500</v>
      </c>
      <c r="C67" s="12" t="s">
        <v>0</v>
      </c>
      <c r="D67" s="1" t="s">
        <v>243</v>
      </c>
      <c r="E67" s="1" t="s">
        <v>600</v>
      </c>
      <c r="F67" s="1" t="s">
        <v>585</v>
      </c>
      <c r="G67" s="12" t="s">
        <v>42</v>
      </c>
      <c r="H67" s="23">
        <v>586.18664850136236</v>
      </c>
      <c r="I67" s="41">
        <f t="shared" si="0"/>
        <v>0.56000000000000005</v>
      </c>
      <c r="J67" s="44">
        <f t="shared" si="1"/>
        <v>257.92212534059939</v>
      </c>
    </row>
    <row r="68" spans="1:10" ht="15.75" x14ac:dyDescent="0.2">
      <c r="B68" s="70">
        <v>470643</v>
      </c>
      <c r="C68" s="12" t="s">
        <v>0</v>
      </c>
      <c r="D68" s="8" t="s">
        <v>629</v>
      </c>
      <c r="E68" s="8" t="s">
        <v>600</v>
      </c>
      <c r="F68" s="8" t="s">
        <v>581</v>
      </c>
      <c r="G68" s="12" t="s">
        <v>40</v>
      </c>
      <c r="H68" s="23">
        <v>249.16666666666663</v>
      </c>
      <c r="I68" s="41">
        <f t="shared" si="0"/>
        <v>0.56000000000000005</v>
      </c>
      <c r="J68" s="44">
        <f t="shared" si="1"/>
        <v>109.6333333333333</v>
      </c>
    </row>
    <row r="69" spans="1:10" ht="15.95" customHeight="1" x14ac:dyDescent="0.2">
      <c r="A69" s="17"/>
      <c r="B69" s="69">
        <v>470625</v>
      </c>
      <c r="C69" s="12" t="s">
        <v>0</v>
      </c>
      <c r="D69" s="1" t="s">
        <v>265</v>
      </c>
      <c r="E69" s="1" t="s">
        <v>600</v>
      </c>
      <c r="F69" s="1" t="s">
        <v>585</v>
      </c>
      <c r="G69" s="12" t="s">
        <v>44</v>
      </c>
      <c r="H69" s="23">
        <v>860.02594748575655</v>
      </c>
      <c r="I69" s="41">
        <f t="shared" si="0"/>
        <v>0.56000000000000005</v>
      </c>
      <c r="J69" s="44">
        <f t="shared" si="1"/>
        <v>378.41141689373285</v>
      </c>
    </row>
    <row r="70" spans="1:10" ht="15.95" customHeight="1" x14ac:dyDescent="0.2">
      <c r="A70" s="17"/>
      <c r="B70" s="69">
        <v>470622</v>
      </c>
      <c r="C70" s="12" t="s">
        <v>0</v>
      </c>
      <c r="D70" s="1" t="s">
        <v>237</v>
      </c>
      <c r="E70" s="1" t="s">
        <v>600</v>
      </c>
      <c r="F70" s="1" t="s">
        <v>585</v>
      </c>
      <c r="G70" s="12" t="s">
        <v>42</v>
      </c>
      <c r="H70" s="23">
        <v>1041.3249999999996</v>
      </c>
      <c r="I70" s="41">
        <f t="shared" si="0"/>
        <v>0.56000000000000005</v>
      </c>
      <c r="J70" s="44">
        <f t="shared" si="1"/>
        <v>458.18299999999977</v>
      </c>
    </row>
    <row r="71" spans="1:10" ht="15.95" customHeight="1" x14ac:dyDescent="0.2">
      <c r="A71" s="17"/>
      <c r="B71" s="69">
        <v>470613</v>
      </c>
      <c r="C71" s="12" t="s">
        <v>0</v>
      </c>
      <c r="D71" s="1" t="s">
        <v>247</v>
      </c>
      <c r="E71" s="1" t="s">
        <v>600</v>
      </c>
      <c r="F71" s="1" t="s">
        <v>585</v>
      </c>
      <c r="G71" s="12" t="s">
        <v>43</v>
      </c>
      <c r="H71" s="23">
        <v>957.65365901128825</v>
      </c>
      <c r="I71" s="41">
        <f t="shared" si="0"/>
        <v>0.56000000000000005</v>
      </c>
      <c r="J71" s="44">
        <f t="shared" si="1"/>
        <v>421.36760996496673</v>
      </c>
    </row>
    <row r="72" spans="1:10" ht="15.95" customHeight="1" x14ac:dyDescent="0.2">
      <c r="B72" s="69">
        <v>470610</v>
      </c>
      <c r="C72" s="12" t="s">
        <v>0</v>
      </c>
      <c r="D72" s="1" t="s">
        <v>272</v>
      </c>
      <c r="E72" s="1" t="s">
        <v>600</v>
      </c>
      <c r="F72" s="1" t="s">
        <v>585</v>
      </c>
      <c r="G72" s="12" t="s">
        <v>44</v>
      </c>
      <c r="H72" s="23">
        <v>4320.8978201634873</v>
      </c>
      <c r="I72" s="41">
        <f t="shared" si="0"/>
        <v>0.56000000000000005</v>
      </c>
      <c r="J72" s="44">
        <f t="shared" si="1"/>
        <v>1901.195040871934</v>
      </c>
    </row>
    <row r="73" spans="1:10" ht="15.95" customHeight="1" x14ac:dyDescent="0.2">
      <c r="B73" s="67">
        <v>470546</v>
      </c>
      <c r="C73" s="21" t="s">
        <v>0</v>
      </c>
      <c r="D73" s="22" t="s">
        <v>178</v>
      </c>
      <c r="E73" s="22" t="s">
        <v>600</v>
      </c>
      <c r="F73" s="22" t="s">
        <v>581</v>
      </c>
      <c r="G73" s="21" t="s">
        <v>40</v>
      </c>
      <c r="H73" s="23">
        <v>223.68733413516117</v>
      </c>
      <c r="I73" s="41">
        <f t="shared" ref="I73:I136" si="2">$H$7</f>
        <v>0.56000000000000005</v>
      </c>
      <c r="J73" s="44">
        <f t="shared" ref="J73:J136" si="3">H73-H73*I73</f>
        <v>98.422427019470902</v>
      </c>
    </row>
    <row r="74" spans="1:10" ht="15.95" customHeight="1" x14ac:dyDescent="0.2">
      <c r="B74" s="67">
        <v>470545</v>
      </c>
      <c r="C74" s="21" t="s">
        <v>0</v>
      </c>
      <c r="D74" s="22" t="s">
        <v>197</v>
      </c>
      <c r="E74" s="22" t="s">
        <v>600</v>
      </c>
      <c r="F74" s="22" t="s">
        <v>581</v>
      </c>
      <c r="G74" s="21" t="s">
        <v>40</v>
      </c>
      <c r="H74" s="23">
        <v>200.54495912806533</v>
      </c>
      <c r="I74" s="41">
        <f t="shared" si="2"/>
        <v>0.56000000000000005</v>
      </c>
      <c r="J74" s="44">
        <f t="shared" si="3"/>
        <v>88.239782016348741</v>
      </c>
    </row>
    <row r="75" spans="1:10" ht="15.95" customHeight="1" x14ac:dyDescent="0.2">
      <c r="B75" s="67">
        <v>470542</v>
      </c>
      <c r="C75" s="21" t="s">
        <v>0</v>
      </c>
      <c r="D75" s="22" t="s">
        <v>208</v>
      </c>
      <c r="E75" s="22" t="s">
        <v>600</v>
      </c>
      <c r="F75" s="22" t="s">
        <v>585</v>
      </c>
      <c r="G75" s="21" t="s">
        <v>40</v>
      </c>
      <c r="H75" s="23">
        <v>384.19679079624575</v>
      </c>
      <c r="I75" s="41">
        <f t="shared" si="2"/>
        <v>0.56000000000000005</v>
      </c>
      <c r="J75" s="44">
        <f t="shared" si="3"/>
        <v>169.04658795034811</v>
      </c>
    </row>
    <row r="76" spans="1:10" ht="15.95" customHeight="1" x14ac:dyDescent="0.2">
      <c r="B76" s="69">
        <v>433350</v>
      </c>
      <c r="C76" s="12" t="s">
        <v>0</v>
      </c>
      <c r="D76" s="1" t="s">
        <v>929</v>
      </c>
      <c r="E76" s="1" t="s">
        <v>600</v>
      </c>
      <c r="F76" s="1" t="s">
        <v>1127</v>
      </c>
      <c r="G76" s="12" t="s">
        <v>43</v>
      </c>
      <c r="H76" s="23">
        <v>44.079999999999991</v>
      </c>
      <c r="I76" s="41">
        <f t="shared" si="2"/>
        <v>0.56000000000000005</v>
      </c>
      <c r="J76" s="44">
        <f t="shared" si="3"/>
        <v>19.395199999999992</v>
      </c>
    </row>
    <row r="77" spans="1:10" ht="15.95" customHeight="1" x14ac:dyDescent="0.2">
      <c r="B77" s="69">
        <v>433349</v>
      </c>
      <c r="C77" s="12" t="s">
        <v>0</v>
      </c>
      <c r="D77" s="1" t="s">
        <v>928</v>
      </c>
      <c r="E77" s="1" t="s">
        <v>600</v>
      </c>
      <c r="F77" s="1" t="s">
        <v>1127</v>
      </c>
      <c r="G77" s="12" t="s">
        <v>43</v>
      </c>
      <c r="H77" s="23">
        <v>42.128999999999991</v>
      </c>
      <c r="I77" s="41">
        <f t="shared" si="2"/>
        <v>0.56000000000000005</v>
      </c>
      <c r="J77" s="44">
        <f t="shared" si="3"/>
        <v>18.536759999999994</v>
      </c>
    </row>
    <row r="78" spans="1:10" ht="15.95" customHeight="1" x14ac:dyDescent="0.2">
      <c r="B78" s="69">
        <v>433348</v>
      </c>
      <c r="C78" s="12" t="s">
        <v>0</v>
      </c>
      <c r="D78" s="1" t="s">
        <v>927</v>
      </c>
      <c r="E78" s="1" t="s">
        <v>600</v>
      </c>
      <c r="F78" s="1" t="s">
        <v>1127</v>
      </c>
      <c r="G78" s="12" t="s">
        <v>43</v>
      </c>
      <c r="H78" s="23">
        <v>40.311999999999991</v>
      </c>
      <c r="I78" s="41">
        <f t="shared" si="2"/>
        <v>0.56000000000000005</v>
      </c>
      <c r="J78" s="44">
        <f t="shared" si="3"/>
        <v>17.737279999999995</v>
      </c>
    </row>
    <row r="79" spans="1:10" ht="15.95" customHeight="1" x14ac:dyDescent="0.2">
      <c r="B79" s="69">
        <v>433347</v>
      </c>
      <c r="C79" s="12" t="s">
        <v>0</v>
      </c>
      <c r="D79" s="1" t="s">
        <v>926</v>
      </c>
      <c r="E79" s="1" t="s">
        <v>600</v>
      </c>
      <c r="F79" s="1" t="s">
        <v>1127</v>
      </c>
      <c r="G79" s="12" t="s">
        <v>43</v>
      </c>
      <c r="H79" s="23">
        <v>38.49499999999999</v>
      </c>
      <c r="I79" s="41">
        <f t="shared" si="2"/>
        <v>0.56000000000000005</v>
      </c>
      <c r="J79" s="44">
        <f t="shared" si="3"/>
        <v>16.937799999999992</v>
      </c>
    </row>
    <row r="80" spans="1:10" ht="15.95" customHeight="1" x14ac:dyDescent="0.2">
      <c r="B80" s="69">
        <v>433346</v>
      </c>
      <c r="C80" s="12" t="s">
        <v>0</v>
      </c>
      <c r="D80" s="1" t="s">
        <v>925</v>
      </c>
      <c r="E80" s="1" t="s">
        <v>600</v>
      </c>
      <c r="F80" s="1" t="s">
        <v>1127</v>
      </c>
      <c r="G80" s="12" t="s">
        <v>43</v>
      </c>
      <c r="H80" s="23">
        <v>36.67799999999999</v>
      </c>
      <c r="I80" s="41">
        <f t="shared" si="2"/>
        <v>0.56000000000000005</v>
      </c>
      <c r="J80" s="44">
        <f t="shared" si="3"/>
        <v>16.138319999999993</v>
      </c>
    </row>
    <row r="81" spans="2:10" ht="15.95" customHeight="1" x14ac:dyDescent="0.2">
      <c r="B81" s="69">
        <v>433345</v>
      </c>
      <c r="C81" s="12" t="s">
        <v>0</v>
      </c>
      <c r="D81" s="1" t="s">
        <v>924</v>
      </c>
      <c r="E81" s="1" t="s">
        <v>600</v>
      </c>
      <c r="F81" s="1" t="s">
        <v>1127</v>
      </c>
      <c r="G81" s="12" t="s">
        <v>43</v>
      </c>
      <c r="H81" s="23">
        <v>34.86099999999999</v>
      </c>
      <c r="I81" s="41">
        <f t="shared" si="2"/>
        <v>0.56000000000000005</v>
      </c>
      <c r="J81" s="44">
        <f t="shared" si="3"/>
        <v>15.338839999999994</v>
      </c>
    </row>
    <row r="82" spans="2:10" ht="15.95" customHeight="1" x14ac:dyDescent="0.2">
      <c r="B82" s="69">
        <v>433344</v>
      </c>
      <c r="C82" s="12" t="s">
        <v>0</v>
      </c>
      <c r="D82" s="1" t="s">
        <v>923</v>
      </c>
      <c r="E82" s="1" t="s">
        <v>600</v>
      </c>
      <c r="F82" s="1" t="s">
        <v>1127</v>
      </c>
      <c r="G82" s="12" t="s">
        <v>43</v>
      </c>
      <c r="H82" s="23">
        <v>33.04399999999999</v>
      </c>
      <c r="I82" s="41">
        <f t="shared" si="2"/>
        <v>0.56000000000000005</v>
      </c>
      <c r="J82" s="44">
        <f t="shared" si="3"/>
        <v>14.539359999999995</v>
      </c>
    </row>
    <row r="83" spans="2:10" ht="15.95" customHeight="1" x14ac:dyDescent="0.2">
      <c r="B83" s="69">
        <v>433343</v>
      </c>
      <c r="C83" s="12" t="s">
        <v>0</v>
      </c>
      <c r="D83" s="1" t="s">
        <v>922</v>
      </c>
      <c r="E83" s="1" t="s">
        <v>600</v>
      </c>
      <c r="F83" s="1" t="s">
        <v>1127</v>
      </c>
      <c r="G83" s="12" t="s">
        <v>43</v>
      </c>
      <c r="H83" s="23">
        <v>31.226999999999997</v>
      </c>
      <c r="I83" s="41">
        <f t="shared" si="2"/>
        <v>0.56000000000000005</v>
      </c>
      <c r="J83" s="44">
        <f t="shared" si="3"/>
        <v>13.739879999999996</v>
      </c>
    </row>
    <row r="84" spans="2:10" ht="15.95" customHeight="1" x14ac:dyDescent="0.2">
      <c r="B84" s="69">
        <v>433342</v>
      </c>
      <c r="C84" s="12" t="s">
        <v>0</v>
      </c>
      <c r="D84" s="1" t="s">
        <v>921</v>
      </c>
      <c r="E84" s="1" t="s">
        <v>600</v>
      </c>
      <c r="F84" s="1" t="s">
        <v>1127</v>
      </c>
      <c r="G84" s="12" t="s">
        <v>43</v>
      </c>
      <c r="H84" s="23">
        <v>29.409999999999997</v>
      </c>
      <c r="I84" s="41">
        <f t="shared" si="2"/>
        <v>0.56000000000000005</v>
      </c>
      <c r="J84" s="44">
        <f t="shared" si="3"/>
        <v>12.940399999999997</v>
      </c>
    </row>
    <row r="85" spans="2:10" ht="15.95" customHeight="1" x14ac:dyDescent="0.2">
      <c r="B85" s="69">
        <v>433341</v>
      </c>
      <c r="C85" s="12" t="s">
        <v>0</v>
      </c>
      <c r="D85" s="1" t="s">
        <v>920</v>
      </c>
      <c r="E85" s="1" t="s">
        <v>600</v>
      </c>
      <c r="F85" s="1" t="s">
        <v>1127</v>
      </c>
      <c r="G85" s="12" t="s">
        <v>43</v>
      </c>
      <c r="H85" s="23">
        <v>27.592999999999993</v>
      </c>
      <c r="I85" s="41">
        <f t="shared" si="2"/>
        <v>0.56000000000000005</v>
      </c>
      <c r="J85" s="44">
        <f t="shared" si="3"/>
        <v>12.140919999999996</v>
      </c>
    </row>
    <row r="86" spans="2:10" ht="15.95" customHeight="1" x14ac:dyDescent="0.2">
      <c r="B86" s="69">
        <v>431350</v>
      </c>
      <c r="C86" s="12" t="s">
        <v>0</v>
      </c>
      <c r="D86" s="1" t="s">
        <v>909</v>
      </c>
      <c r="E86" s="1" t="s">
        <v>600</v>
      </c>
      <c r="F86" s="1" t="s">
        <v>1127</v>
      </c>
      <c r="G86" s="12" t="s">
        <v>43</v>
      </c>
      <c r="H86" s="23">
        <v>43.879999999999988</v>
      </c>
      <c r="I86" s="41">
        <f t="shared" si="2"/>
        <v>0.56000000000000005</v>
      </c>
      <c r="J86" s="44">
        <f t="shared" si="3"/>
        <v>19.307199999999991</v>
      </c>
    </row>
    <row r="87" spans="2:10" ht="15.95" customHeight="1" x14ac:dyDescent="0.2">
      <c r="B87" s="69">
        <v>431349</v>
      </c>
      <c r="C87" s="12" t="s">
        <v>0</v>
      </c>
      <c r="D87" s="1" t="s">
        <v>908</v>
      </c>
      <c r="E87" s="1" t="s">
        <v>600</v>
      </c>
      <c r="F87" s="1" t="s">
        <v>1127</v>
      </c>
      <c r="G87" s="12" t="s">
        <v>43</v>
      </c>
      <c r="H87" s="23">
        <v>40.719999999999992</v>
      </c>
      <c r="I87" s="41">
        <f t="shared" si="2"/>
        <v>0.56000000000000005</v>
      </c>
      <c r="J87" s="44">
        <f t="shared" si="3"/>
        <v>17.916799999999995</v>
      </c>
    </row>
    <row r="88" spans="2:10" ht="15.95" customHeight="1" x14ac:dyDescent="0.2">
      <c r="B88" s="69">
        <v>431348</v>
      </c>
      <c r="C88" s="12" t="s">
        <v>0</v>
      </c>
      <c r="D88" s="1" t="s">
        <v>907</v>
      </c>
      <c r="E88" s="1" t="s">
        <v>600</v>
      </c>
      <c r="F88" s="1" t="s">
        <v>1127</v>
      </c>
      <c r="G88" s="12" t="s">
        <v>43</v>
      </c>
      <c r="H88" s="23">
        <v>37.559999999999995</v>
      </c>
      <c r="I88" s="41">
        <f t="shared" si="2"/>
        <v>0.56000000000000005</v>
      </c>
      <c r="J88" s="44">
        <f t="shared" si="3"/>
        <v>16.526399999999995</v>
      </c>
    </row>
    <row r="89" spans="2:10" ht="15.95" customHeight="1" x14ac:dyDescent="0.2">
      <c r="B89" s="69">
        <v>431347</v>
      </c>
      <c r="C89" s="12" t="s">
        <v>0</v>
      </c>
      <c r="D89" s="1" t="s">
        <v>906</v>
      </c>
      <c r="E89" s="1" t="s">
        <v>600</v>
      </c>
      <c r="F89" s="1" t="s">
        <v>1127</v>
      </c>
      <c r="G89" s="12" t="s">
        <v>43</v>
      </c>
      <c r="H89" s="23">
        <v>34.974999999999994</v>
      </c>
      <c r="I89" s="41">
        <f t="shared" si="2"/>
        <v>0.56000000000000005</v>
      </c>
      <c r="J89" s="44">
        <f t="shared" si="3"/>
        <v>15.388999999999996</v>
      </c>
    </row>
    <row r="90" spans="2:10" ht="15.95" customHeight="1" x14ac:dyDescent="0.2">
      <c r="B90" s="69">
        <v>431346</v>
      </c>
      <c r="C90" s="12" t="s">
        <v>0</v>
      </c>
      <c r="D90" s="1" t="s">
        <v>905</v>
      </c>
      <c r="E90" s="1" t="s">
        <v>600</v>
      </c>
      <c r="F90" s="1" t="s">
        <v>1127</v>
      </c>
      <c r="G90" s="12" t="s">
        <v>43</v>
      </c>
      <c r="H90" s="23">
        <v>33.157999999999994</v>
      </c>
      <c r="I90" s="41">
        <f t="shared" si="2"/>
        <v>0.56000000000000005</v>
      </c>
      <c r="J90" s="44">
        <f t="shared" si="3"/>
        <v>14.589519999999997</v>
      </c>
    </row>
    <row r="91" spans="2:10" ht="15.95" customHeight="1" x14ac:dyDescent="0.2">
      <c r="B91" s="69">
        <v>431345</v>
      </c>
      <c r="C91" s="12" t="s">
        <v>0</v>
      </c>
      <c r="D91" s="1" t="s">
        <v>904</v>
      </c>
      <c r="E91" s="1" t="s">
        <v>600</v>
      </c>
      <c r="F91" s="1" t="s">
        <v>1127</v>
      </c>
      <c r="G91" s="12" t="s">
        <v>43</v>
      </c>
      <c r="H91" s="23">
        <v>31.340999999999998</v>
      </c>
      <c r="I91" s="41">
        <f t="shared" si="2"/>
        <v>0.56000000000000005</v>
      </c>
      <c r="J91" s="44">
        <f t="shared" si="3"/>
        <v>13.790039999999998</v>
      </c>
    </row>
    <row r="92" spans="2:10" ht="15.95" customHeight="1" x14ac:dyDescent="0.2">
      <c r="B92" s="69">
        <v>431344</v>
      </c>
      <c r="C92" s="12" t="s">
        <v>0</v>
      </c>
      <c r="D92" s="1" t="s">
        <v>903</v>
      </c>
      <c r="E92" s="1" t="s">
        <v>600</v>
      </c>
      <c r="F92" s="1" t="s">
        <v>1127</v>
      </c>
      <c r="G92" s="12" t="s">
        <v>43</v>
      </c>
      <c r="H92" s="23">
        <v>29.523999999999997</v>
      </c>
      <c r="I92" s="41">
        <f t="shared" si="2"/>
        <v>0.56000000000000005</v>
      </c>
      <c r="J92" s="44">
        <f t="shared" si="3"/>
        <v>12.990559999999999</v>
      </c>
    </row>
    <row r="93" spans="2:10" ht="15.95" customHeight="1" x14ac:dyDescent="0.2">
      <c r="B93" s="69">
        <v>431343</v>
      </c>
      <c r="C93" s="12" t="s">
        <v>0</v>
      </c>
      <c r="D93" s="1" t="s">
        <v>902</v>
      </c>
      <c r="E93" s="1" t="s">
        <v>600</v>
      </c>
      <c r="F93" s="1" t="s">
        <v>1127</v>
      </c>
      <c r="G93" s="12" t="s">
        <v>43</v>
      </c>
      <c r="H93" s="23">
        <v>27.706999999999994</v>
      </c>
      <c r="I93" s="41">
        <f t="shared" si="2"/>
        <v>0.56000000000000005</v>
      </c>
      <c r="J93" s="44">
        <f t="shared" si="3"/>
        <v>12.191079999999996</v>
      </c>
    </row>
    <row r="94" spans="2:10" ht="15.95" customHeight="1" x14ac:dyDescent="0.2">
      <c r="B94" s="69">
        <v>431342</v>
      </c>
      <c r="C94" s="12" t="s">
        <v>0</v>
      </c>
      <c r="D94" s="1" t="s">
        <v>901</v>
      </c>
      <c r="E94" s="1" t="s">
        <v>600</v>
      </c>
      <c r="F94" s="1" t="s">
        <v>1127</v>
      </c>
      <c r="G94" s="12" t="s">
        <v>43</v>
      </c>
      <c r="H94" s="23">
        <v>25.889999999999993</v>
      </c>
      <c r="I94" s="41">
        <f t="shared" si="2"/>
        <v>0.56000000000000005</v>
      </c>
      <c r="J94" s="44">
        <f t="shared" si="3"/>
        <v>11.391599999999995</v>
      </c>
    </row>
    <row r="95" spans="2:10" ht="15.95" customHeight="1" x14ac:dyDescent="0.2">
      <c r="B95" s="69">
        <v>431341</v>
      </c>
      <c r="C95" s="12" t="s">
        <v>0</v>
      </c>
      <c r="D95" s="1" t="s">
        <v>900</v>
      </c>
      <c r="E95" s="1" t="s">
        <v>600</v>
      </c>
      <c r="F95" s="1" t="s">
        <v>1127</v>
      </c>
      <c r="G95" s="12" t="s">
        <v>43</v>
      </c>
      <c r="H95" s="23">
        <v>24.072999999999997</v>
      </c>
      <c r="I95" s="41">
        <f t="shared" si="2"/>
        <v>0.56000000000000005</v>
      </c>
      <c r="J95" s="44">
        <f t="shared" si="3"/>
        <v>10.592119999999998</v>
      </c>
    </row>
    <row r="96" spans="2:10" ht="15.95" customHeight="1" x14ac:dyDescent="0.2">
      <c r="B96" s="69">
        <v>431150</v>
      </c>
      <c r="C96" s="12" t="s">
        <v>0</v>
      </c>
      <c r="D96" s="1" t="s">
        <v>919</v>
      </c>
      <c r="E96" s="1" t="s">
        <v>600</v>
      </c>
      <c r="F96" s="1" t="s">
        <v>1127</v>
      </c>
      <c r="G96" s="12" t="s">
        <v>43</v>
      </c>
      <c r="H96" s="23">
        <v>43.91999999999998</v>
      </c>
      <c r="I96" s="41">
        <f t="shared" si="2"/>
        <v>0.56000000000000005</v>
      </c>
      <c r="J96" s="44">
        <f t="shared" si="3"/>
        <v>19.324799999999989</v>
      </c>
    </row>
    <row r="97" spans="2:10" ht="15.95" customHeight="1" x14ac:dyDescent="0.2">
      <c r="B97" s="69">
        <v>431149</v>
      </c>
      <c r="C97" s="12" t="s">
        <v>0</v>
      </c>
      <c r="D97" s="1" t="s">
        <v>918</v>
      </c>
      <c r="E97" s="1" t="s">
        <v>600</v>
      </c>
      <c r="F97" s="1" t="s">
        <v>1127</v>
      </c>
      <c r="G97" s="12" t="s">
        <v>43</v>
      </c>
      <c r="H97" s="23">
        <v>40.759999999999984</v>
      </c>
      <c r="I97" s="41">
        <f t="shared" si="2"/>
        <v>0.56000000000000005</v>
      </c>
      <c r="J97" s="44">
        <f t="shared" si="3"/>
        <v>17.934399999999989</v>
      </c>
    </row>
    <row r="98" spans="2:10" ht="15.95" customHeight="1" x14ac:dyDescent="0.2">
      <c r="B98" s="69">
        <v>431148</v>
      </c>
      <c r="C98" s="12" t="s">
        <v>0</v>
      </c>
      <c r="D98" s="1" t="s">
        <v>917</v>
      </c>
      <c r="E98" s="1" t="s">
        <v>600</v>
      </c>
      <c r="F98" s="1" t="s">
        <v>1127</v>
      </c>
      <c r="G98" s="12" t="s">
        <v>43</v>
      </c>
      <c r="H98" s="23">
        <v>37.599999999999987</v>
      </c>
      <c r="I98" s="41">
        <f t="shared" si="2"/>
        <v>0.56000000000000005</v>
      </c>
      <c r="J98" s="44">
        <f t="shared" si="3"/>
        <v>16.543999999999993</v>
      </c>
    </row>
    <row r="99" spans="2:10" ht="15.95" customHeight="1" x14ac:dyDescent="0.2">
      <c r="B99" s="69">
        <v>431147</v>
      </c>
      <c r="C99" s="12" t="s">
        <v>0</v>
      </c>
      <c r="D99" s="1" t="s">
        <v>916</v>
      </c>
      <c r="E99" s="1" t="s">
        <v>600</v>
      </c>
      <c r="F99" s="1" t="s">
        <v>1127</v>
      </c>
      <c r="G99" s="12" t="s">
        <v>43</v>
      </c>
      <c r="H99" s="23">
        <v>34.439999999999991</v>
      </c>
      <c r="I99" s="41">
        <f t="shared" si="2"/>
        <v>0.56000000000000005</v>
      </c>
      <c r="J99" s="44">
        <f t="shared" si="3"/>
        <v>15.153599999999994</v>
      </c>
    </row>
    <row r="100" spans="2:10" ht="15.95" customHeight="1" x14ac:dyDescent="0.2">
      <c r="B100" s="69">
        <v>431146</v>
      </c>
      <c r="C100" s="12" t="s">
        <v>0</v>
      </c>
      <c r="D100" s="1" t="s">
        <v>915</v>
      </c>
      <c r="E100" s="1" t="s">
        <v>600</v>
      </c>
      <c r="F100" s="1" t="s">
        <v>1127</v>
      </c>
      <c r="G100" s="12" t="s">
        <v>43</v>
      </c>
      <c r="H100" s="23">
        <v>31.279999999999998</v>
      </c>
      <c r="I100" s="41">
        <f t="shared" si="2"/>
        <v>0.56000000000000005</v>
      </c>
      <c r="J100" s="44">
        <f t="shared" si="3"/>
        <v>13.763199999999998</v>
      </c>
    </row>
    <row r="101" spans="2:10" ht="15.95" customHeight="1" x14ac:dyDescent="0.2">
      <c r="B101" s="69">
        <v>431145</v>
      </c>
      <c r="C101" s="12" t="s">
        <v>0</v>
      </c>
      <c r="D101" s="1" t="s">
        <v>914</v>
      </c>
      <c r="E101" s="1" t="s">
        <v>600</v>
      </c>
      <c r="F101" s="1" t="s">
        <v>1127</v>
      </c>
      <c r="G101" s="12" t="s">
        <v>43</v>
      </c>
      <c r="H101" s="23">
        <v>28.119999999999994</v>
      </c>
      <c r="I101" s="41">
        <f t="shared" si="2"/>
        <v>0.56000000000000005</v>
      </c>
      <c r="J101" s="44">
        <f t="shared" si="3"/>
        <v>12.372799999999996</v>
      </c>
    </row>
    <row r="102" spans="2:10" ht="15.95" customHeight="1" x14ac:dyDescent="0.2">
      <c r="B102" s="69">
        <v>431144</v>
      </c>
      <c r="C102" s="12" t="s">
        <v>0</v>
      </c>
      <c r="D102" s="1" t="s">
        <v>913</v>
      </c>
      <c r="E102" s="1" t="s">
        <v>600</v>
      </c>
      <c r="F102" s="1" t="s">
        <v>1127</v>
      </c>
      <c r="G102" s="12" t="s">
        <v>43</v>
      </c>
      <c r="H102" s="23">
        <v>25.163999999999994</v>
      </c>
      <c r="I102" s="41">
        <f t="shared" si="2"/>
        <v>0.56000000000000005</v>
      </c>
      <c r="J102" s="44">
        <f t="shared" si="3"/>
        <v>11.072159999999997</v>
      </c>
    </row>
    <row r="103" spans="2:10" ht="15.95" customHeight="1" x14ac:dyDescent="0.2">
      <c r="B103" s="69">
        <v>431143</v>
      </c>
      <c r="C103" s="12" t="s">
        <v>0</v>
      </c>
      <c r="D103" s="1" t="s">
        <v>912</v>
      </c>
      <c r="E103" s="1" t="s">
        <v>600</v>
      </c>
      <c r="F103" s="1" t="s">
        <v>1127</v>
      </c>
      <c r="G103" s="12" t="s">
        <v>43</v>
      </c>
      <c r="H103" s="23">
        <v>23.346999999999998</v>
      </c>
      <c r="I103" s="41">
        <f t="shared" si="2"/>
        <v>0.56000000000000005</v>
      </c>
      <c r="J103" s="44">
        <f t="shared" si="3"/>
        <v>10.272679999999998</v>
      </c>
    </row>
    <row r="104" spans="2:10" ht="15.95" customHeight="1" x14ac:dyDescent="0.2">
      <c r="B104" s="69">
        <v>431142</v>
      </c>
      <c r="C104" s="12" t="s">
        <v>0</v>
      </c>
      <c r="D104" s="1" t="s">
        <v>911</v>
      </c>
      <c r="E104" s="1" t="s">
        <v>600</v>
      </c>
      <c r="F104" s="1" t="s">
        <v>1127</v>
      </c>
      <c r="G104" s="12" t="s">
        <v>43</v>
      </c>
      <c r="H104" s="23">
        <v>21.529999999999998</v>
      </c>
      <c r="I104" s="41">
        <f t="shared" si="2"/>
        <v>0.56000000000000005</v>
      </c>
      <c r="J104" s="44">
        <f t="shared" si="3"/>
        <v>9.4731999999999985</v>
      </c>
    </row>
    <row r="105" spans="2:10" ht="15.95" customHeight="1" x14ac:dyDescent="0.2">
      <c r="B105" s="69">
        <v>431141</v>
      </c>
      <c r="C105" s="12" t="s">
        <v>0</v>
      </c>
      <c r="D105" s="1" t="s">
        <v>910</v>
      </c>
      <c r="E105" s="1" t="s">
        <v>600</v>
      </c>
      <c r="F105" s="1" t="s">
        <v>1127</v>
      </c>
      <c r="G105" s="12" t="s">
        <v>43</v>
      </c>
      <c r="H105" s="23">
        <v>19.712999999999997</v>
      </c>
      <c r="I105" s="41">
        <f t="shared" si="2"/>
        <v>0.56000000000000005</v>
      </c>
      <c r="J105" s="44">
        <f t="shared" si="3"/>
        <v>8.6737199999999977</v>
      </c>
    </row>
    <row r="106" spans="2:10" ht="15.95" customHeight="1" x14ac:dyDescent="0.2">
      <c r="B106" s="74">
        <v>429922</v>
      </c>
      <c r="C106" s="12" t="s">
        <v>0</v>
      </c>
      <c r="D106" s="18" t="s">
        <v>791</v>
      </c>
      <c r="E106" s="1" t="s">
        <v>600</v>
      </c>
      <c r="F106" s="1" t="s">
        <v>632</v>
      </c>
      <c r="G106" s="12" t="s">
        <v>44</v>
      </c>
      <c r="H106" s="23">
        <v>104.88000000000002</v>
      </c>
      <c r="I106" s="41">
        <f t="shared" si="2"/>
        <v>0.56000000000000005</v>
      </c>
      <c r="J106" s="44">
        <f t="shared" si="3"/>
        <v>46.147200000000005</v>
      </c>
    </row>
    <row r="107" spans="2:10" ht="15.95" customHeight="1" x14ac:dyDescent="0.2">
      <c r="B107" s="68">
        <v>429921</v>
      </c>
      <c r="C107" s="12" t="s">
        <v>0</v>
      </c>
      <c r="D107" s="5" t="s">
        <v>556</v>
      </c>
      <c r="E107" s="1" t="s">
        <v>600</v>
      </c>
      <c r="F107" s="1" t="s">
        <v>632</v>
      </c>
      <c r="G107" s="12" t="s">
        <v>44</v>
      </c>
      <c r="H107" s="23">
        <v>8.74</v>
      </c>
      <c r="I107" s="41">
        <f t="shared" si="2"/>
        <v>0.56000000000000005</v>
      </c>
      <c r="J107" s="44">
        <f t="shared" si="3"/>
        <v>3.8455999999999992</v>
      </c>
    </row>
    <row r="108" spans="2:10" ht="15.95" customHeight="1" x14ac:dyDescent="0.2">
      <c r="B108" s="69">
        <v>429920</v>
      </c>
      <c r="C108" s="12" t="s">
        <v>0</v>
      </c>
      <c r="D108" s="1" t="s">
        <v>898</v>
      </c>
      <c r="E108" s="1" t="s">
        <v>600</v>
      </c>
      <c r="F108" s="1" t="s">
        <v>1127</v>
      </c>
      <c r="G108" s="12" t="s">
        <v>899</v>
      </c>
      <c r="H108" s="23">
        <v>43.259799999999998</v>
      </c>
      <c r="I108" s="41">
        <f t="shared" si="2"/>
        <v>0.56000000000000005</v>
      </c>
      <c r="J108" s="44">
        <f t="shared" si="3"/>
        <v>19.034311999999996</v>
      </c>
    </row>
    <row r="109" spans="2:10" ht="15.95" customHeight="1" x14ac:dyDescent="0.2">
      <c r="B109" s="69">
        <v>429919</v>
      </c>
      <c r="C109" s="12" t="s">
        <v>0</v>
      </c>
      <c r="D109" s="1" t="s">
        <v>897</v>
      </c>
      <c r="E109" s="1" t="s">
        <v>600</v>
      </c>
      <c r="F109" s="1" t="s">
        <v>1127</v>
      </c>
      <c r="G109" s="12" t="s">
        <v>899</v>
      </c>
      <c r="H109" s="23">
        <v>42.407419999999995</v>
      </c>
      <c r="I109" s="41">
        <f t="shared" si="2"/>
        <v>0.56000000000000005</v>
      </c>
      <c r="J109" s="44">
        <f t="shared" si="3"/>
        <v>18.659264799999995</v>
      </c>
    </row>
    <row r="110" spans="2:10" ht="15.95" customHeight="1" x14ac:dyDescent="0.2">
      <c r="B110" s="69">
        <v>429918</v>
      </c>
      <c r="C110" s="12" t="s">
        <v>0</v>
      </c>
      <c r="D110" s="1" t="s">
        <v>896</v>
      </c>
      <c r="E110" s="1" t="s">
        <v>600</v>
      </c>
      <c r="F110" s="1" t="s">
        <v>1127</v>
      </c>
      <c r="G110" s="12" t="s">
        <v>899</v>
      </c>
      <c r="H110" s="23">
        <v>41.555039999999998</v>
      </c>
      <c r="I110" s="41">
        <f t="shared" si="2"/>
        <v>0.56000000000000005</v>
      </c>
      <c r="J110" s="44">
        <f t="shared" si="3"/>
        <v>18.284217599999998</v>
      </c>
    </row>
    <row r="111" spans="2:10" ht="15.95" customHeight="1" x14ac:dyDescent="0.2">
      <c r="B111" s="69">
        <v>429917</v>
      </c>
      <c r="C111" s="12" t="s">
        <v>0</v>
      </c>
      <c r="D111" s="1" t="s">
        <v>895</v>
      </c>
      <c r="E111" s="1" t="s">
        <v>600</v>
      </c>
      <c r="F111" s="1" t="s">
        <v>1127</v>
      </c>
      <c r="G111" s="12" t="s">
        <v>899</v>
      </c>
      <c r="H111" s="23">
        <v>40.702659999999995</v>
      </c>
      <c r="I111" s="41">
        <f t="shared" si="2"/>
        <v>0.56000000000000005</v>
      </c>
      <c r="J111" s="44">
        <f t="shared" si="3"/>
        <v>17.909170399999997</v>
      </c>
    </row>
    <row r="112" spans="2:10" ht="15.95" customHeight="1" x14ac:dyDescent="0.2">
      <c r="B112" s="69">
        <v>429916</v>
      </c>
      <c r="C112" s="12" t="s">
        <v>0</v>
      </c>
      <c r="D112" s="1" t="s">
        <v>894</v>
      </c>
      <c r="E112" s="1" t="s">
        <v>600</v>
      </c>
      <c r="F112" s="1" t="s">
        <v>1127</v>
      </c>
      <c r="G112" s="12" t="s">
        <v>899</v>
      </c>
      <c r="H112" s="23">
        <v>39.850279999999998</v>
      </c>
      <c r="I112" s="41">
        <f t="shared" si="2"/>
        <v>0.56000000000000005</v>
      </c>
      <c r="J112" s="44">
        <f t="shared" si="3"/>
        <v>17.534123199999996</v>
      </c>
    </row>
    <row r="113" spans="2:10" ht="15.95" customHeight="1" x14ac:dyDescent="0.2">
      <c r="B113" s="69">
        <v>429915</v>
      </c>
      <c r="C113" s="12" t="s">
        <v>0</v>
      </c>
      <c r="D113" s="1" t="s">
        <v>893</v>
      </c>
      <c r="E113" s="1" t="s">
        <v>600</v>
      </c>
      <c r="F113" s="1" t="s">
        <v>1127</v>
      </c>
      <c r="G113" s="12" t="s">
        <v>899</v>
      </c>
      <c r="H113" s="23">
        <v>38.997899999999994</v>
      </c>
      <c r="I113" s="41">
        <f t="shared" si="2"/>
        <v>0.56000000000000005</v>
      </c>
      <c r="J113" s="44">
        <f t="shared" si="3"/>
        <v>17.159075999999995</v>
      </c>
    </row>
    <row r="114" spans="2:10" ht="15.95" customHeight="1" x14ac:dyDescent="0.2">
      <c r="B114" s="69">
        <v>429914</v>
      </c>
      <c r="C114" s="12" t="s">
        <v>0</v>
      </c>
      <c r="D114" s="1" t="s">
        <v>892</v>
      </c>
      <c r="E114" s="1" t="s">
        <v>600</v>
      </c>
      <c r="F114" s="1" t="s">
        <v>1127</v>
      </c>
      <c r="G114" s="12" t="s">
        <v>899</v>
      </c>
      <c r="H114" s="23">
        <v>38.145519999999998</v>
      </c>
      <c r="I114" s="41">
        <f t="shared" si="2"/>
        <v>0.56000000000000005</v>
      </c>
      <c r="J114" s="44">
        <f t="shared" si="3"/>
        <v>16.784028799999998</v>
      </c>
    </row>
    <row r="115" spans="2:10" ht="15.95" customHeight="1" x14ac:dyDescent="0.2">
      <c r="B115" s="69">
        <v>429913</v>
      </c>
      <c r="C115" s="12" t="s">
        <v>0</v>
      </c>
      <c r="D115" s="1" t="s">
        <v>558</v>
      </c>
      <c r="E115" s="1" t="s">
        <v>600</v>
      </c>
      <c r="F115" s="1" t="s">
        <v>1127</v>
      </c>
      <c r="G115" s="12" t="s">
        <v>899</v>
      </c>
      <c r="H115" s="23">
        <v>37.293139999999994</v>
      </c>
      <c r="I115" s="41">
        <f t="shared" si="2"/>
        <v>0.56000000000000005</v>
      </c>
      <c r="J115" s="44">
        <f t="shared" si="3"/>
        <v>16.408981599999997</v>
      </c>
    </row>
    <row r="116" spans="2:10" ht="15.95" customHeight="1" x14ac:dyDescent="0.2">
      <c r="B116" s="69">
        <v>429912</v>
      </c>
      <c r="C116" s="12" t="s">
        <v>0</v>
      </c>
      <c r="D116" s="1" t="s">
        <v>891</v>
      </c>
      <c r="E116" s="1" t="s">
        <v>600</v>
      </c>
      <c r="F116" s="1" t="s">
        <v>1127</v>
      </c>
      <c r="G116" s="12" t="s">
        <v>899</v>
      </c>
      <c r="H116" s="23">
        <v>36.440759999999997</v>
      </c>
      <c r="I116" s="41">
        <f t="shared" si="2"/>
        <v>0.56000000000000005</v>
      </c>
      <c r="J116" s="44">
        <f t="shared" si="3"/>
        <v>16.033934399999996</v>
      </c>
    </row>
    <row r="117" spans="2:10" ht="15.95" customHeight="1" x14ac:dyDescent="0.2">
      <c r="B117" s="69">
        <v>429911</v>
      </c>
      <c r="C117" s="12" t="s">
        <v>0</v>
      </c>
      <c r="D117" s="1" t="s">
        <v>890</v>
      </c>
      <c r="E117" s="1" t="s">
        <v>600</v>
      </c>
      <c r="F117" s="1" t="s">
        <v>1127</v>
      </c>
      <c r="G117" s="12" t="s">
        <v>899</v>
      </c>
      <c r="H117" s="23">
        <v>35.588379999999994</v>
      </c>
      <c r="I117" s="41">
        <f t="shared" si="2"/>
        <v>0.56000000000000005</v>
      </c>
      <c r="J117" s="44">
        <f t="shared" si="3"/>
        <v>15.658887199999995</v>
      </c>
    </row>
    <row r="118" spans="2:10" ht="15.95" customHeight="1" x14ac:dyDescent="0.2">
      <c r="B118" s="69">
        <v>427920</v>
      </c>
      <c r="C118" s="12" t="s">
        <v>0</v>
      </c>
      <c r="D118" s="1" t="s">
        <v>889</v>
      </c>
      <c r="E118" s="1" t="s">
        <v>600</v>
      </c>
      <c r="F118" s="1" t="s">
        <v>1127</v>
      </c>
      <c r="G118" s="12" t="s">
        <v>899</v>
      </c>
      <c r="H118" s="23">
        <v>41.819799999999994</v>
      </c>
      <c r="I118" s="41">
        <f t="shared" si="2"/>
        <v>0.56000000000000005</v>
      </c>
      <c r="J118" s="44">
        <f t="shared" si="3"/>
        <v>18.400711999999995</v>
      </c>
    </row>
    <row r="119" spans="2:10" ht="15.95" customHeight="1" x14ac:dyDescent="0.2">
      <c r="B119" s="69">
        <v>427919</v>
      </c>
      <c r="C119" s="12" t="s">
        <v>0</v>
      </c>
      <c r="D119" s="1" t="s">
        <v>888</v>
      </c>
      <c r="E119" s="1" t="s">
        <v>600</v>
      </c>
      <c r="F119" s="1" t="s">
        <v>1127</v>
      </c>
      <c r="G119" s="12" t="s">
        <v>899</v>
      </c>
      <c r="H119" s="23">
        <v>40.96741999999999</v>
      </c>
      <c r="I119" s="41">
        <f t="shared" si="2"/>
        <v>0.56000000000000005</v>
      </c>
      <c r="J119" s="44">
        <f t="shared" si="3"/>
        <v>18.025664799999994</v>
      </c>
    </row>
    <row r="120" spans="2:10" ht="15.95" customHeight="1" x14ac:dyDescent="0.2">
      <c r="B120" s="69">
        <v>427918</v>
      </c>
      <c r="C120" s="12" t="s">
        <v>0</v>
      </c>
      <c r="D120" s="1" t="s">
        <v>887</v>
      </c>
      <c r="E120" s="1" t="s">
        <v>600</v>
      </c>
      <c r="F120" s="1" t="s">
        <v>1127</v>
      </c>
      <c r="G120" s="12" t="s">
        <v>899</v>
      </c>
      <c r="H120" s="23">
        <v>40.115039999999993</v>
      </c>
      <c r="I120" s="41">
        <f t="shared" si="2"/>
        <v>0.56000000000000005</v>
      </c>
      <c r="J120" s="44">
        <f t="shared" si="3"/>
        <v>17.650617599999993</v>
      </c>
    </row>
    <row r="121" spans="2:10" ht="15.95" customHeight="1" x14ac:dyDescent="0.2">
      <c r="B121" s="69">
        <v>427917</v>
      </c>
      <c r="C121" s="12" t="s">
        <v>0</v>
      </c>
      <c r="D121" s="1" t="s">
        <v>886</v>
      </c>
      <c r="E121" s="1" t="s">
        <v>600</v>
      </c>
      <c r="F121" s="1" t="s">
        <v>1127</v>
      </c>
      <c r="G121" s="12" t="s">
        <v>899</v>
      </c>
      <c r="H121" s="23">
        <v>39.26265999999999</v>
      </c>
      <c r="I121" s="41">
        <f t="shared" si="2"/>
        <v>0.56000000000000005</v>
      </c>
      <c r="J121" s="44">
        <f t="shared" si="3"/>
        <v>17.275570399999992</v>
      </c>
    </row>
    <row r="122" spans="2:10" ht="15.95" customHeight="1" x14ac:dyDescent="0.2">
      <c r="B122" s="69">
        <v>427916</v>
      </c>
      <c r="C122" s="12" t="s">
        <v>0</v>
      </c>
      <c r="D122" s="1" t="s">
        <v>885</v>
      </c>
      <c r="E122" s="1" t="s">
        <v>600</v>
      </c>
      <c r="F122" s="1" t="s">
        <v>1127</v>
      </c>
      <c r="G122" s="12" t="s">
        <v>899</v>
      </c>
      <c r="H122" s="23">
        <v>38.410279999999993</v>
      </c>
      <c r="I122" s="41">
        <f t="shared" si="2"/>
        <v>0.56000000000000005</v>
      </c>
      <c r="J122" s="44">
        <f t="shared" si="3"/>
        <v>16.900523199999995</v>
      </c>
    </row>
    <row r="123" spans="2:10" ht="15.95" customHeight="1" x14ac:dyDescent="0.2">
      <c r="B123" s="69">
        <v>427915</v>
      </c>
      <c r="C123" s="12" t="s">
        <v>0</v>
      </c>
      <c r="D123" s="1" t="s">
        <v>884</v>
      </c>
      <c r="E123" s="1" t="s">
        <v>600</v>
      </c>
      <c r="F123" s="1" t="s">
        <v>1127</v>
      </c>
      <c r="G123" s="12" t="s">
        <v>899</v>
      </c>
      <c r="H123" s="23">
        <v>37.557899999999989</v>
      </c>
      <c r="I123" s="41">
        <f t="shared" si="2"/>
        <v>0.56000000000000005</v>
      </c>
      <c r="J123" s="44">
        <f t="shared" si="3"/>
        <v>16.525475999999994</v>
      </c>
    </row>
    <row r="124" spans="2:10" ht="15.95" customHeight="1" x14ac:dyDescent="0.2">
      <c r="B124" s="69">
        <v>427914</v>
      </c>
      <c r="C124" s="12" t="s">
        <v>0</v>
      </c>
      <c r="D124" s="1" t="s">
        <v>883</v>
      </c>
      <c r="E124" s="1" t="s">
        <v>600</v>
      </c>
      <c r="F124" s="1" t="s">
        <v>1127</v>
      </c>
      <c r="G124" s="12" t="s">
        <v>899</v>
      </c>
      <c r="H124" s="23">
        <v>36.705519999999993</v>
      </c>
      <c r="I124" s="41">
        <f t="shared" si="2"/>
        <v>0.56000000000000005</v>
      </c>
      <c r="J124" s="44">
        <f t="shared" si="3"/>
        <v>16.150428799999993</v>
      </c>
    </row>
    <row r="125" spans="2:10" ht="15.95" customHeight="1" x14ac:dyDescent="0.2">
      <c r="B125" s="69">
        <v>427913</v>
      </c>
      <c r="C125" s="12" t="s">
        <v>0</v>
      </c>
      <c r="D125" s="1" t="s">
        <v>882</v>
      </c>
      <c r="E125" s="1" t="s">
        <v>600</v>
      </c>
      <c r="F125" s="1" t="s">
        <v>1127</v>
      </c>
      <c r="G125" s="12" t="s">
        <v>899</v>
      </c>
      <c r="H125" s="23">
        <v>35.853139999999989</v>
      </c>
      <c r="I125" s="41">
        <f t="shared" si="2"/>
        <v>0.56000000000000005</v>
      </c>
      <c r="J125" s="44">
        <f t="shared" si="3"/>
        <v>15.775381599999992</v>
      </c>
    </row>
    <row r="126" spans="2:10" ht="15.95" customHeight="1" x14ac:dyDescent="0.2">
      <c r="B126" s="69">
        <v>427912</v>
      </c>
      <c r="C126" s="12" t="s">
        <v>0</v>
      </c>
      <c r="D126" s="1" t="s">
        <v>881</v>
      </c>
      <c r="E126" s="1" t="s">
        <v>600</v>
      </c>
      <c r="F126" s="1" t="s">
        <v>1127</v>
      </c>
      <c r="G126" s="12" t="s">
        <v>899</v>
      </c>
      <c r="H126" s="23">
        <v>35.000759999999993</v>
      </c>
      <c r="I126" s="41">
        <f t="shared" si="2"/>
        <v>0.56000000000000005</v>
      </c>
      <c r="J126" s="44">
        <f t="shared" si="3"/>
        <v>15.400334399999995</v>
      </c>
    </row>
    <row r="127" spans="2:10" ht="15.95" customHeight="1" x14ac:dyDescent="0.2">
      <c r="B127" s="69">
        <v>427911</v>
      </c>
      <c r="C127" s="12" t="s">
        <v>0</v>
      </c>
      <c r="D127" s="1" t="s">
        <v>880</v>
      </c>
      <c r="E127" s="1" t="s">
        <v>600</v>
      </c>
      <c r="F127" s="1" t="s">
        <v>1127</v>
      </c>
      <c r="G127" s="12" t="s">
        <v>899</v>
      </c>
      <c r="H127" s="23">
        <v>34.148379999999989</v>
      </c>
      <c r="I127" s="41">
        <f t="shared" si="2"/>
        <v>0.56000000000000005</v>
      </c>
      <c r="J127" s="44">
        <f t="shared" si="3"/>
        <v>15.025287199999994</v>
      </c>
    </row>
    <row r="128" spans="2:10" ht="15.95" customHeight="1" x14ac:dyDescent="0.2">
      <c r="B128" s="74">
        <v>427722</v>
      </c>
      <c r="C128" s="12" t="s">
        <v>0</v>
      </c>
      <c r="D128" s="5" t="s">
        <v>785</v>
      </c>
      <c r="E128" s="1" t="s">
        <v>600</v>
      </c>
      <c r="F128" s="1" t="s">
        <v>632</v>
      </c>
      <c r="G128" s="12" t="s">
        <v>44</v>
      </c>
      <c r="H128" s="23">
        <v>107.98500000000003</v>
      </c>
      <c r="I128" s="41">
        <f t="shared" si="2"/>
        <v>0.56000000000000005</v>
      </c>
      <c r="J128" s="44">
        <f t="shared" si="3"/>
        <v>47.513400000000004</v>
      </c>
    </row>
    <row r="129" spans="2:10" ht="15.95" customHeight="1" x14ac:dyDescent="0.2">
      <c r="B129" s="68">
        <v>427721</v>
      </c>
      <c r="C129" s="12" t="s">
        <v>0</v>
      </c>
      <c r="D129" s="1" t="s">
        <v>557</v>
      </c>
      <c r="E129" s="1" t="s">
        <v>600</v>
      </c>
      <c r="F129" s="1" t="s">
        <v>586</v>
      </c>
      <c r="G129" s="12" t="s">
        <v>44</v>
      </c>
      <c r="H129" s="19">
        <v>8.1650000000000009</v>
      </c>
      <c r="I129" s="41">
        <f t="shared" si="2"/>
        <v>0.56000000000000005</v>
      </c>
      <c r="J129" s="44">
        <f t="shared" si="3"/>
        <v>3.5926</v>
      </c>
    </row>
    <row r="130" spans="2:10" ht="15.95" customHeight="1" x14ac:dyDescent="0.2">
      <c r="B130" s="69">
        <v>427720</v>
      </c>
      <c r="C130" s="12" t="s">
        <v>0</v>
      </c>
      <c r="D130" s="1" t="s">
        <v>879</v>
      </c>
      <c r="E130" s="1" t="s">
        <v>600</v>
      </c>
      <c r="F130" s="1" t="s">
        <v>1127</v>
      </c>
      <c r="G130" s="12" t="s">
        <v>899</v>
      </c>
      <c r="H130" s="23">
        <v>40.379799999999996</v>
      </c>
      <c r="I130" s="41">
        <f t="shared" si="2"/>
        <v>0.56000000000000005</v>
      </c>
      <c r="J130" s="44">
        <f t="shared" si="3"/>
        <v>17.767111999999997</v>
      </c>
    </row>
    <row r="131" spans="2:10" ht="15.95" customHeight="1" x14ac:dyDescent="0.2">
      <c r="B131" s="69">
        <v>427719</v>
      </c>
      <c r="C131" s="12" t="s">
        <v>0</v>
      </c>
      <c r="D131" s="1" t="s">
        <v>878</v>
      </c>
      <c r="E131" s="1" t="s">
        <v>600</v>
      </c>
      <c r="F131" s="1" t="s">
        <v>1127</v>
      </c>
      <c r="G131" s="12" t="s">
        <v>899</v>
      </c>
      <c r="H131" s="23">
        <v>39.527419999999992</v>
      </c>
      <c r="I131" s="41">
        <f t="shared" si="2"/>
        <v>0.56000000000000005</v>
      </c>
      <c r="J131" s="44">
        <f t="shared" si="3"/>
        <v>17.392064799999993</v>
      </c>
    </row>
    <row r="132" spans="2:10" ht="15.95" customHeight="1" x14ac:dyDescent="0.2">
      <c r="B132" s="69">
        <v>427718</v>
      </c>
      <c r="C132" s="12" t="s">
        <v>0</v>
      </c>
      <c r="D132" s="1" t="s">
        <v>877</v>
      </c>
      <c r="E132" s="1" t="s">
        <v>600</v>
      </c>
      <c r="F132" s="1" t="s">
        <v>1127</v>
      </c>
      <c r="G132" s="12" t="s">
        <v>899</v>
      </c>
      <c r="H132" s="23">
        <v>38.675039999999996</v>
      </c>
      <c r="I132" s="41">
        <f t="shared" si="2"/>
        <v>0.56000000000000005</v>
      </c>
      <c r="J132" s="44">
        <f t="shared" si="3"/>
        <v>17.017017599999996</v>
      </c>
    </row>
    <row r="133" spans="2:10" ht="15.95" customHeight="1" x14ac:dyDescent="0.2">
      <c r="B133" s="69">
        <v>427717</v>
      </c>
      <c r="C133" s="12" t="s">
        <v>0</v>
      </c>
      <c r="D133" s="1" t="s">
        <v>876</v>
      </c>
      <c r="E133" s="1" t="s">
        <v>600</v>
      </c>
      <c r="F133" s="1" t="s">
        <v>1127</v>
      </c>
      <c r="G133" s="12" t="s">
        <v>899</v>
      </c>
      <c r="H133" s="23">
        <v>37.822659999999992</v>
      </c>
      <c r="I133" s="41">
        <f t="shared" si="2"/>
        <v>0.56000000000000005</v>
      </c>
      <c r="J133" s="44">
        <f t="shared" si="3"/>
        <v>16.641970399999995</v>
      </c>
    </row>
    <row r="134" spans="2:10" ht="15.95" customHeight="1" x14ac:dyDescent="0.2">
      <c r="B134" s="69">
        <v>427716</v>
      </c>
      <c r="C134" s="12" t="s">
        <v>0</v>
      </c>
      <c r="D134" s="1" t="s">
        <v>875</v>
      </c>
      <c r="E134" s="1" t="s">
        <v>600</v>
      </c>
      <c r="F134" s="1" t="s">
        <v>1127</v>
      </c>
      <c r="G134" s="12" t="s">
        <v>899</v>
      </c>
      <c r="H134" s="23">
        <v>36.970279999999995</v>
      </c>
      <c r="I134" s="41">
        <f t="shared" si="2"/>
        <v>0.56000000000000005</v>
      </c>
      <c r="J134" s="44">
        <f t="shared" si="3"/>
        <v>16.266923199999997</v>
      </c>
    </row>
    <row r="135" spans="2:10" ht="15.95" customHeight="1" x14ac:dyDescent="0.2">
      <c r="B135" s="69">
        <v>427715</v>
      </c>
      <c r="C135" s="12" t="s">
        <v>0</v>
      </c>
      <c r="D135" s="1" t="s">
        <v>874</v>
      </c>
      <c r="E135" s="1" t="s">
        <v>600</v>
      </c>
      <c r="F135" s="1" t="s">
        <v>1127</v>
      </c>
      <c r="G135" s="12" t="s">
        <v>899</v>
      </c>
      <c r="H135" s="23">
        <v>36.117899999999992</v>
      </c>
      <c r="I135" s="41">
        <f t="shared" si="2"/>
        <v>0.56000000000000005</v>
      </c>
      <c r="J135" s="44">
        <f t="shared" si="3"/>
        <v>15.891875999999993</v>
      </c>
    </row>
    <row r="136" spans="2:10" ht="15.95" customHeight="1" x14ac:dyDescent="0.2">
      <c r="B136" s="69">
        <v>427714</v>
      </c>
      <c r="C136" s="12" t="s">
        <v>0</v>
      </c>
      <c r="D136" s="1" t="s">
        <v>873</v>
      </c>
      <c r="E136" s="1" t="s">
        <v>600</v>
      </c>
      <c r="F136" s="1" t="s">
        <v>1127</v>
      </c>
      <c r="G136" s="12" t="s">
        <v>899</v>
      </c>
      <c r="H136" s="23">
        <v>35.265519999999995</v>
      </c>
      <c r="I136" s="41">
        <f t="shared" si="2"/>
        <v>0.56000000000000005</v>
      </c>
      <c r="J136" s="44">
        <f t="shared" si="3"/>
        <v>15.516828799999995</v>
      </c>
    </row>
    <row r="137" spans="2:10" ht="15.95" customHeight="1" x14ac:dyDescent="0.2">
      <c r="B137" s="69">
        <v>427713</v>
      </c>
      <c r="C137" s="12" t="s">
        <v>0</v>
      </c>
      <c r="D137" s="1" t="s">
        <v>273</v>
      </c>
      <c r="E137" s="1" t="s">
        <v>600</v>
      </c>
      <c r="F137" s="1" t="s">
        <v>1127</v>
      </c>
      <c r="G137" s="12" t="s">
        <v>899</v>
      </c>
      <c r="H137" s="23">
        <v>34.413139999999991</v>
      </c>
      <c r="I137" s="41">
        <f t="shared" ref="I137:I200" si="4">$H$7</f>
        <v>0.56000000000000005</v>
      </c>
      <c r="J137" s="44">
        <f t="shared" ref="J137:J200" si="5">H137-H137*I137</f>
        <v>15.141781599999995</v>
      </c>
    </row>
    <row r="138" spans="2:10" ht="15.95" customHeight="1" x14ac:dyDescent="0.2">
      <c r="B138" s="69">
        <v>427712</v>
      </c>
      <c r="C138" s="12" t="s">
        <v>0</v>
      </c>
      <c r="D138" s="1" t="s">
        <v>872</v>
      </c>
      <c r="E138" s="1" t="s">
        <v>600</v>
      </c>
      <c r="F138" s="1" t="s">
        <v>1127</v>
      </c>
      <c r="G138" s="12" t="s">
        <v>899</v>
      </c>
      <c r="H138" s="23">
        <v>33.560759999999995</v>
      </c>
      <c r="I138" s="41">
        <f t="shared" si="4"/>
        <v>0.56000000000000005</v>
      </c>
      <c r="J138" s="44">
        <f t="shared" si="5"/>
        <v>14.766734399999997</v>
      </c>
    </row>
    <row r="139" spans="2:10" ht="15.95" customHeight="1" x14ac:dyDescent="0.2">
      <c r="B139" s="69">
        <v>427711</v>
      </c>
      <c r="C139" s="12" t="s">
        <v>0</v>
      </c>
      <c r="D139" s="1" t="s">
        <v>871</v>
      </c>
      <c r="E139" s="1" t="s">
        <v>600</v>
      </c>
      <c r="F139" s="1" t="s">
        <v>1127</v>
      </c>
      <c r="G139" s="12" t="s">
        <v>899</v>
      </c>
      <c r="H139" s="23">
        <v>32.708379999999991</v>
      </c>
      <c r="I139" s="41">
        <f t="shared" si="4"/>
        <v>0.56000000000000005</v>
      </c>
      <c r="J139" s="44">
        <f t="shared" si="5"/>
        <v>14.391687199999993</v>
      </c>
    </row>
    <row r="140" spans="2:10" ht="15.95" customHeight="1" x14ac:dyDescent="0.2">
      <c r="B140" s="69">
        <v>426622</v>
      </c>
      <c r="C140" s="12" t="s">
        <v>0</v>
      </c>
      <c r="D140" s="1" t="s">
        <v>251</v>
      </c>
      <c r="E140" s="1" t="s">
        <v>600</v>
      </c>
      <c r="F140" s="1" t="s">
        <v>632</v>
      </c>
      <c r="G140" s="12" t="s">
        <v>44</v>
      </c>
      <c r="H140" s="23">
        <v>168.77111716621258</v>
      </c>
      <c r="I140" s="41">
        <f t="shared" si="4"/>
        <v>0.56000000000000005</v>
      </c>
      <c r="J140" s="44">
        <f t="shared" si="5"/>
        <v>74.259291553133522</v>
      </c>
    </row>
    <row r="141" spans="2:10" ht="15.95" customHeight="1" x14ac:dyDescent="0.2">
      <c r="B141" s="69">
        <v>426611</v>
      </c>
      <c r="C141" s="12" t="s">
        <v>0</v>
      </c>
      <c r="D141" s="1" t="s">
        <v>254</v>
      </c>
      <c r="E141" s="1" t="s">
        <v>600</v>
      </c>
      <c r="F141" s="1" t="s">
        <v>1127</v>
      </c>
      <c r="G141" s="12" t="s">
        <v>44</v>
      </c>
      <c r="H141" s="23">
        <v>31.955313351498631</v>
      </c>
      <c r="I141" s="41">
        <f t="shared" si="4"/>
        <v>0.56000000000000005</v>
      </c>
      <c r="J141" s="44">
        <f t="shared" si="5"/>
        <v>14.060337874659396</v>
      </c>
    </row>
    <row r="142" spans="2:10" ht="15.95" customHeight="1" x14ac:dyDescent="0.2">
      <c r="B142" s="69">
        <v>425522</v>
      </c>
      <c r="C142" s="12" t="s">
        <v>0</v>
      </c>
      <c r="D142" s="1" t="s">
        <v>252</v>
      </c>
      <c r="E142" s="1" t="s">
        <v>600</v>
      </c>
      <c r="F142" s="1" t="s">
        <v>632</v>
      </c>
      <c r="G142" s="12" t="s">
        <v>44</v>
      </c>
      <c r="H142" s="23">
        <v>100.85217983651229</v>
      </c>
      <c r="I142" s="41">
        <f t="shared" si="4"/>
        <v>0.56000000000000005</v>
      </c>
      <c r="J142" s="44">
        <f t="shared" si="5"/>
        <v>44.374959128065406</v>
      </c>
    </row>
    <row r="143" spans="2:10" ht="15.95" customHeight="1" x14ac:dyDescent="0.2">
      <c r="B143" s="69">
        <v>424441</v>
      </c>
      <c r="C143" s="12" t="s">
        <v>0</v>
      </c>
      <c r="D143" s="1" t="s">
        <v>238</v>
      </c>
      <c r="E143" s="1" t="s">
        <v>600</v>
      </c>
      <c r="F143" s="1" t="s">
        <v>632</v>
      </c>
      <c r="G143" s="12" t="s">
        <v>42</v>
      </c>
      <c r="H143" s="23">
        <v>58.132970027247964</v>
      </c>
      <c r="I143" s="41">
        <f t="shared" si="4"/>
        <v>0.56000000000000005</v>
      </c>
      <c r="J143" s="44">
        <f t="shared" si="5"/>
        <v>25.578506811989101</v>
      </c>
    </row>
    <row r="144" spans="2:10" ht="15.95" customHeight="1" x14ac:dyDescent="0.2">
      <c r="B144" s="69">
        <v>423611</v>
      </c>
      <c r="C144" s="12" t="s">
        <v>0</v>
      </c>
      <c r="D144" s="1" t="s">
        <v>255</v>
      </c>
      <c r="E144" s="1" t="s">
        <v>600</v>
      </c>
      <c r="F144" s="1" t="s">
        <v>1127</v>
      </c>
      <c r="G144" s="12" t="s">
        <v>44</v>
      </c>
      <c r="H144" s="23">
        <v>39.719999999999992</v>
      </c>
      <c r="I144" s="41">
        <f t="shared" si="4"/>
        <v>0.56000000000000005</v>
      </c>
      <c r="J144" s="44">
        <f t="shared" si="5"/>
        <v>17.476799999999994</v>
      </c>
    </row>
    <row r="145" spans="2:10" ht="15.95" customHeight="1" x14ac:dyDescent="0.2">
      <c r="B145" s="69">
        <v>423520</v>
      </c>
      <c r="C145" s="12" t="s">
        <v>0</v>
      </c>
      <c r="D145" s="1" t="s">
        <v>257</v>
      </c>
      <c r="E145" s="1" t="s">
        <v>600</v>
      </c>
      <c r="F145" s="1" t="s">
        <v>1127</v>
      </c>
      <c r="G145" s="12" t="s">
        <v>44</v>
      </c>
      <c r="H145" s="23">
        <v>39.079999999999991</v>
      </c>
      <c r="I145" s="41">
        <f t="shared" si="4"/>
        <v>0.56000000000000005</v>
      </c>
      <c r="J145" s="44">
        <f t="shared" si="5"/>
        <v>17.195199999999993</v>
      </c>
    </row>
    <row r="146" spans="2:10" ht="15.95" customHeight="1" x14ac:dyDescent="0.2">
      <c r="B146" s="69">
        <v>423515</v>
      </c>
      <c r="C146" s="12" t="s">
        <v>0</v>
      </c>
      <c r="D146" s="1" t="s">
        <v>266</v>
      </c>
      <c r="E146" s="1" t="s">
        <v>600</v>
      </c>
      <c r="F146" s="1" t="s">
        <v>1127</v>
      </c>
      <c r="G146" s="12" t="s">
        <v>44</v>
      </c>
      <c r="H146" s="23">
        <v>34.839999999999996</v>
      </c>
      <c r="I146" s="41">
        <f t="shared" si="4"/>
        <v>0.56000000000000005</v>
      </c>
      <c r="J146" s="44">
        <f t="shared" si="5"/>
        <v>15.329599999999996</v>
      </c>
    </row>
    <row r="147" spans="2:10" ht="15.95" customHeight="1" x14ac:dyDescent="0.2">
      <c r="B147" s="69">
        <v>423513</v>
      </c>
      <c r="C147" s="12" t="s">
        <v>0</v>
      </c>
      <c r="D147" s="1" t="s">
        <v>260</v>
      </c>
      <c r="E147" s="1" t="s">
        <v>600</v>
      </c>
      <c r="F147" s="1" t="s">
        <v>1127</v>
      </c>
      <c r="G147" s="12" t="s">
        <v>44</v>
      </c>
      <c r="H147" s="23">
        <v>33.11999999999999</v>
      </c>
      <c r="I147" s="41">
        <f t="shared" si="4"/>
        <v>0.56000000000000005</v>
      </c>
      <c r="J147" s="44">
        <f t="shared" si="5"/>
        <v>14.572799999999994</v>
      </c>
    </row>
    <row r="148" spans="2:10" ht="15.95" customHeight="1" x14ac:dyDescent="0.2">
      <c r="B148" s="74">
        <v>423382</v>
      </c>
      <c r="C148" s="12" t="s">
        <v>0</v>
      </c>
      <c r="D148" s="18" t="s">
        <v>796</v>
      </c>
      <c r="E148" s="1" t="s">
        <v>600</v>
      </c>
      <c r="F148" s="1" t="s">
        <v>632</v>
      </c>
      <c r="G148" s="12" t="s">
        <v>631</v>
      </c>
      <c r="H148" s="23">
        <v>99.360000000000028</v>
      </c>
      <c r="I148" s="41">
        <f t="shared" si="4"/>
        <v>0.56000000000000005</v>
      </c>
      <c r="J148" s="44">
        <f t="shared" si="5"/>
        <v>43.71840000000001</v>
      </c>
    </row>
    <row r="149" spans="2:10" ht="15.95" customHeight="1" x14ac:dyDescent="0.2">
      <c r="B149" s="74">
        <v>423362</v>
      </c>
      <c r="C149" s="12" t="s">
        <v>0</v>
      </c>
      <c r="D149" s="18" t="s">
        <v>795</v>
      </c>
      <c r="E149" s="1" t="s">
        <v>600</v>
      </c>
      <c r="F149" s="1" t="s">
        <v>632</v>
      </c>
      <c r="G149" s="12" t="s">
        <v>41</v>
      </c>
      <c r="H149" s="23">
        <v>99.360000000000028</v>
      </c>
      <c r="I149" s="41">
        <f t="shared" si="4"/>
        <v>0.56000000000000005</v>
      </c>
      <c r="J149" s="44">
        <f t="shared" si="5"/>
        <v>43.71840000000001</v>
      </c>
    </row>
    <row r="150" spans="2:10" ht="15.95" customHeight="1" x14ac:dyDescent="0.2">
      <c r="B150" s="74">
        <v>423361</v>
      </c>
      <c r="C150" s="12" t="s">
        <v>0</v>
      </c>
      <c r="D150" s="5" t="s">
        <v>784</v>
      </c>
      <c r="E150" s="1" t="s">
        <v>600</v>
      </c>
      <c r="F150" s="1" t="s">
        <v>632</v>
      </c>
      <c r="G150" s="12" t="s">
        <v>41</v>
      </c>
      <c r="H150" s="23">
        <v>8.2800000000000011</v>
      </c>
      <c r="I150" s="41">
        <f t="shared" si="4"/>
        <v>0.56000000000000005</v>
      </c>
      <c r="J150" s="44">
        <f t="shared" si="5"/>
        <v>3.6432000000000002</v>
      </c>
    </row>
    <row r="151" spans="2:10" ht="15.95" customHeight="1" x14ac:dyDescent="0.2">
      <c r="B151" s="67">
        <v>423360</v>
      </c>
      <c r="C151" s="21" t="s">
        <v>0</v>
      </c>
      <c r="D151" s="22" t="s">
        <v>223</v>
      </c>
      <c r="E151" s="22" t="s">
        <v>600</v>
      </c>
      <c r="F151" s="22" t="s">
        <v>1127</v>
      </c>
      <c r="G151" s="21" t="s">
        <v>41</v>
      </c>
      <c r="H151" s="23">
        <v>35.79999999999999</v>
      </c>
      <c r="I151" s="41">
        <f t="shared" si="4"/>
        <v>0.56000000000000005</v>
      </c>
      <c r="J151" s="44">
        <f t="shared" si="5"/>
        <v>15.751999999999995</v>
      </c>
    </row>
    <row r="152" spans="2:10" ht="15.95" customHeight="1" x14ac:dyDescent="0.2">
      <c r="B152" s="67">
        <v>423358</v>
      </c>
      <c r="C152" s="21" t="s">
        <v>0</v>
      </c>
      <c r="D152" s="22" t="s">
        <v>221</v>
      </c>
      <c r="E152" s="22" t="s">
        <v>600</v>
      </c>
      <c r="F152" s="22" t="s">
        <v>1127</v>
      </c>
      <c r="G152" s="21" t="s">
        <v>41</v>
      </c>
      <c r="H152" s="23">
        <v>33.798399999999994</v>
      </c>
      <c r="I152" s="41">
        <f t="shared" si="4"/>
        <v>0.56000000000000005</v>
      </c>
      <c r="J152" s="44">
        <f t="shared" si="5"/>
        <v>14.871295999999994</v>
      </c>
    </row>
    <row r="153" spans="2:10" ht="15.95" customHeight="1" x14ac:dyDescent="0.2">
      <c r="B153" s="67">
        <v>423355</v>
      </c>
      <c r="C153" s="21" t="s">
        <v>0</v>
      </c>
      <c r="D153" s="22" t="s">
        <v>212</v>
      </c>
      <c r="E153" s="22" t="s">
        <v>600</v>
      </c>
      <c r="F153" s="22" t="s">
        <v>1127</v>
      </c>
      <c r="G153" s="21" t="s">
        <v>41</v>
      </c>
      <c r="H153" s="23">
        <v>30.799999999999997</v>
      </c>
      <c r="I153" s="41">
        <f t="shared" si="4"/>
        <v>0.56000000000000005</v>
      </c>
      <c r="J153" s="44">
        <f t="shared" si="5"/>
        <v>13.551999999999996</v>
      </c>
    </row>
    <row r="154" spans="2:10" ht="15.95" customHeight="1" x14ac:dyDescent="0.2">
      <c r="B154" s="67">
        <v>423353</v>
      </c>
      <c r="C154" s="21" t="s">
        <v>0</v>
      </c>
      <c r="D154" s="22" t="s">
        <v>211</v>
      </c>
      <c r="E154" s="22" t="s">
        <v>600</v>
      </c>
      <c r="F154" s="22" t="s">
        <v>1127</v>
      </c>
      <c r="G154" s="21" t="s">
        <v>41</v>
      </c>
      <c r="H154" s="23">
        <v>28.799999999999997</v>
      </c>
      <c r="I154" s="41">
        <f t="shared" si="4"/>
        <v>0.56000000000000005</v>
      </c>
      <c r="J154" s="44">
        <f t="shared" si="5"/>
        <v>12.671999999999997</v>
      </c>
    </row>
    <row r="155" spans="2:10" ht="15.95" customHeight="1" x14ac:dyDescent="0.2">
      <c r="B155" s="67">
        <v>423352</v>
      </c>
      <c r="C155" s="21" t="s">
        <v>0</v>
      </c>
      <c r="D155" s="22" t="s">
        <v>213</v>
      </c>
      <c r="E155" s="22" t="s">
        <v>600</v>
      </c>
      <c r="F155" s="22" t="s">
        <v>1127</v>
      </c>
      <c r="G155" s="21" t="s">
        <v>41</v>
      </c>
      <c r="H155" s="23">
        <v>27.799999999999997</v>
      </c>
      <c r="I155" s="41">
        <f t="shared" si="4"/>
        <v>0.56000000000000005</v>
      </c>
      <c r="J155" s="44">
        <f t="shared" si="5"/>
        <v>12.231999999999998</v>
      </c>
    </row>
    <row r="156" spans="2:10" ht="15.95" customHeight="1" x14ac:dyDescent="0.2">
      <c r="B156" s="67">
        <v>423351</v>
      </c>
      <c r="C156" s="21" t="s">
        <v>0</v>
      </c>
      <c r="D156" s="22" t="s">
        <v>217</v>
      </c>
      <c r="E156" s="22" t="s">
        <v>600</v>
      </c>
      <c r="F156" s="22" t="s">
        <v>1127</v>
      </c>
      <c r="G156" s="21" t="s">
        <v>41</v>
      </c>
      <c r="H156" s="23">
        <v>26.778799999999997</v>
      </c>
      <c r="I156" s="41">
        <f t="shared" si="4"/>
        <v>0.56000000000000005</v>
      </c>
      <c r="J156" s="44">
        <f t="shared" si="5"/>
        <v>11.782671999999998</v>
      </c>
    </row>
    <row r="157" spans="2:10" ht="15.95" customHeight="1" x14ac:dyDescent="0.2">
      <c r="B157" s="74">
        <v>423349</v>
      </c>
      <c r="C157" s="12" t="s">
        <v>0</v>
      </c>
      <c r="D157" s="18" t="s">
        <v>793</v>
      </c>
      <c r="E157" s="1" t="s">
        <v>600</v>
      </c>
      <c r="F157" s="1" t="s">
        <v>632</v>
      </c>
      <c r="G157" s="12" t="s">
        <v>43</v>
      </c>
      <c r="H157" s="23">
        <v>136.89600000000002</v>
      </c>
      <c r="I157" s="41">
        <f t="shared" si="4"/>
        <v>0.56000000000000005</v>
      </c>
      <c r="J157" s="44">
        <f t="shared" si="5"/>
        <v>60.23424</v>
      </c>
    </row>
    <row r="158" spans="2:10" ht="15.95" customHeight="1" x14ac:dyDescent="0.2">
      <c r="B158" s="74">
        <v>423348</v>
      </c>
      <c r="C158" s="12" t="s">
        <v>0</v>
      </c>
      <c r="D158" s="18" t="s">
        <v>783</v>
      </c>
      <c r="E158" s="1" t="s">
        <v>600</v>
      </c>
      <c r="F158" s="1" t="s">
        <v>632</v>
      </c>
      <c r="G158" s="12" t="s">
        <v>43</v>
      </c>
      <c r="H158" s="23">
        <v>11.442500000000003</v>
      </c>
      <c r="I158" s="41">
        <f t="shared" si="4"/>
        <v>0.56000000000000005</v>
      </c>
      <c r="J158" s="44">
        <f t="shared" si="5"/>
        <v>5.0347000000000008</v>
      </c>
    </row>
    <row r="159" spans="2:10" ht="15.95" customHeight="1" x14ac:dyDescent="0.2">
      <c r="B159" s="74">
        <v>423342</v>
      </c>
      <c r="C159" s="12" t="s">
        <v>0</v>
      </c>
      <c r="D159" s="18" t="s">
        <v>794</v>
      </c>
      <c r="E159" s="1" t="s">
        <v>600</v>
      </c>
      <c r="F159" s="1" t="s">
        <v>632</v>
      </c>
      <c r="G159" s="12" t="s">
        <v>42</v>
      </c>
      <c r="H159" s="23">
        <v>106.53600000000002</v>
      </c>
      <c r="I159" s="41">
        <f t="shared" si="4"/>
        <v>0.56000000000000005</v>
      </c>
      <c r="J159" s="44">
        <f t="shared" si="5"/>
        <v>46.875840000000004</v>
      </c>
    </row>
    <row r="160" spans="2:10" ht="15.95" customHeight="1" x14ac:dyDescent="0.2">
      <c r="B160" s="67">
        <v>423341</v>
      </c>
      <c r="C160" s="21" t="s">
        <v>0</v>
      </c>
      <c r="D160" s="22" t="s">
        <v>226</v>
      </c>
      <c r="E160" s="22" t="s">
        <v>600</v>
      </c>
      <c r="F160" s="22" t="s">
        <v>586</v>
      </c>
      <c r="G160" s="21" t="s">
        <v>42</v>
      </c>
      <c r="H160" s="23">
        <v>8.9700000000000006</v>
      </c>
      <c r="I160" s="41">
        <f t="shared" si="4"/>
        <v>0.56000000000000005</v>
      </c>
      <c r="J160" s="44">
        <f t="shared" si="5"/>
        <v>3.9467999999999996</v>
      </c>
    </row>
    <row r="161" spans="2:10" ht="15.95" customHeight="1" x14ac:dyDescent="0.2">
      <c r="B161" s="67">
        <v>423340</v>
      </c>
      <c r="C161" s="21" t="s">
        <v>0</v>
      </c>
      <c r="D161" s="22" t="s">
        <v>231</v>
      </c>
      <c r="E161" s="22" t="s">
        <v>600</v>
      </c>
      <c r="F161" s="22" t="s">
        <v>1127</v>
      </c>
      <c r="G161" s="21" t="s">
        <v>42</v>
      </c>
      <c r="H161" s="23">
        <v>41.319999999999993</v>
      </c>
      <c r="I161" s="41">
        <f t="shared" si="4"/>
        <v>0.56000000000000005</v>
      </c>
      <c r="J161" s="44">
        <f t="shared" si="5"/>
        <v>18.180799999999994</v>
      </c>
    </row>
    <row r="162" spans="2:10" ht="15.95" customHeight="1" x14ac:dyDescent="0.2">
      <c r="B162" s="67">
        <v>423339</v>
      </c>
      <c r="C162" s="21" t="s">
        <v>0</v>
      </c>
      <c r="D162" s="22" t="s">
        <v>869</v>
      </c>
      <c r="E162" s="22" t="s">
        <v>600</v>
      </c>
      <c r="F162" s="22" t="s">
        <v>1127</v>
      </c>
      <c r="G162" s="21" t="s">
        <v>42</v>
      </c>
      <c r="H162" s="23">
        <v>39.765059999999991</v>
      </c>
      <c r="I162" s="41">
        <f t="shared" si="4"/>
        <v>0.56000000000000005</v>
      </c>
      <c r="J162" s="44">
        <f t="shared" si="5"/>
        <v>17.496626399999993</v>
      </c>
    </row>
    <row r="163" spans="2:10" ht="15.95" customHeight="1" x14ac:dyDescent="0.2">
      <c r="B163" s="67">
        <v>423338</v>
      </c>
      <c r="C163" s="21" t="s">
        <v>0</v>
      </c>
      <c r="D163" s="22" t="s">
        <v>868</v>
      </c>
      <c r="E163" s="22" t="s">
        <v>600</v>
      </c>
      <c r="F163" s="22" t="s">
        <v>1127</v>
      </c>
      <c r="G163" s="21" t="s">
        <v>42</v>
      </c>
      <c r="H163" s="23">
        <v>38.210719999999995</v>
      </c>
      <c r="I163" s="41">
        <f t="shared" si="4"/>
        <v>0.56000000000000005</v>
      </c>
      <c r="J163" s="44">
        <f t="shared" si="5"/>
        <v>16.812716799999997</v>
      </c>
    </row>
    <row r="164" spans="2:10" ht="15.95" customHeight="1" x14ac:dyDescent="0.2">
      <c r="B164" s="67">
        <v>423337</v>
      </c>
      <c r="C164" s="21" t="s">
        <v>0</v>
      </c>
      <c r="D164" s="22" t="s">
        <v>867</v>
      </c>
      <c r="E164" s="22" t="s">
        <v>600</v>
      </c>
      <c r="F164" s="22" t="s">
        <v>1127</v>
      </c>
      <c r="G164" s="21" t="s">
        <v>42</v>
      </c>
      <c r="H164" s="23">
        <v>36.656379999999992</v>
      </c>
      <c r="I164" s="41">
        <f t="shared" si="4"/>
        <v>0.56000000000000005</v>
      </c>
      <c r="J164" s="44">
        <f t="shared" si="5"/>
        <v>16.128807199999994</v>
      </c>
    </row>
    <row r="165" spans="2:10" ht="15.95" customHeight="1" x14ac:dyDescent="0.2">
      <c r="B165" s="67">
        <v>423336</v>
      </c>
      <c r="C165" s="21" t="s">
        <v>0</v>
      </c>
      <c r="D165" s="22" t="s">
        <v>866</v>
      </c>
      <c r="E165" s="22" t="s">
        <v>600</v>
      </c>
      <c r="F165" s="22" t="s">
        <v>1127</v>
      </c>
      <c r="G165" s="21" t="s">
        <v>42</v>
      </c>
      <c r="H165" s="23">
        <v>35.102039999999988</v>
      </c>
      <c r="I165" s="41">
        <f t="shared" si="4"/>
        <v>0.56000000000000005</v>
      </c>
      <c r="J165" s="44">
        <f t="shared" si="5"/>
        <v>15.444897599999994</v>
      </c>
    </row>
    <row r="166" spans="2:10" ht="15.95" customHeight="1" x14ac:dyDescent="0.2">
      <c r="B166" s="67">
        <v>423335</v>
      </c>
      <c r="C166" s="21" t="s">
        <v>0</v>
      </c>
      <c r="D166" s="22" t="s">
        <v>230</v>
      </c>
      <c r="E166" s="22" t="s">
        <v>600</v>
      </c>
      <c r="F166" s="22" t="s">
        <v>1127</v>
      </c>
      <c r="G166" s="21" t="s">
        <v>42</v>
      </c>
      <c r="H166" s="23">
        <v>33.559999999999995</v>
      </c>
      <c r="I166" s="41">
        <f t="shared" si="4"/>
        <v>0.56000000000000005</v>
      </c>
      <c r="J166" s="44">
        <f t="shared" si="5"/>
        <v>14.766399999999997</v>
      </c>
    </row>
    <row r="167" spans="2:10" ht="15.95" customHeight="1" x14ac:dyDescent="0.2">
      <c r="B167" s="67">
        <v>423334</v>
      </c>
      <c r="C167" s="21" t="s">
        <v>0</v>
      </c>
      <c r="D167" s="22" t="s">
        <v>870</v>
      </c>
      <c r="E167" s="22" t="s">
        <v>600</v>
      </c>
      <c r="F167" s="22" t="s">
        <v>1127</v>
      </c>
      <c r="G167" s="21" t="s">
        <v>42</v>
      </c>
      <c r="H167" s="23">
        <v>31.999999999999993</v>
      </c>
      <c r="I167" s="41">
        <f t="shared" si="4"/>
        <v>0.56000000000000005</v>
      </c>
      <c r="J167" s="44">
        <f t="shared" si="5"/>
        <v>14.079999999999995</v>
      </c>
    </row>
    <row r="168" spans="2:10" ht="15.95" customHeight="1" x14ac:dyDescent="0.2">
      <c r="B168" s="67">
        <v>423333</v>
      </c>
      <c r="C168" s="21" t="s">
        <v>0</v>
      </c>
      <c r="D168" s="22" t="s">
        <v>236</v>
      </c>
      <c r="E168" s="22" t="s">
        <v>600</v>
      </c>
      <c r="F168" s="22" t="s">
        <v>1127</v>
      </c>
      <c r="G168" s="21" t="s">
        <v>42</v>
      </c>
      <c r="H168" s="23">
        <v>30.439999999999994</v>
      </c>
      <c r="I168" s="41">
        <f t="shared" si="4"/>
        <v>0.56000000000000005</v>
      </c>
      <c r="J168" s="44">
        <f t="shared" si="5"/>
        <v>13.393599999999996</v>
      </c>
    </row>
    <row r="169" spans="2:10" ht="15.95" customHeight="1" x14ac:dyDescent="0.2">
      <c r="B169" s="67">
        <v>423332</v>
      </c>
      <c r="C169" s="21" t="s">
        <v>0</v>
      </c>
      <c r="D169" s="22" t="s">
        <v>229</v>
      </c>
      <c r="E169" s="22" t="s">
        <v>600</v>
      </c>
      <c r="F169" s="22" t="s">
        <v>1127</v>
      </c>
      <c r="G169" s="21" t="s">
        <v>42</v>
      </c>
      <c r="H169" s="23">
        <v>28.879999999999995</v>
      </c>
      <c r="I169" s="41">
        <f t="shared" si="4"/>
        <v>0.56000000000000005</v>
      </c>
      <c r="J169" s="44">
        <f t="shared" si="5"/>
        <v>12.707199999999997</v>
      </c>
    </row>
    <row r="170" spans="2:10" ht="15.95" customHeight="1" x14ac:dyDescent="0.2">
      <c r="B170" s="67">
        <v>423331</v>
      </c>
      <c r="C170" s="21" t="s">
        <v>0</v>
      </c>
      <c r="D170" s="22" t="s">
        <v>225</v>
      </c>
      <c r="E170" s="22" t="s">
        <v>600</v>
      </c>
      <c r="F170" s="22" t="s">
        <v>1127</v>
      </c>
      <c r="G170" s="21" t="s">
        <v>42</v>
      </c>
      <c r="H170" s="23">
        <v>27.319999999999997</v>
      </c>
      <c r="I170" s="41">
        <f t="shared" si="4"/>
        <v>0.56000000000000005</v>
      </c>
      <c r="J170" s="44">
        <f t="shared" si="5"/>
        <v>12.020799999999998</v>
      </c>
    </row>
    <row r="171" spans="2:10" ht="15.95" customHeight="1" x14ac:dyDescent="0.2">
      <c r="B171" s="74">
        <v>423322</v>
      </c>
      <c r="C171" s="12" t="s">
        <v>0</v>
      </c>
      <c r="D171" s="18" t="s">
        <v>792</v>
      </c>
      <c r="E171" s="1" t="s">
        <v>600</v>
      </c>
      <c r="F171" s="1" t="s">
        <v>632</v>
      </c>
      <c r="G171" s="12" t="s">
        <v>44</v>
      </c>
      <c r="H171" s="23">
        <v>102.39600000000002</v>
      </c>
      <c r="I171" s="41">
        <f t="shared" si="4"/>
        <v>0.56000000000000005</v>
      </c>
      <c r="J171" s="44">
        <f t="shared" si="5"/>
        <v>45.05424</v>
      </c>
    </row>
    <row r="172" spans="2:10" ht="15.95" customHeight="1" x14ac:dyDescent="0.2">
      <c r="B172" s="69">
        <v>423321</v>
      </c>
      <c r="C172" s="12" t="s">
        <v>0</v>
      </c>
      <c r="D172" s="1" t="s">
        <v>253</v>
      </c>
      <c r="E172" s="1" t="s">
        <v>600</v>
      </c>
      <c r="F172" s="1" t="s">
        <v>586</v>
      </c>
      <c r="G172" s="12" t="s">
        <v>44</v>
      </c>
      <c r="H172" s="19">
        <v>8.6250000000000018</v>
      </c>
      <c r="I172" s="41">
        <f t="shared" si="4"/>
        <v>0.56000000000000005</v>
      </c>
      <c r="J172" s="44">
        <f t="shared" si="5"/>
        <v>3.7949999999999999</v>
      </c>
    </row>
    <row r="173" spans="2:10" ht="15.95" customHeight="1" x14ac:dyDescent="0.2">
      <c r="B173" s="69">
        <v>423320</v>
      </c>
      <c r="C173" s="12" t="s">
        <v>0</v>
      </c>
      <c r="D173" s="1" t="s">
        <v>261</v>
      </c>
      <c r="E173" s="1" t="s">
        <v>600</v>
      </c>
      <c r="F173" s="1" t="s">
        <v>1127</v>
      </c>
      <c r="G173" s="12" t="s">
        <v>44</v>
      </c>
      <c r="H173" s="23">
        <v>39.919999999999995</v>
      </c>
      <c r="I173" s="41">
        <f t="shared" si="4"/>
        <v>0.56000000000000005</v>
      </c>
      <c r="J173" s="44">
        <f t="shared" si="5"/>
        <v>17.564799999999995</v>
      </c>
    </row>
    <row r="174" spans="2:10" ht="15.95" customHeight="1" x14ac:dyDescent="0.2">
      <c r="B174" s="69">
        <v>423319</v>
      </c>
      <c r="C174" s="12" t="s">
        <v>0</v>
      </c>
      <c r="D174" s="8" t="s">
        <v>865</v>
      </c>
      <c r="E174" s="1" t="s">
        <v>600</v>
      </c>
      <c r="F174" s="1" t="s">
        <v>1127</v>
      </c>
      <c r="G174" s="12" t="s">
        <v>44</v>
      </c>
      <c r="H174" s="23">
        <v>39.087419999999995</v>
      </c>
      <c r="I174" s="41">
        <f t="shared" si="4"/>
        <v>0.56000000000000005</v>
      </c>
      <c r="J174" s="44">
        <f t="shared" si="5"/>
        <v>17.198464799999996</v>
      </c>
    </row>
    <row r="175" spans="2:10" ht="15.95" customHeight="1" x14ac:dyDescent="0.2">
      <c r="B175" s="69">
        <v>423318</v>
      </c>
      <c r="C175" s="12" t="s">
        <v>0</v>
      </c>
      <c r="D175" s="8" t="s">
        <v>864</v>
      </c>
      <c r="E175" s="1" t="s">
        <v>600</v>
      </c>
      <c r="F175" s="1" t="s">
        <v>1127</v>
      </c>
      <c r="G175" s="12" t="s">
        <v>44</v>
      </c>
      <c r="H175" s="23">
        <v>38.235039999999991</v>
      </c>
      <c r="I175" s="41">
        <f t="shared" si="4"/>
        <v>0.56000000000000005</v>
      </c>
      <c r="J175" s="44">
        <f t="shared" si="5"/>
        <v>16.823417599999996</v>
      </c>
    </row>
    <row r="176" spans="2:10" ht="15.95" customHeight="1" x14ac:dyDescent="0.2">
      <c r="B176" s="69">
        <v>423317</v>
      </c>
      <c r="C176" s="12" t="s">
        <v>0</v>
      </c>
      <c r="D176" s="8" t="s">
        <v>863</v>
      </c>
      <c r="E176" s="1" t="s">
        <v>600</v>
      </c>
      <c r="F176" s="1" t="s">
        <v>1127</v>
      </c>
      <c r="G176" s="12" t="s">
        <v>44</v>
      </c>
      <c r="H176" s="23">
        <v>37.382659999999994</v>
      </c>
      <c r="I176" s="41">
        <f t="shared" si="4"/>
        <v>0.56000000000000005</v>
      </c>
      <c r="J176" s="44">
        <f t="shared" si="5"/>
        <v>16.448370399999995</v>
      </c>
    </row>
    <row r="177" spans="2:10" ht="15.95" customHeight="1" x14ac:dyDescent="0.2">
      <c r="B177" s="69">
        <v>423316</v>
      </c>
      <c r="C177" s="12" t="s">
        <v>0</v>
      </c>
      <c r="D177" s="8" t="s">
        <v>862</v>
      </c>
      <c r="E177" s="1" t="s">
        <v>600</v>
      </c>
      <c r="F177" s="1" t="s">
        <v>1127</v>
      </c>
      <c r="G177" s="12" t="s">
        <v>44</v>
      </c>
      <c r="H177" s="23">
        <v>36.530279999999991</v>
      </c>
      <c r="I177" s="41">
        <f t="shared" si="4"/>
        <v>0.56000000000000005</v>
      </c>
      <c r="J177" s="44">
        <f t="shared" si="5"/>
        <v>16.073323199999994</v>
      </c>
    </row>
    <row r="178" spans="2:10" ht="15.95" customHeight="1" x14ac:dyDescent="0.2">
      <c r="B178" s="69">
        <v>423315</v>
      </c>
      <c r="C178" s="12" t="s">
        <v>0</v>
      </c>
      <c r="D178" s="1" t="s">
        <v>279</v>
      </c>
      <c r="E178" s="1" t="s">
        <v>600</v>
      </c>
      <c r="F178" s="1" t="s">
        <v>1127</v>
      </c>
      <c r="G178" s="12" t="s">
        <v>44</v>
      </c>
      <c r="H178" s="23">
        <v>35.679999999999993</v>
      </c>
      <c r="I178" s="41">
        <f t="shared" si="4"/>
        <v>0.56000000000000005</v>
      </c>
      <c r="J178" s="44">
        <f t="shared" si="5"/>
        <v>15.699199999999994</v>
      </c>
    </row>
    <row r="179" spans="2:10" ht="15.95" customHeight="1" x14ac:dyDescent="0.2">
      <c r="B179" s="69">
        <v>423314</v>
      </c>
      <c r="C179" s="12" t="s">
        <v>0</v>
      </c>
      <c r="D179" s="8" t="s">
        <v>861</v>
      </c>
      <c r="E179" s="1" t="s">
        <v>600</v>
      </c>
      <c r="F179" s="1" t="s">
        <v>1127</v>
      </c>
      <c r="G179" s="12" t="s">
        <v>44</v>
      </c>
      <c r="H179" s="23">
        <v>34.79999999999999</v>
      </c>
      <c r="I179" s="41">
        <f t="shared" si="4"/>
        <v>0.56000000000000005</v>
      </c>
      <c r="J179" s="44">
        <f t="shared" si="5"/>
        <v>15.311999999999994</v>
      </c>
    </row>
    <row r="180" spans="2:10" ht="15.95" customHeight="1" x14ac:dyDescent="0.2">
      <c r="B180" s="69">
        <v>423313</v>
      </c>
      <c r="C180" s="12" t="s">
        <v>0</v>
      </c>
      <c r="D180" s="1" t="s">
        <v>248</v>
      </c>
      <c r="E180" s="1" t="s">
        <v>600</v>
      </c>
      <c r="F180" s="1" t="s">
        <v>1127</v>
      </c>
      <c r="G180" s="12" t="s">
        <v>44</v>
      </c>
      <c r="H180" s="23">
        <v>33.959999999999994</v>
      </c>
      <c r="I180" s="41">
        <f t="shared" si="4"/>
        <v>0.56000000000000005</v>
      </c>
      <c r="J180" s="44">
        <f t="shared" si="5"/>
        <v>14.942399999999996</v>
      </c>
    </row>
    <row r="181" spans="2:10" ht="15.95" customHeight="1" x14ac:dyDescent="0.2">
      <c r="B181" s="69">
        <v>423312</v>
      </c>
      <c r="C181" s="12" t="s">
        <v>0</v>
      </c>
      <c r="D181" s="1" t="s">
        <v>278</v>
      </c>
      <c r="E181" s="1" t="s">
        <v>600</v>
      </c>
      <c r="F181" s="1" t="s">
        <v>1127</v>
      </c>
      <c r="G181" s="12" t="s">
        <v>44</v>
      </c>
      <c r="H181" s="23">
        <v>33.11999999999999</v>
      </c>
      <c r="I181" s="41">
        <f t="shared" si="4"/>
        <v>0.56000000000000005</v>
      </c>
      <c r="J181" s="44">
        <f t="shared" si="5"/>
        <v>14.572799999999994</v>
      </c>
    </row>
    <row r="182" spans="2:10" ht="15.95" customHeight="1" x14ac:dyDescent="0.2">
      <c r="B182" s="69">
        <v>423311</v>
      </c>
      <c r="C182" s="12" t="s">
        <v>0</v>
      </c>
      <c r="D182" s="1" t="s">
        <v>256</v>
      </c>
      <c r="E182" s="1" t="s">
        <v>600</v>
      </c>
      <c r="F182" s="1" t="s">
        <v>1127</v>
      </c>
      <c r="G182" s="12" t="s">
        <v>44</v>
      </c>
      <c r="H182" s="23">
        <v>32.279999999999994</v>
      </c>
      <c r="I182" s="41">
        <f t="shared" si="4"/>
        <v>0.56000000000000005</v>
      </c>
      <c r="J182" s="44">
        <f t="shared" si="5"/>
        <v>14.203199999999995</v>
      </c>
    </row>
    <row r="183" spans="2:10" ht="15.95" customHeight="1" x14ac:dyDescent="0.2">
      <c r="B183" s="69">
        <v>422241</v>
      </c>
      <c r="C183" s="12" t="s">
        <v>0</v>
      </c>
      <c r="D183" s="1" t="s">
        <v>239</v>
      </c>
      <c r="E183" s="1" t="s">
        <v>600</v>
      </c>
      <c r="F183" s="1" t="s">
        <v>586</v>
      </c>
      <c r="G183" s="12" t="s">
        <v>42</v>
      </c>
      <c r="H183" s="23">
        <v>8.0500000000000007</v>
      </c>
      <c r="I183" s="41">
        <f t="shared" si="4"/>
        <v>0.56000000000000005</v>
      </c>
      <c r="J183" s="44">
        <f t="shared" si="5"/>
        <v>3.5419999999999998</v>
      </c>
    </row>
    <row r="184" spans="2:10" ht="15.95" customHeight="1" x14ac:dyDescent="0.2">
      <c r="B184" s="69">
        <v>422213</v>
      </c>
      <c r="C184" s="12" t="s">
        <v>0</v>
      </c>
      <c r="D184" s="1" t="s">
        <v>262</v>
      </c>
      <c r="E184" s="1" t="s">
        <v>600</v>
      </c>
      <c r="F184" s="1" t="s">
        <v>1127</v>
      </c>
      <c r="G184" s="12" t="s">
        <v>44</v>
      </c>
      <c r="H184" s="23">
        <v>25.69314</v>
      </c>
      <c r="I184" s="41">
        <f t="shared" si="4"/>
        <v>0.56000000000000005</v>
      </c>
      <c r="J184" s="44">
        <f t="shared" si="5"/>
        <v>11.304981599999998</v>
      </c>
    </row>
    <row r="185" spans="2:10" ht="15.95" customHeight="1" x14ac:dyDescent="0.2">
      <c r="B185" s="69">
        <v>422211</v>
      </c>
      <c r="C185" s="12" t="s">
        <v>0</v>
      </c>
      <c r="D185" s="1" t="s">
        <v>263</v>
      </c>
      <c r="E185" s="1" t="s">
        <v>600</v>
      </c>
      <c r="F185" s="1" t="s">
        <v>1127</v>
      </c>
      <c r="G185" s="12" t="s">
        <v>44</v>
      </c>
      <c r="H185" s="23">
        <v>23.999999999999993</v>
      </c>
      <c r="I185" s="41">
        <f t="shared" si="4"/>
        <v>0.56000000000000005</v>
      </c>
      <c r="J185" s="44">
        <f t="shared" si="5"/>
        <v>10.559999999999995</v>
      </c>
    </row>
    <row r="186" spans="2:10" ht="15.95" customHeight="1" x14ac:dyDescent="0.2">
      <c r="B186" s="67">
        <v>421651</v>
      </c>
      <c r="C186" s="21" t="s">
        <v>0</v>
      </c>
      <c r="D186" s="22" t="s">
        <v>222</v>
      </c>
      <c r="E186" s="22" t="s">
        <v>600</v>
      </c>
      <c r="F186" s="22" t="s">
        <v>1127</v>
      </c>
      <c r="G186" s="21" t="s">
        <v>41</v>
      </c>
      <c r="H186" s="23">
        <v>22.418799999999997</v>
      </c>
      <c r="I186" s="41">
        <f t="shared" si="4"/>
        <v>0.56000000000000005</v>
      </c>
      <c r="J186" s="44">
        <f t="shared" si="5"/>
        <v>9.8642719999999979</v>
      </c>
    </row>
    <row r="187" spans="2:10" ht="15.95" customHeight="1" x14ac:dyDescent="0.2">
      <c r="B187" s="67">
        <v>421360</v>
      </c>
      <c r="C187" s="21" t="s">
        <v>0</v>
      </c>
      <c r="D187" s="22" t="s">
        <v>224</v>
      </c>
      <c r="E187" s="22" t="s">
        <v>600</v>
      </c>
      <c r="F187" s="22" t="s">
        <v>1127</v>
      </c>
      <c r="G187" s="21" t="s">
        <v>41</v>
      </c>
      <c r="H187" s="23">
        <v>32.279999999999994</v>
      </c>
      <c r="I187" s="41">
        <f t="shared" si="4"/>
        <v>0.56000000000000005</v>
      </c>
      <c r="J187" s="44">
        <f t="shared" si="5"/>
        <v>14.203199999999995</v>
      </c>
    </row>
    <row r="188" spans="2:10" ht="15.95" customHeight="1" x14ac:dyDescent="0.2">
      <c r="B188" s="67">
        <v>421355</v>
      </c>
      <c r="C188" s="21" t="s">
        <v>0</v>
      </c>
      <c r="D188" s="22" t="s">
        <v>210</v>
      </c>
      <c r="E188" s="22" t="s">
        <v>600</v>
      </c>
      <c r="F188" s="22" t="s">
        <v>1127</v>
      </c>
      <c r="G188" s="21" t="s">
        <v>41</v>
      </c>
      <c r="H188" s="23">
        <v>27.279999999999994</v>
      </c>
      <c r="I188" s="41">
        <f t="shared" si="4"/>
        <v>0.56000000000000005</v>
      </c>
      <c r="J188" s="44">
        <f t="shared" si="5"/>
        <v>12.003199999999996</v>
      </c>
    </row>
    <row r="189" spans="2:10" ht="15.95" customHeight="1" x14ac:dyDescent="0.2">
      <c r="B189" s="67">
        <v>421353</v>
      </c>
      <c r="C189" s="21" t="s">
        <v>0</v>
      </c>
      <c r="D189" s="22" t="s">
        <v>215</v>
      </c>
      <c r="E189" s="22" t="s">
        <v>600</v>
      </c>
      <c r="F189" s="22" t="s">
        <v>1127</v>
      </c>
      <c r="G189" s="21" t="s">
        <v>41</v>
      </c>
      <c r="H189" s="23">
        <v>25.264399999999995</v>
      </c>
      <c r="I189" s="41">
        <f t="shared" si="4"/>
        <v>0.56000000000000005</v>
      </c>
      <c r="J189" s="44">
        <f t="shared" si="5"/>
        <v>11.116335999999997</v>
      </c>
    </row>
    <row r="190" spans="2:10" ht="15.95" customHeight="1" x14ac:dyDescent="0.2">
      <c r="B190" s="67">
        <v>421352</v>
      </c>
      <c r="C190" s="21" t="s">
        <v>0</v>
      </c>
      <c r="D190" s="22" t="s">
        <v>214</v>
      </c>
      <c r="E190" s="22" t="s">
        <v>600</v>
      </c>
      <c r="F190" s="22" t="s">
        <v>1127</v>
      </c>
      <c r="G190" s="21" t="s">
        <v>41</v>
      </c>
      <c r="H190" s="23">
        <v>24.261599999999998</v>
      </c>
      <c r="I190" s="41">
        <f t="shared" si="4"/>
        <v>0.56000000000000005</v>
      </c>
      <c r="J190" s="44">
        <f t="shared" si="5"/>
        <v>10.675103999999997</v>
      </c>
    </row>
    <row r="191" spans="2:10" ht="15.95" customHeight="1" x14ac:dyDescent="0.2">
      <c r="B191" s="67">
        <v>421351</v>
      </c>
      <c r="C191" s="21" t="s">
        <v>0</v>
      </c>
      <c r="D191" s="22" t="s">
        <v>218</v>
      </c>
      <c r="E191" s="22" t="s">
        <v>600</v>
      </c>
      <c r="F191" s="22" t="s">
        <v>1127</v>
      </c>
      <c r="G191" s="21" t="s">
        <v>41</v>
      </c>
      <c r="H191" s="23">
        <v>23.258799999999997</v>
      </c>
      <c r="I191" s="41">
        <f t="shared" si="4"/>
        <v>0.56000000000000005</v>
      </c>
      <c r="J191" s="44">
        <f t="shared" si="5"/>
        <v>10.233871999999998</v>
      </c>
    </row>
    <row r="192" spans="2:10" ht="15.95" customHeight="1" x14ac:dyDescent="0.2">
      <c r="B192" s="67">
        <v>421340</v>
      </c>
      <c r="C192" s="21" t="s">
        <v>0</v>
      </c>
      <c r="D192" s="22" t="s">
        <v>860</v>
      </c>
      <c r="E192" s="22" t="s">
        <v>600</v>
      </c>
      <c r="F192" s="22" t="s">
        <v>1127</v>
      </c>
      <c r="G192" s="21" t="s">
        <v>42</v>
      </c>
      <c r="H192" s="23">
        <v>37.799399999999991</v>
      </c>
      <c r="I192" s="41">
        <f t="shared" si="4"/>
        <v>0.56000000000000005</v>
      </c>
      <c r="J192" s="44">
        <f t="shared" si="5"/>
        <v>16.631735999999993</v>
      </c>
    </row>
    <row r="193" spans="2:10" ht="15.95" customHeight="1" x14ac:dyDescent="0.2">
      <c r="B193" s="67">
        <v>421339</v>
      </c>
      <c r="C193" s="21" t="s">
        <v>0</v>
      </c>
      <c r="D193" s="22" t="s">
        <v>859</v>
      </c>
      <c r="E193" s="22" t="s">
        <v>600</v>
      </c>
      <c r="F193" s="22" t="s">
        <v>1127</v>
      </c>
      <c r="G193" s="21" t="s">
        <v>42</v>
      </c>
      <c r="H193" s="23">
        <v>36.245059999999988</v>
      </c>
      <c r="I193" s="41">
        <f t="shared" si="4"/>
        <v>0.56000000000000005</v>
      </c>
      <c r="J193" s="44">
        <f t="shared" si="5"/>
        <v>15.947826399999993</v>
      </c>
    </row>
    <row r="194" spans="2:10" ht="15.75" customHeight="1" x14ac:dyDescent="0.2">
      <c r="B194" s="67">
        <v>421338</v>
      </c>
      <c r="C194" s="21" t="s">
        <v>0</v>
      </c>
      <c r="D194" s="22" t="s">
        <v>858</v>
      </c>
      <c r="E194" s="22" t="s">
        <v>600</v>
      </c>
      <c r="F194" s="22" t="s">
        <v>1127</v>
      </c>
      <c r="G194" s="21" t="s">
        <v>42</v>
      </c>
      <c r="H194" s="23">
        <v>34.690719999999992</v>
      </c>
      <c r="I194" s="41">
        <f t="shared" si="4"/>
        <v>0.56000000000000005</v>
      </c>
      <c r="J194" s="44">
        <f t="shared" si="5"/>
        <v>15.263916799999993</v>
      </c>
    </row>
    <row r="195" spans="2:10" ht="15.95" customHeight="1" x14ac:dyDescent="0.2">
      <c r="B195" s="67">
        <v>421337</v>
      </c>
      <c r="C195" s="21" t="s">
        <v>0</v>
      </c>
      <c r="D195" s="22" t="s">
        <v>857</v>
      </c>
      <c r="E195" s="22" t="s">
        <v>600</v>
      </c>
      <c r="F195" s="22" t="s">
        <v>1127</v>
      </c>
      <c r="G195" s="21" t="s">
        <v>42</v>
      </c>
      <c r="H195" s="23">
        <v>33.136379999999988</v>
      </c>
      <c r="I195" s="41">
        <f t="shared" si="4"/>
        <v>0.56000000000000005</v>
      </c>
      <c r="J195" s="44">
        <f t="shared" si="5"/>
        <v>14.580007199999994</v>
      </c>
    </row>
    <row r="196" spans="2:10" ht="15.95" customHeight="1" x14ac:dyDescent="0.2">
      <c r="B196" s="67">
        <v>421336</v>
      </c>
      <c r="C196" s="21" t="s">
        <v>0</v>
      </c>
      <c r="D196" s="22" t="s">
        <v>856</v>
      </c>
      <c r="E196" s="22" t="s">
        <v>600</v>
      </c>
      <c r="F196" s="22" t="s">
        <v>1127</v>
      </c>
      <c r="G196" s="21" t="s">
        <v>42</v>
      </c>
      <c r="H196" s="23">
        <v>31.582039999999992</v>
      </c>
      <c r="I196" s="41">
        <f t="shared" si="4"/>
        <v>0.56000000000000005</v>
      </c>
      <c r="J196" s="44">
        <f t="shared" si="5"/>
        <v>13.896097599999994</v>
      </c>
    </row>
    <row r="197" spans="2:10" ht="15.95" customHeight="1" x14ac:dyDescent="0.2">
      <c r="B197" s="67">
        <v>421335</v>
      </c>
      <c r="C197" s="21" t="s">
        <v>0</v>
      </c>
      <c r="D197" s="22" t="s">
        <v>235</v>
      </c>
      <c r="E197" s="22" t="s">
        <v>600</v>
      </c>
      <c r="F197" s="22" t="s">
        <v>1127</v>
      </c>
      <c r="G197" s="21" t="s">
        <v>42</v>
      </c>
      <c r="H197" s="23">
        <v>30.039999999999992</v>
      </c>
      <c r="I197" s="41">
        <f t="shared" si="4"/>
        <v>0.56000000000000005</v>
      </c>
      <c r="J197" s="44">
        <f t="shared" si="5"/>
        <v>13.217599999999994</v>
      </c>
    </row>
    <row r="198" spans="2:10" ht="15.95" customHeight="1" x14ac:dyDescent="0.2">
      <c r="B198" s="67">
        <v>421334</v>
      </c>
      <c r="C198" s="21" t="s">
        <v>0</v>
      </c>
      <c r="D198" s="22" t="s">
        <v>855</v>
      </c>
      <c r="E198" s="22" t="s">
        <v>600</v>
      </c>
      <c r="F198" s="22" t="s">
        <v>1127</v>
      </c>
      <c r="G198" s="21" t="s">
        <v>42</v>
      </c>
      <c r="H198" s="23">
        <v>28.479999999999997</v>
      </c>
      <c r="I198" s="41">
        <f t="shared" si="4"/>
        <v>0.56000000000000005</v>
      </c>
      <c r="J198" s="44">
        <f t="shared" si="5"/>
        <v>12.531199999999997</v>
      </c>
    </row>
    <row r="199" spans="2:10" ht="15.95" customHeight="1" x14ac:dyDescent="0.2">
      <c r="B199" s="67">
        <v>421333</v>
      </c>
      <c r="C199" s="21" t="s">
        <v>0</v>
      </c>
      <c r="D199" s="22" t="s">
        <v>228</v>
      </c>
      <c r="E199" s="22" t="s">
        <v>600</v>
      </c>
      <c r="F199" s="22" t="s">
        <v>1127</v>
      </c>
      <c r="G199" s="21" t="s">
        <v>42</v>
      </c>
      <c r="H199" s="23">
        <v>26.919999999999998</v>
      </c>
      <c r="I199" s="41">
        <f t="shared" si="4"/>
        <v>0.56000000000000005</v>
      </c>
      <c r="J199" s="44">
        <f t="shared" si="5"/>
        <v>11.844799999999998</v>
      </c>
    </row>
    <row r="200" spans="2:10" ht="15.95" customHeight="1" x14ac:dyDescent="0.2">
      <c r="B200" s="69">
        <v>421332</v>
      </c>
      <c r="C200" s="12" t="s">
        <v>0</v>
      </c>
      <c r="D200" s="1" t="s">
        <v>242</v>
      </c>
      <c r="E200" s="1" t="s">
        <v>600</v>
      </c>
      <c r="F200" s="1" t="s">
        <v>1127</v>
      </c>
      <c r="G200" s="12" t="s">
        <v>42</v>
      </c>
      <c r="H200" s="23">
        <v>25.359999999999996</v>
      </c>
      <c r="I200" s="41">
        <f t="shared" si="4"/>
        <v>0.56000000000000005</v>
      </c>
      <c r="J200" s="44">
        <f t="shared" si="5"/>
        <v>11.158399999999997</v>
      </c>
    </row>
    <row r="201" spans="2:10" ht="15.95" customHeight="1" x14ac:dyDescent="0.2">
      <c r="B201" s="69">
        <v>421331</v>
      </c>
      <c r="C201" s="12" t="s">
        <v>0</v>
      </c>
      <c r="D201" s="1" t="s">
        <v>271</v>
      </c>
      <c r="E201" s="1" t="s">
        <v>600</v>
      </c>
      <c r="F201" s="1" t="s">
        <v>1127</v>
      </c>
      <c r="G201" s="12" t="s">
        <v>42</v>
      </c>
      <c r="H201" s="23">
        <v>23.799999999999997</v>
      </c>
      <c r="I201" s="41">
        <f t="shared" ref="I201:I264" si="6">$H$7</f>
        <v>0.56000000000000005</v>
      </c>
      <c r="J201" s="44">
        <f t="shared" ref="J201:J264" si="7">H201-H201*I201</f>
        <v>10.471999999999998</v>
      </c>
    </row>
    <row r="202" spans="2:10" ht="15.95" customHeight="1" x14ac:dyDescent="0.2">
      <c r="B202" s="69">
        <v>421320</v>
      </c>
      <c r="C202" s="12" t="s">
        <v>0</v>
      </c>
      <c r="D202" s="1" t="s">
        <v>280</v>
      </c>
      <c r="E202" s="1" t="s">
        <v>600</v>
      </c>
      <c r="F202" s="1" t="s">
        <v>1127</v>
      </c>
      <c r="G202" s="12" t="s">
        <v>44</v>
      </c>
      <c r="H202" s="23">
        <v>35.999999999999993</v>
      </c>
      <c r="I202" s="41">
        <f t="shared" si="6"/>
        <v>0.56000000000000005</v>
      </c>
      <c r="J202" s="44">
        <f t="shared" si="7"/>
        <v>15.839999999999996</v>
      </c>
    </row>
    <row r="203" spans="2:10" ht="14.25" customHeight="1" x14ac:dyDescent="0.2">
      <c r="B203" s="69">
        <v>421319</v>
      </c>
      <c r="C203" s="12" t="s">
        <v>0</v>
      </c>
      <c r="D203" s="1" t="s">
        <v>854</v>
      </c>
      <c r="E203" s="1" t="s">
        <v>600</v>
      </c>
      <c r="F203" s="1" t="s">
        <v>1127</v>
      </c>
      <c r="G203" s="12" t="s">
        <v>44</v>
      </c>
      <c r="H203" s="23">
        <v>35.167419999999993</v>
      </c>
      <c r="I203" s="41">
        <f t="shared" si="6"/>
        <v>0.56000000000000005</v>
      </c>
      <c r="J203" s="44">
        <f t="shared" si="7"/>
        <v>15.473664799999995</v>
      </c>
    </row>
    <row r="204" spans="2:10" ht="14.25" customHeight="1" x14ac:dyDescent="0.2">
      <c r="B204" s="69">
        <v>421318</v>
      </c>
      <c r="C204" s="12" t="s">
        <v>0</v>
      </c>
      <c r="D204" s="1" t="s">
        <v>853</v>
      </c>
      <c r="E204" s="1" t="s">
        <v>600</v>
      </c>
      <c r="F204" s="1" t="s">
        <v>1127</v>
      </c>
      <c r="G204" s="12" t="s">
        <v>44</v>
      </c>
      <c r="H204" s="23">
        <v>34.315039999999996</v>
      </c>
      <c r="I204" s="41">
        <f t="shared" si="6"/>
        <v>0.56000000000000005</v>
      </c>
      <c r="J204" s="44">
        <f t="shared" si="7"/>
        <v>15.098617599999997</v>
      </c>
    </row>
    <row r="205" spans="2:10" ht="14.25" customHeight="1" x14ac:dyDescent="0.2">
      <c r="B205" s="69">
        <v>421317</v>
      </c>
      <c r="C205" s="12" t="s">
        <v>0</v>
      </c>
      <c r="D205" s="1" t="s">
        <v>852</v>
      </c>
      <c r="E205" s="1" t="s">
        <v>600</v>
      </c>
      <c r="F205" s="1" t="s">
        <v>1127</v>
      </c>
      <c r="G205" s="12" t="s">
        <v>44</v>
      </c>
      <c r="H205" s="23">
        <v>33.462659999999993</v>
      </c>
      <c r="I205" s="41">
        <f t="shared" si="6"/>
        <v>0.56000000000000005</v>
      </c>
      <c r="J205" s="44">
        <f t="shared" si="7"/>
        <v>14.723570399999996</v>
      </c>
    </row>
    <row r="206" spans="2:10" ht="14.25" customHeight="1" x14ac:dyDescent="0.2">
      <c r="B206" s="69">
        <v>421316</v>
      </c>
      <c r="C206" s="12" t="s">
        <v>0</v>
      </c>
      <c r="D206" s="1" t="s">
        <v>851</v>
      </c>
      <c r="E206" s="1" t="s">
        <v>600</v>
      </c>
      <c r="F206" s="1" t="s">
        <v>1127</v>
      </c>
      <c r="G206" s="12" t="s">
        <v>44</v>
      </c>
      <c r="H206" s="23">
        <v>32.610279999999996</v>
      </c>
      <c r="I206" s="41">
        <f t="shared" si="6"/>
        <v>0.56000000000000005</v>
      </c>
      <c r="J206" s="44">
        <f t="shared" si="7"/>
        <v>14.348523199999995</v>
      </c>
    </row>
    <row r="207" spans="2:10" ht="14.25" customHeight="1" x14ac:dyDescent="0.2">
      <c r="B207" s="69">
        <v>421315</v>
      </c>
      <c r="C207" s="12" t="s">
        <v>0</v>
      </c>
      <c r="D207" s="1" t="s">
        <v>281</v>
      </c>
      <c r="E207" s="1" t="s">
        <v>600</v>
      </c>
      <c r="F207" s="1" t="s">
        <v>1127</v>
      </c>
      <c r="G207" s="12" t="s">
        <v>44</v>
      </c>
      <c r="H207" s="23">
        <v>31.759999999999998</v>
      </c>
      <c r="I207" s="41">
        <f t="shared" si="6"/>
        <v>0.56000000000000005</v>
      </c>
      <c r="J207" s="44">
        <f t="shared" si="7"/>
        <v>13.974399999999996</v>
      </c>
    </row>
    <row r="208" spans="2:10" ht="14.25" customHeight="1" x14ac:dyDescent="0.2">
      <c r="B208" s="69">
        <v>421314</v>
      </c>
      <c r="C208" s="12" t="s">
        <v>0</v>
      </c>
      <c r="D208" s="1" t="s">
        <v>850</v>
      </c>
      <c r="E208" s="1" t="s">
        <v>600</v>
      </c>
      <c r="F208" s="1" t="s">
        <v>1127</v>
      </c>
      <c r="G208" s="12" t="s">
        <v>44</v>
      </c>
      <c r="H208" s="23">
        <v>30.879999999999992</v>
      </c>
      <c r="I208" s="41">
        <f t="shared" si="6"/>
        <v>0.56000000000000005</v>
      </c>
      <c r="J208" s="44">
        <f t="shared" si="7"/>
        <v>13.587199999999996</v>
      </c>
    </row>
    <row r="209" spans="1:10" ht="15.95" customHeight="1" x14ac:dyDescent="0.2">
      <c r="B209" s="69">
        <v>421313</v>
      </c>
      <c r="C209" s="12" t="s">
        <v>0</v>
      </c>
      <c r="D209" s="1" t="s">
        <v>259</v>
      </c>
      <c r="E209" s="1" t="s">
        <v>600</v>
      </c>
      <c r="F209" s="1" t="s">
        <v>1127</v>
      </c>
      <c r="G209" s="12" t="s">
        <v>44</v>
      </c>
      <c r="H209" s="23">
        <v>30.039999999999992</v>
      </c>
      <c r="I209" s="41">
        <f t="shared" si="6"/>
        <v>0.56000000000000005</v>
      </c>
      <c r="J209" s="44">
        <f t="shared" si="7"/>
        <v>13.217599999999994</v>
      </c>
    </row>
    <row r="210" spans="1:10" ht="15.95" customHeight="1" x14ac:dyDescent="0.2">
      <c r="B210" s="69">
        <v>421312</v>
      </c>
      <c r="C210" s="12" t="s">
        <v>0</v>
      </c>
      <c r="D210" s="1" t="s">
        <v>258</v>
      </c>
      <c r="E210" s="1" t="s">
        <v>600</v>
      </c>
      <c r="F210" s="1" t="s">
        <v>1127</v>
      </c>
      <c r="G210" s="12" t="s">
        <v>44</v>
      </c>
      <c r="H210" s="23">
        <v>29.199999999999996</v>
      </c>
      <c r="I210" s="41">
        <f t="shared" si="6"/>
        <v>0.56000000000000005</v>
      </c>
      <c r="J210" s="44">
        <f t="shared" si="7"/>
        <v>12.847999999999995</v>
      </c>
    </row>
    <row r="211" spans="1:10" ht="15.95" customHeight="1" x14ac:dyDescent="0.2">
      <c r="B211" s="69">
        <v>421311</v>
      </c>
      <c r="C211" s="12" t="s">
        <v>0</v>
      </c>
      <c r="D211" s="1" t="s">
        <v>270</v>
      </c>
      <c r="E211" s="1" t="s">
        <v>600</v>
      </c>
      <c r="F211" s="1" t="s">
        <v>1127</v>
      </c>
      <c r="G211" s="12" t="s">
        <v>44</v>
      </c>
      <c r="H211" s="23">
        <v>28.359999999999992</v>
      </c>
      <c r="I211" s="41">
        <f t="shared" si="6"/>
        <v>0.56000000000000005</v>
      </c>
      <c r="J211" s="44">
        <f t="shared" si="7"/>
        <v>12.478399999999995</v>
      </c>
    </row>
    <row r="212" spans="1:10" ht="15.95" customHeight="1" x14ac:dyDescent="0.2">
      <c r="B212" s="69">
        <v>421211</v>
      </c>
      <c r="C212" s="12" t="s">
        <v>0</v>
      </c>
      <c r="D212" s="1" t="s">
        <v>264</v>
      </c>
      <c r="E212" s="1" t="s">
        <v>600</v>
      </c>
      <c r="F212" s="1" t="s">
        <v>1127</v>
      </c>
      <c r="G212" s="12" t="s">
        <v>44</v>
      </c>
      <c r="H212" s="23">
        <v>23.999999999999993</v>
      </c>
      <c r="I212" s="41">
        <f t="shared" si="6"/>
        <v>0.56000000000000005</v>
      </c>
      <c r="J212" s="44">
        <f t="shared" si="7"/>
        <v>10.559999999999995</v>
      </c>
    </row>
    <row r="213" spans="1:10" ht="15.95" customHeight="1" x14ac:dyDescent="0.2">
      <c r="A213" s="24"/>
      <c r="B213" s="74">
        <v>421182</v>
      </c>
      <c r="C213" s="12" t="s">
        <v>0</v>
      </c>
      <c r="D213" s="18" t="s">
        <v>790</v>
      </c>
      <c r="E213" s="1" t="s">
        <v>600</v>
      </c>
      <c r="F213" s="1" t="s">
        <v>632</v>
      </c>
      <c r="G213" s="12" t="s">
        <v>631</v>
      </c>
      <c r="H213" s="23">
        <v>89.286000000000016</v>
      </c>
      <c r="I213" s="41">
        <f t="shared" si="6"/>
        <v>0.56000000000000005</v>
      </c>
      <c r="J213" s="44">
        <f t="shared" si="7"/>
        <v>39.28584</v>
      </c>
    </row>
    <row r="214" spans="1:10" ht="15.95" customHeight="1" x14ac:dyDescent="0.2">
      <c r="B214" s="74">
        <v>421162</v>
      </c>
      <c r="C214" s="12" t="s">
        <v>0</v>
      </c>
      <c r="D214" s="5" t="s">
        <v>789</v>
      </c>
      <c r="E214" s="1" t="s">
        <v>600</v>
      </c>
      <c r="F214" s="1" t="s">
        <v>632</v>
      </c>
      <c r="G214" s="12" t="s">
        <v>41</v>
      </c>
      <c r="H214" s="23">
        <v>89.286000000000016</v>
      </c>
      <c r="I214" s="41">
        <f t="shared" si="6"/>
        <v>0.56000000000000005</v>
      </c>
      <c r="J214" s="44">
        <f t="shared" si="7"/>
        <v>39.28584</v>
      </c>
    </row>
    <row r="215" spans="1:10" ht="15.95" customHeight="1" x14ac:dyDescent="0.2">
      <c r="B215" s="67">
        <v>421161</v>
      </c>
      <c r="C215" s="21" t="s">
        <v>0</v>
      </c>
      <c r="D215" s="22" t="s">
        <v>219</v>
      </c>
      <c r="E215" s="22" t="s">
        <v>600</v>
      </c>
      <c r="F215" s="1" t="s">
        <v>586</v>
      </c>
      <c r="G215" s="21" t="s">
        <v>41</v>
      </c>
      <c r="H215" s="23">
        <v>7.4750000000000014</v>
      </c>
      <c r="I215" s="41">
        <f t="shared" si="6"/>
        <v>0.56000000000000005</v>
      </c>
      <c r="J215" s="44">
        <f t="shared" si="7"/>
        <v>3.2890000000000006</v>
      </c>
    </row>
    <row r="216" spans="1:10" ht="15.95" customHeight="1" x14ac:dyDescent="0.2">
      <c r="B216" s="67">
        <v>421152</v>
      </c>
      <c r="C216" s="21" t="s">
        <v>0</v>
      </c>
      <c r="D216" s="22" t="s">
        <v>220</v>
      </c>
      <c r="E216" s="22" t="s">
        <v>600</v>
      </c>
      <c r="F216" s="22" t="s">
        <v>1127</v>
      </c>
      <c r="G216" s="21" t="s">
        <v>41</v>
      </c>
      <c r="H216" s="23">
        <v>19.901599999999998</v>
      </c>
      <c r="I216" s="41">
        <f t="shared" si="6"/>
        <v>0.56000000000000005</v>
      </c>
      <c r="J216" s="44">
        <f t="shared" si="7"/>
        <v>8.7567039999999974</v>
      </c>
    </row>
    <row r="217" spans="1:10" ht="15.95" customHeight="1" x14ac:dyDescent="0.2">
      <c r="B217" s="67">
        <v>421151</v>
      </c>
      <c r="C217" s="21" t="s">
        <v>0</v>
      </c>
      <c r="D217" s="22" t="s">
        <v>216</v>
      </c>
      <c r="E217" s="22" t="s">
        <v>600</v>
      </c>
      <c r="F217" s="22" t="s">
        <v>1127</v>
      </c>
      <c r="G217" s="21" t="s">
        <v>41</v>
      </c>
      <c r="H217" s="23">
        <v>18.898799999999998</v>
      </c>
      <c r="I217" s="41">
        <f t="shared" si="6"/>
        <v>0.56000000000000005</v>
      </c>
      <c r="J217" s="44">
        <f t="shared" si="7"/>
        <v>8.315471999999998</v>
      </c>
    </row>
    <row r="218" spans="1:10" ht="15.95" customHeight="1" x14ac:dyDescent="0.2">
      <c r="B218" s="74">
        <v>421145</v>
      </c>
      <c r="C218" s="12" t="s">
        <v>0</v>
      </c>
      <c r="D218" s="5" t="s">
        <v>787</v>
      </c>
      <c r="E218" s="1" t="s">
        <v>600</v>
      </c>
      <c r="F218" s="1" t="s">
        <v>632</v>
      </c>
      <c r="G218" s="12" t="s">
        <v>43</v>
      </c>
      <c r="H218" s="23">
        <v>126.82200000000003</v>
      </c>
      <c r="I218" s="41">
        <f t="shared" si="6"/>
        <v>0.56000000000000005</v>
      </c>
      <c r="J218" s="44">
        <f t="shared" si="7"/>
        <v>55.801680000000005</v>
      </c>
    </row>
    <row r="219" spans="1:10" ht="15.95" customHeight="1" x14ac:dyDescent="0.2">
      <c r="B219" s="74">
        <v>421144</v>
      </c>
      <c r="C219" s="12" t="s">
        <v>0</v>
      </c>
      <c r="D219" s="5" t="s">
        <v>782</v>
      </c>
      <c r="E219" s="1" t="s">
        <v>600</v>
      </c>
      <c r="F219" s="1" t="s">
        <v>632</v>
      </c>
      <c r="G219" s="12" t="s">
        <v>43</v>
      </c>
      <c r="H219" s="23">
        <v>10.580000000000004</v>
      </c>
      <c r="I219" s="41">
        <f t="shared" si="6"/>
        <v>0.56000000000000005</v>
      </c>
      <c r="J219" s="44">
        <f t="shared" si="7"/>
        <v>4.6552000000000007</v>
      </c>
    </row>
    <row r="220" spans="1:10" ht="15.95" customHeight="1" x14ac:dyDescent="0.2">
      <c r="B220" s="74">
        <v>421142</v>
      </c>
      <c r="C220" s="12" t="s">
        <v>0</v>
      </c>
      <c r="D220" s="5" t="s">
        <v>788</v>
      </c>
      <c r="E220" s="1" t="s">
        <v>600</v>
      </c>
      <c r="F220" s="1" t="s">
        <v>632</v>
      </c>
      <c r="G220" s="12" t="s">
        <v>42</v>
      </c>
      <c r="H220" s="23">
        <v>96.462000000000032</v>
      </c>
      <c r="I220" s="41">
        <f t="shared" si="6"/>
        <v>0.56000000000000005</v>
      </c>
      <c r="J220" s="44">
        <f t="shared" si="7"/>
        <v>42.443280000000009</v>
      </c>
    </row>
    <row r="221" spans="1:10" ht="15.95" customHeight="1" x14ac:dyDescent="0.2">
      <c r="B221" s="67">
        <v>421141</v>
      </c>
      <c r="C221" s="21" t="s">
        <v>0</v>
      </c>
      <c r="D221" s="22" t="s">
        <v>227</v>
      </c>
      <c r="E221" s="22" t="s">
        <v>600</v>
      </c>
      <c r="F221" s="22" t="s">
        <v>586</v>
      </c>
      <c r="G221" s="21" t="s">
        <v>42</v>
      </c>
      <c r="H221" s="23">
        <v>8.0500000000000007</v>
      </c>
      <c r="I221" s="41">
        <f t="shared" si="6"/>
        <v>0.56000000000000005</v>
      </c>
      <c r="J221" s="44">
        <f t="shared" si="7"/>
        <v>3.5419999999999998</v>
      </c>
    </row>
    <row r="222" spans="1:10" ht="15.95" customHeight="1" x14ac:dyDescent="0.2">
      <c r="B222" s="67">
        <v>421140</v>
      </c>
      <c r="C222" s="21" t="s">
        <v>0</v>
      </c>
      <c r="D222" s="22" t="s">
        <v>849</v>
      </c>
      <c r="E222" s="22" t="s">
        <v>600</v>
      </c>
      <c r="F222" s="22" t="s">
        <v>1127</v>
      </c>
      <c r="G222" s="21" t="s">
        <v>42</v>
      </c>
      <c r="H222" s="23">
        <v>33.439399999999992</v>
      </c>
      <c r="I222" s="41">
        <f t="shared" si="6"/>
        <v>0.56000000000000005</v>
      </c>
      <c r="J222" s="44">
        <f t="shared" si="7"/>
        <v>14.713335999999995</v>
      </c>
    </row>
    <row r="223" spans="1:10" ht="15.95" customHeight="1" x14ac:dyDescent="0.2">
      <c r="B223" s="67">
        <v>421139</v>
      </c>
      <c r="C223" s="21" t="s">
        <v>0</v>
      </c>
      <c r="D223" s="22" t="s">
        <v>848</v>
      </c>
      <c r="E223" s="22" t="s">
        <v>600</v>
      </c>
      <c r="F223" s="22" t="s">
        <v>1127</v>
      </c>
      <c r="G223" s="21" t="s">
        <v>42</v>
      </c>
      <c r="H223" s="23">
        <v>31.885059999999992</v>
      </c>
      <c r="I223" s="41">
        <f t="shared" si="6"/>
        <v>0.56000000000000005</v>
      </c>
      <c r="J223" s="44">
        <f t="shared" si="7"/>
        <v>14.029426399999995</v>
      </c>
    </row>
    <row r="224" spans="1:10" ht="15.95" customHeight="1" x14ac:dyDescent="0.2">
      <c r="B224" s="67">
        <v>421138</v>
      </c>
      <c r="C224" s="21" t="s">
        <v>0</v>
      </c>
      <c r="D224" s="22" t="s">
        <v>847</v>
      </c>
      <c r="E224" s="22" t="s">
        <v>600</v>
      </c>
      <c r="F224" s="22" t="s">
        <v>1127</v>
      </c>
      <c r="G224" s="21" t="s">
        <v>42</v>
      </c>
      <c r="H224" s="23">
        <v>30.330719999999996</v>
      </c>
      <c r="I224" s="41">
        <f t="shared" si="6"/>
        <v>0.56000000000000005</v>
      </c>
      <c r="J224" s="44">
        <f t="shared" si="7"/>
        <v>13.345516799999995</v>
      </c>
    </row>
    <row r="225" spans="2:10" ht="15.95" customHeight="1" x14ac:dyDescent="0.2">
      <c r="B225" s="67">
        <v>421137</v>
      </c>
      <c r="C225" s="21" t="s">
        <v>0</v>
      </c>
      <c r="D225" s="22" t="s">
        <v>846</v>
      </c>
      <c r="E225" s="22" t="s">
        <v>600</v>
      </c>
      <c r="F225" s="22" t="s">
        <v>1127</v>
      </c>
      <c r="G225" s="21" t="s">
        <v>42</v>
      </c>
      <c r="H225" s="23">
        <v>28.776379999999989</v>
      </c>
      <c r="I225" s="41">
        <f t="shared" si="6"/>
        <v>0.56000000000000005</v>
      </c>
      <c r="J225" s="44">
        <f t="shared" si="7"/>
        <v>12.661607199999995</v>
      </c>
    </row>
    <row r="226" spans="2:10" ht="15.95" customHeight="1" x14ac:dyDescent="0.2">
      <c r="B226" s="67">
        <v>421136</v>
      </c>
      <c r="C226" s="21" t="s">
        <v>0</v>
      </c>
      <c r="D226" s="22" t="s">
        <v>845</v>
      </c>
      <c r="E226" s="22" t="s">
        <v>600</v>
      </c>
      <c r="F226" s="22" t="s">
        <v>1127</v>
      </c>
      <c r="G226" s="21" t="s">
        <v>42</v>
      </c>
      <c r="H226" s="23">
        <v>27.222039999999993</v>
      </c>
      <c r="I226" s="41">
        <f t="shared" si="6"/>
        <v>0.56000000000000005</v>
      </c>
      <c r="J226" s="44">
        <f t="shared" si="7"/>
        <v>11.977697599999996</v>
      </c>
    </row>
    <row r="227" spans="2:10" ht="15.95" customHeight="1" x14ac:dyDescent="0.2">
      <c r="B227" s="67">
        <v>421135</v>
      </c>
      <c r="C227" s="21" t="s">
        <v>0</v>
      </c>
      <c r="D227" s="22" t="s">
        <v>234</v>
      </c>
      <c r="E227" s="22" t="s">
        <v>600</v>
      </c>
      <c r="F227" s="22" t="s">
        <v>1127</v>
      </c>
      <c r="G227" s="21" t="s">
        <v>42</v>
      </c>
      <c r="H227" s="23">
        <v>25.679999999999996</v>
      </c>
      <c r="I227" s="41">
        <f t="shared" si="6"/>
        <v>0.56000000000000005</v>
      </c>
      <c r="J227" s="44">
        <f t="shared" si="7"/>
        <v>11.299199999999997</v>
      </c>
    </row>
    <row r="228" spans="2:10" ht="15.95" customHeight="1" x14ac:dyDescent="0.2">
      <c r="B228" s="67">
        <v>421134</v>
      </c>
      <c r="C228" s="21" t="s">
        <v>0</v>
      </c>
      <c r="D228" s="22" t="s">
        <v>844</v>
      </c>
      <c r="E228" s="22" t="s">
        <v>600</v>
      </c>
      <c r="F228" s="22" t="s">
        <v>1127</v>
      </c>
      <c r="G228" s="21" t="s">
        <v>42</v>
      </c>
      <c r="H228" s="23">
        <v>24.399999999999995</v>
      </c>
      <c r="I228" s="41">
        <f t="shared" si="6"/>
        <v>0.56000000000000005</v>
      </c>
      <c r="J228" s="44">
        <f t="shared" si="7"/>
        <v>10.735999999999997</v>
      </c>
    </row>
    <row r="229" spans="2:10" ht="15.95" customHeight="1" x14ac:dyDescent="0.2">
      <c r="B229" s="67">
        <v>421133</v>
      </c>
      <c r="C229" s="21" t="s">
        <v>0</v>
      </c>
      <c r="D229" s="22" t="s">
        <v>233</v>
      </c>
      <c r="E229" s="22" t="s">
        <v>600</v>
      </c>
      <c r="F229" s="22" t="s">
        <v>1127</v>
      </c>
      <c r="G229" s="21" t="s">
        <v>42</v>
      </c>
      <c r="H229" s="23">
        <v>22.559999999999995</v>
      </c>
      <c r="I229" s="41">
        <f t="shared" si="6"/>
        <v>0.56000000000000005</v>
      </c>
      <c r="J229" s="44">
        <f t="shared" si="7"/>
        <v>9.9263999999999974</v>
      </c>
    </row>
    <row r="230" spans="2:10" ht="15.95" customHeight="1" x14ac:dyDescent="0.2">
      <c r="B230" s="67">
        <v>421132</v>
      </c>
      <c r="C230" s="21" t="s">
        <v>0</v>
      </c>
      <c r="D230" s="22" t="s">
        <v>843</v>
      </c>
      <c r="E230" s="22" t="s">
        <v>600</v>
      </c>
      <c r="F230" s="22" t="s">
        <v>1127</v>
      </c>
      <c r="G230" s="21" t="s">
        <v>42</v>
      </c>
      <c r="H230" s="23">
        <v>21.199999999999996</v>
      </c>
      <c r="I230" s="41">
        <f t="shared" si="6"/>
        <v>0.56000000000000005</v>
      </c>
      <c r="J230" s="44">
        <f t="shared" si="7"/>
        <v>9.3279999999999976</v>
      </c>
    </row>
    <row r="231" spans="2:10" ht="15.95" customHeight="1" x14ac:dyDescent="0.2">
      <c r="B231" s="67">
        <v>421131</v>
      </c>
      <c r="C231" s="21" t="s">
        <v>0</v>
      </c>
      <c r="D231" s="22" t="s">
        <v>232</v>
      </c>
      <c r="E231" s="22" t="s">
        <v>600</v>
      </c>
      <c r="F231" s="22" t="s">
        <v>1127</v>
      </c>
      <c r="G231" s="21" t="s">
        <v>42</v>
      </c>
      <c r="H231" s="23">
        <v>19.439999999999998</v>
      </c>
      <c r="I231" s="41">
        <f t="shared" si="6"/>
        <v>0.56000000000000005</v>
      </c>
      <c r="J231" s="44">
        <f t="shared" si="7"/>
        <v>8.5535999999999976</v>
      </c>
    </row>
    <row r="232" spans="2:10" ht="15.95" customHeight="1" x14ac:dyDescent="0.2">
      <c r="B232" s="74">
        <v>421122</v>
      </c>
      <c r="C232" s="12" t="s">
        <v>0</v>
      </c>
      <c r="D232" s="5" t="s">
        <v>786</v>
      </c>
      <c r="E232" s="1" t="s">
        <v>600</v>
      </c>
      <c r="F232" s="1" t="s">
        <v>632</v>
      </c>
      <c r="G232" s="12" t="s">
        <v>44</v>
      </c>
      <c r="H232" s="23">
        <v>90.803999999999988</v>
      </c>
      <c r="I232" s="41">
        <f t="shared" si="6"/>
        <v>0.56000000000000005</v>
      </c>
      <c r="J232" s="44">
        <f t="shared" si="7"/>
        <v>39.953759999999988</v>
      </c>
    </row>
    <row r="233" spans="2:10" ht="15.95" customHeight="1" x14ac:dyDescent="0.2">
      <c r="B233" s="69">
        <v>421121</v>
      </c>
      <c r="C233" s="12" t="s">
        <v>0</v>
      </c>
      <c r="D233" s="1" t="s">
        <v>250</v>
      </c>
      <c r="E233" s="1" t="s">
        <v>600</v>
      </c>
      <c r="F233" s="1" t="s">
        <v>586</v>
      </c>
      <c r="G233" s="12" t="s">
        <v>44</v>
      </c>
      <c r="H233" s="23">
        <v>7.5900000000000016</v>
      </c>
      <c r="I233" s="41">
        <f t="shared" si="6"/>
        <v>0.56000000000000005</v>
      </c>
      <c r="J233" s="44">
        <f t="shared" si="7"/>
        <v>3.3395999999999999</v>
      </c>
    </row>
    <row r="234" spans="2:10" ht="15.95" customHeight="1" x14ac:dyDescent="0.2">
      <c r="B234" s="72">
        <v>421120</v>
      </c>
      <c r="C234" s="31" t="s">
        <v>0</v>
      </c>
      <c r="D234" s="32" t="s">
        <v>842</v>
      </c>
      <c r="E234" s="32" t="s">
        <v>600</v>
      </c>
      <c r="F234" s="32" t="s">
        <v>1127</v>
      </c>
      <c r="G234" s="31" t="s">
        <v>44</v>
      </c>
      <c r="H234" s="23">
        <v>31.999999999999993</v>
      </c>
      <c r="I234" s="41">
        <f t="shared" si="6"/>
        <v>0.56000000000000005</v>
      </c>
      <c r="J234" s="44">
        <f t="shared" si="7"/>
        <v>14.079999999999995</v>
      </c>
    </row>
    <row r="235" spans="2:10" ht="15.95" customHeight="1" x14ac:dyDescent="0.2">
      <c r="B235" s="72">
        <v>421119</v>
      </c>
      <c r="C235" s="31" t="s">
        <v>0</v>
      </c>
      <c r="D235" s="32" t="s">
        <v>841</v>
      </c>
      <c r="E235" s="32" t="s">
        <v>600</v>
      </c>
      <c r="F235" s="32" t="s">
        <v>1127</v>
      </c>
      <c r="G235" s="31" t="s">
        <v>44</v>
      </c>
      <c r="H235" s="23">
        <v>30.807419999999997</v>
      </c>
      <c r="I235" s="41">
        <f t="shared" si="6"/>
        <v>0.56000000000000005</v>
      </c>
      <c r="J235" s="44">
        <f t="shared" si="7"/>
        <v>13.555264799999996</v>
      </c>
    </row>
    <row r="236" spans="2:10" ht="15.95" customHeight="1" x14ac:dyDescent="0.2">
      <c r="B236" s="72">
        <v>421118</v>
      </c>
      <c r="C236" s="31" t="s">
        <v>0</v>
      </c>
      <c r="D236" s="32" t="s">
        <v>840</v>
      </c>
      <c r="E236" s="32" t="s">
        <v>600</v>
      </c>
      <c r="F236" s="32" t="s">
        <v>1127</v>
      </c>
      <c r="G236" s="31" t="s">
        <v>44</v>
      </c>
      <c r="H236" s="23">
        <v>29.999999999999996</v>
      </c>
      <c r="I236" s="41">
        <f t="shared" si="6"/>
        <v>0.56000000000000005</v>
      </c>
      <c r="J236" s="44">
        <f t="shared" si="7"/>
        <v>13.199999999999996</v>
      </c>
    </row>
    <row r="237" spans="2:10" ht="15.95" customHeight="1" x14ac:dyDescent="0.2">
      <c r="B237" s="72">
        <v>421117</v>
      </c>
      <c r="C237" s="31" t="s">
        <v>0</v>
      </c>
      <c r="D237" s="32" t="s">
        <v>839</v>
      </c>
      <c r="E237" s="32" t="s">
        <v>600</v>
      </c>
      <c r="F237" s="32" t="s">
        <v>1127</v>
      </c>
      <c r="G237" s="31" t="s">
        <v>44</v>
      </c>
      <c r="H237" s="23">
        <v>29.199999999999996</v>
      </c>
      <c r="I237" s="41">
        <f t="shared" si="6"/>
        <v>0.56000000000000005</v>
      </c>
      <c r="J237" s="44">
        <f t="shared" si="7"/>
        <v>12.847999999999995</v>
      </c>
    </row>
    <row r="238" spans="2:10" ht="15.95" customHeight="1" x14ac:dyDescent="0.2">
      <c r="B238" s="72">
        <v>421116</v>
      </c>
      <c r="C238" s="31" t="s">
        <v>0</v>
      </c>
      <c r="D238" s="32" t="s">
        <v>838</v>
      </c>
      <c r="E238" s="32" t="s">
        <v>600</v>
      </c>
      <c r="F238" s="32" t="s">
        <v>1127</v>
      </c>
      <c r="G238" s="31" t="s">
        <v>44</v>
      </c>
      <c r="H238" s="23">
        <v>28.399999999999995</v>
      </c>
      <c r="I238" s="41">
        <f t="shared" si="6"/>
        <v>0.56000000000000005</v>
      </c>
      <c r="J238" s="44">
        <f t="shared" si="7"/>
        <v>12.495999999999997</v>
      </c>
    </row>
    <row r="239" spans="2:10" ht="15.95" customHeight="1" x14ac:dyDescent="0.2">
      <c r="B239" s="72">
        <v>421115</v>
      </c>
      <c r="C239" s="31" t="s">
        <v>0</v>
      </c>
      <c r="D239" s="32" t="s">
        <v>269</v>
      </c>
      <c r="E239" s="32" t="s">
        <v>600</v>
      </c>
      <c r="F239" s="32" t="s">
        <v>1127</v>
      </c>
      <c r="G239" s="31" t="s">
        <v>44</v>
      </c>
      <c r="H239" s="23">
        <v>27.399999999999991</v>
      </c>
      <c r="I239" s="41">
        <f t="shared" si="6"/>
        <v>0.56000000000000005</v>
      </c>
      <c r="J239" s="44">
        <f t="shared" si="7"/>
        <v>12.055999999999996</v>
      </c>
    </row>
    <row r="240" spans="2:10" ht="15.95" customHeight="1" x14ac:dyDescent="0.2">
      <c r="B240" s="72">
        <v>421114</v>
      </c>
      <c r="C240" s="31" t="s">
        <v>0</v>
      </c>
      <c r="D240" s="32" t="s">
        <v>837</v>
      </c>
      <c r="E240" s="32" t="s">
        <v>600</v>
      </c>
      <c r="F240" s="32" t="s">
        <v>1127</v>
      </c>
      <c r="G240" s="31" t="s">
        <v>44</v>
      </c>
      <c r="H240" s="23">
        <v>26.559999999999992</v>
      </c>
      <c r="I240" s="41">
        <f t="shared" si="6"/>
        <v>0.56000000000000005</v>
      </c>
      <c r="J240" s="44">
        <f t="shared" si="7"/>
        <v>11.686399999999995</v>
      </c>
    </row>
    <row r="241" spans="2:10" ht="15.95" customHeight="1" x14ac:dyDescent="0.2">
      <c r="B241" s="72">
        <v>421113</v>
      </c>
      <c r="C241" s="31" t="s">
        <v>0</v>
      </c>
      <c r="D241" s="32" t="s">
        <v>268</v>
      </c>
      <c r="E241" s="32" t="s">
        <v>600</v>
      </c>
      <c r="F241" s="32" t="s">
        <v>1127</v>
      </c>
      <c r="G241" s="31" t="s">
        <v>44</v>
      </c>
      <c r="H241" s="23">
        <v>25.679999999999996</v>
      </c>
      <c r="I241" s="41">
        <f t="shared" si="6"/>
        <v>0.56000000000000005</v>
      </c>
      <c r="J241" s="44">
        <f t="shared" si="7"/>
        <v>11.299199999999997</v>
      </c>
    </row>
    <row r="242" spans="2:10" ht="15.95" customHeight="1" x14ac:dyDescent="0.2">
      <c r="B242" s="72">
        <v>421112</v>
      </c>
      <c r="C242" s="31" t="s">
        <v>0</v>
      </c>
      <c r="D242" s="32" t="s">
        <v>836</v>
      </c>
      <c r="E242" s="32" t="s">
        <v>600</v>
      </c>
      <c r="F242" s="32" t="s">
        <v>1127</v>
      </c>
      <c r="G242" s="31" t="s">
        <v>44</v>
      </c>
      <c r="H242" s="23">
        <v>24.879999999999995</v>
      </c>
      <c r="I242" s="41">
        <f t="shared" si="6"/>
        <v>0.56000000000000005</v>
      </c>
      <c r="J242" s="44">
        <f t="shared" si="7"/>
        <v>10.947199999999997</v>
      </c>
    </row>
    <row r="243" spans="2:10" ht="15.95" customHeight="1" x14ac:dyDescent="0.2">
      <c r="B243" s="72">
        <v>421111</v>
      </c>
      <c r="C243" s="31" t="s">
        <v>0</v>
      </c>
      <c r="D243" s="32" t="s">
        <v>267</v>
      </c>
      <c r="E243" s="32" t="s">
        <v>600</v>
      </c>
      <c r="F243" s="32" t="s">
        <v>1127</v>
      </c>
      <c r="G243" s="31" t="s">
        <v>44</v>
      </c>
      <c r="H243" s="23">
        <v>23.999999999999993</v>
      </c>
      <c r="I243" s="41">
        <f t="shared" si="6"/>
        <v>0.56000000000000005</v>
      </c>
      <c r="J243" s="44">
        <f t="shared" si="7"/>
        <v>10.559999999999995</v>
      </c>
    </row>
    <row r="244" spans="2:10" ht="15.95" customHeight="1" x14ac:dyDescent="0.2">
      <c r="B244" s="69">
        <v>418534</v>
      </c>
      <c r="C244" s="12" t="s">
        <v>0</v>
      </c>
      <c r="D244" s="1" t="s">
        <v>823</v>
      </c>
      <c r="E244" s="5" t="s">
        <v>600</v>
      </c>
      <c r="F244" s="1" t="s">
        <v>646</v>
      </c>
      <c r="G244" s="16" t="s">
        <v>832</v>
      </c>
      <c r="H244" s="23">
        <v>2.6407407407407404</v>
      </c>
      <c r="I244" s="41">
        <f t="shared" si="6"/>
        <v>0.56000000000000005</v>
      </c>
      <c r="J244" s="44">
        <f t="shared" si="7"/>
        <v>1.1619259259259256</v>
      </c>
    </row>
    <row r="245" spans="2:10" ht="15.95" customHeight="1" x14ac:dyDescent="0.2">
      <c r="B245" s="69">
        <v>418533</v>
      </c>
      <c r="C245" s="12" t="s">
        <v>0</v>
      </c>
      <c r="D245" s="1" t="s">
        <v>817</v>
      </c>
      <c r="E245" s="5" t="s">
        <v>600</v>
      </c>
      <c r="F245" s="1" t="s">
        <v>646</v>
      </c>
      <c r="G245" s="16" t="s">
        <v>832</v>
      </c>
      <c r="H245" s="23">
        <v>4.7703703703703706</v>
      </c>
      <c r="I245" s="41">
        <f t="shared" si="6"/>
        <v>0.56000000000000005</v>
      </c>
      <c r="J245" s="44">
        <f t="shared" si="7"/>
        <v>2.0989629629629629</v>
      </c>
    </row>
    <row r="246" spans="2:10" ht="15.95" customHeight="1" x14ac:dyDescent="0.2">
      <c r="B246" s="69">
        <v>418532</v>
      </c>
      <c r="C246" s="12" t="s">
        <v>0</v>
      </c>
      <c r="D246" s="1" t="s">
        <v>802</v>
      </c>
      <c r="E246" s="5" t="s">
        <v>600</v>
      </c>
      <c r="F246" s="1" t="s">
        <v>646</v>
      </c>
      <c r="G246" s="16" t="s">
        <v>832</v>
      </c>
      <c r="H246" s="23">
        <v>2.981481481481481</v>
      </c>
      <c r="I246" s="41">
        <f t="shared" si="6"/>
        <v>0.56000000000000005</v>
      </c>
      <c r="J246" s="44">
        <f t="shared" si="7"/>
        <v>1.3118518518518514</v>
      </c>
    </row>
    <row r="247" spans="2:10" ht="15.95" customHeight="1" x14ac:dyDescent="0.2">
      <c r="B247" s="69">
        <v>418531</v>
      </c>
      <c r="C247" s="12" t="s">
        <v>0</v>
      </c>
      <c r="D247" s="1" t="s">
        <v>807</v>
      </c>
      <c r="E247" s="5" t="s">
        <v>600</v>
      </c>
      <c r="F247" s="1" t="s">
        <v>646</v>
      </c>
      <c r="G247" s="16" t="s">
        <v>832</v>
      </c>
      <c r="H247" s="23">
        <v>4.7703703703703706</v>
      </c>
      <c r="I247" s="41">
        <f t="shared" si="6"/>
        <v>0.56000000000000005</v>
      </c>
      <c r="J247" s="44">
        <f t="shared" si="7"/>
        <v>2.0989629629629629</v>
      </c>
    </row>
    <row r="248" spans="2:10" ht="15.95" customHeight="1" x14ac:dyDescent="0.2">
      <c r="B248" s="69">
        <v>418530</v>
      </c>
      <c r="C248" s="12" t="s">
        <v>0</v>
      </c>
      <c r="D248" s="1" t="s">
        <v>812</v>
      </c>
      <c r="E248" s="5" t="s">
        <v>600</v>
      </c>
      <c r="F248" s="1" t="s">
        <v>646</v>
      </c>
      <c r="G248" s="16" t="s">
        <v>832</v>
      </c>
      <c r="H248" s="23">
        <v>9.4555555555555539</v>
      </c>
      <c r="I248" s="41">
        <f t="shared" si="6"/>
        <v>0.56000000000000005</v>
      </c>
      <c r="J248" s="44">
        <f t="shared" si="7"/>
        <v>4.1604444444444431</v>
      </c>
    </row>
    <row r="249" spans="2:10" ht="15.95" customHeight="1" x14ac:dyDescent="0.2">
      <c r="B249" s="69">
        <v>418529</v>
      </c>
      <c r="C249" s="12" t="s">
        <v>0</v>
      </c>
      <c r="D249" s="1" t="s">
        <v>797</v>
      </c>
      <c r="E249" s="5" t="s">
        <v>600</v>
      </c>
      <c r="F249" s="1" t="s">
        <v>646</v>
      </c>
      <c r="G249" s="16" t="s">
        <v>832</v>
      </c>
      <c r="H249" s="23">
        <v>1.3629629629629629</v>
      </c>
      <c r="I249" s="41">
        <f t="shared" si="6"/>
        <v>0.56000000000000005</v>
      </c>
      <c r="J249" s="44">
        <f t="shared" si="7"/>
        <v>0.59970370370370363</v>
      </c>
    </row>
    <row r="250" spans="2:10" ht="15.95" customHeight="1" x14ac:dyDescent="0.2">
      <c r="B250" s="69">
        <v>418528</v>
      </c>
      <c r="C250" s="12" t="s">
        <v>0</v>
      </c>
      <c r="D250" s="1" t="s">
        <v>816</v>
      </c>
      <c r="E250" s="5" t="s">
        <v>600</v>
      </c>
      <c r="F250" s="1" t="s">
        <v>646</v>
      </c>
      <c r="G250" s="16" t="s">
        <v>832</v>
      </c>
      <c r="H250" s="23">
        <v>3.9185185185185185</v>
      </c>
      <c r="I250" s="41">
        <f t="shared" si="6"/>
        <v>0.56000000000000005</v>
      </c>
      <c r="J250" s="44">
        <f t="shared" si="7"/>
        <v>1.724148148148148</v>
      </c>
    </row>
    <row r="251" spans="2:10" ht="15.95" customHeight="1" x14ac:dyDescent="0.2">
      <c r="B251" s="69">
        <v>418527</v>
      </c>
      <c r="C251" s="12" t="s">
        <v>0</v>
      </c>
      <c r="D251" s="1" t="s">
        <v>819</v>
      </c>
      <c r="E251" s="5" t="s">
        <v>600</v>
      </c>
      <c r="F251" s="1" t="s">
        <v>646</v>
      </c>
      <c r="G251" s="16" t="s">
        <v>832</v>
      </c>
      <c r="H251" s="23">
        <v>3.9185185185185185</v>
      </c>
      <c r="I251" s="41">
        <f t="shared" si="6"/>
        <v>0.56000000000000005</v>
      </c>
      <c r="J251" s="44">
        <f t="shared" si="7"/>
        <v>1.724148148148148</v>
      </c>
    </row>
    <row r="252" spans="2:10" ht="15.95" customHeight="1" x14ac:dyDescent="0.2">
      <c r="B252" s="69">
        <v>418526</v>
      </c>
      <c r="C252" s="12" t="s">
        <v>0</v>
      </c>
      <c r="D252" s="1" t="s">
        <v>818</v>
      </c>
      <c r="E252" s="5" t="s">
        <v>600</v>
      </c>
      <c r="F252" s="1" t="s">
        <v>646</v>
      </c>
      <c r="G252" s="16" t="s">
        <v>832</v>
      </c>
      <c r="H252" s="23">
        <v>3.9185185185185185</v>
      </c>
      <c r="I252" s="41">
        <f t="shared" si="6"/>
        <v>0.56000000000000005</v>
      </c>
      <c r="J252" s="44">
        <f t="shared" si="7"/>
        <v>1.724148148148148</v>
      </c>
    </row>
    <row r="253" spans="2:10" ht="15.95" customHeight="1" x14ac:dyDescent="0.2">
      <c r="B253" s="69">
        <v>418525</v>
      </c>
      <c r="C253" s="12" t="s">
        <v>0</v>
      </c>
      <c r="D253" s="1" t="s">
        <v>815</v>
      </c>
      <c r="E253" s="5" t="s">
        <v>600</v>
      </c>
      <c r="F253" s="1" t="s">
        <v>646</v>
      </c>
      <c r="G253" s="16" t="s">
        <v>832</v>
      </c>
      <c r="H253" s="23">
        <v>3.9185185185185185</v>
      </c>
      <c r="I253" s="41">
        <f t="shared" si="6"/>
        <v>0.56000000000000005</v>
      </c>
      <c r="J253" s="44">
        <f t="shared" si="7"/>
        <v>1.724148148148148</v>
      </c>
    </row>
    <row r="254" spans="2:10" ht="15.95" customHeight="1" x14ac:dyDescent="0.2">
      <c r="B254" s="69">
        <v>418524</v>
      </c>
      <c r="C254" s="12" t="s">
        <v>0</v>
      </c>
      <c r="D254" s="1" t="s">
        <v>829</v>
      </c>
      <c r="E254" s="5" t="s">
        <v>600</v>
      </c>
      <c r="F254" s="1" t="s">
        <v>646</v>
      </c>
      <c r="G254" s="16" t="s">
        <v>832</v>
      </c>
      <c r="H254" s="23">
        <v>7.9222222222222207</v>
      </c>
      <c r="I254" s="41">
        <f t="shared" si="6"/>
        <v>0.56000000000000005</v>
      </c>
      <c r="J254" s="44">
        <f t="shared" si="7"/>
        <v>3.485777777777777</v>
      </c>
    </row>
    <row r="255" spans="2:10" ht="15.95" customHeight="1" x14ac:dyDescent="0.2">
      <c r="B255" s="69">
        <v>418523</v>
      </c>
      <c r="C255" s="12" t="s">
        <v>0</v>
      </c>
      <c r="D255" s="1" t="s">
        <v>828</v>
      </c>
      <c r="E255" s="5" t="s">
        <v>600</v>
      </c>
      <c r="F255" s="1" t="s">
        <v>646</v>
      </c>
      <c r="G255" s="16" t="s">
        <v>832</v>
      </c>
      <c r="H255" s="23">
        <v>7.9222222222222207</v>
      </c>
      <c r="I255" s="41">
        <f t="shared" si="6"/>
        <v>0.56000000000000005</v>
      </c>
      <c r="J255" s="44">
        <f t="shared" si="7"/>
        <v>3.485777777777777</v>
      </c>
    </row>
    <row r="256" spans="2:10" ht="15.95" customHeight="1" x14ac:dyDescent="0.2">
      <c r="B256" s="69">
        <v>418522</v>
      </c>
      <c r="C256" s="12" t="s">
        <v>0</v>
      </c>
      <c r="D256" s="1" t="s">
        <v>827</v>
      </c>
      <c r="E256" s="5" t="s">
        <v>600</v>
      </c>
      <c r="F256" s="1" t="s">
        <v>646</v>
      </c>
      <c r="G256" s="16" t="s">
        <v>832</v>
      </c>
      <c r="H256" s="23">
        <v>7.9222222222222207</v>
      </c>
      <c r="I256" s="41">
        <f t="shared" si="6"/>
        <v>0.56000000000000005</v>
      </c>
      <c r="J256" s="44">
        <f t="shared" si="7"/>
        <v>3.485777777777777</v>
      </c>
    </row>
    <row r="257" spans="2:10" ht="15.95" customHeight="1" x14ac:dyDescent="0.2">
      <c r="B257" s="69">
        <v>418521</v>
      </c>
      <c r="C257" s="12" t="s">
        <v>0</v>
      </c>
      <c r="D257" s="1" t="s">
        <v>826</v>
      </c>
      <c r="E257" s="5" t="s">
        <v>600</v>
      </c>
      <c r="F257" s="1" t="s">
        <v>646</v>
      </c>
      <c r="G257" s="16" t="s">
        <v>832</v>
      </c>
      <c r="H257" s="23">
        <v>7.6666666666666652</v>
      </c>
      <c r="I257" s="41">
        <f t="shared" si="6"/>
        <v>0.56000000000000005</v>
      </c>
      <c r="J257" s="44">
        <f t="shared" si="7"/>
        <v>3.3733333333333322</v>
      </c>
    </row>
    <row r="258" spans="2:10" ht="15.95" customHeight="1" x14ac:dyDescent="0.2">
      <c r="B258" s="69">
        <v>418520</v>
      </c>
      <c r="C258" s="12" t="s">
        <v>0</v>
      </c>
      <c r="D258" s="1" t="s">
        <v>814</v>
      </c>
      <c r="E258" s="5" t="s">
        <v>600</v>
      </c>
      <c r="F258" s="1" t="s">
        <v>646</v>
      </c>
      <c r="G258" s="16" t="s">
        <v>832</v>
      </c>
      <c r="H258" s="23">
        <v>7.9222222222222207</v>
      </c>
      <c r="I258" s="41">
        <f t="shared" si="6"/>
        <v>0.56000000000000005</v>
      </c>
      <c r="J258" s="44">
        <f t="shared" si="7"/>
        <v>3.485777777777777</v>
      </c>
    </row>
    <row r="259" spans="2:10" ht="15.95" customHeight="1" x14ac:dyDescent="0.2">
      <c r="B259" s="69">
        <v>418519</v>
      </c>
      <c r="C259" s="12" t="s">
        <v>0</v>
      </c>
      <c r="D259" s="1" t="s">
        <v>813</v>
      </c>
      <c r="E259" s="5" t="s">
        <v>600</v>
      </c>
      <c r="F259" s="1" t="s">
        <v>646</v>
      </c>
      <c r="G259" s="16" t="s">
        <v>832</v>
      </c>
      <c r="H259" s="23">
        <v>7.9222222222222207</v>
      </c>
      <c r="I259" s="41">
        <f t="shared" si="6"/>
        <v>0.56000000000000005</v>
      </c>
      <c r="J259" s="44">
        <f t="shared" si="7"/>
        <v>3.485777777777777</v>
      </c>
    </row>
    <row r="260" spans="2:10" ht="15.95" customHeight="1" x14ac:dyDescent="0.2">
      <c r="B260" s="69">
        <v>418518</v>
      </c>
      <c r="C260" s="12" t="s">
        <v>0</v>
      </c>
      <c r="D260" s="1" t="s">
        <v>811</v>
      </c>
      <c r="E260" s="5" t="s">
        <v>600</v>
      </c>
      <c r="F260" s="1" t="s">
        <v>646</v>
      </c>
      <c r="G260" s="16" t="s">
        <v>832</v>
      </c>
      <c r="H260" s="23">
        <v>7.9222222222222207</v>
      </c>
      <c r="I260" s="41">
        <f t="shared" si="6"/>
        <v>0.56000000000000005</v>
      </c>
      <c r="J260" s="44">
        <f t="shared" si="7"/>
        <v>3.485777777777777</v>
      </c>
    </row>
    <row r="261" spans="2:10" ht="15.95" customHeight="1" x14ac:dyDescent="0.2">
      <c r="B261" s="69">
        <v>418517</v>
      </c>
      <c r="C261" s="12" t="s">
        <v>0</v>
      </c>
      <c r="D261" s="1" t="s">
        <v>810</v>
      </c>
      <c r="E261" s="5" t="s">
        <v>600</v>
      </c>
      <c r="F261" s="1" t="s">
        <v>646</v>
      </c>
      <c r="G261" s="16" t="s">
        <v>832</v>
      </c>
      <c r="H261" s="23">
        <v>7.9222222222222207</v>
      </c>
      <c r="I261" s="41">
        <f t="shared" si="6"/>
        <v>0.56000000000000005</v>
      </c>
      <c r="J261" s="44">
        <f t="shared" si="7"/>
        <v>3.485777777777777</v>
      </c>
    </row>
    <row r="262" spans="2:10" ht="15.95" customHeight="1" x14ac:dyDescent="0.2">
      <c r="B262" s="69">
        <v>418516</v>
      </c>
      <c r="C262" s="12" t="s">
        <v>0</v>
      </c>
      <c r="D262" s="1" t="s">
        <v>806</v>
      </c>
      <c r="E262" s="5" t="s">
        <v>600</v>
      </c>
      <c r="F262" s="1" t="s">
        <v>646</v>
      </c>
      <c r="G262" s="16" t="s">
        <v>832</v>
      </c>
      <c r="H262" s="23">
        <v>3.9185185185185185</v>
      </c>
      <c r="I262" s="41">
        <f t="shared" si="6"/>
        <v>0.56000000000000005</v>
      </c>
      <c r="J262" s="44">
        <f t="shared" si="7"/>
        <v>1.724148148148148</v>
      </c>
    </row>
    <row r="263" spans="2:10" ht="15.95" customHeight="1" x14ac:dyDescent="0.2">
      <c r="B263" s="69">
        <v>418515</v>
      </c>
      <c r="C263" s="12" t="s">
        <v>0</v>
      </c>
      <c r="D263" s="1" t="s">
        <v>809</v>
      </c>
      <c r="E263" s="5" t="s">
        <v>600</v>
      </c>
      <c r="F263" s="1" t="s">
        <v>646</v>
      </c>
      <c r="G263" s="16" t="s">
        <v>832</v>
      </c>
      <c r="H263" s="23">
        <v>3.9185185185185185</v>
      </c>
      <c r="I263" s="41">
        <f t="shared" si="6"/>
        <v>0.56000000000000005</v>
      </c>
      <c r="J263" s="44">
        <f t="shared" si="7"/>
        <v>1.724148148148148</v>
      </c>
    </row>
    <row r="264" spans="2:10" ht="15.95" customHeight="1" x14ac:dyDescent="0.2">
      <c r="B264" s="69">
        <v>418514</v>
      </c>
      <c r="C264" s="12" t="s">
        <v>0</v>
      </c>
      <c r="D264" s="1" t="s">
        <v>808</v>
      </c>
      <c r="E264" s="5" t="s">
        <v>600</v>
      </c>
      <c r="F264" s="1" t="s">
        <v>646</v>
      </c>
      <c r="G264" s="16" t="s">
        <v>832</v>
      </c>
      <c r="H264" s="23">
        <v>3.9185185185185185</v>
      </c>
      <c r="I264" s="41">
        <f t="shared" si="6"/>
        <v>0.56000000000000005</v>
      </c>
      <c r="J264" s="44">
        <f t="shared" si="7"/>
        <v>1.724148148148148</v>
      </c>
    </row>
    <row r="265" spans="2:10" ht="15.95" customHeight="1" x14ac:dyDescent="0.2">
      <c r="B265" s="69">
        <v>418513</v>
      </c>
      <c r="C265" s="12" t="s">
        <v>0</v>
      </c>
      <c r="D265" s="1" t="s">
        <v>805</v>
      </c>
      <c r="E265" s="5" t="s">
        <v>600</v>
      </c>
      <c r="F265" s="1" t="s">
        <v>646</v>
      </c>
      <c r="G265" s="16" t="s">
        <v>832</v>
      </c>
      <c r="H265" s="23">
        <v>3.9185185185185185</v>
      </c>
      <c r="I265" s="41">
        <f t="shared" ref="I265:I328" si="8">$H$7</f>
        <v>0.56000000000000005</v>
      </c>
      <c r="J265" s="44">
        <f t="shared" ref="J265:J328" si="9">H265-H265*I265</f>
        <v>1.724148148148148</v>
      </c>
    </row>
    <row r="266" spans="2:10" ht="15.95" customHeight="1" x14ac:dyDescent="0.2">
      <c r="B266" s="69">
        <v>418512</v>
      </c>
      <c r="C266" s="12" t="s">
        <v>0</v>
      </c>
      <c r="D266" s="1" t="s">
        <v>804</v>
      </c>
      <c r="E266" s="5" t="s">
        <v>600</v>
      </c>
      <c r="F266" s="1" t="s">
        <v>646</v>
      </c>
      <c r="G266" s="16" t="s">
        <v>832</v>
      </c>
      <c r="H266" s="23">
        <v>2.7259259259259259</v>
      </c>
      <c r="I266" s="41">
        <f t="shared" si="8"/>
        <v>0.56000000000000005</v>
      </c>
      <c r="J266" s="44">
        <f t="shared" si="9"/>
        <v>1.1994074074074073</v>
      </c>
    </row>
    <row r="267" spans="2:10" ht="15.95" customHeight="1" x14ac:dyDescent="0.2">
      <c r="B267" s="69">
        <v>418511</v>
      </c>
      <c r="C267" s="12" t="s">
        <v>0</v>
      </c>
      <c r="D267" s="1" t="s">
        <v>803</v>
      </c>
      <c r="E267" s="5" t="s">
        <v>600</v>
      </c>
      <c r="F267" s="1" t="s">
        <v>646</v>
      </c>
      <c r="G267" s="16" t="s">
        <v>832</v>
      </c>
      <c r="H267" s="23">
        <v>2.7259259259259259</v>
      </c>
      <c r="I267" s="41">
        <f t="shared" si="8"/>
        <v>0.56000000000000005</v>
      </c>
      <c r="J267" s="44">
        <f t="shared" si="9"/>
        <v>1.1994074074074073</v>
      </c>
    </row>
    <row r="268" spans="2:10" ht="15.95" customHeight="1" x14ac:dyDescent="0.2">
      <c r="B268" s="69">
        <v>418510</v>
      </c>
      <c r="C268" s="12" t="s">
        <v>0</v>
      </c>
      <c r="D268" s="1" t="s">
        <v>801</v>
      </c>
      <c r="E268" s="5" t="s">
        <v>600</v>
      </c>
      <c r="F268" s="1" t="s">
        <v>646</v>
      </c>
      <c r="G268" s="16" t="s">
        <v>832</v>
      </c>
      <c r="H268" s="23">
        <v>2.7259259259259259</v>
      </c>
      <c r="I268" s="41">
        <f t="shared" si="8"/>
        <v>0.56000000000000005</v>
      </c>
      <c r="J268" s="44">
        <f t="shared" si="9"/>
        <v>1.1994074074074073</v>
      </c>
    </row>
    <row r="269" spans="2:10" ht="15.95" customHeight="1" x14ac:dyDescent="0.2">
      <c r="B269" s="69">
        <v>418509</v>
      </c>
      <c r="C269" s="12" t="s">
        <v>0</v>
      </c>
      <c r="D269" s="1" t="s">
        <v>822</v>
      </c>
      <c r="E269" s="5" t="s">
        <v>600</v>
      </c>
      <c r="F269" s="1" t="s">
        <v>646</v>
      </c>
      <c r="G269" s="16" t="s">
        <v>832</v>
      </c>
      <c r="H269" s="23">
        <v>2.3851851851851853</v>
      </c>
      <c r="I269" s="41">
        <f t="shared" si="8"/>
        <v>0.56000000000000005</v>
      </c>
      <c r="J269" s="44">
        <f t="shared" si="9"/>
        <v>1.0494814814814815</v>
      </c>
    </row>
    <row r="270" spans="2:10" ht="15.95" customHeight="1" x14ac:dyDescent="0.2">
      <c r="B270" s="69">
        <v>418508</v>
      </c>
      <c r="C270" s="12" t="s">
        <v>0</v>
      </c>
      <c r="D270" s="1" t="s">
        <v>800</v>
      </c>
      <c r="E270" s="5" t="s">
        <v>600</v>
      </c>
      <c r="F270" s="1" t="s">
        <v>646</v>
      </c>
      <c r="G270" s="16" t="s">
        <v>832</v>
      </c>
      <c r="H270" s="23">
        <v>2.7259259259259259</v>
      </c>
      <c r="I270" s="41">
        <f t="shared" si="8"/>
        <v>0.56000000000000005</v>
      </c>
      <c r="J270" s="44">
        <f t="shared" si="9"/>
        <v>1.1994074074074073</v>
      </c>
    </row>
    <row r="271" spans="2:10" ht="15.95" customHeight="1" x14ac:dyDescent="0.2">
      <c r="B271" s="69">
        <v>418507</v>
      </c>
      <c r="C271" s="12" t="s">
        <v>0</v>
      </c>
      <c r="D271" s="1" t="s">
        <v>821</v>
      </c>
      <c r="E271" s="5" t="s">
        <v>600</v>
      </c>
      <c r="F271" s="1" t="s">
        <v>646</v>
      </c>
      <c r="G271" s="16" t="s">
        <v>832</v>
      </c>
      <c r="H271" s="23">
        <v>2.3851851851851853</v>
      </c>
      <c r="I271" s="41">
        <f t="shared" si="8"/>
        <v>0.56000000000000005</v>
      </c>
      <c r="J271" s="44">
        <f t="shared" si="9"/>
        <v>1.0494814814814815</v>
      </c>
    </row>
    <row r="272" spans="2:10" ht="15.95" customHeight="1" x14ac:dyDescent="0.2">
      <c r="B272" s="69">
        <v>418506</v>
      </c>
      <c r="C272" s="12" t="s">
        <v>0</v>
      </c>
      <c r="D272" s="1" t="s">
        <v>799</v>
      </c>
      <c r="E272" s="5" t="s">
        <v>600</v>
      </c>
      <c r="F272" s="1" t="s">
        <v>646</v>
      </c>
      <c r="G272" s="16" t="s">
        <v>832</v>
      </c>
      <c r="H272" s="23">
        <v>1.3629629629629629</v>
      </c>
      <c r="I272" s="41">
        <f t="shared" si="8"/>
        <v>0.56000000000000005</v>
      </c>
      <c r="J272" s="44">
        <f t="shared" si="9"/>
        <v>0.59970370370370363</v>
      </c>
    </row>
    <row r="273" spans="2:10" ht="15.95" customHeight="1" x14ac:dyDescent="0.2">
      <c r="B273" s="69">
        <v>418505</v>
      </c>
      <c r="C273" s="12" t="s">
        <v>0</v>
      </c>
      <c r="D273" s="1" t="s">
        <v>798</v>
      </c>
      <c r="E273" s="5" t="s">
        <v>600</v>
      </c>
      <c r="F273" s="1" t="s">
        <v>646</v>
      </c>
      <c r="G273" s="16" t="s">
        <v>832</v>
      </c>
      <c r="H273" s="23">
        <v>1.3629629629629629</v>
      </c>
      <c r="I273" s="41">
        <f t="shared" si="8"/>
        <v>0.56000000000000005</v>
      </c>
      <c r="J273" s="44">
        <f t="shared" si="9"/>
        <v>0.59970370370370363</v>
      </c>
    </row>
    <row r="274" spans="2:10" ht="15.95" customHeight="1" x14ac:dyDescent="0.2">
      <c r="B274" s="69">
        <v>418504</v>
      </c>
      <c r="C274" s="12" t="s">
        <v>0</v>
      </c>
      <c r="D274" s="1" t="s">
        <v>820</v>
      </c>
      <c r="E274" s="5" t="s">
        <v>600</v>
      </c>
      <c r="F274" s="1" t="s">
        <v>646</v>
      </c>
      <c r="G274" s="16" t="s">
        <v>832</v>
      </c>
      <c r="H274" s="23">
        <v>1.0222222222222221</v>
      </c>
      <c r="I274" s="41">
        <f t="shared" si="8"/>
        <v>0.56000000000000005</v>
      </c>
      <c r="J274" s="44">
        <f t="shared" si="9"/>
        <v>0.44977777777777772</v>
      </c>
    </row>
    <row r="275" spans="2:10" ht="15.95" customHeight="1" x14ac:dyDescent="0.2">
      <c r="B275" s="67">
        <v>418162</v>
      </c>
      <c r="C275" s="21" t="s">
        <v>0</v>
      </c>
      <c r="D275" s="22" t="s">
        <v>170</v>
      </c>
      <c r="E275" s="22" t="s">
        <v>600</v>
      </c>
      <c r="F275" s="22" t="s">
        <v>645</v>
      </c>
      <c r="G275" s="21" t="s">
        <v>40</v>
      </c>
      <c r="H275" s="23">
        <v>5.9509536784741162</v>
      </c>
      <c r="I275" s="41">
        <f t="shared" si="8"/>
        <v>0.56000000000000005</v>
      </c>
      <c r="J275" s="44">
        <f t="shared" si="9"/>
        <v>2.6184196185286108</v>
      </c>
    </row>
    <row r="276" spans="2:10" ht="15.95" customHeight="1" x14ac:dyDescent="0.2">
      <c r="B276" s="67">
        <v>418161</v>
      </c>
      <c r="C276" s="21" t="s">
        <v>0</v>
      </c>
      <c r="D276" s="22" t="s">
        <v>7</v>
      </c>
      <c r="E276" s="22" t="s">
        <v>600</v>
      </c>
      <c r="F276" s="22" t="s">
        <v>645</v>
      </c>
      <c r="G276" s="21" t="s">
        <v>40</v>
      </c>
      <c r="H276" s="23">
        <v>10.806539509536789</v>
      </c>
      <c r="I276" s="41">
        <f t="shared" si="8"/>
        <v>0.56000000000000005</v>
      </c>
      <c r="J276" s="44">
        <f t="shared" si="9"/>
        <v>4.7548773841961864</v>
      </c>
    </row>
    <row r="277" spans="2:10" ht="15.95" customHeight="1" x14ac:dyDescent="0.2">
      <c r="B277" s="69">
        <v>418014</v>
      </c>
      <c r="C277" s="12" t="s">
        <v>0</v>
      </c>
      <c r="D277" s="1" t="s">
        <v>277</v>
      </c>
      <c r="E277" s="1" t="s">
        <v>600</v>
      </c>
      <c r="F277" s="1" t="s">
        <v>646</v>
      </c>
      <c r="G277" s="12" t="s">
        <v>44</v>
      </c>
      <c r="H277" s="23">
        <v>4.6254345033074511</v>
      </c>
      <c r="I277" s="41">
        <f t="shared" si="8"/>
        <v>0.56000000000000005</v>
      </c>
      <c r="J277" s="44">
        <f t="shared" si="9"/>
        <v>2.0351911814552781</v>
      </c>
    </row>
    <row r="278" spans="2:10" ht="15.95" customHeight="1" x14ac:dyDescent="0.2">
      <c r="B278" s="67">
        <v>417858</v>
      </c>
      <c r="C278" s="21" t="s">
        <v>0</v>
      </c>
      <c r="D278" s="22" t="s">
        <v>188</v>
      </c>
      <c r="E278" s="22" t="s">
        <v>600</v>
      </c>
      <c r="F278" s="22" t="s">
        <v>645</v>
      </c>
      <c r="G278" s="21" t="s">
        <v>40</v>
      </c>
      <c r="H278" s="23">
        <v>29.362397820163498</v>
      </c>
      <c r="I278" s="41">
        <f t="shared" si="8"/>
        <v>0.56000000000000005</v>
      </c>
      <c r="J278" s="44">
        <f t="shared" si="9"/>
        <v>12.919455040871938</v>
      </c>
    </row>
    <row r="279" spans="2:10" ht="15.95" customHeight="1" x14ac:dyDescent="0.2">
      <c r="B279" s="67">
        <v>417857</v>
      </c>
      <c r="C279" s="21" t="s">
        <v>0</v>
      </c>
      <c r="D279" s="22" t="s">
        <v>176</v>
      </c>
      <c r="E279" s="22" t="s">
        <v>600</v>
      </c>
      <c r="F279" s="22" t="s">
        <v>645</v>
      </c>
      <c r="G279" s="21" t="s">
        <v>40</v>
      </c>
      <c r="H279" s="23">
        <v>15.862972838613459</v>
      </c>
      <c r="I279" s="41">
        <f t="shared" si="8"/>
        <v>0.56000000000000005</v>
      </c>
      <c r="J279" s="44">
        <f t="shared" si="9"/>
        <v>6.9797080489899201</v>
      </c>
    </row>
    <row r="280" spans="2:10" ht="15.95" customHeight="1" x14ac:dyDescent="0.2">
      <c r="B280" s="67">
        <v>417562</v>
      </c>
      <c r="C280" s="21" t="s">
        <v>0</v>
      </c>
      <c r="D280" s="22" t="s">
        <v>174</v>
      </c>
      <c r="E280" s="22" t="s">
        <v>600</v>
      </c>
      <c r="F280" s="22" t="s">
        <v>645</v>
      </c>
      <c r="G280" s="21" t="s">
        <v>40</v>
      </c>
      <c r="H280" s="23">
        <v>24.811316491164646</v>
      </c>
      <c r="I280" s="41">
        <f t="shared" si="8"/>
        <v>0.56000000000000005</v>
      </c>
      <c r="J280" s="44">
        <f t="shared" si="9"/>
        <v>10.916979256112443</v>
      </c>
    </row>
    <row r="281" spans="2:10" ht="15.95" customHeight="1" x14ac:dyDescent="0.2">
      <c r="B281" s="67">
        <v>417561</v>
      </c>
      <c r="C281" s="21" t="s">
        <v>0</v>
      </c>
      <c r="D281" s="22" t="s">
        <v>175</v>
      </c>
      <c r="E281" s="22" t="s">
        <v>600</v>
      </c>
      <c r="F281" s="22" t="s">
        <v>645</v>
      </c>
      <c r="G281" s="21" t="s">
        <v>40</v>
      </c>
      <c r="H281" s="23">
        <v>16.879830071857917</v>
      </c>
      <c r="I281" s="41">
        <f t="shared" si="8"/>
        <v>0.56000000000000005</v>
      </c>
      <c r="J281" s="44">
        <f t="shared" si="9"/>
        <v>7.4271252316174827</v>
      </c>
    </row>
    <row r="282" spans="2:10" ht="15.95" customHeight="1" x14ac:dyDescent="0.2">
      <c r="B282" s="67">
        <v>417560</v>
      </c>
      <c r="C282" s="21" t="s">
        <v>0</v>
      </c>
      <c r="D282" s="22" t="s">
        <v>173</v>
      </c>
      <c r="E282" s="22" t="s">
        <v>600</v>
      </c>
      <c r="F282" s="22" t="s">
        <v>645</v>
      </c>
      <c r="G282" s="21" t="s">
        <v>40</v>
      </c>
      <c r="H282" s="23">
        <v>37.980000000000011</v>
      </c>
      <c r="I282" s="41">
        <f t="shared" si="8"/>
        <v>0.56000000000000005</v>
      </c>
      <c r="J282" s="44">
        <f t="shared" si="9"/>
        <v>16.711200000000002</v>
      </c>
    </row>
    <row r="283" spans="2:10" ht="15.95" customHeight="1" x14ac:dyDescent="0.2">
      <c r="B283" s="67">
        <v>417559</v>
      </c>
      <c r="C283" s="21" t="s">
        <v>0</v>
      </c>
      <c r="D283" s="22" t="s">
        <v>186</v>
      </c>
      <c r="E283" s="22" t="s">
        <v>600</v>
      </c>
      <c r="F283" s="22" t="s">
        <v>645</v>
      </c>
      <c r="G283" s="21" t="s">
        <v>40</v>
      </c>
      <c r="H283" s="23">
        <v>18.604904632152593</v>
      </c>
      <c r="I283" s="41">
        <f t="shared" si="8"/>
        <v>0.56000000000000005</v>
      </c>
      <c r="J283" s="44">
        <f t="shared" si="9"/>
        <v>8.1861580381471395</v>
      </c>
    </row>
    <row r="284" spans="2:10" ht="15.95" customHeight="1" x14ac:dyDescent="0.2">
      <c r="B284" s="67">
        <v>417550</v>
      </c>
      <c r="C284" s="21" t="s">
        <v>0</v>
      </c>
      <c r="D284" s="22" t="s">
        <v>185</v>
      </c>
      <c r="E284" s="22" t="s">
        <v>600</v>
      </c>
      <c r="F284" s="22" t="s">
        <v>645</v>
      </c>
      <c r="G284" s="21" t="s">
        <v>40</v>
      </c>
      <c r="H284" s="23">
        <v>18.604904632152593</v>
      </c>
      <c r="I284" s="41">
        <f t="shared" si="8"/>
        <v>0.56000000000000005</v>
      </c>
      <c r="J284" s="44">
        <f t="shared" si="9"/>
        <v>8.1861580381471395</v>
      </c>
    </row>
    <row r="285" spans="2:10" ht="15.95" customHeight="1" x14ac:dyDescent="0.2">
      <c r="B285" s="67">
        <v>417396</v>
      </c>
      <c r="C285" s="21" t="s">
        <v>0</v>
      </c>
      <c r="D285" s="22" t="s">
        <v>181</v>
      </c>
      <c r="E285" s="22" t="s">
        <v>600</v>
      </c>
      <c r="F285" s="22" t="s">
        <v>645</v>
      </c>
      <c r="G285" s="21" t="s">
        <v>40</v>
      </c>
      <c r="H285" s="23">
        <v>19.659239842726087</v>
      </c>
      <c r="I285" s="41">
        <f t="shared" si="8"/>
        <v>0.56000000000000005</v>
      </c>
      <c r="J285" s="44">
        <f t="shared" si="9"/>
        <v>8.6500655307994769</v>
      </c>
    </row>
    <row r="286" spans="2:10" ht="15.95" customHeight="1" x14ac:dyDescent="0.2">
      <c r="B286" s="67">
        <v>417379</v>
      </c>
      <c r="C286" s="21" t="s">
        <v>0</v>
      </c>
      <c r="D286" s="22" t="s">
        <v>202</v>
      </c>
      <c r="E286" s="22" t="s">
        <v>600</v>
      </c>
      <c r="F286" s="22" t="s">
        <v>585</v>
      </c>
      <c r="G286" s="21" t="s">
        <v>40</v>
      </c>
      <c r="H286" s="23">
        <v>32.161666666666662</v>
      </c>
      <c r="I286" s="41">
        <f t="shared" si="8"/>
        <v>0.56000000000000005</v>
      </c>
      <c r="J286" s="44">
        <f t="shared" si="9"/>
        <v>14.15113333333333</v>
      </c>
    </row>
    <row r="287" spans="2:10" ht="15.95" customHeight="1" x14ac:dyDescent="0.2">
      <c r="B287" s="67">
        <v>417378</v>
      </c>
      <c r="C287" s="21" t="s">
        <v>0</v>
      </c>
      <c r="D287" s="22" t="s">
        <v>184</v>
      </c>
      <c r="E287" s="22" t="s">
        <v>600</v>
      </c>
      <c r="F287" s="22" t="s">
        <v>585</v>
      </c>
      <c r="G287" s="21" t="s">
        <v>40</v>
      </c>
      <c r="H287" s="23">
        <v>25.683333333333326</v>
      </c>
      <c r="I287" s="41">
        <f t="shared" si="8"/>
        <v>0.56000000000000005</v>
      </c>
      <c r="J287" s="44">
        <f t="shared" si="9"/>
        <v>11.300666666666663</v>
      </c>
    </row>
    <row r="288" spans="2:10" ht="15.95" customHeight="1" x14ac:dyDescent="0.2">
      <c r="B288" s="67">
        <v>417299</v>
      </c>
      <c r="C288" s="21" t="s">
        <v>0</v>
      </c>
      <c r="D288" s="22" t="s">
        <v>189</v>
      </c>
      <c r="E288" s="22" t="s">
        <v>600</v>
      </c>
      <c r="F288" s="22" t="s">
        <v>585</v>
      </c>
      <c r="G288" s="21" t="s">
        <v>40</v>
      </c>
      <c r="H288" s="23">
        <v>49.935694822888273</v>
      </c>
      <c r="I288" s="41">
        <f t="shared" si="8"/>
        <v>0.56000000000000005</v>
      </c>
      <c r="J288" s="44">
        <f t="shared" si="9"/>
        <v>21.971705722070837</v>
      </c>
    </row>
    <row r="289" spans="2:10" ht="15.95" customHeight="1" x14ac:dyDescent="0.2">
      <c r="B289" s="67">
        <v>417279</v>
      </c>
      <c r="C289" s="21" t="s">
        <v>0</v>
      </c>
      <c r="D289" s="22" t="s">
        <v>198</v>
      </c>
      <c r="E289" s="22" t="s">
        <v>600</v>
      </c>
      <c r="F289" s="22" t="s">
        <v>585</v>
      </c>
      <c r="G289" s="21" t="s">
        <v>40</v>
      </c>
      <c r="H289" s="23">
        <v>34.219028156221604</v>
      </c>
      <c r="I289" s="41">
        <f t="shared" si="8"/>
        <v>0.56000000000000005</v>
      </c>
      <c r="J289" s="44">
        <f t="shared" si="9"/>
        <v>15.056372388737504</v>
      </c>
    </row>
    <row r="290" spans="2:10" ht="15.95" customHeight="1" x14ac:dyDescent="0.2">
      <c r="B290" s="67">
        <v>416997</v>
      </c>
      <c r="C290" s="21" t="s">
        <v>0</v>
      </c>
      <c r="D290" s="22" t="s">
        <v>182</v>
      </c>
      <c r="E290" s="22" t="s">
        <v>600</v>
      </c>
      <c r="F290" s="22" t="s">
        <v>645</v>
      </c>
      <c r="G290" s="21" t="s">
        <v>40</v>
      </c>
      <c r="H290" s="23">
        <v>39.657432096533654</v>
      </c>
      <c r="I290" s="41">
        <f t="shared" si="8"/>
        <v>0.56000000000000005</v>
      </c>
      <c r="J290" s="44">
        <f t="shared" si="9"/>
        <v>17.449270122474804</v>
      </c>
    </row>
    <row r="291" spans="2:10" ht="15.95" customHeight="1" x14ac:dyDescent="0.2">
      <c r="B291" s="67">
        <v>416996</v>
      </c>
      <c r="C291" s="21" t="s">
        <v>0</v>
      </c>
      <c r="D291" s="22" t="s">
        <v>190</v>
      </c>
      <c r="E291" s="22" t="s">
        <v>600</v>
      </c>
      <c r="F291" s="22" t="s">
        <v>645</v>
      </c>
      <c r="G291" s="21" t="s">
        <v>40</v>
      </c>
      <c r="H291" s="23">
        <v>40.46975476839237</v>
      </c>
      <c r="I291" s="41">
        <f t="shared" si="8"/>
        <v>0.56000000000000005</v>
      </c>
      <c r="J291" s="44">
        <f t="shared" si="9"/>
        <v>17.80669209809264</v>
      </c>
    </row>
    <row r="292" spans="2:10" ht="15.95" customHeight="1" x14ac:dyDescent="0.2">
      <c r="B292" s="67">
        <v>416994</v>
      </c>
      <c r="C292" s="21" t="s">
        <v>0</v>
      </c>
      <c r="D292" s="22" t="s">
        <v>171</v>
      </c>
      <c r="E292" s="22" t="s">
        <v>600</v>
      </c>
      <c r="F292" s="22" t="s">
        <v>645</v>
      </c>
      <c r="G292" s="21" t="s">
        <v>40</v>
      </c>
      <c r="H292" s="23">
        <v>9.0000000000000018</v>
      </c>
      <c r="I292" s="41">
        <f t="shared" si="8"/>
        <v>0.56000000000000005</v>
      </c>
      <c r="J292" s="44">
        <f t="shared" si="9"/>
        <v>3.96</v>
      </c>
    </row>
    <row r="293" spans="2:10" ht="15.95" customHeight="1" x14ac:dyDescent="0.2">
      <c r="B293" s="67">
        <v>416988</v>
      </c>
      <c r="C293" s="21" t="s">
        <v>0</v>
      </c>
      <c r="D293" s="22" t="s">
        <v>179</v>
      </c>
      <c r="E293" s="22" t="s">
        <v>600</v>
      </c>
      <c r="F293" s="22" t="s">
        <v>645</v>
      </c>
      <c r="G293" s="21" t="s">
        <v>40</v>
      </c>
      <c r="H293" s="23">
        <v>21.760744791431286</v>
      </c>
      <c r="I293" s="41">
        <f t="shared" si="8"/>
        <v>0.56000000000000005</v>
      </c>
      <c r="J293" s="44">
        <f t="shared" si="9"/>
        <v>9.5747277082297639</v>
      </c>
    </row>
    <row r="294" spans="2:10" ht="15.95" customHeight="1" x14ac:dyDescent="0.2">
      <c r="B294" s="67">
        <v>416979</v>
      </c>
      <c r="C294" s="21" t="s">
        <v>0</v>
      </c>
      <c r="D294" s="22" t="s">
        <v>196</v>
      </c>
      <c r="E294" s="22" t="s">
        <v>600</v>
      </c>
      <c r="F294" s="22" t="s">
        <v>585</v>
      </c>
      <c r="G294" s="21" t="s">
        <v>40</v>
      </c>
      <c r="H294" s="23">
        <v>65.434756282167712</v>
      </c>
      <c r="I294" s="41">
        <f t="shared" si="8"/>
        <v>0.56000000000000005</v>
      </c>
      <c r="J294" s="44">
        <f t="shared" si="9"/>
        <v>28.791292764153788</v>
      </c>
    </row>
    <row r="295" spans="2:10" ht="15.95" customHeight="1" x14ac:dyDescent="0.2">
      <c r="B295" s="67">
        <v>416968</v>
      </c>
      <c r="C295" s="21" t="s">
        <v>0</v>
      </c>
      <c r="D295" s="22" t="s">
        <v>205</v>
      </c>
      <c r="E295" s="22" t="s">
        <v>600</v>
      </c>
      <c r="F295" s="22" t="s">
        <v>585</v>
      </c>
      <c r="G295" s="21" t="s">
        <v>40</v>
      </c>
      <c r="H295" s="23">
        <v>16.507356948228875</v>
      </c>
      <c r="I295" s="41">
        <f t="shared" si="8"/>
        <v>0.56000000000000005</v>
      </c>
      <c r="J295" s="44">
        <f t="shared" si="9"/>
        <v>7.2632370572207048</v>
      </c>
    </row>
    <row r="296" spans="2:10" ht="15.95" customHeight="1" x14ac:dyDescent="0.2">
      <c r="B296" s="67">
        <v>416965</v>
      </c>
      <c r="C296" s="21" t="s">
        <v>0</v>
      </c>
      <c r="D296" s="22" t="s">
        <v>183</v>
      </c>
      <c r="E296" s="22" t="s">
        <v>600</v>
      </c>
      <c r="F296" s="22" t="s">
        <v>585</v>
      </c>
      <c r="G296" s="21" t="s">
        <v>40</v>
      </c>
      <c r="H296" s="23">
        <v>286.54166666666657</v>
      </c>
      <c r="I296" s="41">
        <f t="shared" si="8"/>
        <v>0.56000000000000005</v>
      </c>
      <c r="J296" s="44">
        <f t="shared" si="9"/>
        <v>126.07833333333329</v>
      </c>
    </row>
    <row r="297" spans="2:10" ht="15.95" customHeight="1" x14ac:dyDescent="0.2">
      <c r="B297" s="67">
        <v>416964</v>
      </c>
      <c r="C297" s="21" t="s">
        <v>0</v>
      </c>
      <c r="D297" s="22" t="s">
        <v>193</v>
      </c>
      <c r="E297" s="22" t="s">
        <v>600</v>
      </c>
      <c r="F297" s="22" t="s">
        <v>585</v>
      </c>
      <c r="G297" s="21" t="s">
        <v>40</v>
      </c>
      <c r="H297" s="23">
        <v>121.79726986162311</v>
      </c>
      <c r="I297" s="41">
        <f t="shared" si="8"/>
        <v>0.56000000000000005</v>
      </c>
      <c r="J297" s="44">
        <f t="shared" si="9"/>
        <v>53.590798739114163</v>
      </c>
    </row>
    <row r="298" spans="2:10" ht="15.95" customHeight="1" x14ac:dyDescent="0.2">
      <c r="B298" s="67">
        <v>416959</v>
      </c>
      <c r="C298" s="21" t="s">
        <v>0</v>
      </c>
      <c r="D298" s="22" t="s">
        <v>168</v>
      </c>
      <c r="E298" s="22" t="s">
        <v>600</v>
      </c>
      <c r="F298" s="22" t="s">
        <v>585</v>
      </c>
      <c r="G298" s="21" t="s">
        <v>40</v>
      </c>
      <c r="H298" s="23">
        <v>75.789282470481368</v>
      </c>
      <c r="I298" s="41">
        <f t="shared" si="8"/>
        <v>0.56000000000000005</v>
      </c>
      <c r="J298" s="44">
        <f t="shared" si="9"/>
        <v>33.347284287011796</v>
      </c>
    </row>
    <row r="299" spans="2:10" ht="15.95" customHeight="1" x14ac:dyDescent="0.2">
      <c r="B299" s="67">
        <v>416958</v>
      </c>
      <c r="C299" s="21" t="s">
        <v>0</v>
      </c>
      <c r="D299" s="22" t="s">
        <v>206</v>
      </c>
      <c r="E299" s="22" t="s">
        <v>600</v>
      </c>
      <c r="F299" s="22" t="s">
        <v>585</v>
      </c>
      <c r="G299" s="21" t="s">
        <v>40</v>
      </c>
      <c r="H299" s="23">
        <v>15.083278837420522</v>
      </c>
      <c r="I299" s="41">
        <f t="shared" si="8"/>
        <v>0.56000000000000005</v>
      </c>
      <c r="J299" s="44">
        <f t="shared" si="9"/>
        <v>6.6366426884650291</v>
      </c>
    </row>
    <row r="300" spans="2:10" ht="15.95" customHeight="1" x14ac:dyDescent="0.2">
      <c r="B300" s="67">
        <v>416956</v>
      </c>
      <c r="C300" s="21" t="s">
        <v>0</v>
      </c>
      <c r="D300" s="22" t="s">
        <v>204</v>
      </c>
      <c r="E300" s="22" t="s">
        <v>600</v>
      </c>
      <c r="F300" s="22" t="s">
        <v>585</v>
      </c>
      <c r="G300" s="21" t="s">
        <v>40</v>
      </c>
      <c r="H300" s="23">
        <v>16.718555858310619</v>
      </c>
      <c r="I300" s="41">
        <f t="shared" si="8"/>
        <v>0.56000000000000005</v>
      </c>
      <c r="J300" s="44">
        <f t="shared" si="9"/>
        <v>7.3561645776566724</v>
      </c>
    </row>
    <row r="301" spans="2:10" ht="15.95" customHeight="1" x14ac:dyDescent="0.2">
      <c r="B301" s="67">
        <v>416955</v>
      </c>
      <c r="C301" s="21" t="s">
        <v>0</v>
      </c>
      <c r="D301" s="22" t="s">
        <v>203</v>
      </c>
      <c r="E301" s="22" t="s">
        <v>600</v>
      </c>
      <c r="F301" s="22" t="s">
        <v>585</v>
      </c>
      <c r="G301" s="21" t="s">
        <v>40</v>
      </c>
      <c r="H301" s="23">
        <v>30.474268846503172</v>
      </c>
      <c r="I301" s="41">
        <f t="shared" si="8"/>
        <v>0.56000000000000005</v>
      </c>
      <c r="J301" s="44">
        <f t="shared" si="9"/>
        <v>13.408678292461396</v>
      </c>
    </row>
    <row r="302" spans="2:10" ht="15.95" customHeight="1" x14ac:dyDescent="0.2">
      <c r="B302" s="67">
        <v>416951</v>
      </c>
      <c r="C302" s="21" t="s">
        <v>0</v>
      </c>
      <c r="D302" s="22" t="s">
        <v>207</v>
      </c>
      <c r="E302" s="22" t="s">
        <v>600</v>
      </c>
      <c r="F302" s="22" t="s">
        <v>585</v>
      </c>
      <c r="G302" s="21" t="s">
        <v>40</v>
      </c>
      <c r="H302" s="23">
        <v>24.456666666666663</v>
      </c>
      <c r="I302" s="41">
        <f t="shared" si="8"/>
        <v>0.56000000000000005</v>
      </c>
      <c r="J302" s="44">
        <f t="shared" si="9"/>
        <v>10.76093333333333</v>
      </c>
    </row>
    <row r="303" spans="2:10" ht="15.95" customHeight="1" x14ac:dyDescent="0.2">
      <c r="B303" s="67">
        <v>416906</v>
      </c>
      <c r="C303" s="21" t="s">
        <v>0</v>
      </c>
      <c r="D303" s="22" t="s">
        <v>172</v>
      </c>
      <c r="E303" s="22" t="s">
        <v>600</v>
      </c>
      <c r="F303" s="22" t="s">
        <v>585</v>
      </c>
      <c r="G303" s="21" t="s">
        <v>40</v>
      </c>
      <c r="H303" s="23">
        <v>70.533333333333317</v>
      </c>
      <c r="I303" s="41">
        <f t="shared" si="8"/>
        <v>0.56000000000000005</v>
      </c>
      <c r="J303" s="44">
        <f t="shared" si="9"/>
        <v>31.034666666666659</v>
      </c>
    </row>
    <row r="304" spans="2:10" ht="15.95" customHeight="1" x14ac:dyDescent="0.2">
      <c r="B304" s="67">
        <v>416905</v>
      </c>
      <c r="C304" s="21" t="s">
        <v>0</v>
      </c>
      <c r="D304" s="22" t="s">
        <v>195</v>
      </c>
      <c r="E304" s="22" t="s">
        <v>600</v>
      </c>
      <c r="F304" s="22" t="s">
        <v>645</v>
      </c>
      <c r="G304" s="21" t="s">
        <v>40</v>
      </c>
      <c r="H304" s="23">
        <v>60.670299727520444</v>
      </c>
      <c r="I304" s="41">
        <f t="shared" si="8"/>
        <v>0.56000000000000005</v>
      </c>
      <c r="J304" s="44">
        <f t="shared" si="9"/>
        <v>26.694931880108989</v>
      </c>
    </row>
    <row r="305" spans="1:10" ht="15.95" customHeight="1" x14ac:dyDescent="0.2">
      <c r="B305" s="67">
        <v>416904</v>
      </c>
      <c r="C305" s="21" t="s">
        <v>0</v>
      </c>
      <c r="D305" s="22" t="s">
        <v>194</v>
      </c>
      <c r="E305" s="22" t="s">
        <v>600</v>
      </c>
      <c r="F305" s="22" t="s">
        <v>585</v>
      </c>
      <c r="G305" s="21" t="s">
        <v>40</v>
      </c>
      <c r="H305" s="23">
        <v>323.90970330003023</v>
      </c>
      <c r="I305" s="41">
        <f t="shared" si="8"/>
        <v>0.56000000000000005</v>
      </c>
      <c r="J305" s="44">
        <f t="shared" si="9"/>
        <v>142.52026945201328</v>
      </c>
    </row>
    <row r="306" spans="1:10" ht="15.95" customHeight="1" x14ac:dyDescent="0.2">
      <c r="B306" s="67">
        <v>416903</v>
      </c>
      <c r="C306" s="21" t="s">
        <v>0</v>
      </c>
      <c r="D306" s="22" t="s">
        <v>177</v>
      </c>
      <c r="E306" s="22" t="s">
        <v>600</v>
      </c>
      <c r="F306" s="22" t="s">
        <v>585</v>
      </c>
      <c r="G306" s="21" t="s">
        <v>40</v>
      </c>
      <c r="H306" s="23">
        <v>17.633333333333329</v>
      </c>
      <c r="I306" s="41">
        <f t="shared" si="8"/>
        <v>0.56000000000000005</v>
      </c>
      <c r="J306" s="44">
        <f t="shared" si="9"/>
        <v>7.7586666666666648</v>
      </c>
    </row>
    <row r="307" spans="1:10" ht="15.95" customHeight="1" x14ac:dyDescent="0.2">
      <c r="B307" s="67">
        <v>416902</v>
      </c>
      <c r="C307" s="21" t="s">
        <v>0</v>
      </c>
      <c r="D307" s="22" t="s">
        <v>92</v>
      </c>
      <c r="E307" s="22" t="s">
        <v>600</v>
      </c>
      <c r="F307" s="22" t="s">
        <v>645</v>
      </c>
      <c r="G307" s="21" t="s">
        <v>33</v>
      </c>
      <c r="H307" s="23">
        <v>16.920000000000002</v>
      </c>
      <c r="I307" s="41">
        <f t="shared" si="8"/>
        <v>0.56000000000000005</v>
      </c>
      <c r="J307" s="44">
        <f t="shared" si="9"/>
        <v>7.444799999999999</v>
      </c>
    </row>
    <row r="308" spans="1:10" ht="15.95" customHeight="1" x14ac:dyDescent="0.2">
      <c r="B308" s="67">
        <v>416901</v>
      </c>
      <c r="C308" s="21" t="s">
        <v>0</v>
      </c>
      <c r="D308" s="22" t="s">
        <v>91</v>
      </c>
      <c r="E308" s="22" t="s">
        <v>600</v>
      </c>
      <c r="F308" s="22" t="s">
        <v>645</v>
      </c>
      <c r="G308" s="21" t="s">
        <v>33</v>
      </c>
      <c r="H308" s="23">
        <v>26.040000000000003</v>
      </c>
      <c r="I308" s="41">
        <f t="shared" si="8"/>
        <v>0.56000000000000005</v>
      </c>
      <c r="J308" s="44">
        <f t="shared" si="9"/>
        <v>11.457599999999999</v>
      </c>
    </row>
    <row r="309" spans="1:10" ht="15.95" customHeight="1" x14ac:dyDescent="0.2">
      <c r="B309" s="67">
        <v>416900</v>
      </c>
      <c r="C309" s="21" t="s">
        <v>0</v>
      </c>
      <c r="D309" s="22" t="s">
        <v>180</v>
      </c>
      <c r="E309" s="22" t="s">
        <v>600</v>
      </c>
      <c r="F309" s="22" t="s">
        <v>585</v>
      </c>
      <c r="G309" s="21" t="s">
        <v>40</v>
      </c>
      <c r="H309" s="23">
        <v>352.54816890375253</v>
      </c>
      <c r="I309" s="41">
        <f t="shared" si="8"/>
        <v>0.56000000000000005</v>
      </c>
      <c r="J309" s="44">
        <f t="shared" si="9"/>
        <v>155.12119431765109</v>
      </c>
    </row>
    <row r="310" spans="1:10" ht="15.95" customHeight="1" x14ac:dyDescent="0.2">
      <c r="B310" s="75">
        <v>415299</v>
      </c>
      <c r="C310" s="12" t="s">
        <v>0</v>
      </c>
      <c r="D310" s="29" t="s">
        <v>702</v>
      </c>
      <c r="E310" s="1" t="s">
        <v>600</v>
      </c>
      <c r="F310" s="65" t="s">
        <v>585</v>
      </c>
      <c r="G310" s="12" t="s">
        <v>41</v>
      </c>
      <c r="H310" s="23">
        <v>902.64622818181772</v>
      </c>
      <c r="I310" s="41">
        <f t="shared" si="8"/>
        <v>0.56000000000000005</v>
      </c>
      <c r="J310" s="44">
        <f t="shared" si="9"/>
        <v>397.16434039999973</v>
      </c>
    </row>
    <row r="311" spans="1:10" ht="15.95" customHeight="1" x14ac:dyDescent="0.2">
      <c r="B311" s="75">
        <v>415298</v>
      </c>
      <c r="C311" s="12" t="s">
        <v>0</v>
      </c>
      <c r="D311" s="5" t="s">
        <v>576</v>
      </c>
      <c r="E311" s="1" t="s">
        <v>600</v>
      </c>
      <c r="F311" s="65" t="s">
        <v>585</v>
      </c>
      <c r="G311" s="12" t="s">
        <v>42</v>
      </c>
      <c r="H311" s="23">
        <v>916.74424022727226</v>
      </c>
      <c r="I311" s="41">
        <f t="shared" si="8"/>
        <v>0.56000000000000005</v>
      </c>
      <c r="J311" s="44">
        <f t="shared" si="9"/>
        <v>403.3674656999998</v>
      </c>
    </row>
    <row r="312" spans="1:10" ht="15.95" customHeight="1" x14ac:dyDescent="0.2">
      <c r="B312" s="75">
        <v>415296</v>
      </c>
      <c r="C312" s="12" t="s">
        <v>0</v>
      </c>
      <c r="D312" s="29" t="s">
        <v>701</v>
      </c>
      <c r="E312" s="1" t="s">
        <v>600</v>
      </c>
      <c r="F312" s="65" t="s">
        <v>585</v>
      </c>
      <c r="G312" s="12" t="s">
        <v>43</v>
      </c>
      <c r="H312" s="23">
        <v>326.49502068181812</v>
      </c>
      <c r="I312" s="41">
        <f t="shared" si="8"/>
        <v>0.56000000000000005</v>
      </c>
      <c r="J312" s="44">
        <f t="shared" si="9"/>
        <v>143.65780909999995</v>
      </c>
    </row>
    <row r="313" spans="1:10" ht="15.95" customHeight="1" x14ac:dyDescent="0.2">
      <c r="A313" s="20"/>
      <c r="B313" s="75">
        <v>415295</v>
      </c>
      <c r="C313" s="12" t="s">
        <v>0</v>
      </c>
      <c r="D313" s="5" t="s">
        <v>573</v>
      </c>
      <c r="E313" s="1" t="s">
        <v>600</v>
      </c>
      <c r="F313" s="65" t="s">
        <v>585</v>
      </c>
      <c r="G313" s="12" t="s">
        <v>43</v>
      </c>
      <c r="H313" s="23">
        <v>1091.8957011363632</v>
      </c>
      <c r="I313" s="41">
        <f t="shared" si="8"/>
        <v>0.56000000000000005</v>
      </c>
      <c r="J313" s="44">
        <f t="shared" si="9"/>
        <v>480.43410849999975</v>
      </c>
    </row>
    <row r="314" spans="1:10" ht="15.95" customHeight="1" x14ac:dyDescent="0.2">
      <c r="B314" s="75">
        <v>415280</v>
      </c>
      <c r="C314" s="12" t="s">
        <v>0</v>
      </c>
      <c r="D314" s="29" t="s">
        <v>700</v>
      </c>
      <c r="E314" s="1" t="s">
        <v>600</v>
      </c>
      <c r="F314" s="65" t="s">
        <v>585</v>
      </c>
      <c r="G314" s="12" t="s">
        <v>42</v>
      </c>
      <c r="H314" s="23">
        <v>225.70823920454541</v>
      </c>
      <c r="I314" s="41">
        <f t="shared" si="8"/>
        <v>0.56000000000000005</v>
      </c>
      <c r="J314" s="44">
        <f t="shared" si="9"/>
        <v>99.311625249999963</v>
      </c>
    </row>
    <row r="315" spans="1:10" ht="15.95" customHeight="1" x14ac:dyDescent="0.2">
      <c r="B315" s="75">
        <v>415279</v>
      </c>
      <c r="C315" s="12" t="s">
        <v>0</v>
      </c>
      <c r="D315" s="29" t="s">
        <v>669</v>
      </c>
      <c r="E315" s="1" t="s">
        <v>600</v>
      </c>
      <c r="F315" s="65" t="s">
        <v>585</v>
      </c>
      <c r="G315" s="13" t="s">
        <v>44</v>
      </c>
      <c r="H315" s="23">
        <v>186.58858988636359</v>
      </c>
      <c r="I315" s="41">
        <f t="shared" si="8"/>
        <v>0.56000000000000005</v>
      </c>
      <c r="J315" s="44">
        <f t="shared" si="9"/>
        <v>82.098979549999967</v>
      </c>
    </row>
    <row r="316" spans="1:10" ht="15.95" customHeight="1" x14ac:dyDescent="0.2">
      <c r="B316" s="75">
        <v>415278</v>
      </c>
      <c r="C316" s="12" t="s">
        <v>0</v>
      </c>
      <c r="D316" s="29" t="s">
        <v>699</v>
      </c>
      <c r="E316" s="1" t="s">
        <v>600</v>
      </c>
      <c r="F316" s="65" t="s">
        <v>585</v>
      </c>
      <c r="G316" s="12" t="s">
        <v>41</v>
      </c>
      <c r="H316" s="23">
        <v>255.91159613636356</v>
      </c>
      <c r="I316" s="41">
        <f t="shared" si="8"/>
        <v>0.56000000000000005</v>
      </c>
      <c r="J316" s="44">
        <f t="shared" si="9"/>
        <v>112.60110229999995</v>
      </c>
    </row>
    <row r="317" spans="1:10" ht="15.95" customHeight="1" x14ac:dyDescent="0.2">
      <c r="A317" s="20"/>
      <c r="B317" s="75">
        <v>415276</v>
      </c>
      <c r="C317" s="12" t="s">
        <v>0</v>
      </c>
      <c r="D317" s="29" t="s">
        <v>662</v>
      </c>
      <c r="E317" s="1" t="s">
        <v>600</v>
      </c>
      <c r="F317" s="65" t="s">
        <v>585</v>
      </c>
      <c r="G317" s="13" t="s">
        <v>44</v>
      </c>
      <c r="H317" s="23">
        <v>158.57929443181811</v>
      </c>
      <c r="I317" s="41">
        <f t="shared" si="8"/>
        <v>0.56000000000000005</v>
      </c>
      <c r="J317" s="44">
        <f t="shared" si="9"/>
        <v>69.774889549999955</v>
      </c>
    </row>
    <row r="318" spans="1:10" ht="15.95" customHeight="1" x14ac:dyDescent="0.2">
      <c r="B318" s="75">
        <v>415275</v>
      </c>
      <c r="C318" s="12" t="s">
        <v>0</v>
      </c>
      <c r="D318" s="5" t="s">
        <v>577</v>
      </c>
      <c r="E318" s="1" t="s">
        <v>600</v>
      </c>
      <c r="F318" s="65" t="s">
        <v>585</v>
      </c>
      <c r="G318" s="12" t="s">
        <v>44</v>
      </c>
      <c r="H318" s="23">
        <v>848.40155931818185</v>
      </c>
      <c r="I318" s="41">
        <f t="shared" si="8"/>
        <v>0.56000000000000005</v>
      </c>
      <c r="J318" s="44">
        <f t="shared" si="9"/>
        <v>373.29668609999999</v>
      </c>
    </row>
    <row r="319" spans="1:10" ht="15.95" customHeight="1" x14ac:dyDescent="0.2">
      <c r="B319" s="75">
        <v>415274</v>
      </c>
      <c r="C319" s="12" t="s">
        <v>0</v>
      </c>
      <c r="D319" s="29" t="s">
        <v>659</v>
      </c>
      <c r="E319" s="1" t="s">
        <v>600</v>
      </c>
      <c r="F319" s="65" t="s">
        <v>585</v>
      </c>
      <c r="G319" s="13" t="s">
        <v>44</v>
      </c>
      <c r="H319" s="23">
        <v>142.24053874999998</v>
      </c>
      <c r="I319" s="41">
        <f t="shared" si="8"/>
        <v>0.56000000000000005</v>
      </c>
      <c r="J319" s="44">
        <f t="shared" si="9"/>
        <v>62.585837049999981</v>
      </c>
    </row>
    <row r="320" spans="1:10" ht="15.95" customHeight="1" x14ac:dyDescent="0.2">
      <c r="B320" s="75">
        <v>415273</v>
      </c>
      <c r="C320" s="12" t="s">
        <v>0</v>
      </c>
      <c r="D320" s="29" t="s">
        <v>698</v>
      </c>
      <c r="E320" s="1" t="s">
        <v>600</v>
      </c>
      <c r="F320" s="65" t="s">
        <v>585</v>
      </c>
      <c r="G320" s="12" t="s">
        <v>43</v>
      </c>
      <c r="H320" s="23">
        <v>194.29114613636361</v>
      </c>
      <c r="I320" s="41">
        <f t="shared" si="8"/>
        <v>0.56000000000000005</v>
      </c>
      <c r="J320" s="44">
        <f t="shared" si="9"/>
        <v>85.488104299999975</v>
      </c>
    </row>
    <row r="321" spans="1:10" ht="15.95" customHeight="1" x14ac:dyDescent="0.2">
      <c r="B321" s="75">
        <v>415272</v>
      </c>
      <c r="C321" s="12" t="s">
        <v>0</v>
      </c>
      <c r="D321" s="29" t="s">
        <v>697</v>
      </c>
      <c r="E321" s="1" t="s">
        <v>600</v>
      </c>
      <c r="F321" s="65" t="s">
        <v>585</v>
      </c>
      <c r="G321" s="16" t="s">
        <v>42</v>
      </c>
      <c r="H321" s="23">
        <v>194.29114613636361</v>
      </c>
      <c r="I321" s="41">
        <f t="shared" si="8"/>
        <v>0.56000000000000005</v>
      </c>
      <c r="J321" s="44">
        <f t="shared" si="9"/>
        <v>85.488104299999975</v>
      </c>
    </row>
    <row r="322" spans="1:10" ht="15.95" customHeight="1" x14ac:dyDescent="0.2">
      <c r="B322" s="75">
        <v>415271</v>
      </c>
      <c r="C322" s="12" t="s">
        <v>0</v>
      </c>
      <c r="D322" s="29" t="s">
        <v>696</v>
      </c>
      <c r="E322" s="1" t="s">
        <v>600</v>
      </c>
      <c r="F322" s="65" t="s">
        <v>585</v>
      </c>
      <c r="G322" s="16" t="s">
        <v>633</v>
      </c>
      <c r="H322" s="23">
        <v>194.29114613636361</v>
      </c>
      <c r="I322" s="41">
        <f t="shared" si="8"/>
        <v>0.56000000000000005</v>
      </c>
      <c r="J322" s="44">
        <f t="shared" si="9"/>
        <v>85.488104299999975</v>
      </c>
    </row>
    <row r="323" spans="1:10" ht="15.95" customHeight="1" x14ac:dyDescent="0.2">
      <c r="B323" s="75">
        <v>415270</v>
      </c>
      <c r="C323" s="12" t="s">
        <v>0</v>
      </c>
      <c r="D323" s="29" t="s">
        <v>695</v>
      </c>
      <c r="E323" s="1" t="s">
        <v>600</v>
      </c>
      <c r="F323" s="65" t="s">
        <v>585</v>
      </c>
      <c r="G323" s="13" t="s">
        <v>44</v>
      </c>
      <c r="H323" s="23">
        <v>204.37449249999989</v>
      </c>
      <c r="I323" s="41">
        <f t="shared" si="8"/>
        <v>0.56000000000000005</v>
      </c>
      <c r="J323" s="44">
        <f t="shared" si="9"/>
        <v>89.924776699999939</v>
      </c>
    </row>
    <row r="324" spans="1:10" ht="15.95" customHeight="1" x14ac:dyDescent="0.2">
      <c r="B324" s="75">
        <v>415269</v>
      </c>
      <c r="C324" s="12" t="s">
        <v>0</v>
      </c>
      <c r="D324" s="29" t="s">
        <v>664</v>
      </c>
      <c r="E324" s="1" t="s">
        <v>600</v>
      </c>
      <c r="F324" s="65" t="s">
        <v>585</v>
      </c>
      <c r="G324" s="12" t="s">
        <v>43</v>
      </c>
      <c r="H324" s="23">
        <v>159.69966624999995</v>
      </c>
      <c r="I324" s="41">
        <f t="shared" si="8"/>
        <v>0.56000000000000005</v>
      </c>
      <c r="J324" s="44">
        <f t="shared" si="9"/>
        <v>70.267853149999965</v>
      </c>
    </row>
    <row r="325" spans="1:10" ht="15.95" customHeight="1" x14ac:dyDescent="0.2">
      <c r="A325" s="20"/>
      <c r="B325" s="75">
        <v>415268</v>
      </c>
      <c r="C325" s="12" t="s">
        <v>0</v>
      </c>
      <c r="D325" s="29" t="s">
        <v>661</v>
      </c>
      <c r="E325" s="1" t="s">
        <v>600</v>
      </c>
      <c r="F325" s="65" t="s">
        <v>585</v>
      </c>
      <c r="G325" s="16" t="s">
        <v>42</v>
      </c>
      <c r="H325" s="23">
        <v>154.65799306818178</v>
      </c>
      <c r="I325" s="41">
        <f t="shared" si="8"/>
        <v>0.56000000000000005</v>
      </c>
      <c r="J325" s="44">
        <f t="shared" si="9"/>
        <v>68.049516949999969</v>
      </c>
    </row>
    <row r="326" spans="1:10" ht="15.95" customHeight="1" x14ac:dyDescent="0.2">
      <c r="A326" s="20"/>
      <c r="B326" s="75">
        <v>415267</v>
      </c>
      <c r="C326" s="12" t="s">
        <v>0</v>
      </c>
      <c r="D326" s="29" t="s">
        <v>660</v>
      </c>
      <c r="E326" s="1" t="s">
        <v>600</v>
      </c>
      <c r="F326" s="65" t="s">
        <v>585</v>
      </c>
      <c r="G326" s="16" t="s">
        <v>633</v>
      </c>
      <c r="H326" s="23">
        <v>154.65799306818178</v>
      </c>
      <c r="I326" s="41">
        <f t="shared" si="8"/>
        <v>0.56000000000000005</v>
      </c>
      <c r="J326" s="44">
        <f t="shared" si="9"/>
        <v>68.049516949999969</v>
      </c>
    </row>
    <row r="327" spans="1:10" ht="15.95" customHeight="1" x14ac:dyDescent="0.2">
      <c r="B327" s="75">
        <v>415266</v>
      </c>
      <c r="C327" s="12" t="s">
        <v>0</v>
      </c>
      <c r="D327" s="29" t="s">
        <v>663</v>
      </c>
      <c r="E327" s="1" t="s">
        <v>600</v>
      </c>
      <c r="F327" s="65" t="s">
        <v>585</v>
      </c>
      <c r="G327" s="13" t="s">
        <v>44</v>
      </c>
      <c r="H327" s="23">
        <v>159.69966624999995</v>
      </c>
      <c r="I327" s="41">
        <f t="shared" si="8"/>
        <v>0.56000000000000005</v>
      </c>
      <c r="J327" s="44">
        <f t="shared" si="9"/>
        <v>70.267853149999965</v>
      </c>
    </row>
    <row r="328" spans="1:10" ht="15.95" customHeight="1" x14ac:dyDescent="0.2">
      <c r="B328" s="75">
        <v>415265</v>
      </c>
      <c r="C328" s="12" t="s">
        <v>0</v>
      </c>
      <c r="D328" s="29" t="s">
        <v>658</v>
      </c>
      <c r="E328" s="1" t="s">
        <v>600</v>
      </c>
      <c r="F328" s="65" t="s">
        <v>585</v>
      </c>
      <c r="G328" s="12" t="s">
        <v>43</v>
      </c>
      <c r="H328" s="23">
        <v>139.99979511363634</v>
      </c>
      <c r="I328" s="41">
        <f t="shared" si="8"/>
        <v>0.56000000000000005</v>
      </c>
      <c r="J328" s="44">
        <f t="shared" si="9"/>
        <v>61.599909849999975</v>
      </c>
    </row>
    <row r="329" spans="1:10" ht="15.95" customHeight="1" x14ac:dyDescent="0.2">
      <c r="B329" s="75">
        <v>415264</v>
      </c>
      <c r="C329" s="12" t="s">
        <v>0</v>
      </c>
      <c r="D329" s="29" t="s">
        <v>656</v>
      </c>
      <c r="E329" s="1" t="s">
        <v>600</v>
      </c>
      <c r="F329" s="65" t="s">
        <v>585</v>
      </c>
      <c r="G329" s="16" t="s">
        <v>42</v>
      </c>
      <c r="H329" s="23">
        <v>137.47895852272728</v>
      </c>
      <c r="I329" s="41">
        <f t="shared" ref="I329:I392" si="10">$H$7</f>
        <v>0.56000000000000005</v>
      </c>
      <c r="J329" s="44">
        <f t="shared" ref="J329:J392" si="11">H329-H329*I329</f>
        <v>60.490741749999998</v>
      </c>
    </row>
    <row r="330" spans="1:10" ht="15.95" customHeight="1" x14ac:dyDescent="0.2">
      <c r="B330" s="75">
        <v>415263</v>
      </c>
      <c r="C330" s="12" t="s">
        <v>0</v>
      </c>
      <c r="D330" s="29" t="s">
        <v>655</v>
      </c>
      <c r="E330" s="1" t="s">
        <v>600</v>
      </c>
      <c r="F330" s="65" t="s">
        <v>585</v>
      </c>
      <c r="G330" s="16" t="s">
        <v>633</v>
      </c>
      <c r="H330" s="23">
        <v>137.47895852272728</v>
      </c>
      <c r="I330" s="41">
        <f t="shared" si="10"/>
        <v>0.56000000000000005</v>
      </c>
      <c r="J330" s="44">
        <f t="shared" si="11"/>
        <v>60.490741749999998</v>
      </c>
    </row>
    <row r="331" spans="1:10" ht="15.95" customHeight="1" x14ac:dyDescent="0.2">
      <c r="B331" s="75">
        <v>415262</v>
      </c>
      <c r="C331" s="12" t="s">
        <v>0</v>
      </c>
      <c r="D331" s="29" t="s">
        <v>657</v>
      </c>
      <c r="E331" s="1" t="s">
        <v>600</v>
      </c>
      <c r="F331" s="65" t="s">
        <v>585</v>
      </c>
      <c r="G331" s="13" t="s">
        <v>44</v>
      </c>
      <c r="H331" s="23">
        <v>139.99979511363634</v>
      </c>
      <c r="I331" s="41">
        <f t="shared" si="10"/>
        <v>0.56000000000000005</v>
      </c>
      <c r="J331" s="44">
        <f t="shared" si="11"/>
        <v>61.599909849999975</v>
      </c>
    </row>
    <row r="332" spans="1:10" ht="15.95" customHeight="1" x14ac:dyDescent="0.2">
      <c r="B332" s="75">
        <v>415261</v>
      </c>
      <c r="C332" s="12" t="s">
        <v>0</v>
      </c>
      <c r="D332" s="29" t="s">
        <v>694</v>
      </c>
      <c r="E332" s="1" t="s">
        <v>600</v>
      </c>
      <c r="F332" s="65" t="s">
        <v>585</v>
      </c>
      <c r="G332" s="12" t="s">
        <v>43</v>
      </c>
      <c r="H332" s="23">
        <v>243.21404886363629</v>
      </c>
      <c r="I332" s="41">
        <f t="shared" si="10"/>
        <v>0.56000000000000005</v>
      </c>
      <c r="J332" s="44">
        <f t="shared" si="11"/>
        <v>107.01418149999995</v>
      </c>
    </row>
    <row r="333" spans="1:10" ht="15.95" customHeight="1" x14ac:dyDescent="0.2">
      <c r="B333" s="75">
        <v>415260</v>
      </c>
      <c r="C333" s="12" t="s">
        <v>0</v>
      </c>
      <c r="D333" s="29" t="s">
        <v>693</v>
      </c>
      <c r="E333" s="1" t="s">
        <v>600</v>
      </c>
      <c r="F333" s="65" t="s">
        <v>585</v>
      </c>
      <c r="G333" s="12" t="s">
        <v>42</v>
      </c>
      <c r="H333" s="23">
        <v>243.21404886363629</v>
      </c>
      <c r="I333" s="41">
        <f t="shared" si="10"/>
        <v>0.56000000000000005</v>
      </c>
      <c r="J333" s="44">
        <f t="shared" si="11"/>
        <v>107.01418149999995</v>
      </c>
    </row>
    <row r="334" spans="1:10" ht="15.95" customHeight="1" x14ac:dyDescent="0.2">
      <c r="B334" s="75">
        <v>415259</v>
      </c>
      <c r="C334" s="12" t="s">
        <v>0</v>
      </c>
      <c r="D334" s="29" t="s">
        <v>692</v>
      </c>
      <c r="E334" s="1" t="s">
        <v>600</v>
      </c>
      <c r="F334" s="65" t="s">
        <v>585</v>
      </c>
      <c r="G334" s="16" t="s">
        <v>633</v>
      </c>
      <c r="H334" s="23">
        <v>243.21404886363629</v>
      </c>
      <c r="I334" s="41">
        <f t="shared" si="10"/>
        <v>0.56000000000000005</v>
      </c>
      <c r="J334" s="44">
        <f t="shared" si="11"/>
        <v>107.01418149999995</v>
      </c>
    </row>
    <row r="335" spans="1:10" ht="15.95" customHeight="1" x14ac:dyDescent="0.2">
      <c r="B335" s="75">
        <v>415258</v>
      </c>
      <c r="C335" s="12" t="s">
        <v>0</v>
      </c>
      <c r="D335" s="29" t="s">
        <v>691</v>
      </c>
      <c r="E335" s="1" t="s">
        <v>600</v>
      </c>
      <c r="F335" s="65" t="s">
        <v>585</v>
      </c>
      <c r="G335" s="13" t="s">
        <v>44</v>
      </c>
      <c r="H335" s="23">
        <v>243.21404886363629</v>
      </c>
      <c r="I335" s="41">
        <f t="shared" si="10"/>
        <v>0.56000000000000005</v>
      </c>
      <c r="J335" s="44">
        <f t="shared" si="11"/>
        <v>107.01418149999995</v>
      </c>
    </row>
    <row r="336" spans="1:10" ht="15.95" customHeight="1" x14ac:dyDescent="0.2">
      <c r="B336" s="75">
        <v>415257</v>
      </c>
      <c r="C336" s="12" t="s">
        <v>0</v>
      </c>
      <c r="D336" s="29" t="s">
        <v>673</v>
      </c>
      <c r="E336" s="1" t="s">
        <v>600</v>
      </c>
      <c r="F336" s="65" t="s">
        <v>585</v>
      </c>
      <c r="G336" s="12" t="s">
        <v>43</v>
      </c>
      <c r="H336" s="23">
        <v>191.11675931818175</v>
      </c>
      <c r="I336" s="41">
        <f t="shared" si="10"/>
        <v>0.56000000000000005</v>
      </c>
      <c r="J336" s="44">
        <f t="shared" si="11"/>
        <v>84.091374099999953</v>
      </c>
    </row>
    <row r="337" spans="2:10" ht="15.95" customHeight="1" x14ac:dyDescent="0.2">
      <c r="B337" s="75">
        <v>415256</v>
      </c>
      <c r="C337" s="12" t="s">
        <v>0</v>
      </c>
      <c r="D337" s="29" t="s">
        <v>672</v>
      </c>
      <c r="E337" s="1" t="s">
        <v>600</v>
      </c>
      <c r="F337" s="65" t="s">
        <v>585</v>
      </c>
      <c r="G337" s="16" t="s">
        <v>42</v>
      </c>
      <c r="H337" s="23">
        <v>191.11675931818175</v>
      </c>
      <c r="I337" s="41">
        <f t="shared" si="10"/>
        <v>0.56000000000000005</v>
      </c>
      <c r="J337" s="44">
        <f t="shared" si="11"/>
        <v>84.091374099999953</v>
      </c>
    </row>
    <row r="338" spans="2:10" ht="15.95" customHeight="1" x14ac:dyDescent="0.2">
      <c r="B338" s="75">
        <v>415255</v>
      </c>
      <c r="C338" s="12" t="s">
        <v>0</v>
      </c>
      <c r="D338" s="29" t="s">
        <v>671</v>
      </c>
      <c r="E338" s="1" t="s">
        <v>600</v>
      </c>
      <c r="F338" s="65" t="s">
        <v>585</v>
      </c>
      <c r="G338" s="16" t="s">
        <v>633</v>
      </c>
      <c r="H338" s="23">
        <v>191.11675931818175</v>
      </c>
      <c r="I338" s="41">
        <f t="shared" si="10"/>
        <v>0.56000000000000005</v>
      </c>
      <c r="J338" s="44">
        <f t="shared" si="11"/>
        <v>84.091374099999953</v>
      </c>
    </row>
    <row r="339" spans="2:10" ht="15.95" customHeight="1" x14ac:dyDescent="0.2">
      <c r="B339" s="75">
        <v>415254</v>
      </c>
      <c r="C339" s="12" t="s">
        <v>0</v>
      </c>
      <c r="D339" s="29" t="s">
        <v>670</v>
      </c>
      <c r="E339" s="1" t="s">
        <v>600</v>
      </c>
      <c r="F339" s="65" t="s">
        <v>585</v>
      </c>
      <c r="G339" s="13" t="s">
        <v>44</v>
      </c>
      <c r="H339" s="23">
        <v>191.11675931818175</v>
      </c>
      <c r="I339" s="41">
        <f t="shared" si="10"/>
        <v>0.56000000000000005</v>
      </c>
      <c r="J339" s="44">
        <f t="shared" si="11"/>
        <v>84.091374099999953</v>
      </c>
    </row>
    <row r="340" spans="2:10" ht="15.95" customHeight="1" x14ac:dyDescent="0.2">
      <c r="B340" s="75">
        <v>415253</v>
      </c>
      <c r="C340" s="12" t="s">
        <v>0</v>
      </c>
      <c r="D340" s="29" t="s">
        <v>668</v>
      </c>
      <c r="E340" s="1" t="s">
        <v>600</v>
      </c>
      <c r="F340" s="65" t="s">
        <v>585</v>
      </c>
      <c r="G340" s="12" t="s">
        <v>43</v>
      </c>
      <c r="H340" s="23">
        <v>162.73400659090908</v>
      </c>
      <c r="I340" s="41">
        <f t="shared" si="10"/>
        <v>0.56000000000000005</v>
      </c>
      <c r="J340" s="44">
        <f t="shared" si="11"/>
        <v>71.60296289999998</v>
      </c>
    </row>
    <row r="341" spans="2:10" ht="15.95" customHeight="1" x14ac:dyDescent="0.2">
      <c r="B341" s="75">
        <v>415252</v>
      </c>
      <c r="C341" s="12" t="s">
        <v>0</v>
      </c>
      <c r="D341" s="29" t="s">
        <v>667</v>
      </c>
      <c r="E341" s="1" t="s">
        <v>600</v>
      </c>
      <c r="F341" s="65" t="s">
        <v>585</v>
      </c>
      <c r="G341" s="16" t="s">
        <v>42</v>
      </c>
      <c r="H341" s="23">
        <v>162.73400659090908</v>
      </c>
      <c r="I341" s="41">
        <f t="shared" si="10"/>
        <v>0.56000000000000005</v>
      </c>
      <c r="J341" s="44">
        <f t="shared" si="11"/>
        <v>71.60296289999998</v>
      </c>
    </row>
    <row r="342" spans="2:10" ht="15.95" customHeight="1" x14ac:dyDescent="0.2">
      <c r="B342" s="75">
        <v>415251</v>
      </c>
      <c r="C342" s="12" t="s">
        <v>0</v>
      </c>
      <c r="D342" s="29" t="s">
        <v>666</v>
      </c>
      <c r="E342" s="1" t="s">
        <v>600</v>
      </c>
      <c r="F342" s="65" t="s">
        <v>585</v>
      </c>
      <c r="G342" s="16" t="s">
        <v>633</v>
      </c>
      <c r="H342" s="23">
        <v>162.73400659090908</v>
      </c>
      <c r="I342" s="41">
        <f t="shared" si="10"/>
        <v>0.56000000000000005</v>
      </c>
      <c r="J342" s="44">
        <f t="shared" si="11"/>
        <v>71.60296289999998</v>
      </c>
    </row>
    <row r="343" spans="2:10" ht="15.95" customHeight="1" x14ac:dyDescent="0.2">
      <c r="B343" s="75">
        <v>415250</v>
      </c>
      <c r="C343" s="12" t="s">
        <v>0</v>
      </c>
      <c r="D343" s="29" t="s">
        <v>665</v>
      </c>
      <c r="E343" s="1" t="s">
        <v>600</v>
      </c>
      <c r="F343" s="65" t="s">
        <v>585</v>
      </c>
      <c r="G343" s="13" t="s">
        <v>44</v>
      </c>
      <c r="H343" s="23">
        <v>162.73400659090908</v>
      </c>
      <c r="I343" s="41">
        <f t="shared" si="10"/>
        <v>0.56000000000000005</v>
      </c>
      <c r="J343" s="44">
        <f t="shared" si="11"/>
        <v>71.60296289999998</v>
      </c>
    </row>
    <row r="344" spans="2:10" ht="15.95" customHeight="1" x14ac:dyDescent="0.2">
      <c r="B344" s="75">
        <v>415244</v>
      </c>
      <c r="C344" s="12" t="s">
        <v>0</v>
      </c>
      <c r="D344" s="5" t="s">
        <v>567</v>
      </c>
      <c r="E344" s="1" t="s">
        <v>600</v>
      </c>
      <c r="F344" s="65" t="s">
        <v>585</v>
      </c>
      <c r="G344" s="12" t="s">
        <v>42</v>
      </c>
      <c r="H344" s="23">
        <v>362.90710477272711</v>
      </c>
      <c r="I344" s="41">
        <f t="shared" si="10"/>
        <v>0.56000000000000005</v>
      </c>
      <c r="J344" s="44">
        <f t="shared" si="11"/>
        <v>159.67912609999991</v>
      </c>
    </row>
    <row r="345" spans="2:10" ht="15.95" customHeight="1" x14ac:dyDescent="0.2">
      <c r="B345" s="75">
        <v>415243</v>
      </c>
      <c r="C345" s="12" t="s">
        <v>0</v>
      </c>
      <c r="D345" s="29" t="s">
        <v>690</v>
      </c>
      <c r="E345" s="1" t="s">
        <v>600</v>
      </c>
      <c r="F345" s="65" t="s">
        <v>585</v>
      </c>
      <c r="G345" s="12" t="s">
        <v>41</v>
      </c>
      <c r="H345" s="23">
        <v>347.12853499999989</v>
      </c>
      <c r="I345" s="41">
        <f t="shared" si="10"/>
        <v>0.56000000000000005</v>
      </c>
      <c r="J345" s="44">
        <f t="shared" si="11"/>
        <v>152.73655539999993</v>
      </c>
    </row>
    <row r="346" spans="2:10" ht="15.95" customHeight="1" x14ac:dyDescent="0.2">
      <c r="B346" s="75">
        <v>415242</v>
      </c>
      <c r="C346" s="12" t="s">
        <v>0</v>
      </c>
      <c r="D346" s="29" t="s">
        <v>689</v>
      </c>
      <c r="E346" s="1" t="s">
        <v>600</v>
      </c>
      <c r="F346" s="65" t="s">
        <v>585</v>
      </c>
      <c r="G346" s="13" t="s">
        <v>44</v>
      </c>
      <c r="H346" s="23">
        <v>347.68872090909082</v>
      </c>
      <c r="I346" s="41">
        <f t="shared" si="10"/>
        <v>0.56000000000000005</v>
      </c>
      <c r="J346" s="44">
        <f t="shared" si="11"/>
        <v>152.98303719999996</v>
      </c>
    </row>
    <row r="347" spans="2:10" ht="15.95" customHeight="1" x14ac:dyDescent="0.2">
      <c r="B347" s="75">
        <v>415240</v>
      </c>
      <c r="C347" s="12" t="s">
        <v>0</v>
      </c>
      <c r="D347" s="5" t="s">
        <v>568</v>
      </c>
      <c r="E347" s="1" t="s">
        <v>600</v>
      </c>
      <c r="F347" s="65" t="s">
        <v>585</v>
      </c>
      <c r="G347" s="12" t="s">
        <v>42</v>
      </c>
      <c r="H347" s="23">
        <v>257.07865011363623</v>
      </c>
      <c r="I347" s="41">
        <f t="shared" si="10"/>
        <v>0.56000000000000005</v>
      </c>
      <c r="J347" s="44">
        <f t="shared" si="11"/>
        <v>113.11460604999994</v>
      </c>
    </row>
    <row r="348" spans="2:10" ht="15.95" customHeight="1" x14ac:dyDescent="0.2">
      <c r="B348" s="75">
        <v>415239</v>
      </c>
      <c r="C348" s="12" t="s">
        <v>0</v>
      </c>
      <c r="D348" s="29" t="s">
        <v>688</v>
      </c>
      <c r="E348" s="1" t="s">
        <v>600</v>
      </c>
      <c r="F348" s="65" t="s">
        <v>585</v>
      </c>
      <c r="G348" s="12" t="s">
        <v>41</v>
      </c>
      <c r="H348" s="23">
        <v>249.18936522727262</v>
      </c>
      <c r="I348" s="41">
        <f t="shared" si="10"/>
        <v>0.56000000000000005</v>
      </c>
      <c r="J348" s="44">
        <f t="shared" si="11"/>
        <v>109.64332069999995</v>
      </c>
    </row>
    <row r="349" spans="2:10" ht="15.95" customHeight="1" x14ac:dyDescent="0.2">
      <c r="B349" s="75">
        <v>415238</v>
      </c>
      <c r="C349" s="12" t="s">
        <v>0</v>
      </c>
      <c r="D349" s="5" t="s">
        <v>570</v>
      </c>
      <c r="E349" s="1" t="s">
        <v>600</v>
      </c>
      <c r="F349" s="65" t="s">
        <v>585</v>
      </c>
      <c r="G349" s="12" t="s">
        <v>44</v>
      </c>
      <c r="H349" s="23">
        <v>249.46945818181808</v>
      </c>
      <c r="I349" s="41">
        <f t="shared" si="10"/>
        <v>0.56000000000000005</v>
      </c>
      <c r="J349" s="44">
        <f t="shared" si="11"/>
        <v>109.76656159999993</v>
      </c>
    </row>
    <row r="350" spans="2:10" ht="15.95" customHeight="1" x14ac:dyDescent="0.2">
      <c r="B350" s="75">
        <v>415236</v>
      </c>
      <c r="C350" s="12" t="s">
        <v>0</v>
      </c>
      <c r="D350" s="29" t="s">
        <v>687</v>
      </c>
      <c r="E350" s="1" t="s">
        <v>600</v>
      </c>
      <c r="F350" s="65" t="s">
        <v>585</v>
      </c>
      <c r="G350" s="12" t="s">
        <v>42</v>
      </c>
      <c r="H350" s="23">
        <v>225.05468897727266</v>
      </c>
      <c r="I350" s="41">
        <f t="shared" si="10"/>
        <v>0.56000000000000005</v>
      </c>
      <c r="J350" s="44">
        <f t="shared" si="11"/>
        <v>99.024063149999961</v>
      </c>
    </row>
    <row r="351" spans="2:10" ht="15.95" customHeight="1" x14ac:dyDescent="0.2">
      <c r="B351" s="75">
        <v>415235</v>
      </c>
      <c r="C351" s="12" t="s">
        <v>0</v>
      </c>
      <c r="D351" s="29" t="s">
        <v>686</v>
      </c>
      <c r="E351" s="1" t="s">
        <v>600</v>
      </c>
      <c r="F351" s="65" t="s">
        <v>585</v>
      </c>
      <c r="G351" s="12" t="s">
        <v>41</v>
      </c>
      <c r="H351" s="23">
        <v>221.13338761363627</v>
      </c>
      <c r="I351" s="41">
        <f t="shared" si="10"/>
        <v>0.56000000000000005</v>
      </c>
      <c r="J351" s="44">
        <f t="shared" si="11"/>
        <v>97.298690549999947</v>
      </c>
    </row>
    <row r="352" spans="2:10" ht="15.95" customHeight="1" x14ac:dyDescent="0.2">
      <c r="B352" s="75">
        <v>415234</v>
      </c>
      <c r="C352" s="12" t="s">
        <v>0</v>
      </c>
      <c r="D352" s="29" t="s">
        <v>685</v>
      </c>
      <c r="E352" s="1" t="s">
        <v>600</v>
      </c>
      <c r="F352" s="65" t="s">
        <v>585</v>
      </c>
      <c r="G352" s="13" t="s">
        <v>44</v>
      </c>
      <c r="H352" s="23">
        <v>221.41348056818171</v>
      </c>
      <c r="I352" s="41">
        <f t="shared" si="10"/>
        <v>0.56000000000000005</v>
      </c>
      <c r="J352" s="44">
        <f t="shared" si="11"/>
        <v>97.421931449999946</v>
      </c>
    </row>
    <row r="353" spans="2:10" ht="15.95" customHeight="1" x14ac:dyDescent="0.2">
      <c r="B353" s="75">
        <v>415233</v>
      </c>
      <c r="C353" s="12" t="s">
        <v>0</v>
      </c>
      <c r="D353" s="29" t="s">
        <v>684</v>
      </c>
      <c r="E353" s="1" t="s">
        <v>600</v>
      </c>
      <c r="F353" s="65" t="s">
        <v>585</v>
      </c>
      <c r="G353" s="12" t="s">
        <v>43</v>
      </c>
      <c r="H353" s="23">
        <v>606.0277893181817</v>
      </c>
      <c r="I353" s="41">
        <f t="shared" si="10"/>
        <v>0.56000000000000005</v>
      </c>
      <c r="J353" s="44">
        <f t="shared" si="11"/>
        <v>266.65222729999994</v>
      </c>
    </row>
    <row r="354" spans="2:10" ht="15.95" customHeight="1" x14ac:dyDescent="0.2">
      <c r="B354" s="75">
        <v>415232</v>
      </c>
      <c r="C354" s="12" t="s">
        <v>0</v>
      </c>
      <c r="D354" s="5" t="s">
        <v>564</v>
      </c>
      <c r="E354" s="1" t="s">
        <v>600</v>
      </c>
      <c r="F354" s="65" t="s">
        <v>585</v>
      </c>
      <c r="G354" s="12" t="s">
        <v>42</v>
      </c>
      <c r="H354" s="23">
        <v>564.94748931818185</v>
      </c>
      <c r="I354" s="41">
        <f t="shared" si="10"/>
        <v>0.56000000000000005</v>
      </c>
      <c r="J354" s="44">
        <f t="shared" si="11"/>
        <v>248.57689529999999</v>
      </c>
    </row>
    <row r="355" spans="2:10" ht="15.95" customHeight="1" x14ac:dyDescent="0.2">
      <c r="B355" s="75">
        <v>415231</v>
      </c>
      <c r="C355" s="12" t="s">
        <v>0</v>
      </c>
      <c r="D355" s="29" t="s">
        <v>683</v>
      </c>
      <c r="E355" s="1" t="s">
        <v>600</v>
      </c>
      <c r="F355" s="65" t="s">
        <v>585</v>
      </c>
      <c r="G355" s="12" t="s">
        <v>41</v>
      </c>
      <c r="H355" s="23">
        <v>521.99990295454541</v>
      </c>
      <c r="I355" s="41">
        <f t="shared" si="10"/>
        <v>0.56000000000000005</v>
      </c>
      <c r="J355" s="44">
        <f t="shared" si="11"/>
        <v>229.67995729999996</v>
      </c>
    </row>
    <row r="356" spans="2:10" ht="15.95" customHeight="1" x14ac:dyDescent="0.2">
      <c r="B356" s="75">
        <v>415230</v>
      </c>
      <c r="C356" s="12" t="s">
        <v>0</v>
      </c>
      <c r="D356" s="5" t="s">
        <v>563</v>
      </c>
      <c r="E356" s="1" t="s">
        <v>600</v>
      </c>
      <c r="F356" s="65" t="s">
        <v>585</v>
      </c>
      <c r="G356" s="12" t="s">
        <v>44</v>
      </c>
      <c r="H356" s="23">
        <v>527.60176204545451</v>
      </c>
      <c r="I356" s="41">
        <f t="shared" si="10"/>
        <v>0.56000000000000005</v>
      </c>
      <c r="J356" s="44">
        <f t="shared" si="11"/>
        <v>232.14477529999994</v>
      </c>
    </row>
    <row r="357" spans="2:10" ht="15.95" customHeight="1" x14ac:dyDescent="0.2">
      <c r="B357" s="75">
        <v>415229</v>
      </c>
      <c r="C357" s="12" t="s">
        <v>0</v>
      </c>
      <c r="D357" s="5" t="s">
        <v>575</v>
      </c>
      <c r="E357" s="1" t="s">
        <v>600</v>
      </c>
      <c r="F357" s="65" t="s">
        <v>585</v>
      </c>
      <c r="G357" s="12" t="s">
        <v>43</v>
      </c>
      <c r="H357" s="23">
        <v>370.28288590909079</v>
      </c>
      <c r="I357" s="41">
        <f t="shared" si="10"/>
        <v>0.56000000000000005</v>
      </c>
      <c r="J357" s="44">
        <f t="shared" si="11"/>
        <v>162.92446979999994</v>
      </c>
    </row>
    <row r="358" spans="2:10" ht="15.95" customHeight="1" x14ac:dyDescent="0.2">
      <c r="B358" s="75">
        <v>415228</v>
      </c>
      <c r="C358" s="12" t="s">
        <v>0</v>
      </c>
      <c r="D358" s="5" t="s">
        <v>560</v>
      </c>
      <c r="E358" s="1" t="s">
        <v>600</v>
      </c>
      <c r="F358" s="65" t="s">
        <v>585</v>
      </c>
      <c r="G358" s="12" t="s">
        <v>42</v>
      </c>
      <c r="H358" s="23">
        <v>349.74273590909075</v>
      </c>
      <c r="I358" s="41">
        <f t="shared" si="10"/>
        <v>0.56000000000000005</v>
      </c>
      <c r="J358" s="44">
        <f t="shared" si="11"/>
        <v>153.88680379999991</v>
      </c>
    </row>
    <row r="359" spans="2:10" ht="15.95" customHeight="1" x14ac:dyDescent="0.2">
      <c r="B359" s="75">
        <v>415227</v>
      </c>
      <c r="C359" s="12" t="s">
        <v>0</v>
      </c>
      <c r="D359" s="29" t="s">
        <v>682</v>
      </c>
      <c r="E359" s="1" t="s">
        <v>600</v>
      </c>
      <c r="F359" s="65" t="s">
        <v>585</v>
      </c>
      <c r="G359" s="12" t="s">
        <v>41</v>
      </c>
      <c r="H359" s="23">
        <v>328.2689427272727</v>
      </c>
      <c r="I359" s="41">
        <f t="shared" si="10"/>
        <v>0.56000000000000005</v>
      </c>
      <c r="J359" s="44">
        <f t="shared" si="11"/>
        <v>144.43833479999998</v>
      </c>
    </row>
    <row r="360" spans="2:10" ht="15.95" customHeight="1" x14ac:dyDescent="0.2">
      <c r="B360" s="75">
        <v>415226</v>
      </c>
      <c r="C360" s="12" t="s">
        <v>0</v>
      </c>
      <c r="D360" s="5" t="s">
        <v>561</v>
      </c>
      <c r="E360" s="1" t="s">
        <v>600</v>
      </c>
      <c r="F360" s="65" t="s">
        <v>585</v>
      </c>
      <c r="G360" s="12" t="s">
        <v>44</v>
      </c>
      <c r="H360" s="23">
        <v>331.06987227272714</v>
      </c>
      <c r="I360" s="41">
        <f t="shared" si="10"/>
        <v>0.56000000000000005</v>
      </c>
      <c r="J360" s="44">
        <f t="shared" si="11"/>
        <v>145.67074379999991</v>
      </c>
    </row>
    <row r="361" spans="2:10" ht="15.95" customHeight="1" x14ac:dyDescent="0.2">
      <c r="B361" s="75">
        <v>415225</v>
      </c>
      <c r="C361" s="12" t="s">
        <v>0</v>
      </c>
      <c r="D361" s="5" t="s">
        <v>574</v>
      </c>
      <c r="E361" s="1" t="s">
        <v>600</v>
      </c>
      <c r="F361" s="65" t="s">
        <v>585</v>
      </c>
      <c r="G361" s="12" t="s">
        <v>43</v>
      </c>
      <c r="H361" s="23">
        <v>257.96561113636352</v>
      </c>
      <c r="I361" s="41">
        <f t="shared" si="10"/>
        <v>0.56000000000000005</v>
      </c>
      <c r="J361" s="44">
        <f t="shared" si="11"/>
        <v>113.50486889999993</v>
      </c>
    </row>
    <row r="362" spans="2:10" ht="15.95" customHeight="1" x14ac:dyDescent="0.2">
      <c r="B362" s="75">
        <v>415224</v>
      </c>
      <c r="C362" s="12" t="s">
        <v>0</v>
      </c>
      <c r="D362" s="5" t="s">
        <v>562</v>
      </c>
      <c r="E362" s="1" t="s">
        <v>600</v>
      </c>
      <c r="F362" s="65" t="s">
        <v>585</v>
      </c>
      <c r="G362" s="12" t="s">
        <v>42</v>
      </c>
      <c r="H362" s="23">
        <v>247.69553613636359</v>
      </c>
      <c r="I362" s="41">
        <f t="shared" si="10"/>
        <v>0.56000000000000005</v>
      </c>
      <c r="J362" s="44">
        <f t="shared" si="11"/>
        <v>108.98603589999996</v>
      </c>
    </row>
    <row r="363" spans="2:10" ht="15.95" customHeight="1" x14ac:dyDescent="0.2">
      <c r="B363" s="75">
        <v>415223</v>
      </c>
      <c r="C363" s="12" t="s">
        <v>0</v>
      </c>
      <c r="D363" s="29" t="s">
        <v>681</v>
      </c>
      <c r="E363" s="1" t="s">
        <v>600</v>
      </c>
      <c r="F363" s="65" t="s">
        <v>585</v>
      </c>
      <c r="G363" s="12" t="s">
        <v>41</v>
      </c>
      <c r="H363" s="23">
        <v>236.95863954545442</v>
      </c>
      <c r="I363" s="41">
        <f t="shared" si="10"/>
        <v>0.56000000000000005</v>
      </c>
      <c r="J363" s="44">
        <f t="shared" si="11"/>
        <v>104.26180139999994</v>
      </c>
    </row>
    <row r="364" spans="2:10" ht="15.95" customHeight="1" x14ac:dyDescent="0.2">
      <c r="B364" s="75">
        <v>415222</v>
      </c>
      <c r="C364" s="12" t="s">
        <v>0</v>
      </c>
      <c r="D364" s="5" t="s">
        <v>566</v>
      </c>
      <c r="E364" s="1" t="s">
        <v>600</v>
      </c>
      <c r="F364" s="65" t="s">
        <v>585</v>
      </c>
      <c r="G364" s="12" t="s">
        <v>44</v>
      </c>
      <c r="H364" s="23">
        <v>238.35910431818169</v>
      </c>
      <c r="I364" s="41">
        <f t="shared" si="10"/>
        <v>0.56000000000000005</v>
      </c>
      <c r="J364" s="44">
        <f t="shared" si="11"/>
        <v>104.87800589999992</v>
      </c>
    </row>
    <row r="365" spans="2:10" ht="15.95" customHeight="1" x14ac:dyDescent="0.2">
      <c r="B365" s="76">
        <v>415221</v>
      </c>
      <c r="C365" s="12" t="s">
        <v>0</v>
      </c>
      <c r="D365" s="29" t="s">
        <v>680</v>
      </c>
      <c r="E365" s="1" t="s">
        <v>600</v>
      </c>
      <c r="F365" s="65" t="s">
        <v>585</v>
      </c>
      <c r="G365" s="12" t="s">
        <v>43</v>
      </c>
      <c r="H365" s="23">
        <v>673.25009840909092</v>
      </c>
      <c r="I365" s="41">
        <f t="shared" si="10"/>
        <v>0.56000000000000005</v>
      </c>
      <c r="J365" s="44">
        <f t="shared" si="11"/>
        <v>296.23004329999998</v>
      </c>
    </row>
    <row r="366" spans="2:10" ht="15.95" customHeight="1" x14ac:dyDescent="0.2">
      <c r="B366" s="75">
        <v>415220</v>
      </c>
      <c r="C366" s="12" t="s">
        <v>0</v>
      </c>
      <c r="D366" s="5" t="s">
        <v>559</v>
      </c>
      <c r="E366" s="1" t="s">
        <v>600</v>
      </c>
      <c r="F366" s="65" t="s">
        <v>585</v>
      </c>
      <c r="G366" s="12" t="s">
        <v>42</v>
      </c>
      <c r="H366" s="23">
        <v>620.96608022727287</v>
      </c>
      <c r="I366" s="41">
        <f t="shared" si="10"/>
        <v>0.56000000000000005</v>
      </c>
      <c r="J366" s="44">
        <f t="shared" si="11"/>
        <v>273.22507530000001</v>
      </c>
    </row>
    <row r="367" spans="2:10" ht="15.95" customHeight="1" x14ac:dyDescent="0.2">
      <c r="B367" s="75">
        <v>415219</v>
      </c>
      <c r="C367" s="12" t="s">
        <v>0</v>
      </c>
      <c r="D367" s="29" t="s">
        <v>679</v>
      </c>
      <c r="E367" s="1" t="s">
        <v>600</v>
      </c>
      <c r="F367" s="65" t="s">
        <v>585</v>
      </c>
      <c r="G367" s="12" t="s">
        <v>41</v>
      </c>
      <c r="H367" s="23">
        <v>589.40894068181819</v>
      </c>
      <c r="I367" s="41">
        <f t="shared" si="10"/>
        <v>0.56000000000000005</v>
      </c>
      <c r="J367" s="44">
        <f t="shared" si="11"/>
        <v>259.33993389999995</v>
      </c>
    </row>
    <row r="368" spans="2:10" ht="15.95" customHeight="1" x14ac:dyDescent="0.2">
      <c r="B368" s="75">
        <v>415218</v>
      </c>
      <c r="C368" s="12" t="s">
        <v>0</v>
      </c>
      <c r="D368" s="5" t="s">
        <v>569</v>
      </c>
      <c r="E368" s="1" t="s">
        <v>600</v>
      </c>
      <c r="F368" s="65" t="s">
        <v>585</v>
      </c>
      <c r="G368" s="12" t="s">
        <v>44</v>
      </c>
      <c r="H368" s="23">
        <v>518.38166666666643</v>
      </c>
      <c r="I368" s="41">
        <f t="shared" si="10"/>
        <v>0.56000000000000005</v>
      </c>
      <c r="J368" s="44">
        <f t="shared" si="11"/>
        <v>228.08793333333318</v>
      </c>
    </row>
    <row r="369" spans="1:10" ht="15.95" customHeight="1" x14ac:dyDescent="0.2">
      <c r="B369" s="75">
        <v>415217</v>
      </c>
      <c r="C369" s="12" t="s">
        <v>0</v>
      </c>
      <c r="D369" s="5" t="s">
        <v>572</v>
      </c>
      <c r="E369" s="1" t="s">
        <v>600</v>
      </c>
      <c r="F369" s="65" t="s">
        <v>585</v>
      </c>
      <c r="G369" s="12" t="s">
        <v>43</v>
      </c>
      <c r="H369" s="23">
        <v>415.89135534090923</v>
      </c>
      <c r="I369" s="41">
        <f t="shared" si="10"/>
        <v>0.56000000000000005</v>
      </c>
      <c r="J369" s="44">
        <f t="shared" si="11"/>
        <v>182.99219635000003</v>
      </c>
    </row>
    <row r="370" spans="1:10" ht="15.95" customHeight="1" x14ac:dyDescent="0.2">
      <c r="B370" s="75">
        <v>415216</v>
      </c>
      <c r="C370" s="12" t="s">
        <v>0</v>
      </c>
      <c r="D370" s="5" t="s">
        <v>678</v>
      </c>
      <c r="E370" s="1" t="s">
        <v>600</v>
      </c>
      <c r="F370" s="65" t="s">
        <v>585</v>
      </c>
      <c r="G370" s="12" t="s">
        <v>42</v>
      </c>
      <c r="H370" s="23">
        <v>389.74934624999992</v>
      </c>
      <c r="I370" s="41">
        <f t="shared" si="10"/>
        <v>0.56000000000000005</v>
      </c>
      <c r="J370" s="44">
        <f t="shared" si="11"/>
        <v>171.48971234999993</v>
      </c>
    </row>
    <row r="371" spans="1:10" ht="15.95" customHeight="1" x14ac:dyDescent="0.2">
      <c r="B371" s="75">
        <v>415215</v>
      </c>
      <c r="C371" s="12" t="s">
        <v>0</v>
      </c>
      <c r="D371" s="29" t="s">
        <v>677</v>
      </c>
      <c r="E371" s="1" t="s">
        <v>600</v>
      </c>
      <c r="F371" s="65" t="s">
        <v>585</v>
      </c>
      <c r="G371" s="12" t="s">
        <v>41</v>
      </c>
      <c r="H371" s="23">
        <v>373.97077647727258</v>
      </c>
      <c r="I371" s="41">
        <f t="shared" si="10"/>
        <v>0.56000000000000005</v>
      </c>
      <c r="J371" s="44">
        <f t="shared" si="11"/>
        <v>164.5471416499999</v>
      </c>
    </row>
    <row r="372" spans="1:10" ht="15.95" customHeight="1" x14ac:dyDescent="0.2">
      <c r="B372" s="75">
        <v>415214</v>
      </c>
      <c r="C372" s="12" t="s">
        <v>0</v>
      </c>
      <c r="D372" s="5" t="s">
        <v>565</v>
      </c>
      <c r="E372" s="1" t="s">
        <v>600</v>
      </c>
      <c r="F372" s="65" t="s">
        <v>585</v>
      </c>
      <c r="G372" s="12" t="s">
        <v>44</v>
      </c>
      <c r="H372" s="23">
        <v>372.66367602272709</v>
      </c>
      <c r="I372" s="41">
        <f t="shared" si="10"/>
        <v>0.56000000000000005</v>
      </c>
      <c r="J372" s="44">
        <f t="shared" si="11"/>
        <v>163.9720174499999</v>
      </c>
    </row>
    <row r="373" spans="1:10" ht="15.95" customHeight="1" x14ac:dyDescent="0.2">
      <c r="B373" s="75">
        <v>415213</v>
      </c>
      <c r="C373" s="12" t="s">
        <v>0</v>
      </c>
      <c r="D373" s="5" t="s">
        <v>571</v>
      </c>
      <c r="E373" s="1" t="s">
        <v>600</v>
      </c>
      <c r="F373" s="65" t="s">
        <v>585</v>
      </c>
      <c r="G373" s="12" t="s">
        <v>43</v>
      </c>
      <c r="H373" s="23">
        <v>287.79551079545445</v>
      </c>
      <c r="I373" s="41">
        <f t="shared" si="10"/>
        <v>0.56000000000000005</v>
      </c>
      <c r="J373" s="44">
        <f t="shared" si="11"/>
        <v>126.63002474999993</v>
      </c>
    </row>
    <row r="374" spans="1:10" ht="15.95" customHeight="1" x14ac:dyDescent="0.2">
      <c r="B374" s="69">
        <v>415212</v>
      </c>
      <c r="C374" s="12" t="s">
        <v>0</v>
      </c>
      <c r="D374" s="29" t="s">
        <v>676</v>
      </c>
      <c r="E374" s="1" t="s">
        <v>600</v>
      </c>
      <c r="F374" s="1" t="s">
        <v>585</v>
      </c>
      <c r="G374" s="12" t="s">
        <v>42</v>
      </c>
      <c r="H374" s="23">
        <v>274.72450624999999</v>
      </c>
      <c r="I374" s="41">
        <f t="shared" si="10"/>
        <v>0.56000000000000005</v>
      </c>
      <c r="J374" s="44">
        <f t="shared" si="11"/>
        <v>120.87878274999997</v>
      </c>
    </row>
    <row r="375" spans="1:10" ht="15.95" customHeight="1" x14ac:dyDescent="0.2">
      <c r="B375" s="75">
        <v>415211</v>
      </c>
      <c r="C375" s="12" t="s">
        <v>0</v>
      </c>
      <c r="D375" s="29" t="s">
        <v>675</v>
      </c>
      <c r="E375" s="1" t="s">
        <v>600</v>
      </c>
      <c r="F375" s="65" t="s">
        <v>585</v>
      </c>
      <c r="G375" s="12" t="s">
        <v>41</v>
      </c>
      <c r="H375" s="23">
        <v>266.83522136363632</v>
      </c>
      <c r="I375" s="41">
        <f t="shared" si="10"/>
        <v>0.56000000000000005</v>
      </c>
      <c r="J375" s="44">
        <f t="shared" si="11"/>
        <v>117.40749739999995</v>
      </c>
    </row>
    <row r="376" spans="1:10" ht="15.95" customHeight="1" x14ac:dyDescent="0.2">
      <c r="B376" s="69">
        <v>415210</v>
      </c>
      <c r="C376" s="12" t="s">
        <v>0</v>
      </c>
      <c r="D376" s="1" t="s">
        <v>249</v>
      </c>
      <c r="E376" s="1" t="s">
        <v>600</v>
      </c>
      <c r="F376" s="1" t="s">
        <v>585</v>
      </c>
      <c r="G376" s="12" t="s">
        <v>44</v>
      </c>
      <c r="H376" s="23">
        <v>266.18167113636355</v>
      </c>
      <c r="I376" s="41">
        <f t="shared" si="10"/>
        <v>0.56000000000000005</v>
      </c>
      <c r="J376" s="44">
        <f t="shared" si="11"/>
        <v>117.11993529999995</v>
      </c>
    </row>
    <row r="377" spans="1:10" ht="15.95" customHeight="1" x14ac:dyDescent="0.2">
      <c r="B377" s="75">
        <v>415207</v>
      </c>
      <c r="C377" s="12" t="s">
        <v>0</v>
      </c>
      <c r="D377" s="29" t="s">
        <v>674</v>
      </c>
      <c r="E377" s="1" t="s">
        <v>600</v>
      </c>
      <c r="F377" s="65" t="s">
        <v>585</v>
      </c>
      <c r="G377" s="12" t="s">
        <v>44</v>
      </c>
      <c r="H377" s="23">
        <v>255.91159613636356</v>
      </c>
      <c r="I377" s="41">
        <f t="shared" si="10"/>
        <v>0.56000000000000005</v>
      </c>
      <c r="J377" s="44">
        <f t="shared" si="11"/>
        <v>112.60110229999995</v>
      </c>
    </row>
    <row r="378" spans="1:10" ht="15.95" customHeight="1" x14ac:dyDescent="0.2">
      <c r="B378" s="68">
        <v>415203</v>
      </c>
      <c r="C378" s="12" t="s">
        <v>0</v>
      </c>
      <c r="D378" s="1" t="s">
        <v>554</v>
      </c>
      <c r="E378" s="1" t="s">
        <v>600</v>
      </c>
      <c r="F378" s="1" t="s">
        <v>585</v>
      </c>
      <c r="G378" s="12" t="s">
        <v>40</v>
      </c>
      <c r="H378" s="23">
        <v>87.131666666666646</v>
      </c>
      <c r="I378" s="41">
        <f t="shared" si="10"/>
        <v>0.56000000000000005</v>
      </c>
      <c r="J378" s="44">
        <f t="shared" si="11"/>
        <v>38.337933333333318</v>
      </c>
    </row>
    <row r="379" spans="1:10" ht="15.95" customHeight="1" x14ac:dyDescent="0.2">
      <c r="B379" s="67">
        <v>415201</v>
      </c>
      <c r="C379" s="21" t="s">
        <v>0</v>
      </c>
      <c r="D379" s="22" t="s">
        <v>209</v>
      </c>
      <c r="E379" s="22" t="s">
        <v>600</v>
      </c>
      <c r="F379" s="22" t="s">
        <v>585</v>
      </c>
      <c r="G379" s="21" t="s">
        <v>40</v>
      </c>
      <c r="H379" s="23">
        <v>80.862652134423243</v>
      </c>
      <c r="I379" s="41">
        <f t="shared" si="10"/>
        <v>0.56000000000000005</v>
      </c>
      <c r="J379" s="44">
        <f t="shared" si="11"/>
        <v>35.579566939146225</v>
      </c>
    </row>
    <row r="380" spans="1:10" ht="15.95" customHeight="1" x14ac:dyDescent="0.2">
      <c r="B380" s="69">
        <v>231005</v>
      </c>
      <c r="C380" s="12" t="s">
        <v>628</v>
      </c>
      <c r="D380" s="8" t="s">
        <v>638</v>
      </c>
      <c r="E380" s="22" t="s">
        <v>600</v>
      </c>
      <c r="F380" s="1" t="s">
        <v>1495</v>
      </c>
      <c r="G380" s="12" t="s">
        <v>45</v>
      </c>
      <c r="H380" s="19">
        <v>1408.0000000000005</v>
      </c>
      <c r="I380" s="41">
        <f t="shared" si="10"/>
        <v>0.56000000000000005</v>
      </c>
      <c r="J380" s="44">
        <f t="shared" si="11"/>
        <v>619.5200000000001</v>
      </c>
    </row>
    <row r="381" spans="1:10" ht="15.95" customHeight="1" x14ac:dyDescent="0.2">
      <c r="B381" s="69">
        <v>231004</v>
      </c>
      <c r="C381" s="12" t="s">
        <v>628</v>
      </c>
      <c r="D381" s="8" t="s">
        <v>338</v>
      </c>
      <c r="E381" s="22" t="s">
        <v>600</v>
      </c>
      <c r="F381" s="1" t="s">
        <v>1495</v>
      </c>
      <c r="G381" s="12" t="s">
        <v>45</v>
      </c>
      <c r="H381" s="19">
        <v>704.00000000000023</v>
      </c>
      <c r="I381" s="41">
        <f t="shared" si="10"/>
        <v>0.56000000000000005</v>
      </c>
      <c r="J381" s="44">
        <f t="shared" si="11"/>
        <v>309.76000000000005</v>
      </c>
    </row>
    <row r="382" spans="1:10" ht="15.95" customHeight="1" x14ac:dyDescent="0.2">
      <c r="A382" s="17"/>
      <c r="B382" s="69">
        <v>231003</v>
      </c>
      <c r="C382" s="12" t="s">
        <v>628</v>
      </c>
      <c r="D382" s="8" t="s">
        <v>337</v>
      </c>
      <c r="E382" s="22" t="s">
        <v>600</v>
      </c>
      <c r="F382" s="1" t="s">
        <v>1495</v>
      </c>
      <c r="G382" s="12" t="s">
        <v>45</v>
      </c>
      <c r="H382" s="19">
        <v>1100.0000000000005</v>
      </c>
      <c r="I382" s="41">
        <f t="shared" si="10"/>
        <v>0.56000000000000005</v>
      </c>
      <c r="J382" s="44">
        <f t="shared" si="11"/>
        <v>484.00000000000011</v>
      </c>
    </row>
    <row r="383" spans="1:10" ht="15.95" customHeight="1" x14ac:dyDescent="0.2">
      <c r="B383" s="69">
        <v>231002</v>
      </c>
      <c r="C383" s="12" t="s">
        <v>628</v>
      </c>
      <c r="D383" s="8" t="s">
        <v>336</v>
      </c>
      <c r="E383" s="22" t="s">
        <v>600</v>
      </c>
      <c r="F383" s="1" t="s">
        <v>1495</v>
      </c>
      <c r="G383" s="12" t="s">
        <v>45</v>
      </c>
      <c r="H383" s="19">
        <v>572.00000000000011</v>
      </c>
      <c r="I383" s="41">
        <f t="shared" si="10"/>
        <v>0.56000000000000005</v>
      </c>
      <c r="J383" s="44">
        <f t="shared" si="11"/>
        <v>251.68</v>
      </c>
    </row>
    <row r="384" spans="1:10" ht="15.95" customHeight="1" x14ac:dyDescent="0.2">
      <c r="A384" s="17"/>
      <c r="B384" s="69">
        <v>231001</v>
      </c>
      <c r="C384" s="12" t="s">
        <v>628</v>
      </c>
      <c r="D384" s="8" t="s">
        <v>335</v>
      </c>
      <c r="E384" s="22" t="s">
        <v>600</v>
      </c>
      <c r="F384" s="1" t="s">
        <v>1495</v>
      </c>
      <c r="G384" s="12" t="s">
        <v>45</v>
      </c>
      <c r="H384" s="19">
        <v>1100.0000000000005</v>
      </c>
      <c r="I384" s="41">
        <f t="shared" si="10"/>
        <v>0.56000000000000005</v>
      </c>
      <c r="J384" s="44">
        <f t="shared" si="11"/>
        <v>484.00000000000011</v>
      </c>
    </row>
    <row r="385" spans="1:10" ht="15.95" customHeight="1" x14ac:dyDescent="0.2">
      <c r="B385" s="69">
        <v>231000</v>
      </c>
      <c r="C385" s="12" t="s">
        <v>628</v>
      </c>
      <c r="D385" s="8" t="s">
        <v>334</v>
      </c>
      <c r="E385" s="22" t="s">
        <v>600</v>
      </c>
      <c r="F385" s="1" t="s">
        <v>1495</v>
      </c>
      <c r="G385" s="12" t="s">
        <v>45</v>
      </c>
      <c r="H385" s="19">
        <v>572.00000000000011</v>
      </c>
      <c r="I385" s="41">
        <f t="shared" si="10"/>
        <v>0.56000000000000005</v>
      </c>
      <c r="J385" s="44">
        <f t="shared" si="11"/>
        <v>251.68</v>
      </c>
    </row>
    <row r="386" spans="1:10" ht="15.95" customHeight="1" x14ac:dyDescent="0.2">
      <c r="B386" s="77">
        <v>193360</v>
      </c>
      <c r="C386" s="12" t="s">
        <v>628</v>
      </c>
      <c r="D386" s="3" t="s">
        <v>395</v>
      </c>
      <c r="E386" s="22" t="s">
        <v>600</v>
      </c>
      <c r="F386" s="1" t="s">
        <v>584</v>
      </c>
      <c r="G386" s="12" t="s">
        <v>43</v>
      </c>
      <c r="H386" s="23">
        <v>4210.8</v>
      </c>
      <c r="I386" s="41">
        <f t="shared" si="10"/>
        <v>0.56000000000000005</v>
      </c>
      <c r="J386" s="44">
        <f t="shared" si="11"/>
        <v>1852.752</v>
      </c>
    </row>
    <row r="387" spans="1:10" ht="15.95" customHeight="1" x14ac:dyDescent="0.2">
      <c r="A387" s="33"/>
      <c r="B387" s="77">
        <v>192933</v>
      </c>
      <c r="C387" s="12" t="s">
        <v>628</v>
      </c>
      <c r="D387" s="3" t="s">
        <v>374</v>
      </c>
      <c r="E387" s="22" t="s">
        <v>600</v>
      </c>
      <c r="F387" s="1" t="s">
        <v>584</v>
      </c>
      <c r="G387" s="12" t="s">
        <v>43</v>
      </c>
      <c r="H387" s="23">
        <v>2904.0000000000005</v>
      </c>
      <c r="I387" s="41">
        <f t="shared" si="10"/>
        <v>0.56000000000000005</v>
      </c>
      <c r="J387" s="44">
        <f t="shared" si="11"/>
        <v>1277.76</v>
      </c>
    </row>
    <row r="388" spans="1:10" ht="15.95" customHeight="1" x14ac:dyDescent="0.2">
      <c r="B388" s="77">
        <v>192713</v>
      </c>
      <c r="C388" s="12" t="s">
        <v>628</v>
      </c>
      <c r="D388" s="3" t="s">
        <v>50</v>
      </c>
      <c r="E388" s="22" t="s">
        <v>600</v>
      </c>
      <c r="F388" s="1" t="s">
        <v>584</v>
      </c>
      <c r="G388" s="12" t="s">
        <v>43</v>
      </c>
      <c r="H388" s="23">
        <v>12144.000000000002</v>
      </c>
      <c r="I388" s="41">
        <f t="shared" si="10"/>
        <v>0.56000000000000005</v>
      </c>
      <c r="J388" s="44">
        <f t="shared" si="11"/>
        <v>5343.3600000000006</v>
      </c>
    </row>
    <row r="389" spans="1:10" ht="15.95" customHeight="1" x14ac:dyDescent="0.2">
      <c r="A389" s="33"/>
      <c r="B389" s="77">
        <v>192712</v>
      </c>
      <c r="C389" s="12" t="s">
        <v>628</v>
      </c>
      <c r="D389" s="3" t="s">
        <v>54</v>
      </c>
      <c r="E389" s="22" t="s">
        <v>600</v>
      </c>
      <c r="F389" s="1" t="s">
        <v>584</v>
      </c>
      <c r="G389" s="12" t="s">
        <v>43</v>
      </c>
      <c r="H389" s="23">
        <v>3344.0000000000005</v>
      </c>
      <c r="I389" s="41">
        <f t="shared" si="10"/>
        <v>0.56000000000000005</v>
      </c>
      <c r="J389" s="44">
        <f t="shared" si="11"/>
        <v>1471.3600000000001</v>
      </c>
    </row>
    <row r="390" spans="1:10" ht="15.95" customHeight="1" x14ac:dyDescent="0.2">
      <c r="B390" s="77">
        <v>192693</v>
      </c>
      <c r="C390" s="12" t="s">
        <v>628</v>
      </c>
      <c r="D390" s="3" t="s">
        <v>85</v>
      </c>
      <c r="E390" s="22" t="s">
        <v>600</v>
      </c>
      <c r="F390" s="1" t="s">
        <v>584</v>
      </c>
      <c r="G390" s="14" t="s">
        <v>44</v>
      </c>
      <c r="H390" s="23">
        <v>4092.0000000000005</v>
      </c>
      <c r="I390" s="41">
        <f t="shared" si="10"/>
        <v>0.56000000000000005</v>
      </c>
      <c r="J390" s="44">
        <f t="shared" si="11"/>
        <v>1800.48</v>
      </c>
    </row>
    <row r="391" spans="1:10" ht="15.95" customHeight="1" x14ac:dyDescent="0.2">
      <c r="B391" s="77">
        <v>192689</v>
      </c>
      <c r="C391" s="12" t="s">
        <v>628</v>
      </c>
      <c r="D391" s="3" t="s">
        <v>71</v>
      </c>
      <c r="E391" s="22" t="s">
        <v>600</v>
      </c>
      <c r="F391" s="1" t="s">
        <v>584</v>
      </c>
      <c r="G391" s="12" t="s">
        <v>43</v>
      </c>
      <c r="H391" s="23">
        <v>8012.4000000000005</v>
      </c>
      <c r="I391" s="41">
        <f t="shared" si="10"/>
        <v>0.56000000000000005</v>
      </c>
      <c r="J391" s="44">
        <f t="shared" si="11"/>
        <v>3525.4560000000001</v>
      </c>
    </row>
    <row r="392" spans="1:10" ht="15.95" customHeight="1" x14ac:dyDescent="0.2">
      <c r="B392" s="77">
        <v>192645</v>
      </c>
      <c r="C392" s="12" t="s">
        <v>628</v>
      </c>
      <c r="D392" s="3" t="s">
        <v>459</v>
      </c>
      <c r="E392" s="22" t="s">
        <v>600</v>
      </c>
      <c r="F392" s="1" t="s">
        <v>584</v>
      </c>
      <c r="G392" s="12" t="s">
        <v>42</v>
      </c>
      <c r="H392" s="23">
        <v>7154.4000000000005</v>
      </c>
      <c r="I392" s="41">
        <f t="shared" si="10"/>
        <v>0.56000000000000005</v>
      </c>
      <c r="J392" s="44">
        <f t="shared" si="11"/>
        <v>3147.9359999999997</v>
      </c>
    </row>
    <row r="393" spans="1:10" ht="15.95" customHeight="1" x14ac:dyDescent="0.2">
      <c r="B393" s="77">
        <v>192625</v>
      </c>
      <c r="C393" s="12" t="s">
        <v>628</v>
      </c>
      <c r="D393" s="3" t="s">
        <v>84</v>
      </c>
      <c r="E393" s="22" t="s">
        <v>600</v>
      </c>
      <c r="F393" s="1" t="s">
        <v>584</v>
      </c>
      <c r="G393" s="14" t="s">
        <v>44</v>
      </c>
      <c r="H393" s="23">
        <v>13860.000000000002</v>
      </c>
      <c r="I393" s="41">
        <f t="shared" ref="I393:I456" si="12">$H$7</f>
        <v>0.56000000000000005</v>
      </c>
      <c r="J393" s="44">
        <f t="shared" ref="J393:J456" si="13">H393-H393*I393</f>
        <v>6098.4</v>
      </c>
    </row>
    <row r="394" spans="1:10" ht="15.95" customHeight="1" x14ac:dyDescent="0.2">
      <c r="B394" s="77">
        <v>192610</v>
      </c>
      <c r="C394" s="12" t="s">
        <v>628</v>
      </c>
      <c r="D394" s="3" t="s">
        <v>69</v>
      </c>
      <c r="E394" s="22" t="s">
        <v>600</v>
      </c>
      <c r="F394" s="1" t="s">
        <v>584</v>
      </c>
      <c r="G394" s="12" t="s">
        <v>43</v>
      </c>
      <c r="H394" s="23">
        <v>7079.6</v>
      </c>
      <c r="I394" s="41">
        <f t="shared" si="12"/>
        <v>0.56000000000000005</v>
      </c>
      <c r="J394" s="44">
        <f t="shared" si="13"/>
        <v>3115.0239999999999</v>
      </c>
    </row>
    <row r="395" spans="1:10" ht="15.95" customHeight="1" x14ac:dyDescent="0.2">
      <c r="B395" s="77">
        <v>192167</v>
      </c>
      <c r="C395" s="12" t="s">
        <v>628</v>
      </c>
      <c r="D395" s="3" t="s">
        <v>70</v>
      </c>
      <c r="E395" s="22" t="s">
        <v>600</v>
      </c>
      <c r="F395" s="1" t="s">
        <v>584</v>
      </c>
      <c r="G395" s="12" t="s">
        <v>43</v>
      </c>
      <c r="H395" s="23">
        <v>12262.800000000001</v>
      </c>
      <c r="I395" s="41">
        <f t="shared" si="12"/>
        <v>0.56000000000000005</v>
      </c>
      <c r="J395" s="44">
        <f t="shared" si="13"/>
        <v>5395.6319999999996</v>
      </c>
    </row>
    <row r="396" spans="1:10" ht="15.95" customHeight="1" x14ac:dyDescent="0.2">
      <c r="B396" s="77">
        <v>192159</v>
      </c>
      <c r="C396" s="12" t="s">
        <v>628</v>
      </c>
      <c r="D396" s="3" t="s">
        <v>83</v>
      </c>
      <c r="E396" s="22" t="s">
        <v>600</v>
      </c>
      <c r="F396" s="1" t="s">
        <v>584</v>
      </c>
      <c r="G396" s="14" t="s">
        <v>44</v>
      </c>
      <c r="H396" s="23">
        <v>7528.4000000000005</v>
      </c>
      <c r="I396" s="41">
        <f t="shared" si="12"/>
        <v>0.56000000000000005</v>
      </c>
      <c r="J396" s="44">
        <f t="shared" si="13"/>
        <v>3312.4960000000001</v>
      </c>
    </row>
    <row r="397" spans="1:10" ht="15.95" customHeight="1" x14ac:dyDescent="0.2">
      <c r="B397" s="77">
        <v>192156</v>
      </c>
      <c r="C397" s="12" t="s">
        <v>628</v>
      </c>
      <c r="D397" s="4" t="s">
        <v>437</v>
      </c>
      <c r="E397" s="22" t="s">
        <v>600</v>
      </c>
      <c r="F397" s="1" t="s">
        <v>584</v>
      </c>
      <c r="G397" s="12" t="s">
        <v>43</v>
      </c>
      <c r="H397" s="23">
        <v>8954</v>
      </c>
      <c r="I397" s="41">
        <f t="shared" si="12"/>
        <v>0.56000000000000005</v>
      </c>
      <c r="J397" s="44">
        <f t="shared" si="13"/>
        <v>3939.7599999999993</v>
      </c>
    </row>
    <row r="398" spans="1:10" ht="15.95" customHeight="1" x14ac:dyDescent="0.2">
      <c r="B398" s="77">
        <v>192150</v>
      </c>
      <c r="C398" s="12" t="s">
        <v>628</v>
      </c>
      <c r="D398" s="3" t="s">
        <v>86</v>
      </c>
      <c r="E398" s="22" t="s">
        <v>600</v>
      </c>
      <c r="F398" s="1" t="s">
        <v>584</v>
      </c>
      <c r="G398" s="14" t="s">
        <v>44</v>
      </c>
      <c r="H398" s="23">
        <v>5183.2000000000007</v>
      </c>
      <c r="I398" s="41">
        <f t="shared" si="12"/>
        <v>0.56000000000000005</v>
      </c>
      <c r="J398" s="44">
        <f t="shared" si="13"/>
        <v>2280.6080000000002</v>
      </c>
    </row>
    <row r="399" spans="1:10" ht="15.95" customHeight="1" x14ac:dyDescent="0.2">
      <c r="B399" s="77">
        <v>192149</v>
      </c>
      <c r="C399" s="12" t="s">
        <v>628</v>
      </c>
      <c r="D399" s="3" t="s">
        <v>87</v>
      </c>
      <c r="E399" s="22" t="s">
        <v>600</v>
      </c>
      <c r="F399" s="1" t="s">
        <v>584</v>
      </c>
      <c r="G399" s="14" t="s">
        <v>44</v>
      </c>
      <c r="H399" s="23">
        <v>8923.2000000000007</v>
      </c>
      <c r="I399" s="41">
        <f t="shared" si="12"/>
        <v>0.56000000000000005</v>
      </c>
      <c r="J399" s="44">
        <f t="shared" si="13"/>
        <v>3926.2079999999996</v>
      </c>
    </row>
    <row r="400" spans="1:10" ht="15.95" customHeight="1" x14ac:dyDescent="0.2">
      <c r="B400" s="77">
        <v>192148</v>
      </c>
      <c r="C400" s="12" t="s">
        <v>628</v>
      </c>
      <c r="D400" s="3" t="s">
        <v>425</v>
      </c>
      <c r="E400" s="22" t="s">
        <v>600</v>
      </c>
      <c r="F400" s="1" t="s">
        <v>584</v>
      </c>
      <c r="G400" s="13" t="s">
        <v>631</v>
      </c>
      <c r="H400" s="23">
        <v>4672.8</v>
      </c>
      <c r="I400" s="41">
        <f t="shared" si="12"/>
        <v>0.56000000000000005</v>
      </c>
      <c r="J400" s="44">
        <f t="shared" si="13"/>
        <v>2056.0319999999997</v>
      </c>
    </row>
    <row r="401" spans="1:10" ht="15.95" customHeight="1" x14ac:dyDescent="0.2">
      <c r="B401" s="77">
        <v>192147</v>
      </c>
      <c r="C401" s="12" t="s">
        <v>628</v>
      </c>
      <c r="D401" s="3" t="s">
        <v>360</v>
      </c>
      <c r="E401" s="22" t="s">
        <v>600</v>
      </c>
      <c r="F401" s="1" t="s">
        <v>584</v>
      </c>
      <c r="G401" s="12" t="s">
        <v>41</v>
      </c>
      <c r="H401" s="23">
        <v>946.00000000000011</v>
      </c>
      <c r="I401" s="41">
        <f t="shared" si="12"/>
        <v>0.56000000000000005</v>
      </c>
      <c r="J401" s="44">
        <f t="shared" si="13"/>
        <v>416.24</v>
      </c>
    </row>
    <row r="402" spans="1:10" ht="15.95" customHeight="1" x14ac:dyDescent="0.2">
      <c r="A402" s="17"/>
      <c r="B402" s="77">
        <v>192146</v>
      </c>
      <c r="C402" s="12" t="s">
        <v>628</v>
      </c>
      <c r="D402" s="3" t="s">
        <v>362</v>
      </c>
      <c r="E402" s="22" t="s">
        <v>600</v>
      </c>
      <c r="F402" s="1" t="s">
        <v>584</v>
      </c>
      <c r="G402" s="12" t="s">
        <v>42</v>
      </c>
      <c r="H402" s="23">
        <v>1315.6000000000001</v>
      </c>
      <c r="I402" s="41">
        <f t="shared" si="12"/>
        <v>0.56000000000000005</v>
      </c>
      <c r="J402" s="44">
        <f t="shared" si="13"/>
        <v>578.86400000000003</v>
      </c>
    </row>
    <row r="403" spans="1:10" ht="15.95" customHeight="1" x14ac:dyDescent="0.2">
      <c r="A403" s="17"/>
      <c r="B403" s="77">
        <v>192139</v>
      </c>
      <c r="C403" s="12" t="s">
        <v>628</v>
      </c>
      <c r="D403" s="3" t="s">
        <v>364</v>
      </c>
      <c r="E403" s="22" t="s">
        <v>600</v>
      </c>
      <c r="F403" s="1" t="s">
        <v>584</v>
      </c>
      <c r="G403" s="13" t="s">
        <v>44</v>
      </c>
      <c r="H403" s="23">
        <v>1610.4</v>
      </c>
      <c r="I403" s="41">
        <f t="shared" si="12"/>
        <v>0.56000000000000005</v>
      </c>
      <c r="J403" s="44">
        <f t="shared" si="13"/>
        <v>708.57599999999991</v>
      </c>
    </row>
    <row r="404" spans="1:10" ht="15.95" customHeight="1" x14ac:dyDescent="0.2">
      <c r="B404" s="77">
        <v>192138</v>
      </c>
      <c r="C404" s="12" t="s">
        <v>628</v>
      </c>
      <c r="D404" s="3" t="s">
        <v>343</v>
      </c>
      <c r="E404" s="22" t="s">
        <v>600</v>
      </c>
      <c r="F404" s="1" t="s">
        <v>584</v>
      </c>
      <c r="G404" s="13" t="s">
        <v>44</v>
      </c>
      <c r="H404" s="23">
        <v>730.40000000000009</v>
      </c>
      <c r="I404" s="41">
        <f t="shared" si="12"/>
        <v>0.56000000000000005</v>
      </c>
      <c r="J404" s="44">
        <f t="shared" si="13"/>
        <v>321.37599999999998</v>
      </c>
    </row>
    <row r="405" spans="1:10" ht="15.95" customHeight="1" x14ac:dyDescent="0.2">
      <c r="B405" s="77">
        <v>192131</v>
      </c>
      <c r="C405" s="12" t="s">
        <v>628</v>
      </c>
      <c r="D405" s="3" t="s">
        <v>79</v>
      </c>
      <c r="E405" s="22" t="s">
        <v>600</v>
      </c>
      <c r="F405" s="1" t="s">
        <v>584</v>
      </c>
      <c r="G405" s="14" t="s">
        <v>44</v>
      </c>
      <c r="H405" s="23">
        <v>4642</v>
      </c>
      <c r="I405" s="41">
        <f t="shared" si="12"/>
        <v>0.56000000000000005</v>
      </c>
      <c r="J405" s="44">
        <f t="shared" si="13"/>
        <v>2042.4799999999996</v>
      </c>
    </row>
    <row r="406" spans="1:10" ht="15.95" customHeight="1" x14ac:dyDescent="0.2">
      <c r="B406" s="77">
        <v>192126</v>
      </c>
      <c r="C406" s="12" t="s">
        <v>628</v>
      </c>
      <c r="D406" s="3" t="s">
        <v>344</v>
      </c>
      <c r="E406" s="22" t="s">
        <v>600</v>
      </c>
      <c r="F406" s="1" t="s">
        <v>584</v>
      </c>
      <c r="G406" s="13" t="s">
        <v>44</v>
      </c>
      <c r="H406" s="23">
        <v>730.40000000000009</v>
      </c>
      <c r="I406" s="41">
        <f t="shared" si="12"/>
        <v>0.56000000000000005</v>
      </c>
      <c r="J406" s="44">
        <f t="shared" si="13"/>
        <v>321.37599999999998</v>
      </c>
    </row>
    <row r="407" spans="1:10" ht="15.95" customHeight="1" x14ac:dyDescent="0.2">
      <c r="A407" s="33"/>
      <c r="B407" s="77">
        <v>192121</v>
      </c>
      <c r="C407" s="12" t="s">
        <v>628</v>
      </c>
      <c r="D407" s="3" t="s">
        <v>456</v>
      </c>
      <c r="E407" s="22" t="s">
        <v>600</v>
      </c>
      <c r="F407" s="1" t="s">
        <v>584</v>
      </c>
      <c r="G407" s="12" t="s">
        <v>42</v>
      </c>
      <c r="H407" s="23">
        <v>2934.8</v>
      </c>
      <c r="I407" s="41">
        <f t="shared" si="12"/>
        <v>0.56000000000000005</v>
      </c>
      <c r="J407" s="44">
        <f t="shared" si="13"/>
        <v>1291.3119999999999</v>
      </c>
    </row>
    <row r="408" spans="1:10" ht="15.95" customHeight="1" x14ac:dyDescent="0.2">
      <c r="B408" s="77">
        <v>192119</v>
      </c>
      <c r="C408" s="12" t="s">
        <v>628</v>
      </c>
      <c r="D408" s="3" t="s">
        <v>56</v>
      </c>
      <c r="E408" s="22" t="s">
        <v>600</v>
      </c>
      <c r="F408" s="1" t="s">
        <v>582</v>
      </c>
      <c r="G408" s="12" t="s">
        <v>41</v>
      </c>
      <c r="H408" s="23">
        <v>15378.000000000005</v>
      </c>
      <c r="I408" s="41">
        <f t="shared" si="12"/>
        <v>0.56000000000000005</v>
      </c>
      <c r="J408" s="44">
        <f t="shared" si="13"/>
        <v>6766.3200000000015</v>
      </c>
    </row>
    <row r="409" spans="1:10" ht="15.95" customHeight="1" x14ac:dyDescent="0.2">
      <c r="A409" s="17"/>
      <c r="B409" s="77">
        <v>192099</v>
      </c>
      <c r="C409" s="12" t="s">
        <v>628</v>
      </c>
      <c r="D409" s="3" t="s">
        <v>376</v>
      </c>
      <c r="E409" s="22" t="s">
        <v>600</v>
      </c>
      <c r="F409" s="1" t="s">
        <v>584</v>
      </c>
      <c r="G409" s="13" t="s">
        <v>631</v>
      </c>
      <c r="H409" s="23">
        <v>1782.0000000000002</v>
      </c>
      <c r="I409" s="41">
        <f t="shared" si="12"/>
        <v>0.56000000000000005</v>
      </c>
      <c r="J409" s="44">
        <f t="shared" si="13"/>
        <v>784.08</v>
      </c>
    </row>
    <row r="410" spans="1:10" ht="15.95" customHeight="1" x14ac:dyDescent="0.2">
      <c r="B410" s="77">
        <v>192098</v>
      </c>
      <c r="C410" s="12" t="s">
        <v>628</v>
      </c>
      <c r="D410" s="3" t="s">
        <v>373</v>
      </c>
      <c r="E410" s="22" t="s">
        <v>600</v>
      </c>
      <c r="F410" s="1" t="s">
        <v>584</v>
      </c>
      <c r="G410" s="12" t="s">
        <v>42</v>
      </c>
      <c r="H410" s="23">
        <v>2006.4</v>
      </c>
      <c r="I410" s="41">
        <f t="shared" si="12"/>
        <v>0.56000000000000005</v>
      </c>
      <c r="J410" s="44">
        <f t="shared" si="13"/>
        <v>882.81600000000003</v>
      </c>
    </row>
    <row r="411" spans="1:10" ht="15.95" customHeight="1" x14ac:dyDescent="0.2">
      <c r="A411" s="17"/>
      <c r="B411" s="77">
        <v>192097</v>
      </c>
      <c r="C411" s="12" t="s">
        <v>628</v>
      </c>
      <c r="D411" s="3" t="s">
        <v>371</v>
      </c>
      <c r="E411" s="22" t="s">
        <v>600</v>
      </c>
      <c r="F411" s="1" t="s">
        <v>584</v>
      </c>
      <c r="G411" s="12" t="s">
        <v>41</v>
      </c>
      <c r="H411" s="23">
        <v>1641.2</v>
      </c>
      <c r="I411" s="41">
        <f t="shared" si="12"/>
        <v>0.56000000000000005</v>
      </c>
      <c r="J411" s="44">
        <f t="shared" si="13"/>
        <v>722.12799999999993</v>
      </c>
    </row>
    <row r="412" spans="1:10" ht="15.95" customHeight="1" x14ac:dyDescent="0.2">
      <c r="B412" s="77">
        <v>192096</v>
      </c>
      <c r="C412" s="12" t="s">
        <v>628</v>
      </c>
      <c r="D412" s="3" t="s">
        <v>369</v>
      </c>
      <c r="E412" s="22" t="s">
        <v>600</v>
      </c>
      <c r="F412" s="1" t="s">
        <v>584</v>
      </c>
      <c r="G412" s="13" t="s">
        <v>44</v>
      </c>
      <c r="H412" s="23">
        <v>1619.2</v>
      </c>
      <c r="I412" s="41">
        <f t="shared" si="12"/>
        <v>0.56000000000000005</v>
      </c>
      <c r="J412" s="44">
        <f t="shared" si="13"/>
        <v>712.44799999999998</v>
      </c>
    </row>
    <row r="413" spans="1:10" ht="15.95" customHeight="1" x14ac:dyDescent="0.2">
      <c r="A413" s="17"/>
      <c r="B413" s="77">
        <v>192095</v>
      </c>
      <c r="C413" s="12" t="s">
        <v>628</v>
      </c>
      <c r="D413" s="3" t="s">
        <v>368</v>
      </c>
      <c r="E413" s="22" t="s">
        <v>600</v>
      </c>
      <c r="F413" s="1" t="s">
        <v>584</v>
      </c>
      <c r="G413" s="13" t="s">
        <v>44</v>
      </c>
      <c r="H413" s="23">
        <v>1619.2</v>
      </c>
      <c r="I413" s="41">
        <f t="shared" si="12"/>
        <v>0.56000000000000005</v>
      </c>
      <c r="J413" s="44">
        <f t="shared" si="13"/>
        <v>712.44799999999998</v>
      </c>
    </row>
    <row r="414" spans="1:10" ht="15.95" customHeight="1" x14ac:dyDescent="0.2">
      <c r="A414" s="17"/>
      <c r="B414" s="77">
        <v>192094</v>
      </c>
      <c r="C414" s="12" t="s">
        <v>628</v>
      </c>
      <c r="D414" s="3" t="s">
        <v>375</v>
      </c>
      <c r="E414" s="22" t="s">
        <v>600</v>
      </c>
      <c r="F414" s="1" t="s">
        <v>584</v>
      </c>
      <c r="G414" s="13" t="s">
        <v>631</v>
      </c>
      <c r="H414" s="23">
        <v>1650.0000000000002</v>
      </c>
      <c r="I414" s="41">
        <f t="shared" si="12"/>
        <v>0.56000000000000005</v>
      </c>
      <c r="J414" s="44">
        <f t="shared" si="13"/>
        <v>726</v>
      </c>
    </row>
    <row r="415" spans="1:10" ht="15.95" customHeight="1" x14ac:dyDescent="0.2">
      <c r="A415" s="17"/>
      <c r="B415" s="77">
        <v>192093</v>
      </c>
      <c r="C415" s="12" t="s">
        <v>628</v>
      </c>
      <c r="D415" s="3" t="s">
        <v>372</v>
      </c>
      <c r="E415" s="22" t="s">
        <v>600</v>
      </c>
      <c r="F415" s="1" t="s">
        <v>584</v>
      </c>
      <c r="G415" s="12" t="s">
        <v>42</v>
      </c>
      <c r="H415" s="23">
        <v>1804.0000000000002</v>
      </c>
      <c r="I415" s="41">
        <f t="shared" si="12"/>
        <v>0.56000000000000005</v>
      </c>
      <c r="J415" s="44">
        <f t="shared" si="13"/>
        <v>793.76</v>
      </c>
    </row>
    <row r="416" spans="1:10" ht="15.95" customHeight="1" x14ac:dyDescent="0.2">
      <c r="B416" s="77">
        <v>192092</v>
      </c>
      <c r="C416" s="12" t="s">
        <v>628</v>
      </c>
      <c r="D416" s="3" t="s">
        <v>370</v>
      </c>
      <c r="E416" s="22" t="s">
        <v>600</v>
      </c>
      <c r="F416" s="1" t="s">
        <v>584</v>
      </c>
      <c r="G416" s="12" t="s">
        <v>41</v>
      </c>
      <c r="H416" s="23">
        <v>1434.4</v>
      </c>
      <c r="I416" s="41">
        <f t="shared" si="12"/>
        <v>0.56000000000000005</v>
      </c>
      <c r="J416" s="44">
        <f t="shared" si="13"/>
        <v>631.13599999999997</v>
      </c>
    </row>
    <row r="417" spans="1:10" ht="15.95" customHeight="1" x14ac:dyDescent="0.2">
      <c r="A417" s="17"/>
      <c r="B417" s="77">
        <v>192091</v>
      </c>
      <c r="C417" s="12" t="s">
        <v>628</v>
      </c>
      <c r="D417" s="3" t="s">
        <v>367</v>
      </c>
      <c r="E417" s="22" t="s">
        <v>600</v>
      </c>
      <c r="F417" s="1" t="s">
        <v>584</v>
      </c>
      <c r="G417" s="13" t="s">
        <v>44</v>
      </c>
      <c r="H417" s="23">
        <v>1262.8000000000002</v>
      </c>
      <c r="I417" s="41">
        <f t="shared" si="12"/>
        <v>0.56000000000000005</v>
      </c>
      <c r="J417" s="44">
        <f t="shared" si="13"/>
        <v>555.63200000000006</v>
      </c>
    </row>
    <row r="418" spans="1:10" ht="15.95" customHeight="1" x14ac:dyDescent="0.2">
      <c r="A418" s="17"/>
      <c r="B418" s="77">
        <v>192090</v>
      </c>
      <c r="C418" s="12" t="s">
        <v>628</v>
      </c>
      <c r="D418" s="3" t="s">
        <v>366</v>
      </c>
      <c r="E418" s="22" t="s">
        <v>600</v>
      </c>
      <c r="F418" s="1" t="s">
        <v>584</v>
      </c>
      <c r="G418" s="13" t="s">
        <v>44</v>
      </c>
      <c r="H418" s="23">
        <v>1262.8000000000002</v>
      </c>
      <c r="I418" s="41">
        <f t="shared" si="12"/>
        <v>0.56000000000000005</v>
      </c>
      <c r="J418" s="44">
        <f t="shared" si="13"/>
        <v>555.63200000000006</v>
      </c>
    </row>
    <row r="419" spans="1:10" ht="15.95" customHeight="1" x14ac:dyDescent="0.2">
      <c r="B419" s="77">
        <v>192089</v>
      </c>
      <c r="C419" s="12" t="s">
        <v>628</v>
      </c>
      <c r="D419" s="3" t="s">
        <v>352</v>
      </c>
      <c r="E419" s="22" t="s">
        <v>600</v>
      </c>
      <c r="F419" s="1" t="s">
        <v>584</v>
      </c>
      <c r="G419" s="13" t="s">
        <v>631</v>
      </c>
      <c r="H419" s="23">
        <v>792.00000000000011</v>
      </c>
      <c r="I419" s="41">
        <f t="shared" si="12"/>
        <v>0.56000000000000005</v>
      </c>
      <c r="J419" s="44">
        <f t="shared" si="13"/>
        <v>348.48</v>
      </c>
    </row>
    <row r="420" spans="1:10" ht="15.95" customHeight="1" x14ac:dyDescent="0.2">
      <c r="B420" s="77">
        <v>192088</v>
      </c>
      <c r="C420" s="12" t="s">
        <v>628</v>
      </c>
      <c r="D420" s="3" t="s">
        <v>350</v>
      </c>
      <c r="E420" s="22" t="s">
        <v>600</v>
      </c>
      <c r="F420" s="1" t="s">
        <v>584</v>
      </c>
      <c r="G420" s="12" t="s">
        <v>42</v>
      </c>
      <c r="H420" s="23">
        <v>770.00000000000011</v>
      </c>
      <c r="I420" s="41">
        <f t="shared" si="12"/>
        <v>0.56000000000000005</v>
      </c>
      <c r="J420" s="44">
        <f t="shared" si="13"/>
        <v>338.8</v>
      </c>
    </row>
    <row r="421" spans="1:10" ht="15.95" customHeight="1" x14ac:dyDescent="0.2">
      <c r="B421" s="77">
        <v>192086</v>
      </c>
      <c r="C421" s="12" t="s">
        <v>628</v>
      </c>
      <c r="D421" s="3" t="s">
        <v>348</v>
      </c>
      <c r="E421" s="22" t="s">
        <v>600</v>
      </c>
      <c r="F421" s="1" t="s">
        <v>584</v>
      </c>
      <c r="G421" s="13" t="s">
        <v>44</v>
      </c>
      <c r="H421" s="23">
        <v>893.2</v>
      </c>
      <c r="I421" s="41">
        <f t="shared" si="12"/>
        <v>0.56000000000000005</v>
      </c>
      <c r="J421" s="44">
        <f t="shared" si="13"/>
        <v>393.00799999999998</v>
      </c>
    </row>
    <row r="422" spans="1:10" ht="15.95" customHeight="1" x14ac:dyDescent="0.2">
      <c r="B422" s="77">
        <v>192085</v>
      </c>
      <c r="C422" s="12" t="s">
        <v>628</v>
      </c>
      <c r="D422" s="3" t="s">
        <v>347</v>
      </c>
      <c r="E422" s="22" t="s">
        <v>600</v>
      </c>
      <c r="F422" s="1" t="s">
        <v>584</v>
      </c>
      <c r="G422" s="13" t="s">
        <v>44</v>
      </c>
      <c r="H422" s="23">
        <v>893.2</v>
      </c>
      <c r="I422" s="41">
        <f t="shared" si="12"/>
        <v>0.56000000000000005</v>
      </c>
      <c r="J422" s="44">
        <f t="shared" si="13"/>
        <v>393.00799999999998</v>
      </c>
    </row>
    <row r="423" spans="1:10" ht="15.95" customHeight="1" x14ac:dyDescent="0.2">
      <c r="B423" s="77">
        <v>191879</v>
      </c>
      <c r="C423" s="12" t="s">
        <v>628</v>
      </c>
      <c r="D423" s="3" t="s">
        <v>351</v>
      </c>
      <c r="E423" s="22" t="s">
        <v>600</v>
      </c>
      <c r="F423" s="1" t="s">
        <v>584</v>
      </c>
      <c r="G423" s="13" t="s">
        <v>631</v>
      </c>
      <c r="H423" s="23">
        <v>611.6</v>
      </c>
      <c r="I423" s="41">
        <f t="shared" si="12"/>
        <v>0.56000000000000005</v>
      </c>
      <c r="J423" s="44">
        <f t="shared" si="13"/>
        <v>269.10399999999998</v>
      </c>
    </row>
    <row r="424" spans="1:10" ht="15.95" customHeight="1" x14ac:dyDescent="0.2">
      <c r="B424" s="77">
        <v>191878</v>
      </c>
      <c r="C424" s="12" t="s">
        <v>628</v>
      </c>
      <c r="D424" s="3" t="s">
        <v>349</v>
      </c>
      <c r="E424" s="22" t="s">
        <v>600</v>
      </c>
      <c r="F424" s="1" t="s">
        <v>584</v>
      </c>
      <c r="G424" s="12" t="s">
        <v>42</v>
      </c>
      <c r="H424" s="23">
        <v>712.80000000000007</v>
      </c>
      <c r="I424" s="41">
        <f t="shared" si="12"/>
        <v>0.56000000000000005</v>
      </c>
      <c r="J424" s="44">
        <f t="shared" si="13"/>
        <v>313.63200000000001</v>
      </c>
    </row>
    <row r="425" spans="1:10" ht="15.95" customHeight="1" x14ac:dyDescent="0.2">
      <c r="B425" s="77">
        <v>191876</v>
      </c>
      <c r="C425" s="12" t="s">
        <v>628</v>
      </c>
      <c r="D425" s="3" t="s">
        <v>346</v>
      </c>
      <c r="E425" s="22" t="s">
        <v>600</v>
      </c>
      <c r="F425" s="1" t="s">
        <v>584</v>
      </c>
      <c r="G425" s="13" t="s">
        <v>44</v>
      </c>
      <c r="H425" s="23">
        <v>457.6</v>
      </c>
      <c r="I425" s="41">
        <f t="shared" si="12"/>
        <v>0.56000000000000005</v>
      </c>
      <c r="J425" s="44">
        <f t="shared" si="13"/>
        <v>201.34399999999999</v>
      </c>
    </row>
    <row r="426" spans="1:10" ht="15.95" customHeight="1" x14ac:dyDescent="0.2">
      <c r="B426" s="77">
        <v>191874</v>
      </c>
      <c r="C426" s="12" t="s">
        <v>628</v>
      </c>
      <c r="D426" s="3" t="s">
        <v>345</v>
      </c>
      <c r="E426" s="22" t="s">
        <v>600</v>
      </c>
      <c r="F426" s="1" t="s">
        <v>584</v>
      </c>
      <c r="G426" s="13" t="s">
        <v>44</v>
      </c>
      <c r="H426" s="23">
        <v>457.6</v>
      </c>
      <c r="I426" s="41">
        <f t="shared" si="12"/>
        <v>0.56000000000000005</v>
      </c>
      <c r="J426" s="44">
        <f t="shared" si="13"/>
        <v>201.34399999999999</v>
      </c>
    </row>
    <row r="427" spans="1:10" ht="15.95" customHeight="1" x14ac:dyDescent="0.2">
      <c r="B427" s="77">
        <v>191868</v>
      </c>
      <c r="C427" s="12" t="s">
        <v>628</v>
      </c>
      <c r="D427" s="3" t="s">
        <v>88</v>
      </c>
      <c r="E427" s="22" t="s">
        <v>600</v>
      </c>
      <c r="F427" s="1" t="s">
        <v>582</v>
      </c>
      <c r="G427" s="12" t="s">
        <v>42</v>
      </c>
      <c r="H427" s="23">
        <v>30079.500000000011</v>
      </c>
      <c r="I427" s="41">
        <f t="shared" si="12"/>
        <v>0.56000000000000005</v>
      </c>
      <c r="J427" s="44">
        <f t="shared" si="13"/>
        <v>13234.980000000003</v>
      </c>
    </row>
    <row r="428" spans="1:10" ht="15.95" customHeight="1" x14ac:dyDescent="0.2">
      <c r="A428" s="33"/>
      <c r="B428" s="77">
        <v>191867</v>
      </c>
      <c r="C428" s="12" t="s">
        <v>628</v>
      </c>
      <c r="D428" s="3" t="s">
        <v>401</v>
      </c>
      <c r="E428" s="22" t="s">
        <v>600</v>
      </c>
      <c r="F428" s="1" t="s">
        <v>582</v>
      </c>
      <c r="G428" s="14" t="s">
        <v>44</v>
      </c>
      <c r="H428" s="23">
        <v>3498.0000000000009</v>
      </c>
      <c r="I428" s="41">
        <f t="shared" si="12"/>
        <v>0.56000000000000005</v>
      </c>
      <c r="J428" s="44">
        <f t="shared" si="13"/>
        <v>1539.1200000000001</v>
      </c>
    </row>
    <row r="429" spans="1:10" ht="15.95" customHeight="1" x14ac:dyDescent="0.2">
      <c r="B429" s="77">
        <v>191860</v>
      </c>
      <c r="C429" s="12" t="s">
        <v>628</v>
      </c>
      <c r="D429" s="3" t="s">
        <v>81</v>
      </c>
      <c r="E429" s="22" t="s">
        <v>600</v>
      </c>
      <c r="F429" s="1" t="s">
        <v>584</v>
      </c>
      <c r="G429" s="14" t="s">
        <v>44</v>
      </c>
      <c r="H429" s="23">
        <v>7097.2000000000007</v>
      </c>
      <c r="I429" s="41">
        <f t="shared" si="12"/>
        <v>0.56000000000000005</v>
      </c>
      <c r="J429" s="44">
        <f t="shared" si="13"/>
        <v>3122.768</v>
      </c>
    </row>
    <row r="430" spans="1:10" ht="15.95" customHeight="1" x14ac:dyDescent="0.2">
      <c r="B430" s="77">
        <v>191859</v>
      </c>
      <c r="C430" s="12" t="s">
        <v>628</v>
      </c>
      <c r="D430" s="3" t="s">
        <v>82</v>
      </c>
      <c r="E430" s="22" t="s">
        <v>600</v>
      </c>
      <c r="F430" s="1" t="s">
        <v>584</v>
      </c>
      <c r="G430" s="14" t="s">
        <v>44</v>
      </c>
      <c r="H430" s="23">
        <v>6578.0000000000009</v>
      </c>
      <c r="I430" s="41">
        <f t="shared" si="12"/>
        <v>0.56000000000000005</v>
      </c>
      <c r="J430" s="44">
        <f t="shared" si="13"/>
        <v>2894.32</v>
      </c>
    </row>
    <row r="431" spans="1:10" ht="15.95" customHeight="1" x14ac:dyDescent="0.2">
      <c r="B431" s="77">
        <v>191858</v>
      </c>
      <c r="C431" s="12" t="s">
        <v>628</v>
      </c>
      <c r="D431" s="3" t="s">
        <v>80</v>
      </c>
      <c r="E431" s="22" t="s">
        <v>600</v>
      </c>
      <c r="F431" s="1" t="s">
        <v>584</v>
      </c>
      <c r="G431" s="14" t="s">
        <v>44</v>
      </c>
      <c r="H431" s="23">
        <v>8382</v>
      </c>
      <c r="I431" s="41">
        <f t="shared" si="12"/>
        <v>0.56000000000000005</v>
      </c>
      <c r="J431" s="44">
        <f t="shared" si="13"/>
        <v>3688.08</v>
      </c>
    </row>
    <row r="432" spans="1:10" ht="15.95" customHeight="1" x14ac:dyDescent="0.2">
      <c r="B432" s="77">
        <v>191851</v>
      </c>
      <c r="C432" s="12" t="s">
        <v>628</v>
      </c>
      <c r="D432" s="3" t="s">
        <v>409</v>
      </c>
      <c r="E432" s="22" t="s">
        <v>600</v>
      </c>
      <c r="F432" s="1" t="s">
        <v>582</v>
      </c>
      <c r="G432" s="12" t="s">
        <v>42</v>
      </c>
      <c r="H432" s="23">
        <v>4719.0000000000018</v>
      </c>
      <c r="I432" s="41">
        <f t="shared" si="12"/>
        <v>0.56000000000000005</v>
      </c>
      <c r="J432" s="44">
        <f t="shared" si="13"/>
        <v>2076.3600000000006</v>
      </c>
    </row>
    <row r="433" spans="1:10" ht="15.95" customHeight="1" x14ac:dyDescent="0.2">
      <c r="B433" s="77">
        <v>191825</v>
      </c>
      <c r="C433" s="12" t="s">
        <v>628</v>
      </c>
      <c r="D433" s="3" t="s">
        <v>64</v>
      </c>
      <c r="E433" s="22" t="s">
        <v>600</v>
      </c>
      <c r="F433" s="1" t="s">
        <v>584</v>
      </c>
      <c r="G433" s="12" t="s">
        <v>42</v>
      </c>
      <c r="H433" s="23">
        <v>3256.0000000000005</v>
      </c>
      <c r="I433" s="41">
        <f t="shared" si="12"/>
        <v>0.56000000000000005</v>
      </c>
      <c r="J433" s="44">
        <f t="shared" si="13"/>
        <v>1432.64</v>
      </c>
    </row>
    <row r="434" spans="1:10" ht="15.95" customHeight="1" x14ac:dyDescent="0.2">
      <c r="B434" s="77">
        <v>191814</v>
      </c>
      <c r="C434" s="12" t="s">
        <v>628</v>
      </c>
      <c r="D434" s="3" t="s">
        <v>552</v>
      </c>
      <c r="E434" s="22" t="s">
        <v>600</v>
      </c>
      <c r="F434" s="1" t="s">
        <v>584</v>
      </c>
      <c r="G434" s="14" t="s">
        <v>44</v>
      </c>
      <c r="H434" s="23">
        <v>9741.6</v>
      </c>
      <c r="I434" s="41">
        <f t="shared" si="12"/>
        <v>0.56000000000000005</v>
      </c>
      <c r="J434" s="44">
        <f t="shared" si="13"/>
        <v>4286.3040000000001</v>
      </c>
    </row>
    <row r="435" spans="1:10" ht="15.95" customHeight="1" x14ac:dyDescent="0.2">
      <c r="B435" s="77">
        <v>191813</v>
      </c>
      <c r="C435" s="12" t="s">
        <v>628</v>
      </c>
      <c r="D435" s="3" t="s">
        <v>551</v>
      </c>
      <c r="E435" s="22" t="s">
        <v>600</v>
      </c>
      <c r="F435" s="1" t="s">
        <v>584</v>
      </c>
      <c r="G435" s="14" t="s">
        <v>44</v>
      </c>
      <c r="H435" s="23">
        <v>8047.6</v>
      </c>
      <c r="I435" s="41">
        <f t="shared" si="12"/>
        <v>0.56000000000000005</v>
      </c>
      <c r="J435" s="44">
        <f t="shared" si="13"/>
        <v>3540.9439999999995</v>
      </c>
    </row>
    <row r="436" spans="1:10" ht="15.95" customHeight="1" x14ac:dyDescent="0.2">
      <c r="B436" s="77">
        <v>191806</v>
      </c>
      <c r="C436" s="12" t="s">
        <v>628</v>
      </c>
      <c r="D436" s="3" t="s">
        <v>538</v>
      </c>
      <c r="E436" s="22" t="s">
        <v>600</v>
      </c>
      <c r="F436" s="1" t="s">
        <v>584</v>
      </c>
      <c r="G436" s="12" t="s">
        <v>42</v>
      </c>
      <c r="H436" s="23">
        <v>5460.4000000000005</v>
      </c>
      <c r="I436" s="41">
        <f t="shared" si="12"/>
        <v>0.56000000000000005</v>
      </c>
      <c r="J436" s="44">
        <f t="shared" si="13"/>
        <v>2402.576</v>
      </c>
    </row>
    <row r="437" spans="1:10" ht="15.95" customHeight="1" x14ac:dyDescent="0.2">
      <c r="B437" s="77">
        <v>191803</v>
      </c>
      <c r="C437" s="12" t="s">
        <v>628</v>
      </c>
      <c r="D437" s="3" t="s">
        <v>378</v>
      </c>
      <c r="E437" s="22" t="s">
        <v>600</v>
      </c>
      <c r="F437" s="1" t="s">
        <v>584</v>
      </c>
      <c r="G437" s="13" t="s">
        <v>47</v>
      </c>
      <c r="H437" s="23">
        <v>1025.2</v>
      </c>
      <c r="I437" s="41">
        <f t="shared" si="12"/>
        <v>0.56000000000000005</v>
      </c>
      <c r="J437" s="44">
        <f t="shared" si="13"/>
        <v>451.08799999999997</v>
      </c>
    </row>
    <row r="438" spans="1:10" ht="15.95" customHeight="1" x14ac:dyDescent="0.2">
      <c r="A438" s="17"/>
      <c r="B438" s="77">
        <v>191802</v>
      </c>
      <c r="C438" s="12" t="s">
        <v>628</v>
      </c>
      <c r="D438" s="3" t="s">
        <v>379</v>
      </c>
      <c r="E438" s="22" t="s">
        <v>600</v>
      </c>
      <c r="F438" s="1" t="s">
        <v>584</v>
      </c>
      <c r="G438" s="13" t="s">
        <v>47</v>
      </c>
      <c r="H438" s="23">
        <v>1553.2</v>
      </c>
      <c r="I438" s="41">
        <f t="shared" si="12"/>
        <v>0.56000000000000005</v>
      </c>
      <c r="J438" s="44">
        <f t="shared" si="13"/>
        <v>683.4079999999999</v>
      </c>
    </row>
    <row r="439" spans="1:10" ht="15.95" customHeight="1" x14ac:dyDescent="0.2">
      <c r="B439" s="69">
        <v>191801</v>
      </c>
      <c r="C439" s="12" t="s">
        <v>628</v>
      </c>
      <c r="D439" s="1" t="s">
        <v>327</v>
      </c>
      <c r="E439" s="22" t="s">
        <v>600</v>
      </c>
      <c r="F439" s="1" t="s">
        <v>584</v>
      </c>
      <c r="G439" s="12" t="s">
        <v>44</v>
      </c>
      <c r="H439" s="23">
        <v>981.2</v>
      </c>
      <c r="I439" s="41">
        <f t="shared" si="12"/>
        <v>0.56000000000000005</v>
      </c>
      <c r="J439" s="44">
        <f t="shared" si="13"/>
        <v>431.72799999999995</v>
      </c>
    </row>
    <row r="440" spans="1:10" ht="15.95" customHeight="1" x14ac:dyDescent="0.2">
      <c r="A440" s="17"/>
      <c r="B440" s="77">
        <v>191800</v>
      </c>
      <c r="C440" s="12" t="s">
        <v>628</v>
      </c>
      <c r="D440" s="3" t="s">
        <v>377</v>
      </c>
      <c r="E440" s="22" t="s">
        <v>600</v>
      </c>
      <c r="F440" s="1" t="s">
        <v>584</v>
      </c>
      <c r="G440" s="13" t="s">
        <v>47</v>
      </c>
      <c r="H440" s="23">
        <v>1183.6000000000001</v>
      </c>
      <c r="I440" s="41">
        <f t="shared" si="12"/>
        <v>0.56000000000000005</v>
      </c>
      <c r="J440" s="44">
        <f t="shared" si="13"/>
        <v>520.78399999999999</v>
      </c>
    </row>
    <row r="441" spans="1:10" ht="15.95" customHeight="1" x14ac:dyDescent="0.2">
      <c r="A441" s="17"/>
      <c r="B441" s="77">
        <v>191799</v>
      </c>
      <c r="C441" s="12" t="s">
        <v>628</v>
      </c>
      <c r="D441" s="3" t="s">
        <v>363</v>
      </c>
      <c r="E441" s="22" t="s">
        <v>600</v>
      </c>
      <c r="F441" s="1" t="s">
        <v>584</v>
      </c>
      <c r="G441" s="13" t="s">
        <v>631</v>
      </c>
      <c r="H441" s="23">
        <v>1091.2</v>
      </c>
      <c r="I441" s="41">
        <f t="shared" si="12"/>
        <v>0.56000000000000005</v>
      </c>
      <c r="J441" s="44">
        <f t="shared" si="13"/>
        <v>480.12799999999993</v>
      </c>
    </row>
    <row r="442" spans="1:10" ht="15.95" customHeight="1" x14ac:dyDescent="0.2">
      <c r="B442" s="77">
        <v>191798</v>
      </c>
      <c r="C442" s="12" t="s">
        <v>628</v>
      </c>
      <c r="D442" s="3" t="s">
        <v>361</v>
      </c>
      <c r="E442" s="22" t="s">
        <v>600</v>
      </c>
      <c r="F442" s="1" t="s">
        <v>584</v>
      </c>
      <c r="G442" s="12" t="s">
        <v>41</v>
      </c>
      <c r="H442" s="23">
        <v>1408</v>
      </c>
      <c r="I442" s="41">
        <f t="shared" si="12"/>
        <v>0.56000000000000005</v>
      </c>
      <c r="J442" s="44">
        <f t="shared" si="13"/>
        <v>619.52</v>
      </c>
    </row>
    <row r="443" spans="1:10" ht="15.95" customHeight="1" x14ac:dyDescent="0.2">
      <c r="B443" s="77">
        <v>191797</v>
      </c>
      <c r="C443" s="12" t="s">
        <v>628</v>
      </c>
      <c r="D443" s="3" t="s">
        <v>358</v>
      </c>
      <c r="E443" s="22" t="s">
        <v>600</v>
      </c>
      <c r="F443" s="1" t="s">
        <v>584</v>
      </c>
      <c r="G443" s="13" t="s">
        <v>44</v>
      </c>
      <c r="H443" s="23">
        <v>774.40000000000009</v>
      </c>
      <c r="I443" s="41">
        <f t="shared" si="12"/>
        <v>0.56000000000000005</v>
      </c>
      <c r="J443" s="44">
        <f t="shared" si="13"/>
        <v>340.73599999999999</v>
      </c>
    </row>
    <row r="444" spans="1:10" ht="15.95" customHeight="1" x14ac:dyDescent="0.2">
      <c r="B444" s="69">
        <v>191796</v>
      </c>
      <c r="C444" s="12" t="s">
        <v>628</v>
      </c>
      <c r="D444" s="1" t="s">
        <v>316</v>
      </c>
      <c r="E444" s="22" t="s">
        <v>600</v>
      </c>
      <c r="F444" s="1" t="s">
        <v>582</v>
      </c>
      <c r="G444" s="12" t="s">
        <v>42</v>
      </c>
      <c r="H444" s="23">
        <v>6479.0000000000027</v>
      </c>
      <c r="I444" s="41">
        <f t="shared" si="12"/>
        <v>0.56000000000000005</v>
      </c>
      <c r="J444" s="44">
        <f t="shared" si="13"/>
        <v>2850.7600000000007</v>
      </c>
    </row>
    <row r="445" spans="1:10" ht="15.95" customHeight="1" x14ac:dyDescent="0.2">
      <c r="B445" s="69">
        <v>191755</v>
      </c>
      <c r="C445" s="12" t="s">
        <v>628</v>
      </c>
      <c r="D445" s="1" t="s">
        <v>313</v>
      </c>
      <c r="E445" s="22" t="s">
        <v>600</v>
      </c>
      <c r="F445" s="1" t="s">
        <v>584</v>
      </c>
      <c r="G445" s="12" t="s">
        <v>42</v>
      </c>
      <c r="H445" s="23">
        <v>7114.8</v>
      </c>
      <c r="I445" s="41">
        <f t="shared" si="12"/>
        <v>0.56000000000000005</v>
      </c>
      <c r="J445" s="44">
        <f t="shared" si="13"/>
        <v>3130.5119999999997</v>
      </c>
    </row>
    <row r="446" spans="1:10" ht="15.95" customHeight="1" x14ac:dyDescent="0.2">
      <c r="B446" s="77">
        <v>191753</v>
      </c>
      <c r="C446" s="12" t="s">
        <v>628</v>
      </c>
      <c r="D446" s="3" t="s">
        <v>398</v>
      </c>
      <c r="E446" s="22" t="s">
        <v>600</v>
      </c>
      <c r="F446" s="1" t="s">
        <v>584</v>
      </c>
      <c r="G446" s="13" t="s">
        <v>631</v>
      </c>
      <c r="H446" s="23">
        <v>6894.8</v>
      </c>
      <c r="I446" s="41">
        <f t="shared" si="12"/>
        <v>0.56000000000000005</v>
      </c>
      <c r="J446" s="44">
        <f t="shared" si="13"/>
        <v>3033.7119999999995</v>
      </c>
    </row>
    <row r="447" spans="1:10" ht="15.95" customHeight="1" x14ac:dyDescent="0.2">
      <c r="A447" s="33"/>
      <c r="B447" s="77">
        <v>191706</v>
      </c>
      <c r="C447" s="12" t="s">
        <v>628</v>
      </c>
      <c r="D447" s="3" t="s">
        <v>545</v>
      </c>
      <c r="E447" s="22" t="s">
        <v>600</v>
      </c>
      <c r="F447" s="1" t="s">
        <v>584</v>
      </c>
      <c r="G447" s="14" t="s">
        <v>44</v>
      </c>
      <c r="H447" s="23">
        <v>3616.8</v>
      </c>
      <c r="I447" s="41">
        <f t="shared" si="12"/>
        <v>0.56000000000000005</v>
      </c>
      <c r="J447" s="44">
        <f t="shared" si="13"/>
        <v>1591.3919999999998</v>
      </c>
    </row>
    <row r="448" spans="1:10" ht="15.95" customHeight="1" x14ac:dyDescent="0.2">
      <c r="A448" s="17"/>
      <c r="B448" s="77">
        <v>191704</v>
      </c>
      <c r="C448" s="12" t="s">
        <v>628</v>
      </c>
      <c r="D448" s="3" t="s">
        <v>76</v>
      </c>
      <c r="E448" s="22" t="s">
        <v>600</v>
      </c>
      <c r="F448" s="1" t="s">
        <v>584</v>
      </c>
      <c r="G448" s="14" t="s">
        <v>44</v>
      </c>
      <c r="H448" s="23">
        <v>1698.4</v>
      </c>
      <c r="I448" s="41">
        <f t="shared" si="12"/>
        <v>0.56000000000000005</v>
      </c>
      <c r="J448" s="44">
        <f t="shared" si="13"/>
        <v>747.29599999999994</v>
      </c>
    </row>
    <row r="449" spans="1:10" ht="15.95" customHeight="1" x14ac:dyDescent="0.2">
      <c r="A449" s="17"/>
      <c r="B449" s="77">
        <v>191703</v>
      </c>
      <c r="C449" s="12" t="s">
        <v>628</v>
      </c>
      <c r="D449" s="3" t="s">
        <v>77</v>
      </c>
      <c r="E449" s="22" t="s">
        <v>600</v>
      </c>
      <c r="F449" s="1" t="s">
        <v>584</v>
      </c>
      <c r="G449" s="14" t="s">
        <v>44</v>
      </c>
      <c r="H449" s="23">
        <v>1544.4</v>
      </c>
      <c r="I449" s="41">
        <f t="shared" si="12"/>
        <v>0.56000000000000005</v>
      </c>
      <c r="J449" s="44">
        <f t="shared" si="13"/>
        <v>679.53599999999994</v>
      </c>
    </row>
    <row r="450" spans="1:10" ht="15.95" customHeight="1" x14ac:dyDescent="0.2">
      <c r="B450" s="77">
        <v>191701</v>
      </c>
      <c r="C450" s="12" t="s">
        <v>628</v>
      </c>
      <c r="D450" s="3" t="s">
        <v>65</v>
      </c>
      <c r="E450" s="22" t="s">
        <v>600</v>
      </c>
      <c r="F450" s="1" t="s">
        <v>584</v>
      </c>
      <c r="G450" s="14" t="s">
        <v>44</v>
      </c>
      <c r="H450" s="23">
        <v>22145.200000000001</v>
      </c>
      <c r="I450" s="41">
        <f t="shared" si="12"/>
        <v>0.56000000000000005</v>
      </c>
      <c r="J450" s="44">
        <f t="shared" si="13"/>
        <v>9743.887999999999</v>
      </c>
    </row>
    <row r="451" spans="1:10" ht="15.95" customHeight="1" x14ac:dyDescent="0.2">
      <c r="B451" s="77">
        <v>191700</v>
      </c>
      <c r="C451" s="12" t="s">
        <v>628</v>
      </c>
      <c r="D451" s="3" t="s">
        <v>62</v>
      </c>
      <c r="E451" s="22" t="s">
        <v>600</v>
      </c>
      <c r="F451" s="1" t="s">
        <v>584</v>
      </c>
      <c r="G451" s="14" t="s">
        <v>44</v>
      </c>
      <c r="H451" s="23">
        <v>2750</v>
      </c>
      <c r="I451" s="41">
        <f t="shared" si="12"/>
        <v>0.56000000000000005</v>
      </c>
      <c r="J451" s="44">
        <f t="shared" si="13"/>
        <v>1209.9999999999998</v>
      </c>
    </row>
    <row r="452" spans="1:10" ht="15.95" customHeight="1" x14ac:dyDescent="0.2">
      <c r="B452" s="77">
        <v>191698</v>
      </c>
      <c r="C452" s="12" t="s">
        <v>628</v>
      </c>
      <c r="D452" s="3" t="s">
        <v>500</v>
      </c>
      <c r="E452" s="22" t="s">
        <v>600</v>
      </c>
      <c r="F452" s="1" t="s">
        <v>584</v>
      </c>
      <c r="G452" s="14" t="s">
        <v>44</v>
      </c>
      <c r="H452" s="23">
        <v>10898.800000000001</v>
      </c>
      <c r="I452" s="41">
        <f t="shared" si="12"/>
        <v>0.56000000000000005</v>
      </c>
      <c r="J452" s="44">
        <f t="shared" si="13"/>
        <v>4795.4719999999998</v>
      </c>
    </row>
    <row r="453" spans="1:10" ht="15.95" customHeight="1" x14ac:dyDescent="0.2">
      <c r="B453" s="77">
        <v>191693</v>
      </c>
      <c r="C453" s="12" t="s">
        <v>628</v>
      </c>
      <c r="D453" s="3" t="s">
        <v>482</v>
      </c>
      <c r="E453" s="22" t="s">
        <v>600</v>
      </c>
      <c r="F453" s="1" t="s">
        <v>584</v>
      </c>
      <c r="G453" s="14" t="s">
        <v>44</v>
      </c>
      <c r="H453" s="23">
        <v>26694.800000000003</v>
      </c>
      <c r="I453" s="41">
        <f t="shared" si="12"/>
        <v>0.56000000000000005</v>
      </c>
      <c r="J453" s="44">
        <f t="shared" si="13"/>
        <v>11745.712</v>
      </c>
    </row>
    <row r="454" spans="1:10" ht="15.95" customHeight="1" x14ac:dyDescent="0.2">
      <c r="A454" s="33"/>
      <c r="B454" s="77">
        <v>191350</v>
      </c>
      <c r="C454" s="12" t="s">
        <v>628</v>
      </c>
      <c r="D454" s="3" t="s">
        <v>73</v>
      </c>
      <c r="E454" s="22" t="s">
        <v>600</v>
      </c>
      <c r="F454" s="1" t="s">
        <v>584</v>
      </c>
      <c r="G454" s="14" t="s">
        <v>44</v>
      </c>
      <c r="H454" s="23">
        <v>2714.8</v>
      </c>
      <c r="I454" s="41">
        <f t="shared" si="12"/>
        <v>0.56000000000000005</v>
      </c>
      <c r="J454" s="44">
        <f t="shared" si="13"/>
        <v>1194.5119999999999</v>
      </c>
    </row>
    <row r="455" spans="1:10" ht="15.95" customHeight="1" x14ac:dyDescent="0.2">
      <c r="B455" s="77">
        <v>191349</v>
      </c>
      <c r="C455" s="12" t="s">
        <v>628</v>
      </c>
      <c r="D455" s="3" t="s">
        <v>72</v>
      </c>
      <c r="E455" s="22" t="s">
        <v>600</v>
      </c>
      <c r="F455" s="1" t="s">
        <v>584</v>
      </c>
      <c r="G455" s="14" t="s">
        <v>44</v>
      </c>
      <c r="H455" s="23">
        <v>1984.4</v>
      </c>
      <c r="I455" s="41">
        <f t="shared" si="12"/>
        <v>0.56000000000000005</v>
      </c>
      <c r="J455" s="44">
        <f t="shared" si="13"/>
        <v>873.13599999999997</v>
      </c>
    </row>
    <row r="456" spans="1:10" ht="15.95" customHeight="1" x14ac:dyDescent="0.2">
      <c r="B456" s="77">
        <v>191294</v>
      </c>
      <c r="C456" s="12" t="s">
        <v>628</v>
      </c>
      <c r="D456" s="3" t="s">
        <v>359</v>
      </c>
      <c r="E456" s="22" t="s">
        <v>600</v>
      </c>
      <c r="F456" s="1" t="s">
        <v>584</v>
      </c>
      <c r="G456" s="13" t="s">
        <v>44</v>
      </c>
      <c r="H456" s="23">
        <v>774.40000000000009</v>
      </c>
      <c r="I456" s="41">
        <f t="shared" si="12"/>
        <v>0.56000000000000005</v>
      </c>
      <c r="J456" s="44">
        <f t="shared" si="13"/>
        <v>340.73599999999999</v>
      </c>
    </row>
    <row r="457" spans="1:10" ht="15.95" customHeight="1" x14ac:dyDescent="0.2">
      <c r="A457" s="17"/>
      <c r="B457" s="77">
        <v>191292</v>
      </c>
      <c r="C457" s="12" t="s">
        <v>628</v>
      </c>
      <c r="D457" s="3" t="s">
        <v>508</v>
      </c>
      <c r="E457" s="22" t="s">
        <v>600</v>
      </c>
      <c r="F457" s="1" t="s">
        <v>584</v>
      </c>
      <c r="G457" s="14" t="s">
        <v>44</v>
      </c>
      <c r="H457" s="23">
        <v>1755.6000000000001</v>
      </c>
      <c r="I457" s="41">
        <f t="shared" ref="I457:I520" si="14">$H$7</f>
        <v>0.56000000000000005</v>
      </c>
      <c r="J457" s="44">
        <f t="shared" ref="J457:J520" si="15">H457-H457*I457</f>
        <v>772.46399999999994</v>
      </c>
    </row>
    <row r="458" spans="1:10" ht="15.95" customHeight="1" x14ac:dyDescent="0.2">
      <c r="B458" s="77">
        <v>191278</v>
      </c>
      <c r="C458" s="12" t="s">
        <v>628</v>
      </c>
      <c r="D458" s="3" t="s">
        <v>49</v>
      </c>
      <c r="E458" s="22" t="s">
        <v>600</v>
      </c>
      <c r="F458" s="1" t="s">
        <v>584</v>
      </c>
      <c r="G458" s="12" t="s">
        <v>43</v>
      </c>
      <c r="H458" s="23">
        <v>24490.400000000001</v>
      </c>
      <c r="I458" s="41">
        <f t="shared" si="14"/>
        <v>0.56000000000000005</v>
      </c>
      <c r="J458" s="44">
        <f t="shared" si="15"/>
        <v>10775.776</v>
      </c>
    </row>
    <row r="459" spans="1:10" ht="15.95" customHeight="1" x14ac:dyDescent="0.2">
      <c r="A459" s="33"/>
      <c r="B459" s="77">
        <v>191277</v>
      </c>
      <c r="C459" s="12" t="s">
        <v>628</v>
      </c>
      <c r="D459" s="3" t="s">
        <v>63</v>
      </c>
      <c r="E459" s="22" t="s">
        <v>600</v>
      </c>
      <c r="F459" s="1" t="s">
        <v>584</v>
      </c>
      <c r="G459" s="12" t="s">
        <v>41</v>
      </c>
      <c r="H459" s="23">
        <v>2838.0000000000005</v>
      </c>
      <c r="I459" s="41">
        <f t="shared" si="14"/>
        <v>0.56000000000000005</v>
      </c>
      <c r="J459" s="44">
        <f t="shared" si="15"/>
        <v>1248.72</v>
      </c>
    </row>
    <row r="460" spans="1:10" ht="15.95" customHeight="1" x14ac:dyDescent="0.2">
      <c r="B460" s="77">
        <v>191270</v>
      </c>
      <c r="C460" s="12" t="s">
        <v>628</v>
      </c>
      <c r="D460" s="3" t="s">
        <v>476</v>
      </c>
      <c r="E460" s="22" t="s">
        <v>600</v>
      </c>
      <c r="F460" s="1" t="s">
        <v>584</v>
      </c>
      <c r="G460" s="14" t="s">
        <v>44</v>
      </c>
      <c r="H460" s="23">
        <v>14330.800000000001</v>
      </c>
      <c r="I460" s="41">
        <f t="shared" si="14"/>
        <v>0.56000000000000005</v>
      </c>
      <c r="J460" s="44">
        <f t="shared" si="15"/>
        <v>6305.5519999999997</v>
      </c>
    </row>
    <row r="461" spans="1:10" ht="15.95" customHeight="1" x14ac:dyDescent="0.2">
      <c r="B461" s="77">
        <v>191259</v>
      </c>
      <c r="C461" s="12" t="s">
        <v>628</v>
      </c>
      <c r="D461" s="3" t="s">
        <v>512</v>
      </c>
      <c r="E461" s="22" t="s">
        <v>600</v>
      </c>
      <c r="F461" s="1" t="s">
        <v>584</v>
      </c>
      <c r="G461" s="12" t="s">
        <v>41</v>
      </c>
      <c r="H461" s="23">
        <v>2235.2000000000003</v>
      </c>
      <c r="I461" s="41">
        <f t="shared" si="14"/>
        <v>0.56000000000000005</v>
      </c>
      <c r="J461" s="44">
        <f t="shared" si="15"/>
        <v>983.48800000000006</v>
      </c>
    </row>
    <row r="462" spans="1:10" ht="15.95" customHeight="1" x14ac:dyDescent="0.2">
      <c r="A462" s="17"/>
      <c r="B462" s="77">
        <v>191256</v>
      </c>
      <c r="C462" s="12" t="s">
        <v>628</v>
      </c>
      <c r="D462" s="3" t="s">
        <v>509</v>
      </c>
      <c r="E462" s="22" t="s">
        <v>600</v>
      </c>
      <c r="F462" s="1" t="s">
        <v>584</v>
      </c>
      <c r="G462" s="14" t="s">
        <v>44</v>
      </c>
      <c r="H462" s="23">
        <v>1856.8000000000002</v>
      </c>
      <c r="I462" s="41">
        <f t="shared" si="14"/>
        <v>0.56000000000000005</v>
      </c>
      <c r="J462" s="44">
        <f t="shared" si="15"/>
        <v>816.99199999999996</v>
      </c>
    </row>
    <row r="463" spans="1:10" ht="15.95" customHeight="1" x14ac:dyDescent="0.2">
      <c r="B463" s="77">
        <v>191252</v>
      </c>
      <c r="C463" s="12" t="s">
        <v>628</v>
      </c>
      <c r="D463" s="3" t="s">
        <v>51</v>
      </c>
      <c r="E463" s="22" t="s">
        <v>600</v>
      </c>
      <c r="F463" s="1" t="s">
        <v>584</v>
      </c>
      <c r="G463" s="12" t="s">
        <v>43</v>
      </c>
      <c r="H463" s="23">
        <v>13002.000000000002</v>
      </c>
      <c r="I463" s="41">
        <f t="shared" si="14"/>
        <v>0.56000000000000005</v>
      </c>
      <c r="J463" s="44">
        <f t="shared" si="15"/>
        <v>5720.88</v>
      </c>
    </row>
    <row r="464" spans="1:10" ht="15.95" customHeight="1" x14ac:dyDescent="0.2">
      <c r="B464" s="77">
        <v>191251</v>
      </c>
      <c r="C464" s="12" t="s">
        <v>628</v>
      </c>
      <c r="D464" s="3" t="s">
        <v>52</v>
      </c>
      <c r="E464" s="22" t="s">
        <v>600</v>
      </c>
      <c r="F464" s="1" t="s">
        <v>584</v>
      </c>
      <c r="G464" s="12" t="s">
        <v>43</v>
      </c>
      <c r="H464" s="23">
        <v>6692.4000000000005</v>
      </c>
      <c r="I464" s="41">
        <f t="shared" si="14"/>
        <v>0.56000000000000005</v>
      </c>
      <c r="J464" s="44">
        <f t="shared" si="15"/>
        <v>2944.6559999999999</v>
      </c>
    </row>
    <row r="465" spans="1:10" ht="15.95" customHeight="1" x14ac:dyDescent="0.2">
      <c r="B465" s="77">
        <v>191235</v>
      </c>
      <c r="C465" s="12" t="s">
        <v>628</v>
      </c>
      <c r="D465" s="3" t="s">
        <v>74</v>
      </c>
      <c r="E465" s="22" t="s">
        <v>600</v>
      </c>
      <c r="F465" s="1" t="s">
        <v>584</v>
      </c>
      <c r="G465" s="14" t="s">
        <v>44</v>
      </c>
      <c r="H465" s="23">
        <v>2428.8000000000002</v>
      </c>
      <c r="I465" s="41">
        <f t="shared" si="14"/>
        <v>0.56000000000000005</v>
      </c>
      <c r="J465" s="44">
        <f t="shared" si="15"/>
        <v>1068.672</v>
      </c>
    </row>
    <row r="466" spans="1:10" ht="15.95" customHeight="1" x14ac:dyDescent="0.2">
      <c r="B466" s="77">
        <v>191197</v>
      </c>
      <c r="C466" s="12" t="s">
        <v>628</v>
      </c>
      <c r="D466" s="3" t="s">
        <v>501</v>
      </c>
      <c r="E466" s="22" t="s">
        <v>600</v>
      </c>
      <c r="F466" s="1" t="s">
        <v>584</v>
      </c>
      <c r="G466" s="14" t="s">
        <v>44</v>
      </c>
      <c r="H466" s="23">
        <v>13882.000000000002</v>
      </c>
      <c r="I466" s="41">
        <f t="shared" si="14"/>
        <v>0.56000000000000005</v>
      </c>
      <c r="J466" s="44">
        <f t="shared" si="15"/>
        <v>6108.08</v>
      </c>
    </row>
    <row r="467" spans="1:10" ht="15.95" customHeight="1" x14ac:dyDescent="0.2">
      <c r="B467" s="77">
        <v>191191</v>
      </c>
      <c r="C467" s="12" t="s">
        <v>628</v>
      </c>
      <c r="D467" s="3" t="s">
        <v>58</v>
      </c>
      <c r="E467" s="22" t="s">
        <v>600</v>
      </c>
      <c r="F467" s="1" t="s">
        <v>582</v>
      </c>
      <c r="G467" s="12" t="s">
        <v>42</v>
      </c>
      <c r="H467" s="23">
        <v>21587.500000000004</v>
      </c>
      <c r="I467" s="41">
        <f t="shared" si="14"/>
        <v>0.56000000000000005</v>
      </c>
      <c r="J467" s="44">
        <f t="shared" si="15"/>
        <v>9498.5</v>
      </c>
    </row>
    <row r="468" spans="1:10" ht="15.95" customHeight="1" x14ac:dyDescent="0.2">
      <c r="B468" s="77">
        <v>191190</v>
      </c>
      <c r="C468" s="12" t="s">
        <v>628</v>
      </c>
      <c r="D468" s="3" t="s">
        <v>519</v>
      </c>
      <c r="E468" s="22" t="s">
        <v>600</v>
      </c>
      <c r="F468" s="1" t="s">
        <v>584</v>
      </c>
      <c r="G468" s="12" t="s">
        <v>42</v>
      </c>
      <c r="H468" s="23">
        <v>4100.8</v>
      </c>
      <c r="I468" s="41">
        <f t="shared" si="14"/>
        <v>0.56000000000000005</v>
      </c>
      <c r="J468" s="44">
        <f t="shared" si="15"/>
        <v>1804.3519999999999</v>
      </c>
    </row>
    <row r="469" spans="1:10" ht="15.95" customHeight="1" x14ac:dyDescent="0.2">
      <c r="A469" s="33"/>
      <c r="B469" s="77">
        <v>191189</v>
      </c>
      <c r="C469" s="12" t="s">
        <v>628</v>
      </c>
      <c r="D469" s="3" t="s">
        <v>518</v>
      </c>
      <c r="E469" s="22" t="s">
        <v>600</v>
      </c>
      <c r="F469" s="1" t="s">
        <v>584</v>
      </c>
      <c r="G469" s="12" t="s">
        <v>42</v>
      </c>
      <c r="H469" s="23">
        <v>4008.4000000000005</v>
      </c>
      <c r="I469" s="41">
        <f t="shared" si="14"/>
        <v>0.56000000000000005</v>
      </c>
      <c r="J469" s="44">
        <f t="shared" si="15"/>
        <v>1763.6959999999999</v>
      </c>
    </row>
    <row r="470" spans="1:10" ht="15.95" customHeight="1" x14ac:dyDescent="0.2">
      <c r="A470" s="33"/>
      <c r="B470" s="77">
        <v>191188</v>
      </c>
      <c r="C470" s="12" t="s">
        <v>628</v>
      </c>
      <c r="D470" s="3" t="s">
        <v>517</v>
      </c>
      <c r="E470" s="22" t="s">
        <v>600</v>
      </c>
      <c r="F470" s="1" t="s">
        <v>584</v>
      </c>
      <c r="G470" s="12" t="s">
        <v>42</v>
      </c>
      <c r="H470" s="23">
        <v>2838.0000000000005</v>
      </c>
      <c r="I470" s="41">
        <f t="shared" si="14"/>
        <v>0.56000000000000005</v>
      </c>
      <c r="J470" s="44">
        <f t="shared" si="15"/>
        <v>1248.72</v>
      </c>
    </row>
    <row r="471" spans="1:10" ht="15.95" customHeight="1" x14ac:dyDescent="0.2">
      <c r="B471" s="77">
        <v>190792</v>
      </c>
      <c r="C471" s="12" t="s">
        <v>628</v>
      </c>
      <c r="D471" s="3" t="s">
        <v>412</v>
      </c>
      <c r="E471" s="22" t="s">
        <v>600</v>
      </c>
      <c r="F471" s="1" t="s">
        <v>582</v>
      </c>
      <c r="G471" s="13" t="s">
        <v>631</v>
      </c>
      <c r="H471" s="23">
        <v>4664.0000000000018</v>
      </c>
      <c r="I471" s="41">
        <f t="shared" si="14"/>
        <v>0.56000000000000005</v>
      </c>
      <c r="J471" s="44">
        <f t="shared" si="15"/>
        <v>2052.1600000000008</v>
      </c>
    </row>
    <row r="472" spans="1:10" ht="15.95" customHeight="1" x14ac:dyDescent="0.2">
      <c r="B472" s="77">
        <v>190764</v>
      </c>
      <c r="C472" s="12" t="s">
        <v>628</v>
      </c>
      <c r="D472" s="3" t="s">
        <v>475</v>
      </c>
      <c r="E472" s="22" t="s">
        <v>600</v>
      </c>
      <c r="F472" s="1" t="s">
        <v>584</v>
      </c>
      <c r="G472" s="14" t="s">
        <v>44</v>
      </c>
      <c r="H472" s="23">
        <v>11171.6</v>
      </c>
      <c r="I472" s="41">
        <f t="shared" si="14"/>
        <v>0.56000000000000005</v>
      </c>
      <c r="J472" s="44">
        <f t="shared" si="15"/>
        <v>4915.5039999999999</v>
      </c>
    </row>
    <row r="473" spans="1:10" ht="15.95" customHeight="1" x14ac:dyDescent="0.2">
      <c r="B473" s="77">
        <v>190752</v>
      </c>
      <c r="C473" s="12" t="s">
        <v>628</v>
      </c>
      <c r="D473" s="3" t="s">
        <v>528</v>
      </c>
      <c r="E473" s="22" t="s">
        <v>600</v>
      </c>
      <c r="F473" s="1" t="s">
        <v>584</v>
      </c>
      <c r="G473" s="14" t="s">
        <v>44</v>
      </c>
      <c r="H473" s="23">
        <v>4615.6000000000004</v>
      </c>
      <c r="I473" s="41">
        <f t="shared" si="14"/>
        <v>0.56000000000000005</v>
      </c>
      <c r="J473" s="44">
        <f t="shared" si="15"/>
        <v>2030.864</v>
      </c>
    </row>
    <row r="474" spans="1:10" ht="15.95" customHeight="1" x14ac:dyDescent="0.2">
      <c r="A474" s="33"/>
      <c r="B474" s="77">
        <v>190747</v>
      </c>
      <c r="C474" s="12" t="s">
        <v>628</v>
      </c>
      <c r="D474" s="3" t="s">
        <v>457</v>
      </c>
      <c r="E474" s="22" t="s">
        <v>600</v>
      </c>
      <c r="F474" s="1" t="s">
        <v>584</v>
      </c>
      <c r="G474" s="12" t="s">
        <v>42</v>
      </c>
      <c r="H474" s="23">
        <v>3344.0000000000005</v>
      </c>
      <c r="I474" s="41">
        <f t="shared" si="14"/>
        <v>0.56000000000000005</v>
      </c>
      <c r="J474" s="44">
        <f t="shared" si="15"/>
        <v>1471.3600000000001</v>
      </c>
    </row>
    <row r="475" spans="1:10" ht="15.95" customHeight="1" x14ac:dyDescent="0.2">
      <c r="A475" s="33"/>
      <c r="B475" s="77">
        <v>190719</v>
      </c>
      <c r="C475" s="12" t="s">
        <v>628</v>
      </c>
      <c r="D475" s="3" t="s">
        <v>403</v>
      </c>
      <c r="E475" s="22" t="s">
        <v>600</v>
      </c>
      <c r="F475" s="1" t="s">
        <v>582</v>
      </c>
      <c r="G475" s="14" t="s">
        <v>44</v>
      </c>
      <c r="H475" s="23">
        <v>3817.0000000000014</v>
      </c>
      <c r="I475" s="41">
        <f t="shared" si="14"/>
        <v>0.56000000000000005</v>
      </c>
      <c r="J475" s="44">
        <f t="shared" si="15"/>
        <v>1679.4800000000005</v>
      </c>
    </row>
    <row r="476" spans="1:10" ht="15.95" customHeight="1" x14ac:dyDescent="0.2">
      <c r="B476" s="77">
        <v>190709</v>
      </c>
      <c r="C476" s="12" t="s">
        <v>628</v>
      </c>
      <c r="D476" s="3" t="s">
        <v>479</v>
      </c>
      <c r="E476" s="22" t="s">
        <v>600</v>
      </c>
      <c r="F476" s="1" t="s">
        <v>584</v>
      </c>
      <c r="G476" s="14" t="s">
        <v>44</v>
      </c>
      <c r="H476" s="23">
        <v>20178.400000000001</v>
      </c>
      <c r="I476" s="41">
        <f t="shared" si="14"/>
        <v>0.56000000000000005</v>
      </c>
      <c r="J476" s="44">
        <f t="shared" si="15"/>
        <v>8878.4959999999992</v>
      </c>
    </row>
    <row r="477" spans="1:10" ht="15.95" customHeight="1" x14ac:dyDescent="0.2">
      <c r="B477" s="77">
        <v>190700</v>
      </c>
      <c r="C477" s="12" t="s">
        <v>628</v>
      </c>
      <c r="D477" s="3" t="s">
        <v>485</v>
      </c>
      <c r="E477" s="22" t="s">
        <v>600</v>
      </c>
      <c r="F477" s="1" t="s">
        <v>584</v>
      </c>
      <c r="G477" s="14" t="s">
        <v>44</v>
      </c>
      <c r="H477" s="23">
        <v>50199.600000000006</v>
      </c>
      <c r="I477" s="41">
        <f t="shared" si="14"/>
        <v>0.56000000000000005</v>
      </c>
      <c r="J477" s="44">
        <f t="shared" si="15"/>
        <v>22087.824000000001</v>
      </c>
    </row>
    <row r="478" spans="1:10" ht="15.95" customHeight="1" x14ac:dyDescent="0.2">
      <c r="B478" s="77">
        <v>190699</v>
      </c>
      <c r="C478" s="12" t="s">
        <v>628</v>
      </c>
      <c r="D478" s="3" t="s">
        <v>480</v>
      </c>
      <c r="E478" s="22" t="s">
        <v>600</v>
      </c>
      <c r="F478" s="1" t="s">
        <v>584</v>
      </c>
      <c r="G478" s="14" t="s">
        <v>44</v>
      </c>
      <c r="H478" s="23">
        <v>20820.800000000003</v>
      </c>
      <c r="I478" s="41">
        <f t="shared" si="14"/>
        <v>0.56000000000000005</v>
      </c>
      <c r="J478" s="44">
        <f t="shared" si="15"/>
        <v>9161.152</v>
      </c>
    </row>
    <row r="479" spans="1:10" ht="15.95" customHeight="1" x14ac:dyDescent="0.2">
      <c r="B479" s="77">
        <v>190696</v>
      </c>
      <c r="C479" s="12" t="s">
        <v>628</v>
      </c>
      <c r="D479" s="3" t="s">
        <v>477</v>
      </c>
      <c r="E479" s="22" t="s">
        <v>600</v>
      </c>
      <c r="F479" s="1" t="s">
        <v>584</v>
      </c>
      <c r="G479" s="14" t="s">
        <v>44</v>
      </c>
      <c r="H479" s="23">
        <v>16711.2</v>
      </c>
      <c r="I479" s="41">
        <f t="shared" si="14"/>
        <v>0.56000000000000005</v>
      </c>
      <c r="J479" s="44">
        <f t="shared" si="15"/>
        <v>7352.9279999999999</v>
      </c>
    </row>
    <row r="480" spans="1:10" ht="15.95" customHeight="1" x14ac:dyDescent="0.2">
      <c r="B480" s="77">
        <v>190692</v>
      </c>
      <c r="C480" s="12" t="s">
        <v>628</v>
      </c>
      <c r="D480" s="3" t="s">
        <v>429</v>
      </c>
      <c r="E480" s="22" t="s">
        <v>600</v>
      </c>
      <c r="F480" s="1" t="s">
        <v>584</v>
      </c>
      <c r="G480" s="14" t="s">
        <v>44</v>
      </c>
      <c r="H480" s="23">
        <v>5601.2000000000007</v>
      </c>
      <c r="I480" s="41">
        <f t="shared" si="14"/>
        <v>0.56000000000000005</v>
      </c>
      <c r="J480" s="44">
        <f t="shared" si="15"/>
        <v>2464.5280000000002</v>
      </c>
    </row>
    <row r="481" spans="1:10" ht="15.95" customHeight="1" x14ac:dyDescent="0.2">
      <c r="B481" s="77">
        <v>190662</v>
      </c>
      <c r="C481" s="12" t="s">
        <v>628</v>
      </c>
      <c r="D481" s="3" t="s">
        <v>440</v>
      </c>
      <c r="E481" s="22" t="s">
        <v>600</v>
      </c>
      <c r="F481" s="1" t="s">
        <v>584</v>
      </c>
      <c r="G481" s="14" t="s">
        <v>44</v>
      </c>
      <c r="H481" s="23">
        <v>4316.4000000000005</v>
      </c>
      <c r="I481" s="41">
        <f t="shared" si="14"/>
        <v>0.56000000000000005</v>
      </c>
      <c r="J481" s="44">
        <f t="shared" si="15"/>
        <v>1899.2159999999999</v>
      </c>
    </row>
    <row r="482" spans="1:10" ht="15.95" customHeight="1" x14ac:dyDescent="0.2">
      <c r="A482" s="33"/>
      <c r="B482" s="77">
        <v>190661</v>
      </c>
      <c r="C482" s="12" t="s">
        <v>628</v>
      </c>
      <c r="D482" s="3" t="s">
        <v>441</v>
      </c>
      <c r="E482" s="22" t="s">
        <v>600</v>
      </c>
      <c r="F482" s="1" t="s">
        <v>584</v>
      </c>
      <c r="G482" s="14" t="s">
        <v>44</v>
      </c>
      <c r="H482" s="23">
        <v>3678.4</v>
      </c>
      <c r="I482" s="41">
        <f t="shared" si="14"/>
        <v>0.56000000000000005</v>
      </c>
      <c r="J482" s="44">
        <f t="shared" si="15"/>
        <v>1618.4959999999996</v>
      </c>
    </row>
    <row r="483" spans="1:10" ht="15.95" customHeight="1" x14ac:dyDescent="0.2">
      <c r="A483" s="17"/>
      <c r="B483" s="77">
        <v>190658</v>
      </c>
      <c r="C483" s="12" t="s">
        <v>628</v>
      </c>
      <c r="D483" s="3" t="s">
        <v>78</v>
      </c>
      <c r="E483" s="22" t="s">
        <v>600</v>
      </c>
      <c r="F483" s="1" t="s">
        <v>584</v>
      </c>
      <c r="G483" s="14" t="s">
        <v>44</v>
      </c>
      <c r="H483" s="23">
        <v>1368.4</v>
      </c>
      <c r="I483" s="41">
        <f t="shared" si="14"/>
        <v>0.56000000000000005</v>
      </c>
      <c r="J483" s="44">
        <f t="shared" si="15"/>
        <v>602.096</v>
      </c>
    </row>
    <row r="484" spans="1:10" ht="15.95" customHeight="1" x14ac:dyDescent="0.2">
      <c r="B484" s="77">
        <v>190651</v>
      </c>
      <c r="C484" s="12" t="s">
        <v>628</v>
      </c>
      <c r="D484" s="3" t="s">
        <v>489</v>
      </c>
      <c r="E484" s="22" t="s">
        <v>600</v>
      </c>
      <c r="F484" s="1" t="s">
        <v>584</v>
      </c>
      <c r="G484" s="12" t="s">
        <v>42</v>
      </c>
      <c r="H484" s="23">
        <v>6490.0000000000009</v>
      </c>
      <c r="I484" s="41">
        <f t="shared" si="14"/>
        <v>0.56000000000000005</v>
      </c>
      <c r="J484" s="44">
        <f t="shared" si="15"/>
        <v>2855.6</v>
      </c>
    </row>
    <row r="485" spans="1:10" ht="15.95" customHeight="1" x14ac:dyDescent="0.2">
      <c r="B485" s="77">
        <v>190650</v>
      </c>
      <c r="C485" s="12" t="s">
        <v>628</v>
      </c>
      <c r="D485" s="3" t="s">
        <v>499</v>
      </c>
      <c r="E485" s="22" t="s">
        <v>600</v>
      </c>
      <c r="F485" s="1" t="s">
        <v>584</v>
      </c>
      <c r="G485" s="14" t="s">
        <v>44</v>
      </c>
      <c r="H485" s="23">
        <v>10445.6</v>
      </c>
      <c r="I485" s="41">
        <f t="shared" si="14"/>
        <v>0.56000000000000005</v>
      </c>
      <c r="J485" s="44">
        <f t="shared" si="15"/>
        <v>4596.0639999999994</v>
      </c>
    </row>
    <row r="486" spans="1:10" ht="15.95" customHeight="1" x14ac:dyDescent="0.2">
      <c r="B486" s="77">
        <v>190621</v>
      </c>
      <c r="C486" s="12" t="s">
        <v>628</v>
      </c>
      <c r="D486" s="3" t="s">
        <v>406</v>
      </c>
      <c r="E486" s="22" t="s">
        <v>600</v>
      </c>
      <c r="F486" s="1" t="s">
        <v>582</v>
      </c>
      <c r="G486" s="12" t="s">
        <v>41</v>
      </c>
      <c r="H486" s="23">
        <v>4235.0000000000018</v>
      </c>
      <c r="I486" s="41">
        <f t="shared" si="14"/>
        <v>0.56000000000000005</v>
      </c>
      <c r="J486" s="44">
        <f t="shared" si="15"/>
        <v>1863.4000000000005</v>
      </c>
    </row>
    <row r="487" spans="1:10" ht="15.95" customHeight="1" x14ac:dyDescent="0.2">
      <c r="A487" s="33"/>
      <c r="B487" s="77">
        <v>190617</v>
      </c>
      <c r="C487" s="12" t="s">
        <v>628</v>
      </c>
      <c r="D487" s="3" t="s">
        <v>60</v>
      </c>
      <c r="E487" s="22" t="s">
        <v>600</v>
      </c>
      <c r="F487" s="1" t="s">
        <v>584</v>
      </c>
      <c r="G487" s="14" t="s">
        <v>44</v>
      </c>
      <c r="H487" s="23">
        <v>2569.6000000000004</v>
      </c>
      <c r="I487" s="41">
        <f t="shared" si="14"/>
        <v>0.56000000000000005</v>
      </c>
      <c r="J487" s="44">
        <f t="shared" si="15"/>
        <v>1130.624</v>
      </c>
    </row>
    <row r="488" spans="1:10" ht="15.95" customHeight="1" x14ac:dyDescent="0.2">
      <c r="B488" s="77">
        <v>190605</v>
      </c>
      <c r="C488" s="12" t="s">
        <v>628</v>
      </c>
      <c r="D488" s="3" t="s">
        <v>59</v>
      </c>
      <c r="E488" s="22" t="s">
        <v>600</v>
      </c>
      <c r="F488" s="1" t="s">
        <v>582</v>
      </c>
      <c r="G488" s="12" t="s">
        <v>42</v>
      </c>
      <c r="H488" s="23">
        <v>25696.000000000011</v>
      </c>
      <c r="I488" s="41">
        <f t="shared" si="14"/>
        <v>0.56000000000000005</v>
      </c>
      <c r="J488" s="44">
        <f t="shared" si="15"/>
        <v>11306.240000000003</v>
      </c>
    </row>
    <row r="489" spans="1:10" ht="15.95" customHeight="1" x14ac:dyDescent="0.2">
      <c r="B489" s="77">
        <v>190604</v>
      </c>
      <c r="C489" s="12" t="s">
        <v>628</v>
      </c>
      <c r="D489" s="3" t="s">
        <v>408</v>
      </c>
      <c r="E489" s="22" t="s">
        <v>600</v>
      </c>
      <c r="F489" s="1" t="s">
        <v>582</v>
      </c>
      <c r="G489" s="12" t="s">
        <v>42</v>
      </c>
      <c r="H489" s="23">
        <v>4196.5000000000009</v>
      </c>
      <c r="I489" s="41">
        <f t="shared" si="14"/>
        <v>0.56000000000000005</v>
      </c>
      <c r="J489" s="44">
        <f t="shared" si="15"/>
        <v>1846.46</v>
      </c>
    </row>
    <row r="490" spans="1:10" ht="15.95" customHeight="1" x14ac:dyDescent="0.2">
      <c r="B490" s="77">
        <v>190602</v>
      </c>
      <c r="C490" s="12" t="s">
        <v>628</v>
      </c>
      <c r="D490" s="3" t="s">
        <v>427</v>
      </c>
      <c r="E490" s="22" t="s">
        <v>600</v>
      </c>
      <c r="F490" s="1" t="s">
        <v>584</v>
      </c>
      <c r="G490" s="14" t="s">
        <v>44</v>
      </c>
      <c r="H490" s="23">
        <v>4325.2000000000007</v>
      </c>
      <c r="I490" s="41">
        <f t="shared" si="14"/>
        <v>0.56000000000000005</v>
      </c>
      <c r="J490" s="44">
        <f t="shared" si="15"/>
        <v>1903.0880000000002</v>
      </c>
    </row>
    <row r="491" spans="1:10" ht="15.95" customHeight="1" x14ac:dyDescent="0.2">
      <c r="B491" s="77">
        <v>190399</v>
      </c>
      <c r="C491" s="12" t="s">
        <v>628</v>
      </c>
      <c r="D491" s="3" t="s">
        <v>483</v>
      </c>
      <c r="E491" s="22" t="s">
        <v>600</v>
      </c>
      <c r="F491" s="1" t="s">
        <v>584</v>
      </c>
      <c r="G491" s="14" t="s">
        <v>44</v>
      </c>
      <c r="H491" s="23">
        <v>28177.600000000002</v>
      </c>
      <c r="I491" s="41">
        <f t="shared" si="14"/>
        <v>0.56000000000000005</v>
      </c>
      <c r="J491" s="44">
        <f t="shared" si="15"/>
        <v>12398.144</v>
      </c>
    </row>
    <row r="492" spans="1:10" ht="15.95" customHeight="1" x14ac:dyDescent="0.2">
      <c r="B492" s="77">
        <v>190369</v>
      </c>
      <c r="C492" s="12" t="s">
        <v>628</v>
      </c>
      <c r="D492" s="3" t="s">
        <v>491</v>
      </c>
      <c r="E492" s="22" t="s">
        <v>600</v>
      </c>
      <c r="F492" s="1" t="s">
        <v>584</v>
      </c>
      <c r="G492" s="12" t="s">
        <v>42</v>
      </c>
      <c r="H492" s="23">
        <v>14722.400000000001</v>
      </c>
      <c r="I492" s="41">
        <f t="shared" si="14"/>
        <v>0.56000000000000005</v>
      </c>
      <c r="J492" s="44">
        <f t="shared" si="15"/>
        <v>6477.8559999999998</v>
      </c>
    </row>
    <row r="493" spans="1:10" ht="15.95" customHeight="1" x14ac:dyDescent="0.2">
      <c r="B493" s="77">
        <v>190368</v>
      </c>
      <c r="C493" s="12" t="s">
        <v>628</v>
      </c>
      <c r="D493" s="3" t="s">
        <v>490</v>
      </c>
      <c r="E493" s="22" t="s">
        <v>600</v>
      </c>
      <c r="F493" s="1" t="s">
        <v>584</v>
      </c>
      <c r="G493" s="12" t="s">
        <v>42</v>
      </c>
      <c r="H493" s="23">
        <v>9099.2000000000007</v>
      </c>
      <c r="I493" s="41">
        <f t="shared" si="14"/>
        <v>0.56000000000000005</v>
      </c>
      <c r="J493" s="44">
        <f t="shared" si="15"/>
        <v>4003.6480000000001</v>
      </c>
    </row>
    <row r="494" spans="1:10" ht="15.95" customHeight="1" x14ac:dyDescent="0.2">
      <c r="A494" s="33"/>
      <c r="B494" s="77">
        <v>190363</v>
      </c>
      <c r="C494" s="12" t="s">
        <v>628</v>
      </c>
      <c r="D494" s="3" t="s">
        <v>61</v>
      </c>
      <c r="E494" s="22" t="s">
        <v>600</v>
      </c>
      <c r="F494" s="1" t="s">
        <v>584</v>
      </c>
      <c r="G494" s="14" t="s">
        <v>44</v>
      </c>
      <c r="H494" s="23">
        <v>2635.6000000000004</v>
      </c>
      <c r="I494" s="41">
        <f t="shared" si="14"/>
        <v>0.56000000000000005</v>
      </c>
      <c r="J494" s="44">
        <f t="shared" si="15"/>
        <v>1159.664</v>
      </c>
    </row>
    <row r="495" spans="1:10" ht="15.95" customHeight="1" x14ac:dyDescent="0.2">
      <c r="A495" s="33"/>
      <c r="B495" s="69">
        <v>190355</v>
      </c>
      <c r="C495" s="12" t="s">
        <v>628</v>
      </c>
      <c r="D495" s="1" t="s">
        <v>323</v>
      </c>
      <c r="E495" s="22" t="s">
        <v>600</v>
      </c>
      <c r="F495" s="1" t="s">
        <v>584</v>
      </c>
      <c r="G495" s="12" t="s">
        <v>44</v>
      </c>
      <c r="H495" s="23">
        <v>3999.6000000000004</v>
      </c>
      <c r="I495" s="41">
        <f t="shared" si="14"/>
        <v>0.56000000000000005</v>
      </c>
      <c r="J495" s="44">
        <f t="shared" si="15"/>
        <v>1759.8240000000001</v>
      </c>
    </row>
    <row r="496" spans="1:10" ht="15.95" customHeight="1" x14ac:dyDescent="0.2">
      <c r="B496" s="77">
        <v>190325</v>
      </c>
      <c r="C496" s="12" t="s">
        <v>628</v>
      </c>
      <c r="D496" s="3" t="s">
        <v>478</v>
      </c>
      <c r="E496" s="22" t="s">
        <v>600</v>
      </c>
      <c r="F496" s="1" t="s">
        <v>584</v>
      </c>
      <c r="G496" s="14" t="s">
        <v>44</v>
      </c>
      <c r="H496" s="23">
        <v>21084.800000000003</v>
      </c>
      <c r="I496" s="41">
        <f t="shared" si="14"/>
        <v>0.56000000000000005</v>
      </c>
      <c r="J496" s="44">
        <f t="shared" si="15"/>
        <v>9277.3119999999999</v>
      </c>
    </row>
    <row r="497" spans="1:10" ht="15.95" customHeight="1" x14ac:dyDescent="0.2">
      <c r="B497" s="77">
        <v>190311</v>
      </c>
      <c r="C497" s="12" t="s">
        <v>628</v>
      </c>
      <c r="D497" s="3" t="s">
        <v>493</v>
      </c>
      <c r="E497" s="22" t="s">
        <v>600</v>
      </c>
      <c r="F497" s="1" t="s">
        <v>584</v>
      </c>
      <c r="G497" s="12" t="s">
        <v>42</v>
      </c>
      <c r="H497" s="23">
        <v>37386.800000000003</v>
      </c>
      <c r="I497" s="41">
        <f t="shared" si="14"/>
        <v>0.56000000000000005</v>
      </c>
      <c r="J497" s="44">
        <f t="shared" si="15"/>
        <v>16450.191999999999</v>
      </c>
    </row>
    <row r="498" spans="1:10" ht="15.95" customHeight="1" x14ac:dyDescent="0.2">
      <c r="B498" s="77">
        <v>190306</v>
      </c>
      <c r="C498" s="12" t="s">
        <v>628</v>
      </c>
      <c r="D498" s="3" t="s">
        <v>354</v>
      </c>
      <c r="E498" s="22" t="s">
        <v>600</v>
      </c>
      <c r="F498" s="1" t="s">
        <v>584</v>
      </c>
      <c r="G498" s="13" t="s">
        <v>44</v>
      </c>
      <c r="H498" s="23">
        <v>888.80000000000007</v>
      </c>
      <c r="I498" s="41">
        <f t="shared" si="14"/>
        <v>0.56000000000000005</v>
      </c>
      <c r="J498" s="44">
        <f t="shared" si="15"/>
        <v>391.072</v>
      </c>
    </row>
    <row r="499" spans="1:10" ht="15.95" customHeight="1" x14ac:dyDescent="0.2">
      <c r="B499" s="77">
        <v>190247</v>
      </c>
      <c r="C499" s="12" t="s">
        <v>628</v>
      </c>
      <c r="D499" s="3" t="s">
        <v>353</v>
      </c>
      <c r="E499" s="22" t="s">
        <v>600</v>
      </c>
      <c r="F499" s="1" t="s">
        <v>584</v>
      </c>
      <c r="G499" s="13" t="s">
        <v>44</v>
      </c>
      <c r="H499" s="23">
        <v>888.80000000000007</v>
      </c>
      <c r="I499" s="41">
        <f t="shared" si="14"/>
        <v>0.56000000000000005</v>
      </c>
      <c r="J499" s="44">
        <f t="shared" si="15"/>
        <v>391.072</v>
      </c>
    </row>
    <row r="500" spans="1:10" ht="15.95" customHeight="1" x14ac:dyDescent="0.2">
      <c r="B500" s="77">
        <v>190232</v>
      </c>
      <c r="C500" s="12" t="s">
        <v>628</v>
      </c>
      <c r="D500" s="3" t="s">
        <v>550</v>
      </c>
      <c r="E500" s="22" t="s">
        <v>600</v>
      </c>
      <c r="F500" s="1" t="s">
        <v>584</v>
      </c>
      <c r="G500" s="14" t="s">
        <v>44</v>
      </c>
      <c r="H500" s="23">
        <v>6916.8</v>
      </c>
      <c r="I500" s="41">
        <f t="shared" si="14"/>
        <v>0.56000000000000005</v>
      </c>
      <c r="J500" s="44">
        <f t="shared" si="15"/>
        <v>3043.3919999999998</v>
      </c>
    </row>
    <row r="501" spans="1:10" ht="15.95" customHeight="1" x14ac:dyDescent="0.2">
      <c r="B501" s="77">
        <v>190231</v>
      </c>
      <c r="C501" s="12" t="s">
        <v>628</v>
      </c>
      <c r="D501" s="3" t="s">
        <v>549</v>
      </c>
      <c r="E501" s="22" t="s">
        <v>600</v>
      </c>
      <c r="F501" s="1" t="s">
        <v>584</v>
      </c>
      <c r="G501" s="14" t="s">
        <v>44</v>
      </c>
      <c r="H501" s="23">
        <v>6353.6</v>
      </c>
      <c r="I501" s="41">
        <f t="shared" si="14"/>
        <v>0.56000000000000005</v>
      </c>
      <c r="J501" s="44">
        <f t="shared" si="15"/>
        <v>2795.5839999999998</v>
      </c>
    </row>
    <row r="502" spans="1:10" ht="15.95" customHeight="1" x14ac:dyDescent="0.2">
      <c r="B502" s="77">
        <v>190230</v>
      </c>
      <c r="C502" s="12" t="s">
        <v>628</v>
      </c>
      <c r="D502" s="3" t="s">
        <v>548</v>
      </c>
      <c r="E502" s="22" t="s">
        <v>600</v>
      </c>
      <c r="F502" s="1" t="s">
        <v>584</v>
      </c>
      <c r="G502" s="14" t="s">
        <v>44</v>
      </c>
      <c r="H502" s="23">
        <v>5478</v>
      </c>
      <c r="I502" s="41">
        <f t="shared" si="14"/>
        <v>0.56000000000000005</v>
      </c>
      <c r="J502" s="44">
        <f t="shared" si="15"/>
        <v>2410.3199999999997</v>
      </c>
    </row>
    <row r="503" spans="1:10" ht="15.95" customHeight="1" x14ac:dyDescent="0.2">
      <c r="B503" s="77">
        <v>190229</v>
      </c>
      <c r="C503" s="12" t="s">
        <v>628</v>
      </c>
      <c r="D503" s="3" t="s">
        <v>547</v>
      </c>
      <c r="E503" s="22" t="s">
        <v>600</v>
      </c>
      <c r="F503" s="1" t="s">
        <v>584</v>
      </c>
      <c r="G503" s="14" t="s">
        <v>44</v>
      </c>
      <c r="H503" s="23">
        <v>4972</v>
      </c>
      <c r="I503" s="41">
        <f t="shared" si="14"/>
        <v>0.56000000000000005</v>
      </c>
      <c r="J503" s="44">
        <f t="shared" si="15"/>
        <v>2187.6799999999998</v>
      </c>
    </row>
    <row r="504" spans="1:10" ht="15.95" customHeight="1" x14ac:dyDescent="0.2">
      <c r="A504" s="17"/>
      <c r="B504" s="77">
        <v>190227</v>
      </c>
      <c r="C504" s="12" t="s">
        <v>628</v>
      </c>
      <c r="D504" s="3" t="s">
        <v>75</v>
      </c>
      <c r="E504" s="22" t="s">
        <v>600</v>
      </c>
      <c r="F504" s="1" t="s">
        <v>584</v>
      </c>
      <c r="G504" s="14" t="s">
        <v>44</v>
      </c>
      <c r="H504" s="23">
        <v>1707.2</v>
      </c>
      <c r="I504" s="41">
        <f t="shared" si="14"/>
        <v>0.56000000000000005</v>
      </c>
      <c r="J504" s="44">
        <f t="shared" si="15"/>
        <v>751.16799999999989</v>
      </c>
    </row>
    <row r="505" spans="1:10" ht="15.95" customHeight="1" x14ac:dyDescent="0.2">
      <c r="B505" s="77">
        <v>190226</v>
      </c>
      <c r="C505" s="12" t="s">
        <v>628</v>
      </c>
      <c r="D505" s="3" t="s">
        <v>418</v>
      </c>
      <c r="E505" s="22" t="s">
        <v>600</v>
      </c>
      <c r="F505" s="1" t="s">
        <v>582</v>
      </c>
      <c r="G505" s="14" t="s">
        <v>44</v>
      </c>
      <c r="H505" s="23">
        <v>12974.500000000004</v>
      </c>
      <c r="I505" s="41">
        <f t="shared" si="14"/>
        <v>0.56000000000000005</v>
      </c>
      <c r="J505" s="44">
        <f t="shared" si="15"/>
        <v>5708.7800000000007</v>
      </c>
    </row>
    <row r="506" spans="1:10" ht="15.95" customHeight="1" x14ac:dyDescent="0.2">
      <c r="B506" s="77">
        <v>190225</v>
      </c>
      <c r="C506" s="12" t="s">
        <v>628</v>
      </c>
      <c r="D506" s="3" t="s">
        <v>417</v>
      </c>
      <c r="E506" s="22" t="s">
        <v>600</v>
      </c>
      <c r="F506" s="1" t="s">
        <v>582</v>
      </c>
      <c r="G506" s="14" t="s">
        <v>44</v>
      </c>
      <c r="H506" s="23">
        <v>11418.000000000004</v>
      </c>
      <c r="I506" s="41">
        <f t="shared" si="14"/>
        <v>0.56000000000000005</v>
      </c>
      <c r="J506" s="44">
        <f t="shared" si="15"/>
        <v>5023.920000000001</v>
      </c>
    </row>
    <row r="507" spans="1:10" ht="15.95" customHeight="1" x14ac:dyDescent="0.2">
      <c r="B507" s="77">
        <v>190224</v>
      </c>
      <c r="C507" s="12" t="s">
        <v>628</v>
      </c>
      <c r="D507" s="3" t="s">
        <v>416</v>
      </c>
      <c r="E507" s="22" t="s">
        <v>600</v>
      </c>
      <c r="F507" s="1" t="s">
        <v>582</v>
      </c>
      <c r="G507" s="14" t="s">
        <v>44</v>
      </c>
      <c r="H507" s="23">
        <v>9867.0000000000018</v>
      </c>
      <c r="I507" s="41">
        <f t="shared" si="14"/>
        <v>0.56000000000000005</v>
      </c>
      <c r="J507" s="44">
        <f t="shared" si="15"/>
        <v>4341.4800000000005</v>
      </c>
    </row>
    <row r="508" spans="1:10" ht="15.95" customHeight="1" x14ac:dyDescent="0.2">
      <c r="B508" s="77">
        <v>190223</v>
      </c>
      <c r="C508" s="12" t="s">
        <v>628</v>
      </c>
      <c r="D508" s="3" t="s">
        <v>415</v>
      </c>
      <c r="E508" s="22" t="s">
        <v>600</v>
      </c>
      <c r="F508" s="1" t="s">
        <v>582</v>
      </c>
      <c r="G508" s="14" t="s">
        <v>44</v>
      </c>
      <c r="H508" s="23">
        <v>8706.5000000000036</v>
      </c>
      <c r="I508" s="41">
        <f t="shared" si="14"/>
        <v>0.56000000000000005</v>
      </c>
      <c r="J508" s="44">
        <f t="shared" si="15"/>
        <v>3830.8600000000015</v>
      </c>
    </row>
    <row r="509" spans="1:10" ht="15.95" customHeight="1" x14ac:dyDescent="0.2">
      <c r="B509" s="77">
        <v>190221</v>
      </c>
      <c r="C509" s="12" t="s">
        <v>628</v>
      </c>
      <c r="D509" s="3" t="s">
        <v>435</v>
      </c>
      <c r="E509" s="22" t="s">
        <v>600</v>
      </c>
      <c r="F509" s="1" t="s">
        <v>584</v>
      </c>
      <c r="G509" s="14" t="s">
        <v>44</v>
      </c>
      <c r="H509" s="23">
        <v>13657.6</v>
      </c>
      <c r="I509" s="41">
        <f t="shared" si="14"/>
        <v>0.56000000000000005</v>
      </c>
      <c r="J509" s="44">
        <f t="shared" si="15"/>
        <v>6009.3439999999991</v>
      </c>
    </row>
    <row r="510" spans="1:10" ht="15.95" customHeight="1" x14ac:dyDescent="0.2">
      <c r="B510" s="77">
        <v>190220</v>
      </c>
      <c r="C510" s="12" t="s">
        <v>628</v>
      </c>
      <c r="D510" s="3" t="s">
        <v>434</v>
      </c>
      <c r="E510" s="22" t="s">
        <v>600</v>
      </c>
      <c r="F510" s="1" t="s">
        <v>584</v>
      </c>
      <c r="G510" s="14" t="s">
        <v>44</v>
      </c>
      <c r="H510" s="23">
        <v>11726.000000000002</v>
      </c>
      <c r="I510" s="41">
        <f t="shared" si="14"/>
        <v>0.56000000000000005</v>
      </c>
      <c r="J510" s="44">
        <f t="shared" si="15"/>
        <v>5159.4400000000005</v>
      </c>
    </row>
    <row r="511" spans="1:10" ht="15.95" customHeight="1" x14ac:dyDescent="0.2">
      <c r="B511" s="77">
        <v>190219</v>
      </c>
      <c r="C511" s="12" t="s">
        <v>628</v>
      </c>
      <c r="D511" s="3" t="s">
        <v>433</v>
      </c>
      <c r="E511" s="22" t="s">
        <v>600</v>
      </c>
      <c r="F511" s="1" t="s">
        <v>584</v>
      </c>
      <c r="G511" s="14" t="s">
        <v>44</v>
      </c>
      <c r="H511" s="23">
        <v>10177.200000000001</v>
      </c>
      <c r="I511" s="41">
        <f t="shared" si="14"/>
        <v>0.56000000000000005</v>
      </c>
      <c r="J511" s="44">
        <f t="shared" si="15"/>
        <v>4477.9679999999998</v>
      </c>
    </row>
    <row r="512" spans="1:10" ht="15.95" customHeight="1" x14ac:dyDescent="0.2">
      <c r="B512" s="77">
        <v>190218</v>
      </c>
      <c r="C512" s="12" t="s">
        <v>628</v>
      </c>
      <c r="D512" s="3" t="s">
        <v>432</v>
      </c>
      <c r="E512" s="22" t="s">
        <v>600</v>
      </c>
      <c r="F512" s="1" t="s">
        <v>584</v>
      </c>
      <c r="G512" s="14" t="s">
        <v>44</v>
      </c>
      <c r="H512" s="23">
        <v>8078.4000000000005</v>
      </c>
      <c r="I512" s="41">
        <f t="shared" si="14"/>
        <v>0.56000000000000005</v>
      </c>
      <c r="J512" s="44">
        <f t="shared" si="15"/>
        <v>3554.4960000000001</v>
      </c>
    </row>
    <row r="513" spans="1:10" ht="15.95" customHeight="1" x14ac:dyDescent="0.2">
      <c r="B513" s="77">
        <v>190217</v>
      </c>
      <c r="C513" s="12" t="s">
        <v>628</v>
      </c>
      <c r="D513" s="3" t="s">
        <v>431</v>
      </c>
      <c r="E513" s="22" t="s">
        <v>600</v>
      </c>
      <c r="F513" s="1" t="s">
        <v>584</v>
      </c>
      <c r="G513" s="14" t="s">
        <v>44</v>
      </c>
      <c r="H513" s="23">
        <v>6868.4000000000005</v>
      </c>
      <c r="I513" s="41">
        <f t="shared" si="14"/>
        <v>0.56000000000000005</v>
      </c>
      <c r="J513" s="44">
        <f t="shared" si="15"/>
        <v>3022.096</v>
      </c>
    </row>
    <row r="514" spans="1:10" ht="15.95" customHeight="1" x14ac:dyDescent="0.2">
      <c r="B514" s="77">
        <v>190216</v>
      </c>
      <c r="C514" s="12" t="s">
        <v>628</v>
      </c>
      <c r="D514" s="3" t="s">
        <v>430</v>
      </c>
      <c r="E514" s="22" t="s">
        <v>600</v>
      </c>
      <c r="F514" s="1" t="s">
        <v>584</v>
      </c>
      <c r="G514" s="14" t="s">
        <v>44</v>
      </c>
      <c r="H514" s="23">
        <v>6490.0000000000009</v>
      </c>
      <c r="I514" s="41">
        <f t="shared" si="14"/>
        <v>0.56000000000000005</v>
      </c>
      <c r="J514" s="44">
        <f t="shared" si="15"/>
        <v>2855.6</v>
      </c>
    </row>
    <row r="515" spans="1:10" ht="15.95" customHeight="1" x14ac:dyDescent="0.2">
      <c r="B515" s="77">
        <v>190215</v>
      </c>
      <c r="C515" s="12" t="s">
        <v>628</v>
      </c>
      <c r="D515" s="3" t="s">
        <v>428</v>
      </c>
      <c r="E515" s="22" t="s">
        <v>600</v>
      </c>
      <c r="F515" s="1" t="s">
        <v>584</v>
      </c>
      <c r="G515" s="14" t="s">
        <v>44</v>
      </c>
      <c r="H515" s="23">
        <v>4967.6000000000004</v>
      </c>
      <c r="I515" s="41">
        <f t="shared" si="14"/>
        <v>0.56000000000000005</v>
      </c>
      <c r="J515" s="44">
        <f t="shared" si="15"/>
        <v>2185.7439999999997</v>
      </c>
    </row>
    <row r="516" spans="1:10" ht="15.95" customHeight="1" x14ac:dyDescent="0.2">
      <c r="A516" s="33"/>
      <c r="B516" s="77">
        <v>190214</v>
      </c>
      <c r="C516" s="12" t="s">
        <v>628</v>
      </c>
      <c r="D516" s="3" t="s">
        <v>420</v>
      </c>
      <c r="E516" s="22" t="s">
        <v>600</v>
      </c>
      <c r="F516" s="1" t="s">
        <v>584</v>
      </c>
      <c r="G516" s="14" t="s">
        <v>44</v>
      </c>
      <c r="H516" s="23">
        <v>3797.2000000000003</v>
      </c>
      <c r="I516" s="41">
        <f t="shared" si="14"/>
        <v>0.56000000000000005</v>
      </c>
      <c r="J516" s="44">
        <f t="shared" si="15"/>
        <v>1670.768</v>
      </c>
    </row>
    <row r="517" spans="1:10" ht="15.95" customHeight="1" x14ac:dyDescent="0.2">
      <c r="A517" s="33"/>
      <c r="B517" s="77">
        <v>190213</v>
      </c>
      <c r="C517" s="12" t="s">
        <v>628</v>
      </c>
      <c r="D517" s="3" t="s">
        <v>419</v>
      </c>
      <c r="E517" s="22" t="s">
        <v>600</v>
      </c>
      <c r="F517" s="1" t="s">
        <v>584</v>
      </c>
      <c r="G517" s="14" t="s">
        <v>44</v>
      </c>
      <c r="H517" s="23">
        <v>2798.4</v>
      </c>
      <c r="I517" s="41">
        <f t="shared" si="14"/>
        <v>0.56000000000000005</v>
      </c>
      <c r="J517" s="44">
        <f t="shared" si="15"/>
        <v>1231.2959999999998</v>
      </c>
    </row>
    <row r="518" spans="1:10" ht="15.95" customHeight="1" x14ac:dyDescent="0.2">
      <c r="B518" s="77">
        <v>190212</v>
      </c>
      <c r="C518" s="12" t="s">
        <v>628</v>
      </c>
      <c r="D518" s="3" t="s">
        <v>384</v>
      </c>
      <c r="E518" s="22" t="s">
        <v>600</v>
      </c>
      <c r="F518" s="1" t="s">
        <v>584</v>
      </c>
      <c r="G518" s="14" t="s">
        <v>44</v>
      </c>
      <c r="H518" s="23">
        <v>13261.6</v>
      </c>
      <c r="I518" s="41">
        <f t="shared" si="14"/>
        <v>0.56000000000000005</v>
      </c>
      <c r="J518" s="44">
        <f t="shared" si="15"/>
        <v>5835.1039999999994</v>
      </c>
    </row>
    <row r="519" spans="1:10" ht="15.95" customHeight="1" x14ac:dyDescent="0.2">
      <c r="B519" s="77">
        <v>190210</v>
      </c>
      <c r="C519" s="12" t="s">
        <v>628</v>
      </c>
      <c r="D519" s="3" t="s">
        <v>382</v>
      </c>
      <c r="E519" s="22" t="s">
        <v>600</v>
      </c>
      <c r="F519" s="1" t="s">
        <v>584</v>
      </c>
      <c r="G519" s="14" t="s">
        <v>44</v>
      </c>
      <c r="H519" s="23">
        <v>7858.4000000000005</v>
      </c>
      <c r="I519" s="41">
        <f t="shared" si="14"/>
        <v>0.56000000000000005</v>
      </c>
      <c r="J519" s="44">
        <f t="shared" si="15"/>
        <v>3457.6959999999999</v>
      </c>
    </row>
    <row r="520" spans="1:10" ht="15.95" customHeight="1" x14ac:dyDescent="0.2">
      <c r="B520" s="69">
        <v>190208</v>
      </c>
      <c r="C520" s="12" t="s">
        <v>628</v>
      </c>
      <c r="D520" s="1" t="s">
        <v>326</v>
      </c>
      <c r="E520" s="22" t="s">
        <v>600</v>
      </c>
      <c r="F520" s="1" t="s">
        <v>584</v>
      </c>
      <c r="G520" s="12" t="s">
        <v>44</v>
      </c>
      <c r="H520" s="23">
        <v>6248.0000000000009</v>
      </c>
      <c r="I520" s="41">
        <f t="shared" si="14"/>
        <v>0.56000000000000005</v>
      </c>
      <c r="J520" s="44">
        <f t="shared" si="15"/>
        <v>2749.12</v>
      </c>
    </row>
    <row r="521" spans="1:10" ht="15.95" customHeight="1" x14ac:dyDescent="0.2">
      <c r="B521" s="69">
        <v>190205</v>
      </c>
      <c r="C521" s="12" t="s">
        <v>628</v>
      </c>
      <c r="D521" s="1" t="s">
        <v>329</v>
      </c>
      <c r="E521" s="22" t="s">
        <v>600</v>
      </c>
      <c r="F521" s="1" t="s">
        <v>584</v>
      </c>
      <c r="G521" s="12" t="s">
        <v>44</v>
      </c>
      <c r="H521" s="23">
        <v>1980.0000000000002</v>
      </c>
      <c r="I521" s="41">
        <f t="shared" ref="I521:I584" si="16">$H$7</f>
        <v>0.56000000000000005</v>
      </c>
      <c r="J521" s="44">
        <f t="shared" ref="J521:J584" si="17">H521-H521*I521</f>
        <v>871.2</v>
      </c>
    </row>
    <row r="522" spans="1:10" ht="15.95" customHeight="1" x14ac:dyDescent="0.2">
      <c r="B522" s="69">
        <v>190204</v>
      </c>
      <c r="C522" s="12" t="s">
        <v>628</v>
      </c>
      <c r="D522" s="1" t="s">
        <v>330</v>
      </c>
      <c r="E522" s="22" t="s">
        <v>600</v>
      </c>
      <c r="F522" s="1" t="s">
        <v>584</v>
      </c>
      <c r="G522" s="12" t="s">
        <v>44</v>
      </c>
      <c r="H522" s="23">
        <v>1892.0000000000002</v>
      </c>
      <c r="I522" s="41">
        <f t="shared" si="16"/>
        <v>0.56000000000000005</v>
      </c>
      <c r="J522" s="44">
        <f t="shared" si="17"/>
        <v>832.48</v>
      </c>
    </row>
    <row r="523" spans="1:10" ht="15.95" customHeight="1" x14ac:dyDescent="0.2">
      <c r="A523" s="17"/>
      <c r="B523" s="69">
        <v>190203</v>
      </c>
      <c r="C523" s="12" t="s">
        <v>628</v>
      </c>
      <c r="D523" s="1" t="s">
        <v>332</v>
      </c>
      <c r="E523" s="22" t="s">
        <v>600</v>
      </c>
      <c r="F523" s="1" t="s">
        <v>584</v>
      </c>
      <c r="G523" s="12" t="s">
        <v>44</v>
      </c>
      <c r="H523" s="23">
        <v>1856.8000000000002</v>
      </c>
      <c r="I523" s="41">
        <f t="shared" si="16"/>
        <v>0.56000000000000005</v>
      </c>
      <c r="J523" s="44">
        <f t="shared" si="17"/>
        <v>816.99199999999996</v>
      </c>
    </row>
    <row r="524" spans="1:10" ht="15.95" customHeight="1" x14ac:dyDescent="0.2">
      <c r="A524" s="33"/>
      <c r="B524" s="69">
        <v>190202</v>
      </c>
      <c r="C524" s="12" t="s">
        <v>628</v>
      </c>
      <c r="D524" s="1" t="s">
        <v>324</v>
      </c>
      <c r="E524" s="22" t="s">
        <v>600</v>
      </c>
      <c r="F524" s="1" t="s">
        <v>584</v>
      </c>
      <c r="G524" s="12" t="s">
        <v>44</v>
      </c>
      <c r="H524" s="23">
        <v>3374.8</v>
      </c>
      <c r="I524" s="41">
        <f t="shared" si="16"/>
        <v>0.56000000000000005</v>
      </c>
      <c r="J524" s="44">
        <f t="shared" si="17"/>
        <v>1484.9119999999998</v>
      </c>
    </row>
    <row r="525" spans="1:10" ht="15.95" customHeight="1" x14ac:dyDescent="0.2">
      <c r="A525" s="33"/>
      <c r="B525" s="69">
        <v>190201</v>
      </c>
      <c r="C525" s="12" t="s">
        <v>628</v>
      </c>
      <c r="D525" s="1" t="s">
        <v>321</v>
      </c>
      <c r="E525" s="22" t="s">
        <v>600</v>
      </c>
      <c r="F525" s="1" t="s">
        <v>584</v>
      </c>
      <c r="G525" s="12" t="s">
        <v>44</v>
      </c>
      <c r="H525" s="23">
        <v>3168.0000000000005</v>
      </c>
      <c r="I525" s="41">
        <f t="shared" si="16"/>
        <v>0.56000000000000005</v>
      </c>
      <c r="J525" s="44">
        <f t="shared" si="17"/>
        <v>1393.92</v>
      </c>
    </row>
    <row r="526" spans="1:10" ht="15.95" customHeight="1" x14ac:dyDescent="0.2">
      <c r="A526" s="33"/>
      <c r="B526" s="77">
        <v>190200</v>
      </c>
      <c r="C526" s="12" t="s">
        <v>628</v>
      </c>
      <c r="D526" s="3" t="s">
        <v>531</v>
      </c>
      <c r="E526" s="22" t="s">
        <v>600</v>
      </c>
      <c r="F526" s="1" t="s">
        <v>584</v>
      </c>
      <c r="G526" s="14" t="s">
        <v>44</v>
      </c>
      <c r="H526" s="23">
        <v>3009.6000000000004</v>
      </c>
      <c r="I526" s="41">
        <f t="shared" si="16"/>
        <v>0.56000000000000005</v>
      </c>
      <c r="J526" s="44">
        <f t="shared" si="17"/>
        <v>1324.2239999999999</v>
      </c>
    </row>
    <row r="527" spans="1:10" ht="15.95" customHeight="1" x14ac:dyDescent="0.2">
      <c r="B527" s="77">
        <v>190195</v>
      </c>
      <c r="C527" s="12" t="s">
        <v>628</v>
      </c>
      <c r="D527" s="3" t="s">
        <v>530</v>
      </c>
      <c r="E527" s="22" t="s">
        <v>600</v>
      </c>
      <c r="F527" s="1" t="s">
        <v>584</v>
      </c>
      <c r="G527" s="14" t="s">
        <v>44</v>
      </c>
      <c r="H527" s="23">
        <v>5812.4000000000005</v>
      </c>
      <c r="I527" s="41">
        <f t="shared" si="16"/>
        <v>0.56000000000000005</v>
      </c>
      <c r="J527" s="44">
        <f t="shared" si="17"/>
        <v>2557.4560000000001</v>
      </c>
    </row>
    <row r="528" spans="1:10" ht="15.95" customHeight="1" x14ac:dyDescent="0.2">
      <c r="B528" s="77">
        <v>190194</v>
      </c>
      <c r="C528" s="12" t="s">
        <v>628</v>
      </c>
      <c r="D528" s="3" t="s">
        <v>529</v>
      </c>
      <c r="E528" s="22" t="s">
        <v>600</v>
      </c>
      <c r="F528" s="1" t="s">
        <v>584</v>
      </c>
      <c r="G528" s="14" t="s">
        <v>44</v>
      </c>
      <c r="H528" s="23">
        <v>5253.6</v>
      </c>
      <c r="I528" s="41">
        <f t="shared" si="16"/>
        <v>0.56000000000000005</v>
      </c>
      <c r="J528" s="44">
        <f t="shared" si="17"/>
        <v>2311.5839999999998</v>
      </c>
    </row>
    <row r="529" spans="1:10" ht="15.95" customHeight="1" x14ac:dyDescent="0.2">
      <c r="A529" s="33"/>
      <c r="B529" s="69">
        <v>190193</v>
      </c>
      <c r="C529" s="12" t="s">
        <v>628</v>
      </c>
      <c r="D529" s="1" t="s">
        <v>325</v>
      </c>
      <c r="E529" s="22" t="s">
        <v>600</v>
      </c>
      <c r="F529" s="1" t="s">
        <v>584</v>
      </c>
      <c r="G529" s="12" t="s">
        <v>44</v>
      </c>
      <c r="H529" s="23">
        <v>2838.0000000000005</v>
      </c>
      <c r="I529" s="41">
        <f t="shared" si="16"/>
        <v>0.56000000000000005</v>
      </c>
      <c r="J529" s="44">
        <f t="shared" si="17"/>
        <v>1248.72</v>
      </c>
    </row>
    <row r="530" spans="1:10" ht="15.95" customHeight="1" x14ac:dyDescent="0.2">
      <c r="B530" s="69">
        <v>190192</v>
      </c>
      <c r="C530" s="12" t="s">
        <v>628</v>
      </c>
      <c r="D530" s="1" t="s">
        <v>328</v>
      </c>
      <c r="E530" s="22" t="s">
        <v>600</v>
      </c>
      <c r="F530" s="1" t="s">
        <v>584</v>
      </c>
      <c r="G530" s="12" t="s">
        <v>44</v>
      </c>
      <c r="H530" s="23">
        <v>2103.2000000000003</v>
      </c>
      <c r="I530" s="41">
        <f t="shared" si="16"/>
        <v>0.56000000000000005</v>
      </c>
      <c r="J530" s="44">
        <f t="shared" si="17"/>
        <v>925.4079999999999</v>
      </c>
    </row>
    <row r="531" spans="1:10" ht="15.95" customHeight="1" x14ac:dyDescent="0.2">
      <c r="B531" s="77">
        <v>190185</v>
      </c>
      <c r="C531" s="12" t="s">
        <v>628</v>
      </c>
      <c r="D531" s="3" t="s">
        <v>497</v>
      </c>
      <c r="E531" s="22" t="s">
        <v>600</v>
      </c>
      <c r="F531" s="1" t="s">
        <v>584</v>
      </c>
      <c r="G531" s="14" t="s">
        <v>44</v>
      </c>
      <c r="H531" s="23">
        <v>8417.2000000000007</v>
      </c>
      <c r="I531" s="41">
        <f t="shared" si="16"/>
        <v>0.56000000000000005</v>
      </c>
      <c r="J531" s="44">
        <f t="shared" si="17"/>
        <v>3703.5680000000002</v>
      </c>
    </row>
    <row r="532" spans="1:10" ht="15.95" customHeight="1" x14ac:dyDescent="0.2">
      <c r="B532" s="69">
        <v>190184</v>
      </c>
      <c r="C532" s="12" t="s">
        <v>628</v>
      </c>
      <c r="D532" s="1" t="s">
        <v>320</v>
      </c>
      <c r="E532" s="22" t="s">
        <v>600</v>
      </c>
      <c r="F532" s="1" t="s">
        <v>584</v>
      </c>
      <c r="G532" s="12" t="s">
        <v>44</v>
      </c>
      <c r="H532" s="23">
        <v>6745.2000000000007</v>
      </c>
      <c r="I532" s="41">
        <f t="shared" si="16"/>
        <v>0.56000000000000005</v>
      </c>
      <c r="J532" s="44">
        <f t="shared" si="17"/>
        <v>2967.8879999999999</v>
      </c>
    </row>
    <row r="533" spans="1:10" ht="15.95" customHeight="1" x14ac:dyDescent="0.2">
      <c r="B533" s="77">
        <v>190178</v>
      </c>
      <c r="C533" s="12" t="s">
        <v>628</v>
      </c>
      <c r="D533" s="3" t="s">
        <v>484</v>
      </c>
      <c r="E533" s="22" t="s">
        <v>600</v>
      </c>
      <c r="F533" s="1" t="s">
        <v>584</v>
      </c>
      <c r="G533" s="14" t="s">
        <v>44</v>
      </c>
      <c r="H533" s="23">
        <v>33382.800000000003</v>
      </c>
      <c r="I533" s="41">
        <f t="shared" si="16"/>
        <v>0.56000000000000005</v>
      </c>
      <c r="J533" s="44">
        <f t="shared" si="17"/>
        <v>14688.432000000001</v>
      </c>
    </row>
    <row r="534" spans="1:10" ht="15.95" customHeight="1" x14ac:dyDescent="0.2">
      <c r="B534" s="77">
        <v>190176</v>
      </c>
      <c r="C534" s="12" t="s">
        <v>628</v>
      </c>
      <c r="D534" s="3" t="s">
        <v>481</v>
      </c>
      <c r="E534" s="22" t="s">
        <v>600</v>
      </c>
      <c r="F534" s="1" t="s">
        <v>584</v>
      </c>
      <c r="G534" s="14" t="s">
        <v>44</v>
      </c>
      <c r="H534" s="23">
        <v>22092.400000000001</v>
      </c>
      <c r="I534" s="41">
        <f t="shared" si="16"/>
        <v>0.56000000000000005</v>
      </c>
      <c r="J534" s="44">
        <f t="shared" si="17"/>
        <v>9720.655999999999</v>
      </c>
    </row>
    <row r="535" spans="1:10" ht="15.95" customHeight="1" x14ac:dyDescent="0.2">
      <c r="B535" s="77">
        <v>190175</v>
      </c>
      <c r="C535" s="12" t="s">
        <v>628</v>
      </c>
      <c r="D535" s="3" t="s">
        <v>473</v>
      </c>
      <c r="E535" s="22" t="s">
        <v>600</v>
      </c>
      <c r="F535" s="1" t="s">
        <v>584</v>
      </c>
      <c r="G535" s="14" t="s">
        <v>44</v>
      </c>
      <c r="H535" s="23">
        <v>11026.400000000001</v>
      </c>
      <c r="I535" s="41">
        <f t="shared" si="16"/>
        <v>0.56000000000000005</v>
      </c>
      <c r="J535" s="44">
        <f t="shared" si="17"/>
        <v>4851.616</v>
      </c>
    </row>
    <row r="536" spans="1:10" ht="15.95" customHeight="1" x14ac:dyDescent="0.2">
      <c r="B536" s="77">
        <v>190174</v>
      </c>
      <c r="C536" s="12" t="s">
        <v>628</v>
      </c>
      <c r="D536" s="3" t="s">
        <v>472</v>
      </c>
      <c r="E536" s="22" t="s">
        <v>600</v>
      </c>
      <c r="F536" s="1" t="s">
        <v>584</v>
      </c>
      <c r="G536" s="14" t="s">
        <v>44</v>
      </c>
      <c r="H536" s="23">
        <v>10388.400000000001</v>
      </c>
      <c r="I536" s="41">
        <f t="shared" si="16"/>
        <v>0.56000000000000005</v>
      </c>
      <c r="J536" s="44">
        <f t="shared" si="17"/>
        <v>4570.8959999999997</v>
      </c>
    </row>
    <row r="537" spans="1:10" ht="15.95" customHeight="1" x14ac:dyDescent="0.2">
      <c r="B537" s="77">
        <v>190172</v>
      </c>
      <c r="C537" s="12" t="s">
        <v>628</v>
      </c>
      <c r="D537" s="3" t="s">
        <v>470</v>
      </c>
      <c r="E537" s="22" t="s">
        <v>600</v>
      </c>
      <c r="F537" s="1" t="s">
        <v>584</v>
      </c>
      <c r="G537" s="14" t="s">
        <v>44</v>
      </c>
      <c r="H537" s="23">
        <v>7343.6</v>
      </c>
      <c r="I537" s="41">
        <f t="shared" si="16"/>
        <v>0.56000000000000005</v>
      </c>
      <c r="J537" s="44">
        <f t="shared" si="17"/>
        <v>3231.1840000000002</v>
      </c>
    </row>
    <row r="538" spans="1:10" ht="15.95" customHeight="1" x14ac:dyDescent="0.2">
      <c r="B538" s="77">
        <v>190171</v>
      </c>
      <c r="C538" s="12" t="s">
        <v>628</v>
      </c>
      <c r="D538" s="3" t="s">
        <v>469</v>
      </c>
      <c r="E538" s="22" t="s">
        <v>600</v>
      </c>
      <c r="F538" s="1" t="s">
        <v>584</v>
      </c>
      <c r="G538" s="14" t="s">
        <v>44</v>
      </c>
      <c r="H538" s="23">
        <v>7264.4000000000005</v>
      </c>
      <c r="I538" s="41">
        <f t="shared" si="16"/>
        <v>0.56000000000000005</v>
      </c>
      <c r="J538" s="44">
        <f t="shared" si="17"/>
        <v>3196.3359999999998</v>
      </c>
    </row>
    <row r="539" spans="1:10" ht="15.95" customHeight="1" x14ac:dyDescent="0.2">
      <c r="B539" s="77">
        <v>190169</v>
      </c>
      <c r="C539" s="12" t="s">
        <v>628</v>
      </c>
      <c r="D539" s="3" t="s">
        <v>449</v>
      </c>
      <c r="E539" s="22" t="s">
        <v>600</v>
      </c>
      <c r="F539" s="1" t="s">
        <v>584</v>
      </c>
      <c r="G539" s="14" t="s">
        <v>44</v>
      </c>
      <c r="H539" s="23">
        <v>2406.8000000000002</v>
      </c>
      <c r="I539" s="41">
        <f t="shared" si="16"/>
        <v>0.56000000000000005</v>
      </c>
      <c r="J539" s="44">
        <f t="shared" si="17"/>
        <v>1058.992</v>
      </c>
    </row>
    <row r="540" spans="1:10" ht="15.95" customHeight="1" x14ac:dyDescent="0.2">
      <c r="B540" s="69">
        <v>190168</v>
      </c>
      <c r="C540" s="12" t="s">
        <v>628</v>
      </c>
      <c r="D540" s="1" t="s">
        <v>333</v>
      </c>
      <c r="E540" s="22" t="s">
        <v>600</v>
      </c>
      <c r="F540" s="1" t="s">
        <v>584</v>
      </c>
      <c r="G540" s="12" t="s">
        <v>44</v>
      </c>
      <c r="H540" s="23">
        <v>2323.2000000000003</v>
      </c>
      <c r="I540" s="41">
        <f t="shared" si="16"/>
        <v>0.56000000000000005</v>
      </c>
      <c r="J540" s="44">
        <f t="shared" si="17"/>
        <v>1022.2080000000001</v>
      </c>
    </row>
    <row r="541" spans="1:10" ht="15.95" customHeight="1" x14ac:dyDescent="0.2">
      <c r="B541" s="77">
        <v>190167</v>
      </c>
      <c r="C541" s="12" t="s">
        <v>628</v>
      </c>
      <c r="D541" s="3" t="s">
        <v>448</v>
      </c>
      <c r="E541" s="22" t="s">
        <v>600</v>
      </c>
      <c r="F541" s="1" t="s">
        <v>584</v>
      </c>
      <c r="G541" s="14" t="s">
        <v>44</v>
      </c>
      <c r="H541" s="23">
        <v>2235.2000000000003</v>
      </c>
      <c r="I541" s="41">
        <f t="shared" si="16"/>
        <v>0.56000000000000005</v>
      </c>
      <c r="J541" s="44">
        <f t="shared" si="17"/>
        <v>983.48800000000006</v>
      </c>
    </row>
    <row r="542" spans="1:10" ht="15.95" customHeight="1" x14ac:dyDescent="0.2">
      <c r="B542" s="77">
        <v>190166</v>
      </c>
      <c r="C542" s="12" t="s">
        <v>628</v>
      </c>
      <c r="D542" s="3" t="s">
        <v>447</v>
      </c>
      <c r="E542" s="22" t="s">
        <v>600</v>
      </c>
      <c r="F542" s="1" t="s">
        <v>584</v>
      </c>
      <c r="G542" s="14" t="s">
        <v>44</v>
      </c>
      <c r="H542" s="23">
        <v>2134</v>
      </c>
      <c r="I542" s="41">
        <f t="shared" si="16"/>
        <v>0.56000000000000005</v>
      </c>
      <c r="J542" s="44">
        <f t="shared" si="17"/>
        <v>938.95999999999981</v>
      </c>
    </row>
    <row r="543" spans="1:10" ht="15.95" customHeight="1" x14ac:dyDescent="0.2">
      <c r="B543" s="77">
        <v>190165</v>
      </c>
      <c r="C543" s="12" t="s">
        <v>628</v>
      </c>
      <c r="D543" s="3" t="s">
        <v>446</v>
      </c>
      <c r="E543" s="22" t="s">
        <v>600</v>
      </c>
      <c r="F543" s="1" t="s">
        <v>584</v>
      </c>
      <c r="G543" s="14" t="s">
        <v>44</v>
      </c>
      <c r="H543" s="23">
        <v>12980.000000000002</v>
      </c>
      <c r="I543" s="41">
        <f t="shared" si="16"/>
        <v>0.56000000000000005</v>
      </c>
      <c r="J543" s="44">
        <f t="shared" si="17"/>
        <v>5711.2</v>
      </c>
    </row>
    <row r="544" spans="1:10" ht="15.95" customHeight="1" x14ac:dyDescent="0.2">
      <c r="B544" s="77">
        <v>190164</v>
      </c>
      <c r="C544" s="12" t="s">
        <v>628</v>
      </c>
      <c r="D544" s="3" t="s">
        <v>445</v>
      </c>
      <c r="E544" s="22" t="s">
        <v>600</v>
      </c>
      <c r="F544" s="1" t="s">
        <v>584</v>
      </c>
      <c r="G544" s="14" t="s">
        <v>44</v>
      </c>
      <c r="H544" s="23">
        <v>10841.6</v>
      </c>
      <c r="I544" s="41">
        <f t="shared" si="16"/>
        <v>0.56000000000000005</v>
      </c>
      <c r="J544" s="44">
        <f t="shared" si="17"/>
        <v>4770.3039999999992</v>
      </c>
    </row>
    <row r="545" spans="1:10" ht="15.95" customHeight="1" x14ac:dyDescent="0.2">
      <c r="B545" s="77">
        <v>190163</v>
      </c>
      <c r="C545" s="12" t="s">
        <v>628</v>
      </c>
      <c r="D545" s="3" t="s">
        <v>444</v>
      </c>
      <c r="E545" s="22" t="s">
        <v>600</v>
      </c>
      <c r="F545" s="1" t="s">
        <v>584</v>
      </c>
      <c r="G545" s="14" t="s">
        <v>44</v>
      </c>
      <c r="H545" s="23">
        <v>9037.6</v>
      </c>
      <c r="I545" s="41">
        <f t="shared" si="16"/>
        <v>0.56000000000000005</v>
      </c>
      <c r="J545" s="44">
        <f t="shared" si="17"/>
        <v>3976.5439999999999</v>
      </c>
    </row>
    <row r="546" spans="1:10" ht="15.95" customHeight="1" x14ac:dyDescent="0.2">
      <c r="B546" s="77">
        <v>190162</v>
      </c>
      <c r="C546" s="12" t="s">
        <v>628</v>
      </c>
      <c r="D546" s="3" t="s">
        <v>443</v>
      </c>
      <c r="E546" s="22" t="s">
        <v>600</v>
      </c>
      <c r="F546" s="1" t="s">
        <v>584</v>
      </c>
      <c r="G546" s="14" t="s">
        <v>44</v>
      </c>
      <c r="H546" s="23">
        <v>7260.0000000000009</v>
      </c>
      <c r="I546" s="41">
        <f t="shared" si="16"/>
        <v>0.56000000000000005</v>
      </c>
      <c r="J546" s="44">
        <f t="shared" si="17"/>
        <v>3194.4</v>
      </c>
    </row>
    <row r="547" spans="1:10" ht="15.95" customHeight="1" x14ac:dyDescent="0.2">
      <c r="B547" s="77">
        <v>190161</v>
      </c>
      <c r="C547" s="12" t="s">
        <v>628</v>
      </c>
      <c r="D547" s="3" t="s">
        <v>442</v>
      </c>
      <c r="E547" s="22" t="s">
        <v>600</v>
      </c>
      <c r="F547" s="1" t="s">
        <v>584</v>
      </c>
      <c r="G547" s="14" t="s">
        <v>44</v>
      </c>
      <c r="H547" s="23">
        <v>6217.2000000000007</v>
      </c>
      <c r="I547" s="41">
        <f t="shared" si="16"/>
        <v>0.56000000000000005</v>
      </c>
      <c r="J547" s="44">
        <f t="shared" si="17"/>
        <v>2735.5680000000002</v>
      </c>
    </row>
    <row r="548" spans="1:10" ht="15.95" customHeight="1" x14ac:dyDescent="0.2">
      <c r="B548" s="77">
        <v>190160</v>
      </c>
      <c r="C548" s="12" t="s">
        <v>628</v>
      </c>
      <c r="D548" s="3" t="s">
        <v>439</v>
      </c>
      <c r="E548" s="22" t="s">
        <v>600</v>
      </c>
      <c r="F548" s="1" t="s">
        <v>584</v>
      </c>
      <c r="G548" s="14" t="s">
        <v>44</v>
      </c>
      <c r="H548" s="23">
        <v>5579.2000000000007</v>
      </c>
      <c r="I548" s="41">
        <f t="shared" si="16"/>
        <v>0.56000000000000005</v>
      </c>
      <c r="J548" s="44">
        <f t="shared" si="17"/>
        <v>2454.848</v>
      </c>
    </row>
    <row r="549" spans="1:10" ht="15.95" customHeight="1" x14ac:dyDescent="0.2">
      <c r="A549" s="33"/>
      <c r="B549" s="77">
        <v>190149</v>
      </c>
      <c r="C549" s="12" t="s">
        <v>628</v>
      </c>
      <c r="D549" s="3" t="s">
        <v>450</v>
      </c>
      <c r="E549" s="22" t="s">
        <v>600</v>
      </c>
      <c r="F549" s="1" t="s">
        <v>584</v>
      </c>
      <c r="G549" s="14" t="s">
        <v>44</v>
      </c>
      <c r="H549" s="23">
        <v>3190.0000000000005</v>
      </c>
      <c r="I549" s="41">
        <f t="shared" si="16"/>
        <v>0.56000000000000005</v>
      </c>
      <c r="J549" s="44">
        <f t="shared" si="17"/>
        <v>1403.6000000000001</v>
      </c>
    </row>
    <row r="550" spans="1:10" ht="15.95" customHeight="1" x14ac:dyDescent="0.2">
      <c r="A550" s="33"/>
      <c r="B550" s="77">
        <v>190112</v>
      </c>
      <c r="C550" s="12" t="s">
        <v>628</v>
      </c>
      <c r="D550" s="3" t="s">
        <v>637</v>
      </c>
      <c r="E550" s="22" t="s">
        <v>600</v>
      </c>
      <c r="F550" s="1" t="s">
        <v>584</v>
      </c>
      <c r="G550" s="12" t="s">
        <v>42</v>
      </c>
      <c r="H550" s="23">
        <v>2873.2000000000003</v>
      </c>
      <c r="I550" s="41">
        <f t="shared" si="16"/>
        <v>0.56000000000000005</v>
      </c>
      <c r="J550" s="44">
        <f t="shared" si="17"/>
        <v>1264.2079999999999</v>
      </c>
    </row>
    <row r="551" spans="1:10" ht="15.95" customHeight="1" x14ac:dyDescent="0.2">
      <c r="B551" s="77">
        <v>190092</v>
      </c>
      <c r="C551" s="12" t="s">
        <v>628</v>
      </c>
      <c r="D551" s="3" t="s">
        <v>527</v>
      </c>
      <c r="E551" s="22" t="s">
        <v>600</v>
      </c>
      <c r="F551" s="1" t="s">
        <v>584</v>
      </c>
      <c r="G551" s="14" t="s">
        <v>44</v>
      </c>
      <c r="H551" s="23">
        <v>4263.6000000000004</v>
      </c>
      <c r="I551" s="41">
        <f t="shared" si="16"/>
        <v>0.56000000000000005</v>
      </c>
      <c r="J551" s="44">
        <f t="shared" si="17"/>
        <v>1875.9839999999999</v>
      </c>
    </row>
    <row r="552" spans="1:10" ht="15.95" customHeight="1" x14ac:dyDescent="0.2">
      <c r="B552" s="77">
        <v>190080</v>
      </c>
      <c r="C552" s="12" t="s">
        <v>628</v>
      </c>
      <c r="D552" s="3" t="s">
        <v>546</v>
      </c>
      <c r="E552" s="22" t="s">
        <v>600</v>
      </c>
      <c r="F552" s="1" t="s">
        <v>584</v>
      </c>
      <c r="G552" s="14" t="s">
        <v>44</v>
      </c>
      <c r="H552" s="23">
        <v>4281.2000000000007</v>
      </c>
      <c r="I552" s="41">
        <f t="shared" si="16"/>
        <v>0.56000000000000005</v>
      </c>
      <c r="J552" s="44">
        <f t="shared" si="17"/>
        <v>1883.7280000000001</v>
      </c>
    </row>
    <row r="553" spans="1:10" ht="15.95" customHeight="1" x14ac:dyDescent="0.2">
      <c r="A553" s="33"/>
      <c r="B553" s="77">
        <v>190077</v>
      </c>
      <c r="C553" s="12" t="s">
        <v>628</v>
      </c>
      <c r="D553" s="3" t="s">
        <v>380</v>
      </c>
      <c r="E553" s="22" t="s">
        <v>600</v>
      </c>
      <c r="F553" s="1" t="s">
        <v>584</v>
      </c>
      <c r="G553" s="12" t="s">
        <v>44</v>
      </c>
      <c r="H553" s="19">
        <v>2590.5000000000009</v>
      </c>
      <c r="I553" s="41">
        <f t="shared" si="16"/>
        <v>0.56000000000000005</v>
      </c>
      <c r="J553" s="44">
        <f t="shared" si="17"/>
        <v>1139.8200000000002</v>
      </c>
    </row>
    <row r="554" spans="1:10" ht="15.95" customHeight="1" x14ac:dyDescent="0.2">
      <c r="B554" s="77">
        <v>190072</v>
      </c>
      <c r="C554" s="12" t="s">
        <v>628</v>
      </c>
      <c r="D554" s="3" t="s">
        <v>537</v>
      </c>
      <c r="E554" s="22" t="s">
        <v>600</v>
      </c>
      <c r="F554" s="1" t="s">
        <v>584</v>
      </c>
      <c r="G554" s="12" t="s">
        <v>42</v>
      </c>
      <c r="H554" s="23">
        <v>4611.2000000000007</v>
      </c>
      <c r="I554" s="41">
        <f t="shared" si="16"/>
        <v>0.56000000000000005</v>
      </c>
      <c r="J554" s="44">
        <f t="shared" si="17"/>
        <v>2028.9279999999999</v>
      </c>
    </row>
    <row r="555" spans="1:10" ht="15.95" customHeight="1" x14ac:dyDescent="0.2">
      <c r="A555" s="33"/>
      <c r="B555" s="77">
        <v>190071</v>
      </c>
      <c r="C555" s="12" t="s">
        <v>628</v>
      </c>
      <c r="D555" s="3" t="s">
        <v>381</v>
      </c>
      <c r="E555" s="22" t="s">
        <v>600</v>
      </c>
      <c r="F555" s="1" t="s">
        <v>584</v>
      </c>
      <c r="G555" s="12" t="s">
        <v>44</v>
      </c>
      <c r="H555" s="23">
        <v>3955.6000000000004</v>
      </c>
      <c r="I555" s="41">
        <f t="shared" si="16"/>
        <v>0.56000000000000005</v>
      </c>
      <c r="J555" s="44">
        <f t="shared" si="17"/>
        <v>1740.4639999999999</v>
      </c>
    </row>
    <row r="556" spans="1:10" ht="15.95" customHeight="1" x14ac:dyDescent="0.2">
      <c r="B556" s="77">
        <v>190059</v>
      </c>
      <c r="C556" s="12" t="s">
        <v>628</v>
      </c>
      <c r="D556" s="3" t="s">
        <v>465</v>
      </c>
      <c r="E556" s="22" t="s">
        <v>600</v>
      </c>
      <c r="F556" s="1" t="s">
        <v>584</v>
      </c>
      <c r="G556" s="14" t="s">
        <v>44</v>
      </c>
      <c r="H556" s="23">
        <v>4316.4000000000005</v>
      </c>
      <c r="I556" s="41">
        <f t="shared" si="16"/>
        <v>0.56000000000000005</v>
      </c>
      <c r="J556" s="44">
        <f t="shared" si="17"/>
        <v>1899.2159999999999</v>
      </c>
    </row>
    <row r="557" spans="1:10" ht="15.95" customHeight="1" x14ac:dyDescent="0.2">
      <c r="B557" s="77">
        <v>190058</v>
      </c>
      <c r="C557" s="12" t="s">
        <v>628</v>
      </c>
      <c r="D557" s="3" t="s">
        <v>467</v>
      </c>
      <c r="E557" s="22" t="s">
        <v>600</v>
      </c>
      <c r="F557" s="1" t="s">
        <v>584</v>
      </c>
      <c r="G557" s="14" t="s">
        <v>44</v>
      </c>
      <c r="H557" s="23">
        <v>5997.2000000000007</v>
      </c>
      <c r="I557" s="41">
        <f t="shared" si="16"/>
        <v>0.56000000000000005</v>
      </c>
      <c r="J557" s="44">
        <f t="shared" si="17"/>
        <v>2638.768</v>
      </c>
    </row>
    <row r="558" spans="1:10" ht="15.95" customHeight="1" x14ac:dyDescent="0.2">
      <c r="B558" s="77">
        <v>187394</v>
      </c>
      <c r="C558" s="12" t="s">
        <v>628</v>
      </c>
      <c r="D558" s="3" t="s">
        <v>474</v>
      </c>
      <c r="E558" s="22" t="s">
        <v>600</v>
      </c>
      <c r="F558" s="1" t="s">
        <v>584</v>
      </c>
      <c r="G558" s="14" t="s">
        <v>44</v>
      </c>
      <c r="H558" s="23">
        <v>12667.6</v>
      </c>
      <c r="I558" s="41">
        <f t="shared" si="16"/>
        <v>0.56000000000000005</v>
      </c>
      <c r="J558" s="44">
        <f t="shared" si="17"/>
        <v>5573.7439999999997</v>
      </c>
    </row>
    <row r="559" spans="1:10" ht="15.95" customHeight="1" x14ac:dyDescent="0.2">
      <c r="B559" s="69">
        <v>187389</v>
      </c>
      <c r="C559" s="12" t="s">
        <v>628</v>
      </c>
      <c r="D559" s="1" t="s">
        <v>314</v>
      </c>
      <c r="E559" s="22" t="s">
        <v>600</v>
      </c>
      <c r="F559" s="1" t="s">
        <v>584</v>
      </c>
      <c r="G559" s="12" t="s">
        <v>42</v>
      </c>
      <c r="H559" s="23">
        <v>4184.4000000000005</v>
      </c>
      <c r="I559" s="41">
        <f t="shared" si="16"/>
        <v>0.56000000000000005</v>
      </c>
      <c r="J559" s="44">
        <f t="shared" si="17"/>
        <v>1841.136</v>
      </c>
    </row>
    <row r="560" spans="1:10" ht="15.95" customHeight="1" x14ac:dyDescent="0.2">
      <c r="B560" s="77">
        <v>187385</v>
      </c>
      <c r="C560" s="12" t="s">
        <v>628</v>
      </c>
      <c r="D560" s="3" t="s">
        <v>468</v>
      </c>
      <c r="E560" s="22" t="s">
        <v>600</v>
      </c>
      <c r="F560" s="1" t="s">
        <v>584</v>
      </c>
      <c r="G560" s="14" t="s">
        <v>44</v>
      </c>
      <c r="H560" s="23">
        <v>6226.0000000000009</v>
      </c>
      <c r="I560" s="41">
        <f t="shared" si="16"/>
        <v>0.56000000000000005</v>
      </c>
      <c r="J560" s="44">
        <f t="shared" si="17"/>
        <v>2739.44</v>
      </c>
    </row>
    <row r="561" spans="1:10" ht="15.95" customHeight="1" x14ac:dyDescent="0.2">
      <c r="A561" s="33"/>
      <c r="B561" s="69">
        <v>187377</v>
      </c>
      <c r="C561" s="12" t="s">
        <v>628</v>
      </c>
      <c r="D561" s="1" t="s">
        <v>331</v>
      </c>
      <c r="E561" s="22" t="s">
        <v>600</v>
      </c>
      <c r="F561" s="1" t="s">
        <v>584</v>
      </c>
      <c r="G561" s="12" t="s">
        <v>44</v>
      </c>
      <c r="H561" s="23">
        <v>3234.0000000000005</v>
      </c>
      <c r="I561" s="41">
        <f t="shared" si="16"/>
        <v>0.56000000000000005</v>
      </c>
      <c r="J561" s="44">
        <f t="shared" si="17"/>
        <v>1422.96</v>
      </c>
    </row>
    <row r="562" spans="1:10" ht="15.95" customHeight="1" x14ac:dyDescent="0.2">
      <c r="B562" s="77">
        <v>187365</v>
      </c>
      <c r="C562" s="12" t="s">
        <v>628</v>
      </c>
      <c r="D562" s="3" t="s">
        <v>515</v>
      </c>
      <c r="E562" s="22" t="s">
        <v>600</v>
      </c>
      <c r="F562" s="1" t="s">
        <v>584</v>
      </c>
      <c r="G562" s="12" t="s">
        <v>41</v>
      </c>
      <c r="H562" s="23">
        <v>4303.2000000000007</v>
      </c>
      <c r="I562" s="41">
        <f t="shared" si="16"/>
        <v>0.56000000000000005</v>
      </c>
      <c r="J562" s="44">
        <f t="shared" si="17"/>
        <v>1893.4079999999999</v>
      </c>
    </row>
    <row r="563" spans="1:10" ht="15.95" customHeight="1" x14ac:dyDescent="0.2">
      <c r="A563" s="33"/>
      <c r="B563" s="77">
        <v>187364</v>
      </c>
      <c r="C563" s="12" t="s">
        <v>628</v>
      </c>
      <c r="D563" s="3" t="s">
        <v>521</v>
      </c>
      <c r="E563" s="22" t="s">
        <v>600</v>
      </c>
      <c r="F563" s="1" t="s">
        <v>584</v>
      </c>
      <c r="G563" s="13" t="s">
        <v>631</v>
      </c>
      <c r="H563" s="23">
        <v>2692.8</v>
      </c>
      <c r="I563" s="41">
        <f t="shared" si="16"/>
        <v>0.56000000000000005</v>
      </c>
      <c r="J563" s="44">
        <f t="shared" si="17"/>
        <v>1184.8319999999999</v>
      </c>
    </row>
    <row r="564" spans="1:10" ht="15.95" customHeight="1" x14ac:dyDescent="0.2">
      <c r="B564" s="77">
        <v>187363</v>
      </c>
      <c r="C564" s="12" t="s">
        <v>628</v>
      </c>
      <c r="D564" s="3" t="s">
        <v>53</v>
      </c>
      <c r="E564" s="22" t="s">
        <v>600</v>
      </c>
      <c r="F564" s="1" t="s">
        <v>584</v>
      </c>
      <c r="G564" s="12" t="s">
        <v>43</v>
      </c>
      <c r="H564" s="23">
        <v>5002.8</v>
      </c>
      <c r="I564" s="41">
        <f t="shared" si="16"/>
        <v>0.56000000000000005</v>
      </c>
      <c r="J564" s="44">
        <f t="shared" si="17"/>
        <v>2201.232</v>
      </c>
    </row>
    <row r="565" spans="1:10" ht="15.95" customHeight="1" x14ac:dyDescent="0.2">
      <c r="B565" s="77">
        <v>187360</v>
      </c>
      <c r="C565" s="12" t="s">
        <v>628</v>
      </c>
      <c r="D565" s="3" t="s">
        <v>57</v>
      </c>
      <c r="E565" s="22" t="s">
        <v>600</v>
      </c>
      <c r="F565" s="1" t="s">
        <v>582</v>
      </c>
      <c r="G565" s="12" t="s">
        <v>42</v>
      </c>
      <c r="H565" s="23">
        <v>13024.000000000004</v>
      </c>
      <c r="I565" s="41">
        <f t="shared" si="16"/>
        <v>0.56000000000000005</v>
      </c>
      <c r="J565" s="44">
        <f t="shared" si="17"/>
        <v>5730.5600000000013</v>
      </c>
    </row>
    <row r="566" spans="1:10" ht="15.95" customHeight="1" x14ac:dyDescent="0.2">
      <c r="A566" s="33"/>
      <c r="B566" s="69">
        <v>187354</v>
      </c>
      <c r="C566" s="12" t="s">
        <v>628</v>
      </c>
      <c r="D566" s="1" t="s">
        <v>322</v>
      </c>
      <c r="E566" s="22" t="s">
        <v>600</v>
      </c>
      <c r="F566" s="1" t="s">
        <v>584</v>
      </c>
      <c r="G566" s="12" t="s">
        <v>44</v>
      </c>
      <c r="H566" s="23">
        <v>3080.0000000000005</v>
      </c>
      <c r="I566" s="41">
        <f t="shared" si="16"/>
        <v>0.56000000000000005</v>
      </c>
      <c r="J566" s="44">
        <f t="shared" si="17"/>
        <v>1355.2</v>
      </c>
    </row>
    <row r="567" spans="1:10" ht="15.95" customHeight="1" x14ac:dyDescent="0.2">
      <c r="A567" s="33"/>
      <c r="B567" s="77">
        <v>187350</v>
      </c>
      <c r="C567" s="12" t="s">
        <v>628</v>
      </c>
      <c r="D567" s="3" t="s">
        <v>524</v>
      </c>
      <c r="E567" s="22" t="s">
        <v>600</v>
      </c>
      <c r="F567" s="1" t="s">
        <v>584</v>
      </c>
      <c r="G567" s="13" t="s">
        <v>631</v>
      </c>
      <c r="H567" s="23">
        <v>3876.4</v>
      </c>
      <c r="I567" s="41">
        <f t="shared" si="16"/>
        <v>0.56000000000000005</v>
      </c>
      <c r="J567" s="44">
        <f t="shared" si="17"/>
        <v>1705.616</v>
      </c>
    </row>
    <row r="568" spans="1:10" ht="15.95" customHeight="1" x14ac:dyDescent="0.2">
      <c r="B568" s="77">
        <v>187348</v>
      </c>
      <c r="C568" s="12" t="s">
        <v>628</v>
      </c>
      <c r="D568" s="3" t="s">
        <v>67</v>
      </c>
      <c r="E568" s="22" t="s">
        <v>600</v>
      </c>
      <c r="F568" s="1" t="s">
        <v>584</v>
      </c>
      <c r="G568" s="12" t="s">
        <v>41</v>
      </c>
      <c r="H568" s="23">
        <v>8958.4000000000015</v>
      </c>
      <c r="I568" s="41">
        <f t="shared" si="16"/>
        <v>0.56000000000000005</v>
      </c>
      <c r="J568" s="44">
        <f t="shared" si="17"/>
        <v>3941.6959999999999</v>
      </c>
    </row>
    <row r="569" spans="1:10" ht="15.95" customHeight="1" x14ac:dyDescent="0.2">
      <c r="B569" s="77">
        <v>187305</v>
      </c>
      <c r="C569" s="12" t="s">
        <v>628</v>
      </c>
      <c r="D569" s="3" t="s">
        <v>414</v>
      </c>
      <c r="E569" s="22" t="s">
        <v>600</v>
      </c>
      <c r="F569" s="1" t="s">
        <v>582</v>
      </c>
      <c r="G569" s="13" t="s">
        <v>631</v>
      </c>
      <c r="H569" s="23">
        <v>6022.5000000000009</v>
      </c>
      <c r="I569" s="41">
        <f t="shared" si="16"/>
        <v>0.56000000000000005</v>
      </c>
      <c r="J569" s="44">
        <f t="shared" si="17"/>
        <v>2649.9</v>
      </c>
    </row>
    <row r="570" spans="1:10" ht="15.95" customHeight="1" x14ac:dyDescent="0.2">
      <c r="B570" s="77">
        <v>187294</v>
      </c>
      <c r="C570" s="12" t="s">
        <v>628</v>
      </c>
      <c r="D570" s="3" t="s">
        <v>55</v>
      </c>
      <c r="E570" s="22" t="s">
        <v>600</v>
      </c>
      <c r="F570" s="1" t="s">
        <v>582</v>
      </c>
      <c r="G570" s="12" t="s">
        <v>41</v>
      </c>
      <c r="H570" s="23">
        <v>10263.000000000004</v>
      </c>
      <c r="I570" s="41">
        <f t="shared" si="16"/>
        <v>0.56000000000000005</v>
      </c>
      <c r="J570" s="44">
        <f t="shared" si="17"/>
        <v>4515.7200000000012</v>
      </c>
    </row>
    <row r="571" spans="1:10" ht="15.95" customHeight="1" x14ac:dyDescent="0.2">
      <c r="B571" s="77">
        <v>187293</v>
      </c>
      <c r="C571" s="12" t="s">
        <v>628</v>
      </c>
      <c r="D571" s="3" t="s">
        <v>407</v>
      </c>
      <c r="E571" s="22" t="s">
        <v>600</v>
      </c>
      <c r="F571" s="1" t="s">
        <v>582</v>
      </c>
      <c r="G571" s="12" t="s">
        <v>41</v>
      </c>
      <c r="H571" s="23">
        <v>4768.5000000000009</v>
      </c>
      <c r="I571" s="41">
        <f t="shared" si="16"/>
        <v>0.56000000000000005</v>
      </c>
      <c r="J571" s="44">
        <f t="shared" si="17"/>
        <v>2098.1400000000003</v>
      </c>
    </row>
    <row r="572" spans="1:10" ht="15.95" customHeight="1" x14ac:dyDescent="0.2">
      <c r="B572" s="77">
        <v>187292</v>
      </c>
      <c r="C572" s="12" t="s">
        <v>628</v>
      </c>
      <c r="D572" s="3" t="s">
        <v>399</v>
      </c>
      <c r="E572" s="22" t="s">
        <v>600</v>
      </c>
      <c r="F572" s="1" t="s">
        <v>584</v>
      </c>
      <c r="G572" s="13" t="s">
        <v>631</v>
      </c>
      <c r="H572" s="23">
        <v>13186.800000000001</v>
      </c>
      <c r="I572" s="41">
        <f t="shared" si="16"/>
        <v>0.56000000000000005</v>
      </c>
      <c r="J572" s="44">
        <f t="shared" si="17"/>
        <v>5802.192</v>
      </c>
    </row>
    <row r="573" spans="1:10" ht="15.95" customHeight="1" x14ac:dyDescent="0.2">
      <c r="B573" s="77">
        <v>187291</v>
      </c>
      <c r="C573" s="12" t="s">
        <v>628</v>
      </c>
      <c r="D573" s="3" t="s">
        <v>391</v>
      </c>
      <c r="E573" s="22" t="s">
        <v>600</v>
      </c>
      <c r="F573" s="1" t="s">
        <v>584</v>
      </c>
      <c r="G573" s="12" t="s">
        <v>41</v>
      </c>
      <c r="H573" s="23">
        <v>9640.4000000000015</v>
      </c>
      <c r="I573" s="41">
        <f t="shared" si="16"/>
        <v>0.56000000000000005</v>
      </c>
      <c r="J573" s="44">
        <f t="shared" si="17"/>
        <v>4241.7759999999998</v>
      </c>
    </row>
    <row r="574" spans="1:10" ht="15.95" customHeight="1" x14ac:dyDescent="0.2">
      <c r="A574" s="33"/>
      <c r="B574" s="77">
        <v>187288</v>
      </c>
      <c r="C574" s="12" t="s">
        <v>628</v>
      </c>
      <c r="D574" s="3" t="s">
        <v>400</v>
      </c>
      <c r="E574" s="22" t="s">
        <v>600</v>
      </c>
      <c r="F574" s="1" t="s">
        <v>582</v>
      </c>
      <c r="G574" s="14" t="s">
        <v>44</v>
      </c>
      <c r="H574" s="23">
        <v>3454.0000000000009</v>
      </c>
      <c r="I574" s="41">
        <f t="shared" si="16"/>
        <v>0.56000000000000005</v>
      </c>
      <c r="J574" s="44">
        <f t="shared" si="17"/>
        <v>1519.7600000000002</v>
      </c>
    </row>
    <row r="575" spans="1:10" ht="15.95" customHeight="1" x14ac:dyDescent="0.2">
      <c r="B575" s="77">
        <v>186760</v>
      </c>
      <c r="C575" s="12" t="s">
        <v>628</v>
      </c>
      <c r="D575" s="3" t="s">
        <v>471</v>
      </c>
      <c r="E575" s="22" t="s">
        <v>600</v>
      </c>
      <c r="F575" s="1" t="s">
        <v>584</v>
      </c>
      <c r="G575" s="14" t="s">
        <v>44</v>
      </c>
      <c r="H575" s="23">
        <v>9064</v>
      </c>
      <c r="I575" s="41">
        <f t="shared" si="16"/>
        <v>0.56000000000000005</v>
      </c>
      <c r="J575" s="44">
        <f t="shared" si="17"/>
        <v>3988.16</v>
      </c>
    </row>
    <row r="576" spans="1:10" ht="15.95" customHeight="1" x14ac:dyDescent="0.2">
      <c r="B576" s="77">
        <v>186748</v>
      </c>
      <c r="C576" s="12" t="s">
        <v>628</v>
      </c>
      <c r="D576" s="3" t="s">
        <v>466</v>
      </c>
      <c r="E576" s="22" t="s">
        <v>600</v>
      </c>
      <c r="F576" s="1" t="s">
        <v>584</v>
      </c>
      <c r="G576" s="14" t="s">
        <v>44</v>
      </c>
      <c r="H576" s="23">
        <v>5359.2000000000007</v>
      </c>
      <c r="I576" s="41">
        <f t="shared" si="16"/>
        <v>0.56000000000000005</v>
      </c>
      <c r="J576" s="44">
        <f t="shared" si="17"/>
        <v>2358.0480000000002</v>
      </c>
    </row>
    <row r="577" spans="1:10" ht="15.95" customHeight="1" x14ac:dyDescent="0.2">
      <c r="B577" s="77">
        <v>186747</v>
      </c>
      <c r="C577" s="12" t="s">
        <v>628</v>
      </c>
      <c r="D577" s="3" t="s">
        <v>383</v>
      </c>
      <c r="E577" s="22" t="s">
        <v>600</v>
      </c>
      <c r="F577" s="1" t="s">
        <v>584</v>
      </c>
      <c r="G577" s="14" t="s">
        <v>44</v>
      </c>
      <c r="H577" s="23">
        <v>9526</v>
      </c>
      <c r="I577" s="41">
        <f t="shared" si="16"/>
        <v>0.56000000000000005</v>
      </c>
      <c r="J577" s="44">
        <f t="shared" si="17"/>
        <v>4191.4399999999996</v>
      </c>
    </row>
    <row r="578" spans="1:10" ht="15.95" customHeight="1" x14ac:dyDescent="0.2">
      <c r="B578" s="77">
        <v>186660</v>
      </c>
      <c r="C578" s="12" t="s">
        <v>628</v>
      </c>
      <c r="D578" s="3" t="s">
        <v>455</v>
      </c>
      <c r="E578" s="22" t="s">
        <v>600</v>
      </c>
      <c r="F578" s="1" t="s">
        <v>584</v>
      </c>
      <c r="G578" s="12" t="s">
        <v>41</v>
      </c>
      <c r="H578" s="23">
        <v>4659.6000000000004</v>
      </c>
      <c r="I578" s="41">
        <f t="shared" si="16"/>
        <v>0.56000000000000005</v>
      </c>
      <c r="J578" s="44">
        <f t="shared" si="17"/>
        <v>2050.2239999999997</v>
      </c>
    </row>
    <row r="579" spans="1:10" ht="15.95" customHeight="1" x14ac:dyDescent="0.2">
      <c r="B579" s="77">
        <v>186645</v>
      </c>
      <c r="C579" s="12" t="s">
        <v>628</v>
      </c>
      <c r="D579" s="4" t="s">
        <v>436</v>
      </c>
      <c r="E579" s="22" t="s">
        <v>600</v>
      </c>
      <c r="F579" s="1" t="s">
        <v>584</v>
      </c>
      <c r="G579" s="12" t="s">
        <v>41</v>
      </c>
      <c r="H579" s="23">
        <v>6472.4000000000005</v>
      </c>
      <c r="I579" s="41">
        <f t="shared" si="16"/>
        <v>0.56000000000000005</v>
      </c>
      <c r="J579" s="44">
        <f t="shared" si="17"/>
        <v>2847.8559999999998</v>
      </c>
    </row>
    <row r="580" spans="1:10" ht="15.95" customHeight="1" x14ac:dyDescent="0.2">
      <c r="B580" s="77">
        <v>186643</v>
      </c>
      <c r="C580" s="12" t="s">
        <v>628</v>
      </c>
      <c r="D580" s="3" t="s">
        <v>525</v>
      </c>
      <c r="E580" s="22" t="s">
        <v>600</v>
      </c>
      <c r="F580" s="1" t="s">
        <v>584</v>
      </c>
      <c r="G580" s="13" t="s">
        <v>631</v>
      </c>
      <c r="H580" s="23">
        <v>6652.8</v>
      </c>
      <c r="I580" s="41">
        <f t="shared" si="16"/>
        <v>0.56000000000000005</v>
      </c>
      <c r="J580" s="44">
        <f t="shared" si="17"/>
        <v>2927.2319999999995</v>
      </c>
    </row>
    <row r="581" spans="1:10" ht="15.95" customHeight="1" x14ac:dyDescent="0.2">
      <c r="A581" s="33"/>
      <c r="B581" s="77">
        <v>186639</v>
      </c>
      <c r="C581" s="12" t="s">
        <v>628</v>
      </c>
      <c r="D581" s="3" t="s">
        <v>405</v>
      </c>
      <c r="E581" s="22" t="s">
        <v>600</v>
      </c>
      <c r="F581" s="1" t="s">
        <v>582</v>
      </c>
      <c r="G581" s="12" t="s">
        <v>41</v>
      </c>
      <c r="H581" s="23">
        <v>3971.0000000000009</v>
      </c>
      <c r="I581" s="41">
        <f t="shared" si="16"/>
        <v>0.56000000000000005</v>
      </c>
      <c r="J581" s="44">
        <f t="shared" si="17"/>
        <v>1747.2400000000002</v>
      </c>
    </row>
    <row r="582" spans="1:10" ht="15.95" customHeight="1" x14ac:dyDescent="0.2">
      <c r="B582" s="77">
        <v>186638</v>
      </c>
      <c r="C582" s="12" t="s">
        <v>628</v>
      </c>
      <c r="D582" s="3" t="s">
        <v>411</v>
      </c>
      <c r="E582" s="22" t="s">
        <v>600</v>
      </c>
      <c r="F582" s="1" t="s">
        <v>582</v>
      </c>
      <c r="G582" s="13" t="s">
        <v>631</v>
      </c>
      <c r="H582" s="23">
        <v>4295.5000000000009</v>
      </c>
      <c r="I582" s="41">
        <f t="shared" si="16"/>
        <v>0.56000000000000005</v>
      </c>
      <c r="J582" s="44">
        <f t="shared" si="17"/>
        <v>1890.02</v>
      </c>
    </row>
    <row r="583" spans="1:10" ht="15.95" customHeight="1" x14ac:dyDescent="0.2">
      <c r="B583" s="77">
        <v>186630</v>
      </c>
      <c r="C583" s="12" t="s">
        <v>628</v>
      </c>
      <c r="D583" s="3" t="s">
        <v>535</v>
      </c>
      <c r="E583" s="22" t="s">
        <v>600</v>
      </c>
      <c r="F583" s="1" t="s">
        <v>584</v>
      </c>
      <c r="G583" s="12" t="s">
        <v>41</v>
      </c>
      <c r="H583" s="23">
        <v>5438.4000000000005</v>
      </c>
      <c r="I583" s="41">
        <f t="shared" si="16"/>
        <v>0.56000000000000005</v>
      </c>
      <c r="J583" s="44">
        <f t="shared" si="17"/>
        <v>2392.8959999999997</v>
      </c>
    </row>
    <row r="584" spans="1:10" ht="15.95" customHeight="1" x14ac:dyDescent="0.2">
      <c r="B584" s="77">
        <v>186627</v>
      </c>
      <c r="C584" s="12" t="s">
        <v>628</v>
      </c>
      <c r="D584" s="3" t="s">
        <v>486</v>
      </c>
      <c r="E584" s="22" t="s">
        <v>600</v>
      </c>
      <c r="F584" s="1" t="s">
        <v>584</v>
      </c>
      <c r="G584" s="12" t="s">
        <v>41</v>
      </c>
      <c r="H584" s="23">
        <v>5249.2000000000007</v>
      </c>
      <c r="I584" s="41">
        <f t="shared" si="16"/>
        <v>0.56000000000000005</v>
      </c>
      <c r="J584" s="44">
        <f t="shared" si="17"/>
        <v>2309.6480000000001</v>
      </c>
    </row>
    <row r="585" spans="1:10" ht="15.95" customHeight="1" x14ac:dyDescent="0.2">
      <c r="B585" s="77">
        <v>186623</v>
      </c>
      <c r="C585" s="12" t="s">
        <v>628</v>
      </c>
      <c r="D585" s="3" t="s">
        <v>544</v>
      </c>
      <c r="E585" s="22" t="s">
        <v>600</v>
      </c>
      <c r="F585" s="1" t="s">
        <v>584</v>
      </c>
      <c r="G585" s="13" t="s">
        <v>631</v>
      </c>
      <c r="H585" s="23">
        <v>7832.0000000000009</v>
      </c>
      <c r="I585" s="41">
        <f t="shared" ref="I585:I648" si="18">$H$7</f>
        <v>0.56000000000000005</v>
      </c>
      <c r="J585" s="44">
        <f t="shared" ref="J585:J648" si="19">H585-H585*I585</f>
        <v>3446.08</v>
      </c>
    </row>
    <row r="586" spans="1:10" ht="15.95" customHeight="1" x14ac:dyDescent="0.2">
      <c r="B586" s="77">
        <v>186595</v>
      </c>
      <c r="C586" s="12" t="s">
        <v>628</v>
      </c>
      <c r="D586" s="3" t="s">
        <v>390</v>
      </c>
      <c r="E586" s="22" t="s">
        <v>600</v>
      </c>
      <c r="F586" s="1" t="s">
        <v>584</v>
      </c>
      <c r="G586" s="12" t="s">
        <v>41</v>
      </c>
      <c r="H586" s="23">
        <v>4545.2000000000007</v>
      </c>
      <c r="I586" s="41">
        <f t="shared" si="18"/>
        <v>0.56000000000000005</v>
      </c>
      <c r="J586" s="44">
        <f t="shared" si="19"/>
        <v>1999.8879999999999</v>
      </c>
    </row>
    <row r="587" spans="1:10" ht="15.95" customHeight="1" x14ac:dyDescent="0.2">
      <c r="A587" s="33"/>
      <c r="B587" s="77">
        <v>186591</v>
      </c>
      <c r="C587" s="12" t="s">
        <v>628</v>
      </c>
      <c r="D587" s="3" t="s">
        <v>526</v>
      </c>
      <c r="E587" s="22" t="s">
        <v>600</v>
      </c>
      <c r="F587" s="1" t="s">
        <v>584</v>
      </c>
      <c r="G587" s="14" t="s">
        <v>44</v>
      </c>
      <c r="H587" s="23">
        <v>3326.4</v>
      </c>
      <c r="I587" s="41">
        <f t="shared" si="18"/>
        <v>0.56000000000000005</v>
      </c>
      <c r="J587" s="44">
        <f t="shared" si="19"/>
        <v>1463.6159999999998</v>
      </c>
    </row>
    <row r="588" spans="1:10" ht="15.95" customHeight="1" x14ac:dyDescent="0.2">
      <c r="B588" s="77">
        <v>186590</v>
      </c>
      <c r="C588" s="12" t="s">
        <v>628</v>
      </c>
      <c r="D588" s="3" t="s">
        <v>498</v>
      </c>
      <c r="E588" s="22" t="s">
        <v>600</v>
      </c>
      <c r="F588" s="1" t="s">
        <v>584</v>
      </c>
      <c r="G588" s="14" t="s">
        <v>44</v>
      </c>
      <c r="H588" s="23">
        <v>8976</v>
      </c>
      <c r="I588" s="41">
        <f t="shared" si="18"/>
        <v>0.56000000000000005</v>
      </c>
      <c r="J588" s="44">
        <f t="shared" si="19"/>
        <v>3949.4399999999996</v>
      </c>
    </row>
    <row r="589" spans="1:10" ht="15.95" customHeight="1" x14ac:dyDescent="0.2">
      <c r="B589" s="77">
        <v>186561</v>
      </c>
      <c r="C589" s="12" t="s">
        <v>628</v>
      </c>
      <c r="D589" s="4" t="s">
        <v>438</v>
      </c>
      <c r="E589" s="22" t="s">
        <v>600</v>
      </c>
      <c r="F589" s="1" t="s">
        <v>584</v>
      </c>
      <c r="G589" s="13" t="s">
        <v>631</v>
      </c>
      <c r="H589" s="23">
        <v>8553.6</v>
      </c>
      <c r="I589" s="41">
        <f t="shared" si="18"/>
        <v>0.56000000000000005</v>
      </c>
      <c r="J589" s="44">
        <f t="shared" si="19"/>
        <v>3763.5839999999998</v>
      </c>
    </row>
    <row r="590" spans="1:10" ht="15.95" customHeight="1" x14ac:dyDescent="0.2">
      <c r="B590" s="77">
        <v>186540</v>
      </c>
      <c r="C590" s="12" t="s">
        <v>628</v>
      </c>
      <c r="D590" s="3" t="s">
        <v>394</v>
      </c>
      <c r="E590" s="22" t="s">
        <v>600</v>
      </c>
      <c r="F590" s="1" t="s">
        <v>584</v>
      </c>
      <c r="G590" s="12" t="s">
        <v>42</v>
      </c>
      <c r="H590" s="23">
        <v>25770.800000000003</v>
      </c>
      <c r="I590" s="41">
        <f t="shared" si="18"/>
        <v>0.56000000000000005</v>
      </c>
      <c r="J590" s="44">
        <f t="shared" si="19"/>
        <v>11339.152</v>
      </c>
    </row>
    <row r="591" spans="1:10" ht="15.95" customHeight="1" x14ac:dyDescent="0.2">
      <c r="B591" s="77">
        <v>186539</v>
      </c>
      <c r="C591" s="12" t="s">
        <v>628</v>
      </c>
      <c r="D591" s="3" t="s">
        <v>393</v>
      </c>
      <c r="E591" s="22" t="s">
        <v>600</v>
      </c>
      <c r="F591" s="1" t="s">
        <v>584</v>
      </c>
      <c r="G591" s="12" t="s">
        <v>42</v>
      </c>
      <c r="H591" s="23">
        <v>19663.600000000002</v>
      </c>
      <c r="I591" s="41">
        <f t="shared" si="18"/>
        <v>0.56000000000000005</v>
      </c>
      <c r="J591" s="44">
        <f t="shared" si="19"/>
        <v>8651.9840000000004</v>
      </c>
    </row>
    <row r="592" spans="1:10" ht="15.95" customHeight="1" x14ac:dyDescent="0.2">
      <c r="B592" s="77">
        <v>186500</v>
      </c>
      <c r="C592" s="12" t="s">
        <v>628</v>
      </c>
      <c r="D592" s="3" t="s">
        <v>510</v>
      </c>
      <c r="E592" s="22" t="s">
        <v>600</v>
      </c>
      <c r="F592" s="1" t="s">
        <v>584</v>
      </c>
      <c r="G592" s="14" t="s">
        <v>44</v>
      </c>
      <c r="H592" s="23">
        <v>1940.4</v>
      </c>
      <c r="I592" s="41">
        <f t="shared" si="18"/>
        <v>0.56000000000000005</v>
      </c>
      <c r="J592" s="44">
        <f t="shared" si="19"/>
        <v>853.77599999999984</v>
      </c>
    </row>
    <row r="593" spans="1:10" ht="15.95" customHeight="1" x14ac:dyDescent="0.2">
      <c r="A593" s="33"/>
      <c r="B593" s="77">
        <v>186499</v>
      </c>
      <c r="C593" s="12" t="s">
        <v>628</v>
      </c>
      <c r="D593" s="3" t="s">
        <v>514</v>
      </c>
      <c r="E593" s="22" t="s">
        <v>600</v>
      </c>
      <c r="F593" s="1" t="s">
        <v>584</v>
      </c>
      <c r="G593" s="12" t="s">
        <v>41</v>
      </c>
      <c r="H593" s="23">
        <v>2873.2000000000003</v>
      </c>
      <c r="I593" s="41">
        <f t="shared" si="18"/>
        <v>0.56000000000000005</v>
      </c>
      <c r="J593" s="44">
        <f t="shared" si="19"/>
        <v>1264.2079999999999</v>
      </c>
    </row>
    <row r="594" spans="1:10" ht="15.95" customHeight="1" x14ac:dyDescent="0.2">
      <c r="A594" s="33"/>
      <c r="B594" s="77">
        <v>186498</v>
      </c>
      <c r="C594" s="12" t="s">
        <v>628</v>
      </c>
      <c r="D594" s="3" t="s">
        <v>523</v>
      </c>
      <c r="E594" s="22" t="s">
        <v>600</v>
      </c>
      <c r="F594" s="1" t="s">
        <v>584</v>
      </c>
      <c r="G594" s="13" t="s">
        <v>631</v>
      </c>
      <c r="H594" s="23">
        <v>3577.2000000000003</v>
      </c>
      <c r="I594" s="41">
        <f t="shared" si="18"/>
        <v>0.56000000000000005</v>
      </c>
      <c r="J594" s="44">
        <f t="shared" si="19"/>
        <v>1573.9679999999998</v>
      </c>
    </row>
    <row r="595" spans="1:10" ht="15.95" customHeight="1" x14ac:dyDescent="0.2">
      <c r="B595" s="77">
        <v>186497</v>
      </c>
      <c r="C595" s="12" t="s">
        <v>628</v>
      </c>
      <c r="D595" s="3" t="s">
        <v>522</v>
      </c>
      <c r="E595" s="22" t="s">
        <v>600</v>
      </c>
      <c r="F595" s="1" t="s">
        <v>584</v>
      </c>
      <c r="G595" s="13" t="s">
        <v>631</v>
      </c>
      <c r="H595" s="23">
        <v>2736.8</v>
      </c>
      <c r="I595" s="41">
        <f t="shared" si="18"/>
        <v>0.56000000000000005</v>
      </c>
      <c r="J595" s="44">
        <f t="shared" si="19"/>
        <v>1204.192</v>
      </c>
    </row>
    <row r="596" spans="1:10" ht="15.95" customHeight="1" x14ac:dyDescent="0.2">
      <c r="B596" s="77">
        <v>186487</v>
      </c>
      <c r="C596" s="12" t="s">
        <v>628</v>
      </c>
      <c r="D596" s="3" t="s">
        <v>397</v>
      </c>
      <c r="E596" s="22" t="s">
        <v>600</v>
      </c>
      <c r="F596" s="1" t="s">
        <v>584</v>
      </c>
      <c r="G596" s="13" t="s">
        <v>631</v>
      </c>
      <c r="H596" s="23">
        <v>7950.8000000000011</v>
      </c>
      <c r="I596" s="41">
        <f t="shared" si="18"/>
        <v>0.56000000000000005</v>
      </c>
      <c r="J596" s="44">
        <f t="shared" si="19"/>
        <v>3498.3519999999999</v>
      </c>
    </row>
    <row r="597" spans="1:10" ht="15.95" customHeight="1" x14ac:dyDescent="0.2">
      <c r="B597" s="77">
        <v>186486</v>
      </c>
      <c r="C597" s="12" t="s">
        <v>628</v>
      </c>
      <c r="D597" s="3" t="s">
        <v>392</v>
      </c>
      <c r="E597" s="22" t="s">
        <v>600</v>
      </c>
      <c r="F597" s="1" t="s">
        <v>584</v>
      </c>
      <c r="G597" s="12" t="s">
        <v>42</v>
      </c>
      <c r="H597" s="23">
        <v>14282.400000000001</v>
      </c>
      <c r="I597" s="41">
        <f t="shared" si="18"/>
        <v>0.56000000000000005</v>
      </c>
      <c r="J597" s="44">
        <f t="shared" si="19"/>
        <v>6284.2560000000003</v>
      </c>
    </row>
    <row r="598" spans="1:10" ht="15.95" customHeight="1" x14ac:dyDescent="0.2">
      <c r="A598" s="33"/>
      <c r="B598" s="77">
        <v>186484</v>
      </c>
      <c r="C598" s="12" t="s">
        <v>628</v>
      </c>
      <c r="D598" s="3" t="s">
        <v>462</v>
      </c>
      <c r="E598" s="22" t="s">
        <v>600</v>
      </c>
      <c r="F598" s="1" t="s">
        <v>584</v>
      </c>
      <c r="G598" s="13" t="s">
        <v>631</v>
      </c>
      <c r="H598" s="23">
        <v>3493.6000000000004</v>
      </c>
      <c r="I598" s="41">
        <f t="shared" si="18"/>
        <v>0.56000000000000005</v>
      </c>
      <c r="J598" s="44">
        <f t="shared" si="19"/>
        <v>1537.184</v>
      </c>
    </row>
    <row r="599" spans="1:10" ht="15.95" customHeight="1" x14ac:dyDescent="0.2">
      <c r="A599" s="33"/>
      <c r="B599" s="77">
        <v>186483</v>
      </c>
      <c r="C599" s="12" t="s">
        <v>628</v>
      </c>
      <c r="D599" s="3" t="s">
        <v>461</v>
      </c>
      <c r="E599" s="22" t="s">
        <v>600</v>
      </c>
      <c r="F599" s="1" t="s">
        <v>584</v>
      </c>
      <c r="G599" s="13" t="s">
        <v>631</v>
      </c>
      <c r="H599" s="23">
        <v>3115.2000000000003</v>
      </c>
      <c r="I599" s="41">
        <f t="shared" si="18"/>
        <v>0.56000000000000005</v>
      </c>
      <c r="J599" s="44">
        <f t="shared" si="19"/>
        <v>1370.6879999999999</v>
      </c>
    </row>
    <row r="600" spans="1:10" ht="15.95" customHeight="1" x14ac:dyDescent="0.2">
      <c r="A600" s="33"/>
      <c r="B600" s="77">
        <v>186481</v>
      </c>
      <c r="C600" s="12" t="s">
        <v>628</v>
      </c>
      <c r="D600" s="3" t="s">
        <v>452</v>
      </c>
      <c r="E600" s="22" t="s">
        <v>600</v>
      </c>
      <c r="F600" s="1" t="s">
        <v>584</v>
      </c>
      <c r="G600" s="12" t="s">
        <v>41</v>
      </c>
      <c r="H600" s="23">
        <v>2613.6000000000004</v>
      </c>
      <c r="I600" s="41">
        <f t="shared" si="18"/>
        <v>0.56000000000000005</v>
      </c>
      <c r="J600" s="44">
        <f t="shared" si="19"/>
        <v>1149.9839999999999</v>
      </c>
    </row>
    <row r="601" spans="1:10" ht="15.95" customHeight="1" x14ac:dyDescent="0.2">
      <c r="A601" s="33"/>
      <c r="B601" s="77">
        <v>186480</v>
      </c>
      <c r="C601" s="12" t="s">
        <v>628</v>
      </c>
      <c r="D601" s="3" t="s">
        <v>453</v>
      </c>
      <c r="E601" s="22" t="s">
        <v>600</v>
      </c>
      <c r="F601" s="1" t="s">
        <v>584</v>
      </c>
      <c r="G601" s="12" t="s">
        <v>41</v>
      </c>
      <c r="H601" s="23">
        <v>2829.2000000000003</v>
      </c>
      <c r="I601" s="41">
        <f t="shared" si="18"/>
        <v>0.56000000000000005</v>
      </c>
      <c r="J601" s="44">
        <f t="shared" si="19"/>
        <v>1244.848</v>
      </c>
    </row>
    <row r="602" spans="1:10" ht="15.95" customHeight="1" x14ac:dyDescent="0.2">
      <c r="B602" s="77">
        <v>186459</v>
      </c>
      <c r="C602" s="12" t="s">
        <v>628</v>
      </c>
      <c r="D602" s="3" t="s">
        <v>386</v>
      </c>
      <c r="E602" s="22" t="s">
        <v>600</v>
      </c>
      <c r="F602" s="1" t="s">
        <v>584</v>
      </c>
      <c r="G602" s="12" t="s">
        <v>41</v>
      </c>
      <c r="H602" s="23">
        <v>2274.8000000000002</v>
      </c>
      <c r="I602" s="41">
        <f t="shared" si="18"/>
        <v>0.56000000000000005</v>
      </c>
      <c r="J602" s="44">
        <f t="shared" si="19"/>
        <v>1000.912</v>
      </c>
    </row>
    <row r="603" spans="1:10" ht="15.95" customHeight="1" x14ac:dyDescent="0.2">
      <c r="B603" s="77">
        <v>186458</v>
      </c>
      <c r="C603" s="12" t="s">
        <v>628</v>
      </c>
      <c r="D603" s="3" t="s">
        <v>496</v>
      </c>
      <c r="E603" s="22" t="s">
        <v>600</v>
      </c>
      <c r="F603" s="1" t="s">
        <v>584</v>
      </c>
      <c r="G603" s="13" t="s">
        <v>631</v>
      </c>
      <c r="H603" s="23">
        <v>13574.000000000002</v>
      </c>
      <c r="I603" s="41">
        <f t="shared" si="18"/>
        <v>0.56000000000000005</v>
      </c>
      <c r="J603" s="44">
        <f t="shared" si="19"/>
        <v>5972.56</v>
      </c>
    </row>
    <row r="604" spans="1:10" ht="15.95" customHeight="1" x14ac:dyDescent="0.2">
      <c r="B604" s="77">
        <v>186455</v>
      </c>
      <c r="C604" s="12" t="s">
        <v>628</v>
      </c>
      <c r="D604" s="3" t="s">
        <v>494</v>
      </c>
      <c r="E604" s="22" t="s">
        <v>600</v>
      </c>
      <c r="F604" s="1" t="s">
        <v>584</v>
      </c>
      <c r="G604" s="13" t="s">
        <v>631</v>
      </c>
      <c r="H604" s="23">
        <v>6265.6</v>
      </c>
      <c r="I604" s="41">
        <f t="shared" si="18"/>
        <v>0.56000000000000005</v>
      </c>
      <c r="J604" s="44">
        <f t="shared" si="19"/>
        <v>2756.864</v>
      </c>
    </row>
    <row r="605" spans="1:10" ht="15.95" customHeight="1" x14ac:dyDescent="0.2">
      <c r="B605" s="77">
        <v>186439</v>
      </c>
      <c r="C605" s="12" t="s">
        <v>628</v>
      </c>
      <c r="D605" s="3" t="s">
        <v>488</v>
      </c>
      <c r="E605" s="22" t="s">
        <v>600</v>
      </c>
      <c r="F605" s="1" t="s">
        <v>584</v>
      </c>
      <c r="G605" s="12" t="s">
        <v>41</v>
      </c>
      <c r="H605" s="23">
        <v>9719.6</v>
      </c>
      <c r="I605" s="41">
        <f t="shared" si="18"/>
        <v>0.56000000000000005</v>
      </c>
      <c r="J605" s="44">
        <f t="shared" si="19"/>
        <v>4276.6239999999998</v>
      </c>
    </row>
    <row r="606" spans="1:10" ht="15.95" customHeight="1" x14ac:dyDescent="0.2">
      <c r="B606" s="77">
        <v>186437</v>
      </c>
      <c r="C606" s="12" t="s">
        <v>628</v>
      </c>
      <c r="D606" s="3" t="s">
        <v>487</v>
      </c>
      <c r="E606" s="22" t="s">
        <v>600</v>
      </c>
      <c r="F606" s="1" t="s">
        <v>584</v>
      </c>
      <c r="G606" s="12" t="s">
        <v>41</v>
      </c>
      <c r="H606" s="23">
        <v>6617.6</v>
      </c>
      <c r="I606" s="41">
        <f t="shared" si="18"/>
        <v>0.56000000000000005</v>
      </c>
      <c r="J606" s="44">
        <f t="shared" si="19"/>
        <v>2911.7439999999997</v>
      </c>
    </row>
    <row r="607" spans="1:10" ht="15.95" customHeight="1" x14ac:dyDescent="0.2">
      <c r="B607" s="69">
        <v>186432</v>
      </c>
      <c r="C607" s="12" t="s">
        <v>628</v>
      </c>
      <c r="D607" s="1" t="s">
        <v>317</v>
      </c>
      <c r="E607" s="22" t="s">
        <v>600</v>
      </c>
      <c r="F607" s="1" t="s">
        <v>584</v>
      </c>
      <c r="G607" s="12" t="s">
        <v>42</v>
      </c>
      <c r="H607" s="23">
        <v>8052.0000000000009</v>
      </c>
      <c r="I607" s="41">
        <f t="shared" si="18"/>
        <v>0.56000000000000005</v>
      </c>
      <c r="J607" s="44">
        <f t="shared" si="19"/>
        <v>3542.88</v>
      </c>
    </row>
    <row r="608" spans="1:10" ht="15.95" customHeight="1" x14ac:dyDescent="0.2">
      <c r="B608" s="77">
        <v>186399</v>
      </c>
      <c r="C608" s="12" t="s">
        <v>628</v>
      </c>
      <c r="D608" s="3" t="s">
        <v>495</v>
      </c>
      <c r="E608" s="22" t="s">
        <v>600</v>
      </c>
      <c r="F608" s="1" t="s">
        <v>584</v>
      </c>
      <c r="G608" s="13" t="s">
        <v>631</v>
      </c>
      <c r="H608" s="23">
        <v>8694.4000000000015</v>
      </c>
      <c r="I608" s="41">
        <f t="shared" si="18"/>
        <v>0.56000000000000005</v>
      </c>
      <c r="J608" s="44">
        <f t="shared" si="19"/>
        <v>3825.5360000000001</v>
      </c>
    </row>
    <row r="609" spans="1:10" ht="15.95" customHeight="1" x14ac:dyDescent="0.2">
      <c r="A609" s="33"/>
      <c r="B609" s="77">
        <v>186379</v>
      </c>
      <c r="C609" s="12" t="s">
        <v>628</v>
      </c>
      <c r="D609" s="3" t="s">
        <v>460</v>
      </c>
      <c r="E609" s="22" t="s">
        <v>600</v>
      </c>
      <c r="F609" s="1" t="s">
        <v>584</v>
      </c>
      <c r="G609" s="13" t="s">
        <v>631</v>
      </c>
      <c r="H609" s="23">
        <v>2732.4</v>
      </c>
      <c r="I609" s="41">
        <f t="shared" si="18"/>
        <v>0.56000000000000005</v>
      </c>
      <c r="J609" s="44">
        <f t="shared" si="19"/>
        <v>1202.2559999999999</v>
      </c>
    </row>
    <row r="610" spans="1:10" ht="15.95" customHeight="1" x14ac:dyDescent="0.2">
      <c r="A610" s="17"/>
      <c r="B610" s="77">
        <v>186368</v>
      </c>
      <c r="C610" s="12" t="s">
        <v>628</v>
      </c>
      <c r="D610" s="3" t="s">
        <v>357</v>
      </c>
      <c r="E610" s="22" t="s">
        <v>600</v>
      </c>
      <c r="F610" s="1" t="s">
        <v>584</v>
      </c>
      <c r="G610" s="13" t="s">
        <v>631</v>
      </c>
      <c r="H610" s="23">
        <v>1192.4000000000001</v>
      </c>
      <c r="I610" s="41">
        <f t="shared" si="18"/>
        <v>0.56000000000000005</v>
      </c>
      <c r="J610" s="44">
        <f t="shared" si="19"/>
        <v>524.65599999999995</v>
      </c>
    </row>
    <row r="611" spans="1:10" ht="15.95" customHeight="1" x14ac:dyDescent="0.2">
      <c r="B611" s="77">
        <v>186367</v>
      </c>
      <c r="C611" s="12" t="s">
        <v>628</v>
      </c>
      <c r="D611" s="3" t="s">
        <v>355</v>
      </c>
      <c r="E611" s="22" t="s">
        <v>600</v>
      </c>
      <c r="F611" s="1" t="s">
        <v>584</v>
      </c>
      <c r="G611" s="12" t="s">
        <v>41</v>
      </c>
      <c r="H611" s="23">
        <v>946.00000000000011</v>
      </c>
      <c r="I611" s="41">
        <f t="shared" si="18"/>
        <v>0.56000000000000005</v>
      </c>
      <c r="J611" s="44">
        <f t="shared" si="19"/>
        <v>416.24</v>
      </c>
    </row>
    <row r="612" spans="1:10" ht="15.95" customHeight="1" x14ac:dyDescent="0.2">
      <c r="B612" s="77">
        <v>186366</v>
      </c>
      <c r="C612" s="12" t="s">
        <v>628</v>
      </c>
      <c r="D612" s="3" t="s">
        <v>68</v>
      </c>
      <c r="E612" s="22" t="s">
        <v>600</v>
      </c>
      <c r="F612" s="1" t="s">
        <v>584</v>
      </c>
      <c r="G612" s="13" t="s">
        <v>631</v>
      </c>
      <c r="H612" s="23">
        <v>8470</v>
      </c>
      <c r="I612" s="41">
        <f t="shared" si="18"/>
        <v>0.56000000000000005</v>
      </c>
      <c r="J612" s="44">
        <f t="shared" si="19"/>
        <v>3726.7999999999993</v>
      </c>
    </row>
    <row r="613" spans="1:10" ht="15.95" customHeight="1" x14ac:dyDescent="0.2">
      <c r="A613" s="33"/>
      <c r="B613" s="77">
        <v>186363</v>
      </c>
      <c r="C613" s="12" t="s">
        <v>628</v>
      </c>
      <c r="D613" s="3" t="s">
        <v>404</v>
      </c>
      <c r="E613" s="22" t="s">
        <v>600</v>
      </c>
      <c r="F613" s="1" t="s">
        <v>582</v>
      </c>
      <c r="G613" s="12" t="s">
        <v>41</v>
      </c>
      <c r="H613" s="23">
        <v>3894.0000000000014</v>
      </c>
      <c r="I613" s="41">
        <f t="shared" si="18"/>
        <v>0.56000000000000005</v>
      </c>
      <c r="J613" s="44">
        <f t="shared" si="19"/>
        <v>1713.3600000000006</v>
      </c>
    </row>
    <row r="614" spans="1:10" ht="15.95" customHeight="1" x14ac:dyDescent="0.2">
      <c r="B614" s="69">
        <v>186361</v>
      </c>
      <c r="C614" s="12" t="s">
        <v>628</v>
      </c>
      <c r="D614" s="1" t="s">
        <v>319</v>
      </c>
      <c r="E614" s="22" t="s">
        <v>600</v>
      </c>
      <c r="F614" s="1" t="s">
        <v>584</v>
      </c>
      <c r="G614" s="12" t="s">
        <v>42</v>
      </c>
      <c r="H614" s="23">
        <v>4483.6000000000004</v>
      </c>
      <c r="I614" s="41">
        <f t="shared" si="18"/>
        <v>0.56000000000000005</v>
      </c>
      <c r="J614" s="44">
        <f t="shared" si="19"/>
        <v>1972.7840000000001</v>
      </c>
    </row>
    <row r="615" spans="1:10" ht="15.95" customHeight="1" x14ac:dyDescent="0.2">
      <c r="B615" s="77">
        <v>186358</v>
      </c>
      <c r="C615" s="12" t="s">
        <v>628</v>
      </c>
      <c r="D615" s="3" t="s">
        <v>66</v>
      </c>
      <c r="E615" s="22" t="s">
        <v>600</v>
      </c>
      <c r="F615" s="1" t="s">
        <v>584</v>
      </c>
      <c r="G615" s="14" t="s">
        <v>44</v>
      </c>
      <c r="H615" s="23">
        <v>8971.6</v>
      </c>
      <c r="I615" s="41">
        <f t="shared" si="18"/>
        <v>0.56000000000000005</v>
      </c>
      <c r="J615" s="44">
        <f t="shared" si="19"/>
        <v>3947.5039999999999</v>
      </c>
    </row>
    <row r="616" spans="1:10" ht="15.95" customHeight="1" x14ac:dyDescent="0.2">
      <c r="B616" s="77">
        <v>186356</v>
      </c>
      <c r="C616" s="12" t="s">
        <v>628</v>
      </c>
      <c r="D616" s="3" t="s">
        <v>389</v>
      </c>
      <c r="E616" s="22" t="s">
        <v>600</v>
      </c>
      <c r="F616" s="1" t="s">
        <v>584</v>
      </c>
      <c r="G616" s="12" t="s">
        <v>41</v>
      </c>
      <c r="H616" s="23">
        <v>5896.0000000000009</v>
      </c>
      <c r="I616" s="41">
        <f t="shared" si="18"/>
        <v>0.56000000000000005</v>
      </c>
      <c r="J616" s="44">
        <f t="shared" si="19"/>
        <v>2594.2400000000002</v>
      </c>
    </row>
    <row r="617" spans="1:10" ht="15.95" customHeight="1" x14ac:dyDescent="0.2">
      <c r="A617" s="33"/>
      <c r="B617" s="77">
        <v>186355</v>
      </c>
      <c r="C617" s="12" t="s">
        <v>628</v>
      </c>
      <c r="D617" s="3" t="s">
        <v>636</v>
      </c>
      <c r="E617" s="22" t="s">
        <v>600</v>
      </c>
      <c r="F617" s="1" t="s">
        <v>584</v>
      </c>
      <c r="G617" s="13" t="s">
        <v>631</v>
      </c>
      <c r="H617" s="23">
        <v>2956.8</v>
      </c>
      <c r="I617" s="41">
        <f t="shared" si="18"/>
        <v>0.56000000000000005</v>
      </c>
      <c r="J617" s="44">
        <f t="shared" si="19"/>
        <v>1300.992</v>
      </c>
    </row>
    <row r="618" spans="1:10" ht="15.95" customHeight="1" x14ac:dyDescent="0.2">
      <c r="A618" s="33"/>
      <c r="B618" s="69">
        <v>186350</v>
      </c>
      <c r="C618" s="12" t="s">
        <v>628</v>
      </c>
      <c r="D618" s="1" t="s">
        <v>318</v>
      </c>
      <c r="E618" s="22" t="s">
        <v>600</v>
      </c>
      <c r="F618" s="1" t="s">
        <v>584</v>
      </c>
      <c r="G618" s="12" t="s">
        <v>42</v>
      </c>
      <c r="H618" s="23">
        <v>4074.4000000000005</v>
      </c>
      <c r="I618" s="41">
        <f t="shared" si="18"/>
        <v>0.56000000000000005</v>
      </c>
      <c r="J618" s="44">
        <f t="shared" si="19"/>
        <v>1792.7359999999999</v>
      </c>
    </row>
    <row r="619" spans="1:10" ht="15.95" customHeight="1" x14ac:dyDescent="0.2">
      <c r="A619" s="33"/>
      <c r="B619" s="77">
        <v>186320</v>
      </c>
      <c r="C619" s="12" t="s">
        <v>628</v>
      </c>
      <c r="D619" s="3" t="s">
        <v>451</v>
      </c>
      <c r="E619" s="22" t="s">
        <v>600</v>
      </c>
      <c r="F619" s="1" t="s">
        <v>584</v>
      </c>
      <c r="G619" s="12" t="s">
        <v>41</v>
      </c>
      <c r="H619" s="23">
        <v>2525.6000000000004</v>
      </c>
      <c r="I619" s="41">
        <f t="shared" si="18"/>
        <v>0.56000000000000005</v>
      </c>
      <c r="J619" s="44">
        <f t="shared" si="19"/>
        <v>1111.2640000000001</v>
      </c>
    </row>
    <row r="620" spans="1:10" ht="15.95" customHeight="1" x14ac:dyDescent="0.2">
      <c r="A620" s="33"/>
      <c r="B620" s="77">
        <v>186300</v>
      </c>
      <c r="C620" s="12" t="s">
        <v>628</v>
      </c>
      <c r="D620" s="3" t="s">
        <v>387</v>
      </c>
      <c r="E620" s="22" t="s">
        <v>600</v>
      </c>
      <c r="F620" s="1" t="s">
        <v>584</v>
      </c>
      <c r="G620" s="12" t="s">
        <v>41</v>
      </c>
      <c r="H620" s="23">
        <v>2486</v>
      </c>
      <c r="I620" s="41">
        <f t="shared" si="18"/>
        <v>0.56000000000000005</v>
      </c>
      <c r="J620" s="44">
        <f t="shared" si="19"/>
        <v>1093.8399999999999</v>
      </c>
    </row>
    <row r="621" spans="1:10" ht="15.95" customHeight="1" x14ac:dyDescent="0.2">
      <c r="B621" s="77">
        <v>186038</v>
      </c>
      <c r="C621" s="12" t="s">
        <v>628</v>
      </c>
      <c r="D621" s="3" t="s">
        <v>356</v>
      </c>
      <c r="E621" s="22" t="s">
        <v>600</v>
      </c>
      <c r="F621" s="1" t="s">
        <v>584</v>
      </c>
      <c r="G621" s="12" t="s">
        <v>42</v>
      </c>
      <c r="H621" s="23">
        <v>1394.8000000000002</v>
      </c>
      <c r="I621" s="41">
        <f t="shared" si="18"/>
        <v>0.56000000000000005</v>
      </c>
      <c r="J621" s="44">
        <f t="shared" si="19"/>
        <v>613.71199999999999</v>
      </c>
    </row>
    <row r="622" spans="1:10" ht="15.95" customHeight="1" x14ac:dyDescent="0.2">
      <c r="A622" s="33"/>
      <c r="B622" s="77">
        <v>186005</v>
      </c>
      <c r="C622" s="12" t="s">
        <v>628</v>
      </c>
      <c r="D622" s="3" t="s">
        <v>396</v>
      </c>
      <c r="E622" s="22" t="s">
        <v>600</v>
      </c>
      <c r="F622" s="1" t="s">
        <v>584</v>
      </c>
      <c r="G622" s="13" t="s">
        <v>631</v>
      </c>
      <c r="H622" s="23">
        <v>3916.0000000000005</v>
      </c>
      <c r="I622" s="41">
        <f t="shared" si="18"/>
        <v>0.56000000000000005</v>
      </c>
      <c r="J622" s="44">
        <f t="shared" si="19"/>
        <v>1723.04</v>
      </c>
    </row>
    <row r="623" spans="1:10" ht="15.95" customHeight="1" x14ac:dyDescent="0.2">
      <c r="B623" s="77">
        <v>185990</v>
      </c>
      <c r="C623" s="12" t="s">
        <v>628</v>
      </c>
      <c r="D623" s="3" t="s">
        <v>635</v>
      </c>
      <c r="E623" s="22" t="s">
        <v>600</v>
      </c>
      <c r="F623" s="1" t="s">
        <v>584</v>
      </c>
      <c r="G623" s="13" t="s">
        <v>631</v>
      </c>
      <c r="H623" s="23">
        <v>2516.8000000000002</v>
      </c>
      <c r="I623" s="41">
        <f t="shared" si="18"/>
        <v>0.56000000000000005</v>
      </c>
      <c r="J623" s="44">
        <f t="shared" si="19"/>
        <v>1107.3920000000001</v>
      </c>
    </row>
    <row r="624" spans="1:10" ht="15.95" customHeight="1" x14ac:dyDescent="0.2">
      <c r="B624" s="69">
        <v>185989</v>
      </c>
      <c r="C624" s="12" t="s">
        <v>628</v>
      </c>
      <c r="D624" s="1" t="s">
        <v>312</v>
      </c>
      <c r="E624" s="22" t="s">
        <v>600</v>
      </c>
      <c r="F624" s="1" t="s">
        <v>584</v>
      </c>
      <c r="G624" s="12" t="s">
        <v>42</v>
      </c>
      <c r="H624" s="23">
        <v>2455.2000000000003</v>
      </c>
      <c r="I624" s="41">
        <f t="shared" si="18"/>
        <v>0.56000000000000005</v>
      </c>
      <c r="J624" s="44">
        <f t="shared" si="19"/>
        <v>1080.288</v>
      </c>
    </row>
    <row r="625" spans="1:10" ht="15.95" customHeight="1" x14ac:dyDescent="0.2">
      <c r="A625" s="33"/>
      <c r="B625" s="69">
        <v>185959</v>
      </c>
      <c r="C625" s="12" t="s">
        <v>628</v>
      </c>
      <c r="D625" s="1" t="s">
        <v>315</v>
      </c>
      <c r="E625" s="22" t="s">
        <v>600</v>
      </c>
      <c r="F625" s="1" t="s">
        <v>584</v>
      </c>
      <c r="G625" s="12" t="s">
        <v>42</v>
      </c>
      <c r="H625" s="23">
        <v>3286.8</v>
      </c>
      <c r="I625" s="41">
        <f t="shared" si="18"/>
        <v>0.56000000000000005</v>
      </c>
      <c r="J625" s="44">
        <f t="shared" si="19"/>
        <v>1446.192</v>
      </c>
    </row>
    <row r="626" spans="1:10" ht="15.95" customHeight="1" x14ac:dyDescent="0.2">
      <c r="B626" s="77">
        <v>185945</v>
      </c>
      <c r="C626" s="12" t="s">
        <v>628</v>
      </c>
      <c r="D626" s="3" t="s">
        <v>463</v>
      </c>
      <c r="E626" s="22" t="s">
        <v>600</v>
      </c>
      <c r="F626" s="1" t="s">
        <v>584</v>
      </c>
      <c r="G626" s="13" t="s">
        <v>631</v>
      </c>
      <c r="H626" s="23">
        <v>4378</v>
      </c>
      <c r="I626" s="41">
        <f t="shared" si="18"/>
        <v>0.56000000000000005</v>
      </c>
      <c r="J626" s="44">
        <f t="shared" si="19"/>
        <v>1926.3199999999997</v>
      </c>
    </row>
    <row r="627" spans="1:10" ht="15.95" customHeight="1" x14ac:dyDescent="0.2">
      <c r="B627" s="77">
        <v>185938</v>
      </c>
      <c r="C627" s="12" t="s">
        <v>628</v>
      </c>
      <c r="D627" s="3" t="s">
        <v>385</v>
      </c>
      <c r="E627" s="22" t="s">
        <v>600</v>
      </c>
      <c r="F627" s="1" t="s">
        <v>584</v>
      </c>
      <c r="G627" s="12" t="s">
        <v>41</v>
      </c>
      <c r="H627" s="23">
        <v>2063.6000000000004</v>
      </c>
      <c r="I627" s="41">
        <f t="shared" si="18"/>
        <v>0.56000000000000005</v>
      </c>
      <c r="J627" s="44">
        <f t="shared" si="19"/>
        <v>907.98400000000015</v>
      </c>
    </row>
    <row r="628" spans="1:10" ht="15.95" customHeight="1" x14ac:dyDescent="0.2">
      <c r="B628" s="77">
        <v>185937</v>
      </c>
      <c r="C628" s="12" t="s">
        <v>628</v>
      </c>
      <c r="D628" s="3" t="s">
        <v>454</v>
      </c>
      <c r="E628" s="22" t="s">
        <v>600</v>
      </c>
      <c r="F628" s="1" t="s">
        <v>584</v>
      </c>
      <c r="G628" s="12" t="s">
        <v>41</v>
      </c>
      <c r="H628" s="23">
        <v>3256.0000000000005</v>
      </c>
      <c r="I628" s="41">
        <f t="shared" si="18"/>
        <v>0.56000000000000005</v>
      </c>
      <c r="J628" s="44">
        <f t="shared" si="19"/>
        <v>1432.64</v>
      </c>
    </row>
    <row r="629" spans="1:10" ht="15.95" customHeight="1" x14ac:dyDescent="0.2">
      <c r="A629" s="33"/>
      <c r="B629" s="77">
        <v>185935</v>
      </c>
      <c r="C629" s="12" t="s">
        <v>628</v>
      </c>
      <c r="D629" s="3" t="s">
        <v>388</v>
      </c>
      <c r="E629" s="22" t="s">
        <v>600</v>
      </c>
      <c r="F629" s="1" t="s">
        <v>584</v>
      </c>
      <c r="G629" s="12" t="s">
        <v>41</v>
      </c>
      <c r="H629" s="23">
        <v>2912.8</v>
      </c>
      <c r="I629" s="41">
        <f t="shared" si="18"/>
        <v>0.56000000000000005</v>
      </c>
      <c r="J629" s="44">
        <f t="shared" si="19"/>
        <v>1281.6319999999998</v>
      </c>
    </row>
    <row r="630" spans="1:10" ht="15.95" customHeight="1" x14ac:dyDescent="0.2">
      <c r="A630" s="33"/>
      <c r="B630" s="77">
        <v>185934</v>
      </c>
      <c r="C630" s="12" t="s">
        <v>628</v>
      </c>
      <c r="D630" s="3" t="s">
        <v>634</v>
      </c>
      <c r="E630" s="22" t="s">
        <v>600</v>
      </c>
      <c r="F630" s="1" t="s">
        <v>584</v>
      </c>
      <c r="G630" s="13" t="s">
        <v>631</v>
      </c>
      <c r="H630" s="23">
        <v>3198.8</v>
      </c>
      <c r="I630" s="41">
        <f t="shared" si="18"/>
        <v>0.56000000000000005</v>
      </c>
      <c r="J630" s="44">
        <f t="shared" si="19"/>
        <v>1407.472</v>
      </c>
    </row>
    <row r="631" spans="1:10" ht="15.95" customHeight="1" x14ac:dyDescent="0.2">
      <c r="A631" s="33"/>
      <c r="B631" s="77">
        <v>185558</v>
      </c>
      <c r="C631" s="12" t="s">
        <v>628</v>
      </c>
      <c r="D631" s="3" t="s">
        <v>513</v>
      </c>
      <c r="E631" s="22" t="s">
        <v>600</v>
      </c>
      <c r="F631" s="1" t="s">
        <v>584</v>
      </c>
      <c r="G631" s="12" t="s">
        <v>41</v>
      </c>
      <c r="H631" s="23">
        <v>2706</v>
      </c>
      <c r="I631" s="41">
        <f t="shared" si="18"/>
        <v>0.56000000000000005</v>
      </c>
      <c r="J631" s="44">
        <f t="shared" si="19"/>
        <v>1190.6399999999999</v>
      </c>
    </row>
    <row r="632" spans="1:10" ht="15.95" customHeight="1" x14ac:dyDescent="0.2">
      <c r="B632" s="77">
        <v>185557</v>
      </c>
      <c r="C632" s="12" t="s">
        <v>628</v>
      </c>
      <c r="D632" s="3" t="s">
        <v>511</v>
      </c>
      <c r="E632" s="22" t="s">
        <v>600</v>
      </c>
      <c r="F632" s="1" t="s">
        <v>584</v>
      </c>
      <c r="G632" s="12" t="s">
        <v>41</v>
      </c>
      <c r="H632" s="23">
        <v>2024.0000000000002</v>
      </c>
      <c r="I632" s="41">
        <f t="shared" si="18"/>
        <v>0.56000000000000005</v>
      </c>
      <c r="J632" s="44">
        <f t="shared" si="19"/>
        <v>890.56</v>
      </c>
    </row>
    <row r="633" spans="1:10" ht="15.95" customHeight="1" x14ac:dyDescent="0.2">
      <c r="A633" s="33"/>
      <c r="B633" s="77">
        <v>184200</v>
      </c>
      <c r="C633" s="12" t="s">
        <v>628</v>
      </c>
      <c r="D633" s="3" t="s">
        <v>533</v>
      </c>
      <c r="E633" s="22" t="s">
        <v>600</v>
      </c>
      <c r="F633" s="1" t="s">
        <v>584</v>
      </c>
      <c r="G633" s="12" t="s">
        <v>41</v>
      </c>
      <c r="H633" s="23">
        <v>3616.8</v>
      </c>
      <c r="I633" s="41">
        <f t="shared" si="18"/>
        <v>0.56000000000000005</v>
      </c>
      <c r="J633" s="44">
        <f t="shared" si="19"/>
        <v>1591.3919999999998</v>
      </c>
    </row>
    <row r="634" spans="1:10" ht="15.95" customHeight="1" x14ac:dyDescent="0.2">
      <c r="B634" s="77">
        <v>181794</v>
      </c>
      <c r="C634" s="12" t="s">
        <v>628</v>
      </c>
      <c r="D634" s="3" t="s">
        <v>507</v>
      </c>
      <c r="E634" s="22" t="s">
        <v>600</v>
      </c>
      <c r="F634" s="1" t="s">
        <v>584</v>
      </c>
      <c r="G634" s="13" t="s">
        <v>631</v>
      </c>
      <c r="H634" s="23">
        <v>15765.2</v>
      </c>
      <c r="I634" s="41">
        <f t="shared" si="18"/>
        <v>0.56000000000000005</v>
      </c>
      <c r="J634" s="44">
        <f t="shared" si="19"/>
        <v>6936.6880000000001</v>
      </c>
    </row>
    <row r="635" spans="1:10" ht="15.95" customHeight="1" x14ac:dyDescent="0.2">
      <c r="B635" s="77">
        <v>180761</v>
      </c>
      <c r="C635" s="12" t="s">
        <v>628</v>
      </c>
      <c r="D635" s="3" t="s">
        <v>502</v>
      </c>
      <c r="E635" s="22" t="s">
        <v>600</v>
      </c>
      <c r="F635" s="1" t="s">
        <v>584</v>
      </c>
      <c r="G635" s="12" t="s">
        <v>41</v>
      </c>
      <c r="H635" s="23">
        <v>8879.2000000000007</v>
      </c>
      <c r="I635" s="41">
        <f t="shared" si="18"/>
        <v>0.56000000000000005</v>
      </c>
      <c r="J635" s="44">
        <f t="shared" si="19"/>
        <v>3906.848</v>
      </c>
    </row>
    <row r="636" spans="1:10" ht="15.95" customHeight="1" x14ac:dyDescent="0.2">
      <c r="B636" s="77">
        <v>180172</v>
      </c>
      <c r="C636" s="12" t="s">
        <v>628</v>
      </c>
      <c r="D636" s="3" t="s">
        <v>506</v>
      </c>
      <c r="E636" s="22" t="s">
        <v>600</v>
      </c>
      <c r="F636" s="1" t="s">
        <v>584</v>
      </c>
      <c r="G636" s="13" t="s">
        <v>631</v>
      </c>
      <c r="H636" s="23">
        <v>10947.2</v>
      </c>
      <c r="I636" s="41">
        <f t="shared" si="18"/>
        <v>0.56000000000000005</v>
      </c>
      <c r="J636" s="44">
        <f t="shared" si="19"/>
        <v>4816.768</v>
      </c>
    </row>
    <row r="637" spans="1:10" ht="15.95" customHeight="1" x14ac:dyDescent="0.2">
      <c r="A637" s="33"/>
      <c r="B637" s="77">
        <v>180171</v>
      </c>
      <c r="C637" s="12" t="s">
        <v>628</v>
      </c>
      <c r="D637" s="3" t="s">
        <v>532</v>
      </c>
      <c r="E637" s="22" t="s">
        <v>600</v>
      </c>
      <c r="F637" s="1" t="s">
        <v>584</v>
      </c>
      <c r="G637" s="12" t="s">
        <v>41</v>
      </c>
      <c r="H637" s="23">
        <v>3361.6000000000004</v>
      </c>
      <c r="I637" s="41">
        <f t="shared" si="18"/>
        <v>0.56000000000000005</v>
      </c>
      <c r="J637" s="44">
        <f t="shared" si="19"/>
        <v>1479.104</v>
      </c>
    </row>
    <row r="638" spans="1:10" ht="15.95" customHeight="1" x14ac:dyDescent="0.2">
      <c r="B638" s="77">
        <v>180114</v>
      </c>
      <c r="C638" s="12" t="s">
        <v>628</v>
      </c>
      <c r="D638" s="3" t="s">
        <v>534</v>
      </c>
      <c r="E638" s="22" t="s">
        <v>600</v>
      </c>
      <c r="F638" s="1" t="s">
        <v>584</v>
      </c>
      <c r="G638" s="12" t="s">
        <v>41</v>
      </c>
      <c r="H638" s="23">
        <v>4268</v>
      </c>
      <c r="I638" s="41">
        <f t="shared" si="18"/>
        <v>0.56000000000000005</v>
      </c>
      <c r="J638" s="44">
        <f t="shared" si="19"/>
        <v>1877.9199999999996</v>
      </c>
    </row>
    <row r="639" spans="1:10" ht="15.95" customHeight="1" x14ac:dyDescent="0.2">
      <c r="A639" s="33"/>
      <c r="B639" s="77">
        <v>178873</v>
      </c>
      <c r="C639" s="12" t="s">
        <v>628</v>
      </c>
      <c r="D639" s="3" t="s">
        <v>541</v>
      </c>
      <c r="E639" s="22" t="s">
        <v>600</v>
      </c>
      <c r="F639" s="1" t="s">
        <v>584</v>
      </c>
      <c r="G639" s="13" t="s">
        <v>631</v>
      </c>
      <c r="H639" s="23">
        <v>4083.2000000000003</v>
      </c>
      <c r="I639" s="41">
        <f t="shared" si="18"/>
        <v>0.56000000000000005</v>
      </c>
      <c r="J639" s="44">
        <f t="shared" si="19"/>
        <v>1796.6079999999997</v>
      </c>
    </row>
    <row r="640" spans="1:10" ht="15.95" customHeight="1" x14ac:dyDescent="0.2">
      <c r="A640" s="33"/>
      <c r="B640" s="77">
        <v>178872</v>
      </c>
      <c r="C640" s="12" t="s">
        <v>628</v>
      </c>
      <c r="D640" s="3" t="s">
        <v>540</v>
      </c>
      <c r="E640" s="22" t="s">
        <v>600</v>
      </c>
      <c r="F640" s="1" t="s">
        <v>584</v>
      </c>
      <c r="G640" s="13" t="s">
        <v>631</v>
      </c>
      <c r="H640" s="23">
        <v>3696.0000000000005</v>
      </c>
      <c r="I640" s="41">
        <f t="shared" si="18"/>
        <v>0.56000000000000005</v>
      </c>
      <c r="J640" s="44">
        <f t="shared" si="19"/>
        <v>1626.2399999999998</v>
      </c>
    </row>
    <row r="641" spans="1:10" ht="15.95" customHeight="1" x14ac:dyDescent="0.2">
      <c r="B641" s="77">
        <v>178773</v>
      </c>
      <c r="C641" s="12" t="s">
        <v>628</v>
      </c>
      <c r="D641" s="3" t="s">
        <v>542</v>
      </c>
      <c r="E641" s="22" t="s">
        <v>600</v>
      </c>
      <c r="F641" s="1" t="s">
        <v>584</v>
      </c>
      <c r="G641" s="13" t="s">
        <v>631</v>
      </c>
      <c r="H641" s="23">
        <v>4461.6000000000004</v>
      </c>
      <c r="I641" s="41">
        <f t="shared" si="18"/>
        <v>0.56000000000000005</v>
      </c>
      <c r="J641" s="44">
        <f t="shared" si="19"/>
        <v>1963.1039999999998</v>
      </c>
    </row>
    <row r="642" spans="1:10" ht="15.95" customHeight="1" x14ac:dyDescent="0.2">
      <c r="A642" s="33"/>
      <c r="B642" s="69">
        <v>178732</v>
      </c>
      <c r="C642" s="12" t="s">
        <v>628</v>
      </c>
      <c r="D642" s="1" t="s">
        <v>311</v>
      </c>
      <c r="E642" s="22" t="s">
        <v>600</v>
      </c>
      <c r="F642" s="1" t="s">
        <v>584</v>
      </c>
      <c r="G642" s="12" t="s">
        <v>41</v>
      </c>
      <c r="H642" s="23">
        <v>3832.4</v>
      </c>
      <c r="I642" s="41">
        <f t="shared" si="18"/>
        <v>0.56000000000000005</v>
      </c>
      <c r="J642" s="44">
        <f t="shared" si="19"/>
        <v>1686.2559999999999</v>
      </c>
    </row>
    <row r="643" spans="1:10" ht="15.95" customHeight="1" x14ac:dyDescent="0.2">
      <c r="B643" s="77">
        <v>176522</v>
      </c>
      <c r="C643" s="12" t="s">
        <v>628</v>
      </c>
      <c r="D643" s="3" t="s">
        <v>543</v>
      </c>
      <c r="E643" s="22" t="s">
        <v>600</v>
      </c>
      <c r="F643" s="1" t="s">
        <v>584</v>
      </c>
      <c r="G643" s="13" t="s">
        <v>631</v>
      </c>
      <c r="H643" s="23">
        <v>5236</v>
      </c>
      <c r="I643" s="41">
        <f t="shared" si="18"/>
        <v>0.56000000000000005</v>
      </c>
      <c r="J643" s="44">
        <f t="shared" si="19"/>
        <v>2303.8399999999997</v>
      </c>
    </row>
    <row r="644" spans="1:10" ht="15.95" customHeight="1" x14ac:dyDescent="0.2">
      <c r="B644" s="67">
        <v>4000859</v>
      </c>
      <c r="C644" s="21" t="s">
        <v>0</v>
      </c>
      <c r="D644" s="22" t="s">
        <v>708</v>
      </c>
      <c r="E644" s="22" t="s">
        <v>1831</v>
      </c>
      <c r="F644" s="22" t="s">
        <v>1015</v>
      </c>
      <c r="G644" s="21" t="s">
        <v>36</v>
      </c>
      <c r="H644" s="23">
        <v>3.8571428571428572</v>
      </c>
      <c r="I644" s="41">
        <f t="shared" si="18"/>
        <v>0.56000000000000005</v>
      </c>
      <c r="J644" s="44">
        <f t="shared" si="19"/>
        <v>1.6971428571428571</v>
      </c>
    </row>
    <row r="645" spans="1:10" ht="15.95" customHeight="1" x14ac:dyDescent="0.2">
      <c r="B645" s="67">
        <v>4000753</v>
      </c>
      <c r="C645" s="21" t="s">
        <v>0</v>
      </c>
      <c r="D645" s="22" t="s">
        <v>704</v>
      </c>
      <c r="E645" s="22" t="s">
        <v>1831</v>
      </c>
      <c r="F645" s="22" t="s">
        <v>1015</v>
      </c>
      <c r="G645" s="21" t="s">
        <v>36</v>
      </c>
      <c r="H645" s="23">
        <v>3.4285714285714279</v>
      </c>
      <c r="I645" s="41">
        <f t="shared" si="18"/>
        <v>0.56000000000000005</v>
      </c>
      <c r="J645" s="44">
        <f t="shared" si="19"/>
        <v>1.508571428571428</v>
      </c>
    </row>
    <row r="646" spans="1:10" ht="15.95" customHeight="1" x14ac:dyDescent="0.2">
      <c r="B646" s="70">
        <v>4000700</v>
      </c>
      <c r="C646" s="12" t="s">
        <v>0</v>
      </c>
      <c r="D646" s="8" t="s">
        <v>605</v>
      </c>
      <c r="E646" s="8" t="s">
        <v>1831</v>
      </c>
      <c r="F646" s="8" t="s">
        <v>645</v>
      </c>
      <c r="G646" s="12" t="s">
        <v>602</v>
      </c>
      <c r="H646" s="23">
        <v>39.000000000000007</v>
      </c>
      <c r="I646" s="41">
        <f t="shared" si="18"/>
        <v>0.56000000000000005</v>
      </c>
      <c r="J646" s="44">
        <f t="shared" si="19"/>
        <v>17.16</v>
      </c>
    </row>
    <row r="647" spans="1:10" ht="15.95" customHeight="1" x14ac:dyDescent="0.2">
      <c r="B647" s="70">
        <v>4000699</v>
      </c>
      <c r="C647" s="12" t="s">
        <v>0</v>
      </c>
      <c r="D647" s="8" t="s">
        <v>604</v>
      </c>
      <c r="E647" s="8" t="s">
        <v>1831</v>
      </c>
      <c r="F647" s="8" t="s">
        <v>646</v>
      </c>
      <c r="G647" s="12" t="s">
        <v>602</v>
      </c>
      <c r="H647" s="23">
        <v>19.166666666666664</v>
      </c>
      <c r="I647" s="41">
        <f t="shared" si="18"/>
        <v>0.56000000000000005</v>
      </c>
      <c r="J647" s="44">
        <f t="shared" si="19"/>
        <v>8.4333333333333318</v>
      </c>
    </row>
    <row r="648" spans="1:10" ht="15.95" customHeight="1" x14ac:dyDescent="0.2">
      <c r="B648" s="67">
        <v>4000099</v>
      </c>
      <c r="C648" s="21" t="s">
        <v>0</v>
      </c>
      <c r="D648" s="22" t="s">
        <v>148</v>
      </c>
      <c r="E648" s="22" t="s">
        <v>1831</v>
      </c>
      <c r="F648" s="22" t="s">
        <v>585</v>
      </c>
      <c r="G648" s="21" t="s">
        <v>37</v>
      </c>
      <c r="H648" s="23">
        <v>70.954999999999984</v>
      </c>
      <c r="I648" s="41">
        <f t="shared" si="18"/>
        <v>0.56000000000000005</v>
      </c>
      <c r="J648" s="44">
        <f t="shared" si="19"/>
        <v>31.220199999999991</v>
      </c>
    </row>
    <row r="649" spans="1:10" ht="15.95" customHeight="1" x14ac:dyDescent="0.2">
      <c r="B649" s="67">
        <v>1411985</v>
      </c>
      <c r="C649" s="21" t="s">
        <v>0</v>
      </c>
      <c r="D649" s="22" t="s">
        <v>160</v>
      </c>
      <c r="E649" s="22" t="s">
        <v>1831</v>
      </c>
      <c r="F649" s="22" t="s">
        <v>646</v>
      </c>
      <c r="G649" s="21" t="s">
        <v>39</v>
      </c>
      <c r="H649" s="23">
        <v>20.894742153597736</v>
      </c>
      <c r="I649" s="41">
        <f t="shared" ref="I649:I712" si="20">$H$7</f>
        <v>0.56000000000000005</v>
      </c>
      <c r="J649" s="44">
        <f t="shared" ref="J649:J712" si="21">H649-H649*I649</f>
        <v>9.1936865475830025</v>
      </c>
    </row>
    <row r="650" spans="1:10" s="17" customFormat="1" ht="15.95" customHeight="1" x14ac:dyDescent="0.2">
      <c r="A650"/>
      <c r="B650" s="67">
        <v>1411482</v>
      </c>
      <c r="C650" s="21" t="s">
        <v>0</v>
      </c>
      <c r="D650" s="22" t="s">
        <v>100</v>
      </c>
      <c r="E650" s="22" t="s">
        <v>1831</v>
      </c>
      <c r="F650" s="22" t="s">
        <v>581</v>
      </c>
      <c r="G650" s="21" t="s">
        <v>33</v>
      </c>
      <c r="H650" s="23">
        <v>7.2833333333333306</v>
      </c>
      <c r="I650" s="41">
        <f t="shared" si="20"/>
        <v>0.56000000000000005</v>
      </c>
      <c r="J650" s="44">
        <f t="shared" si="21"/>
        <v>3.2046666666666654</v>
      </c>
    </row>
    <row r="651" spans="1:10" ht="15.95" customHeight="1" x14ac:dyDescent="0.2">
      <c r="B651" s="67">
        <v>1411481</v>
      </c>
      <c r="C651" s="21" t="s">
        <v>0</v>
      </c>
      <c r="D651" s="22" t="s">
        <v>117</v>
      </c>
      <c r="E651" s="22" t="s">
        <v>1831</v>
      </c>
      <c r="F651" s="22" t="s">
        <v>581</v>
      </c>
      <c r="G651" s="21" t="s">
        <v>33</v>
      </c>
      <c r="H651" s="23">
        <v>5.6349999999999989</v>
      </c>
      <c r="I651" s="41">
        <f t="shared" si="20"/>
        <v>0.56000000000000005</v>
      </c>
      <c r="J651" s="44">
        <f t="shared" si="21"/>
        <v>2.4793999999999992</v>
      </c>
    </row>
    <row r="652" spans="1:10" ht="15.95" customHeight="1" x14ac:dyDescent="0.2">
      <c r="B652" s="67">
        <v>1411480</v>
      </c>
      <c r="C652" s="21" t="s">
        <v>0</v>
      </c>
      <c r="D652" s="22" t="s">
        <v>93</v>
      </c>
      <c r="E652" s="22" t="s">
        <v>1831</v>
      </c>
      <c r="F652" s="22" t="s">
        <v>581</v>
      </c>
      <c r="G652" s="21" t="s">
        <v>33</v>
      </c>
      <c r="H652" s="23">
        <v>1.9166666666666663</v>
      </c>
      <c r="I652" s="41">
        <f t="shared" si="20"/>
        <v>0.56000000000000005</v>
      </c>
      <c r="J652" s="44">
        <f t="shared" si="21"/>
        <v>0.84333333333333305</v>
      </c>
    </row>
    <row r="653" spans="1:10" ht="15.95" customHeight="1" x14ac:dyDescent="0.2">
      <c r="B653" s="67">
        <v>1408504</v>
      </c>
      <c r="C653" s="21" t="s">
        <v>0</v>
      </c>
      <c r="D653" s="22" t="s">
        <v>159</v>
      </c>
      <c r="E653" s="22" t="s">
        <v>1831</v>
      </c>
      <c r="F653" s="22" t="s">
        <v>646</v>
      </c>
      <c r="G653" s="21" t="s">
        <v>39</v>
      </c>
      <c r="H653" s="23">
        <v>22.17368049248158</v>
      </c>
      <c r="I653" s="41">
        <f t="shared" si="20"/>
        <v>0.56000000000000005</v>
      </c>
      <c r="J653" s="44">
        <f t="shared" si="21"/>
        <v>9.7564194166918945</v>
      </c>
    </row>
    <row r="654" spans="1:10" ht="15.95" customHeight="1" x14ac:dyDescent="0.2">
      <c r="B654" s="67">
        <v>1408502</v>
      </c>
      <c r="C654" s="21" t="s">
        <v>0</v>
      </c>
      <c r="D654" s="22" t="s">
        <v>6</v>
      </c>
      <c r="E654" s="22" t="s">
        <v>1831</v>
      </c>
      <c r="F654" s="22" t="s">
        <v>646</v>
      </c>
      <c r="G654" s="21" t="s">
        <v>39</v>
      </c>
      <c r="H654" s="23">
        <v>59.992885255828021</v>
      </c>
      <c r="I654" s="41">
        <f t="shared" si="20"/>
        <v>0.56000000000000005</v>
      </c>
      <c r="J654" s="44">
        <f t="shared" si="21"/>
        <v>26.396869512564329</v>
      </c>
    </row>
    <row r="655" spans="1:10" ht="15.95" customHeight="1" x14ac:dyDescent="0.2">
      <c r="B655" s="67">
        <v>1407689</v>
      </c>
      <c r="C655" s="21" t="s">
        <v>0</v>
      </c>
      <c r="D655" s="22" t="s">
        <v>116</v>
      </c>
      <c r="E655" s="22" t="s">
        <v>1831</v>
      </c>
      <c r="F655" s="22" t="s">
        <v>581</v>
      </c>
      <c r="G655" s="21" t="s">
        <v>33</v>
      </c>
      <c r="H655" s="23">
        <v>23.958333333333329</v>
      </c>
      <c r="I655" s="41">
        <f t="shared" si="20"/>
        <v>0.56000000000000005</v>
      </c>
      <c r="J655" s="44">
        <f t="shared" si="21"/>
        <v>10.541666666666663</v>
      </c>
    </row>
    <row r="656" spans="1:10" ht="15.95" customHeight="1" x14ac:dyDescent="0.2">
      <c r="B656" s="67">
        <v>1406276</v>
      </c>
      <c r="C656" s="21" t="s">
        <v>0</v>
      </c>
      <c r="D656" s="22" t="s">
        <v>109</v>
      </c>
      <c r="E656" s="22" t="s">
        <v>1831</v>
      </c>
      <c r="F656" s="22" t="s">
        <v>645</v>
      </c>
      <c r="G656" s="21" t="s">
        <v>33</v>
      </c>
      <c r="H656" s="23">
        <v>2.4000000000000004</v>
      </c>
      <c r="I656" s="41">
        <f t="shared" si="20"/>
        <v>0.56000000000000005</v>
      </c>
      <c r="J656" s="44">
        <f t="shared" si="21"/>
        <v>1.056</v>
      </c>
    </row>
    <row r="657" spans="1:15" ht="15.95" customHeight="1" x14ac:dyDescent="0.2">
      <c r="B657" s="67">
        <v>664508</v>
      </c>
      <c r="C657" s="21" t="s">
        <v>0</v>
      </c>
      <c r="D657" s="22" t="s">
        <v>126</v>
      </c>
      <c r="E657" s="22" t="s">
        <v>1831</v>
      </c>
      <c r="F657" s="1" t="s">
        <v>1124</v>
      </c>
      <c r="G657" s="21" t="s">
        <v>36</v>
      </c>
      <c r="H657" s="23">
        <v>40.639999999999993</v>
      </c>
      <c r="I657" s="41">
        <f t="shared" si="20"/>
        <v>0.56000000000000005</v>
      </c>
      <c r="J657" s="44">
        <f t="shared" si="21"/>
        <v>17.881599999999995</v>
      </c>
    </row>
    <row r="658" spans="1:15" ht="15.95" customHeight="1" x14ac:dyDescent="0.2">
      <c r="B658" s="70">
        <v>658153</v>
      </c>
      <c r="C658" s="12" t="s">
        <v>0</v>
      </c>
      <c r="D658" s="8" t="s">
        <v>594</v>
      </c>
      <c r="E658" s="8" t="s">
        <v>1831</v>
      </c>
      <c r="F658" s="8" t="s">
        <v>645</v>
      </c>
      <c r="G658" s="12" t="s">
        <v>33</v>
      </c>
      <c r="H658" s="19">
        <v>3.1800000000000006</v>
      </c>
      <c r="I658" s="41">
        <f t="shared" si="20"/>
        <v>0.56000000000000005</v>
      </c>
      <c r="J658" s="44">
        <f t="shared" si="21"/>
        <v>1.3992</v>
      </c>
    </row>
    <row r="659" spans="1:15" ht="15.95" customHeight="1" x14ac:dyDescent="0.2">
      <c r="B659" s="69">
        <v>654162</v>
      </c>
      <c r="C659" s="12" t="s">
        <v>0</v>
      </c>
      <c r="D659" s="1" t="s">
        <v>165</v>
      </c>
      <c r="E659" s="1" t="s">
        <v>1831</v>
      </c>
      <c r="F659" s="1" t="s">
        <v>1124</v>
      </c>
      <c r="G659" s="12" t="s">
        <v>39</v>
      </c>
      <c r="H659" s="23">
        <v>48.332425068119882</v>
      </c>
      <c r="I659" s="41">
        <f t="shared" si="20"/>
        <v>0.56000000000000005</v>
      </c>
      <c r="J659" s="44">
        <f t="shared" si="21"/>
        <v>21.266267029972745</v>
      </c>
    </row>
    <row r="660" spans="1:15" ht="15.95" customHeight="1" x14ac:dyDescent="0.2">
      <c r="B660" s="69">
        <v>654158</v>
      </c>
      <c r="C660" s="12" t="s">
        <v>0</v>
      </c>
      <c r="D660" s="1" t="s">
        <v>157</v>
      </c>
      <c r="E660" s="1" t="s">
        <v>1831</v>
      </c>
      <c r="F660" s="1" t="s">
        <v>1124</v>
      </c>
      <c r="G660" s="12" t="s">
        <v>39</v>
      </c>
      <c r="H660" s="23">
        <v>41.755858310626699</v>
      </c>
      <c r="I660" s="41">
        <f t="shared" si="20"/>
        <v>0.56000000000000005</v>
      </c>
      <c r="J660" s="44">
        <f t="shared" si="21"/>
        <v>18.372577656675745</v>
      </c>
    </row>
    <row r="661" spans="1:15" ht="15.95" customHeight="1" x14ac:dyDescent="0.2">
      <c r="A661" s="20"/>
      <c r="B661" s="69">
        <v>654062</v>
      </c>
      <c r="C661" s="12" t="s">
        <v>0</v>
      </c>
      <c r="D661" s="1" t="s">
        <v>166</v>
      </c>
      <c r="E661" s="1" t="s">
        <v>1831</v>
      </c>
      <c r="F661" s="1" t="s">
        <v>1124</v>
      </c>
      <c r="G661" s="12" t="s">
        <v>39</v>
      </c>
      <c r="H661" s="23">
        <v>94.136239782016347</v>
      </c>
      <c r="I661" s="41">
        <f t="shared" si="20"/>
        <v>0.56000000000000005</v>
      </c>
      <c r="J661" s="44">
        <f t="shared" si="21"/>
        <v>41.419945504087188</v>
      </c>
    </row>
    <row r="662" spans="1:15" ht="15.95" customHeight="1" thickBot="1" x14ac:dyDescent="0.25">
      <c r="A662" s="20"/>
      <c r="B662" s="69">
        <v>653766</v>
      </c>
      <c r="C662" s="12" t="s">
        <v>0</v>
      </c>
      <c r="D662" s="1" t="s">
        <v>781</v>
      </c>
      <c r="E662" s="1" t="s">
        <v>1831</v>
      </c>
      <c r="F662" s="1" t="s">
        <v>1124</v>
      </c>
      <c r="G662" s="12" t="s">
        <v>37</v>
      </c>
      <c r="H662" s="23">
        <v>17.279999999999998</v>
      </c>
      <c r="I662" s="41">
        <f t="shared" si="20"/>
        <v>0.56000000000000005</v>
      </c>
      <c r="J662" s="44">
        <f t="shared" si="21"/>
        <v>7.6031999999999975</v>
      </c>
    </row>
    <row r="663" spans="1:15" ht="15.95" customHeight="1" thickBot="1" x14ac:dyDescent="0.25">
      <c r="B663" s="69">
        <v>653762</v>
      </c>
      <c r="C663" s="12" t="s">
        <v>0</v>
      </c>
      <c r="D663" s="1" t="s">
        <v>780</v>
      </c>
      <c r="E663" s="1" t="s">
        <v>1831</v>
      </c>
      <c r="F663" s="1" t="s">
        <v>1124</v>
      </c>
      <c r="G663" s="12" t="s">
        <v>37</v>
      </c>
      <c r="H663" s="23">
        <v>13.399999999999997</v>
      </c>
      <c r="I663" s="41">
        <f t="shared" si="20"/>
        <v>0.56000000000000005</v>
      </c>
      <c r="J663" s="44">
        <f t="shared" si="21"/>
        <v>5.8959999999999981</v>
      </c>
      <c r="O663" s="391" t="s">
        <v>2153</v>
      </c>
    </row>
    <row r="664" spans="1:15" ht="15.95" customHeight="1" x14ac:dyDescent="0.2">
      <c r="B664" s="69">
        <v>653760</v>
      </c>
      <c r="C664" s="12" t="s">
        <v>0</v>
      </c>
      <c r="D664" s="1" t="s">
        <v>779</v>
      </c>
      <c r="E664" s="1" t="s">
        <v>1831</v>
      </c>
      <c r="F664" s="1" t="s">
        <v>1124</v>
      </c>
      <c r="G664" s="12" t="s">
        <v>37</v>
      </c>
      <c r="H664" s="23">
        <v>11.363636363636362</v>
      </c>
      <c r="I664" s="41">
        <f t="shared" si="20"/>
        <v>0.56000000000000005</v>
      </c>
      <c r="J664" s="44">
        <f t="shared" si="21"/>
        <v>4.9999999999999982</v>
      </c>
      <c r="O664" s="225" t="s">
        <v>988</v>
      </c>
    </row>
    <row r="665" spans="1:15" ht="15.95" customHeight="1" x14ac:dyDescent="0.2">
      <c r="B665" s="69">
        <v>653758</v>
      </c>
      <c r="C665" s="12" t="s">
        <v>0</v>
      </c>
      <c r="D665" s="1" t="s">
        <v>778</v>
      </c>
      <c r="E665" s="1" t="s">
        <v>1831</v>
      </c>
      <c r="F665" s="1" t="s">
        <v>1124</v>
      </c>
      <c r="G665" s="12" t="s">
        <v>37</v>
      </c>
      <c r="H665" s="23">
        <v>9.3636363636363615</v>
      </c>
      <c r="I665" s="41">
        <f t="shared" si="20"/>
        <v>0.56000000000000005</v>
      </c>
      <c r="J665" s="44">
        <f t="shared" si="21"/>
        <v>4.1199999999999983</v>
      </c>
      <c r="O665" s="223" t="s">
        <v>1567</v>
      </c>
    </row>
    <row r="666" spans="1:15" ht="15.95" customHeight="1" x14ac:dyDescent="0.2">
      <c r="B666" s="69">
        <v>653753</v>
      </c>
      <c r="C666" s="12" t="s">
        <v>0</v>
      </c>
      <c r="D666" s="1" t="s">
        <v>777</v>
      </c>
      <c r="E666" s="1" t="s">
        <v>1831</v>
      </c>
      <c r="F666" s="1" t="s">
        <v>1124</v>
      </c>
      <c r="G666" s="12" t="s">
        <v>37</v>
      </c>
      <c r="H666" s="23">
        <v>8.4399999999999977</v>
      </c>
      <c r="I666" s="41">
        <f t="shared" si="20"/>
        <v>0.56000000000000005</v>
      </c>
      <c r="J666" s="44">
        <f t="shared" si="21"/>
        <v>3.7135999999999987</v>
      </c>
      <c r="O666" s="225" t="s">
        <v>989</v>
      </c>
    </row>
    <row r="667" spans="1:15" ht="15.95" customHeight="1" x14ac:dyDescent="0.2">
      <c r="B667" s="68">
        <v>653712</v>
      </c>
      <c r="C667" s="12" t="s">
        <v>0</v>
      </c>
      <c r="D667" s="1" t="s">
        <v>776</v>
      </c>
      <c r="E667" s="64" t="s">
        <v>1831</v>
      </c>
      <c r="F667" s="1" t="s">
        <v>1124</v>
      </c>
      <c r="G667" s="12" t="s">
        <v>37</v>
      </c>
      <c r="H667" s="23">
        <v>13.399999999999997</v>
      </c>
      <c r="I667" s="41">
        <f t="shared" si="20"/>
        <v>0.56000000000000005</v>
      </c>
      <c r="J667" s="44">
        <f t="shared" si="21"/>
        <v>5.8959999999999981</v>
      </c>
      <c r="O667" s="223" t="s">
        <v>1481</v>
      </c>
    </row>
    <row r="668" spans="1:15" ht="15.95" customHeight="1" x14ac:dyDescent="0.2">
      <c r="B668" s="68">
        <v>653710</v>
      </c>
      <c r="C668" s="12" t="s">
        <v>0</v>
      </c>
      <c r="D668" s="1" t="s">
        <v>775</v>
      </c>
      <c r="E668" s="64" t="s">
        <v>1831</v>
      </c>
      <c r="F668" s="1" t="s">
        <v>1124</v>
      </c>
      <c r="G668" s="12" t="s">
        <v>37</v>
      </c>
      <c r="H668" s="23">
        <v>11.363636363636362</v>
      </c>
      <c r="I668" s="41">
        <f t="shared" si="20"/>
        <v>0.56000000000000005</v>
      </c>
      <c r="J668" s="44">
        <f t="shared" si="21"/>
        <v>4.9999999999999982</v>
      </c>
      <c r="O668" s="225" t="s">
        <v>1003</v>
      </c>
    </row>
    <row r="669" spans="1:15" ht="15.95" customHeight="1" x14ac:dyDescent="0.2">
      <c r="B669" s="68">
        <v>653708</v>
      </c>
      <c r="C669" s="12" t="s">
        <v>0</v>
      </c>
      <c r="D669" s="1" t="s">
        <v>774</v>
      </c>
      <c r="E669" s="64" t="s">
        <v>1831</v>
      </c>
      <c r="F669" s="1" t="s">
        <v>1124</v>
      </c>
      <c r="G669" s="12" t="s">
        <v>37</v>
      </c>
      <c r="H669" s="23">
        <v>9.3636363636363615</v>
      </c>
      <c r="I669" s="41">
        <f t="shared" si="20"/>
        <v>0.56000000000000005</v>
      </c>
      <c r="J669" s="44">
        <f t="shared" si="21"/>
        <v>4.1199999999999983</v>
      </c>
      <c r="O669" s="223" t="s">
        <v>1564</v>
      </c>
    </row>
    <row r="670" spans="1:15" ht="15.95" customHeight="1" x14ac:dyDescent="0.2">
      <c r="A670" s="20"/>
      <c r="B670" s="69">
        <v>653703</v>
      </c>
      <c r="C670" s="12" t="s">
        <v>0</v>
      </c>
      <c r="D670" s="1" t="s">
        <v>773</v>
      </c>
      <c r="E670" s="1" t="s">
        <v>1831</v>
      </c>
      <c r="F670" s="1" t="s">
        <v>1124</v>
      </c>
      <c r="G670" s="12" t="s">
        <v>37</v>
      </c>
      <c r="H670" s="23">
        <v>8.4399999999999977</v>
      </c>
      <c r="I670" s="41">
        <f t="shared" si="20"/>
        <v>0.56000000000000005</v>
      </c>
      <c r="J670" s="44">
        <f t="shared" si="21"/>
        <v>3.7135999999999987</v>
      </c>
      <c r="O670" s="225" t="s">
        <v>1566</v>
      </c>
    </row>
    <row r="671" spans="1:15" ht="15.95" customHeight="1" x14ac:dyDescent="0.2">
      <c r="B671" s="68">
        <v>653662</v>
      </c>
      <c r="C671" s="12" t="s">
        <v>0</v>
      </c>
      <c r="D671" s="1" t="s">
        <v>772</v>
      </c>
      <c r="E671" s="64" t="s">
        <v>1831</v>
      </c>
      <c r="F671" s="1" t="s">
        <v>1124</v>
      </c>
      <c r="G671" s="12" t="s">
        <v>37</v>
      </c>
      <c r="H671" s="23">
        <v>13.399999999999997</v>
      </c>
      <c r="I671" s="41">
        <f t="shared" si="20"/>
        <v>0.56000000000000005</v>
      </c>
      <c r="J671" s="44">
        <f t="shared" si="21"/>
        <v>5.8959999999999981</v>
      </c>
      <c r="O671" s="223" t="s">
        <v>1000</v>
      </c>
    </row>
    <row r="672" spans="1:15" ht="15.95" customHeight="1" x14ac:dyDescent="0.2">
      <c r="B672" s="68">
        <v>653660</v>
      </c>
      <c r="C672" s="12" t="s">
        <v>0</v>
      </c>
      <c r="D672" s="1" t="s">
        <v>771</v>
      </c>
      <c r="E672" s="64" t="s">
        <v>1831</v>
      </c>
      <c r="F672" s="1" t="s">
        <v>1124</v>
      </c>
      <c r="G672" s="12" t="s">
        <v>37</v>
      </c>
      <c r="H672" s="23">
        <v>11.363636363636362</v>
      </c>
      <c r="I672" s="41">
        <f t="shared" si="20"/>
        <v>0.56000000000000005</v>
      </c>
      <c r="J672" s="44">
        <f t="shared" si="21"/>
        <v>4.9999999999999982</v>
      </c>
      <c r="O672" s="225" t="s">
        <v>1565</v>
      </c>
    </row>
    <row r="673" spans="1:15" ht="15.95" customHeight="1" x14ac:dyDescent="0.2">
      <c r="B673" s="69">
        <v>653659</v>
      </c>
      <c r="C673" s="12" t="s">
        <v>0</v>
      </c>
      <c r="D673" s="1" t="s">
        <v>770</v>
      </c>
      <c r="E673" s="1" t="s">
        <v>1831</v>
      </c>
      <c r="F673" s="1" t="s">
        <v>1124</v>
      </c>
      <c r="G673" s="12" t="s">
        <v>37</v>
      </c>
      <c r="H673" s="23">
        <v>10.399999999999999</v>
      </c>
      <c r="I673" s="41">
        <f t="shared" si="20"/>
        <v>0.56000000000000005</v>
      </c>
      <c r="J673" s="44">
        <f t="shared" si="21"/>
        <v>4.5759999999999987</v>
      </c>
      <c r="O673" s="223" t="s">
        <v>2154</v>
      </c>
    </row>
    <row r="674" spans="1:15" ht="15.95" customHeight="1" x14ac:dyDescent="0.2">
      <c r="A674" s="17"/>
      <c r="B674" s="68">
        <v>653658</v>
      </c>
      <c r="C674" s="12" t="s">
        <v>0</v>
      </c>
      <c r="D674" s="1" t="s">
        <v>769</v>
      </c>
      <c r="E674" s="64" t="s">
        <v>1831</v>
      </c>
      <c r="F674" s="1" t="s">
        <v>1124</v>
      </c>
      <c r="G674" s="12" t="s">
        <v>37</v>
      </c>
      <c r="H674" s="23">
        <v>9.3636363636363615</v>
      </c>
      <c r="I674" s="41">
        <f t="shared" si="20"/>
        <v>0.56000000000000005</v>
      </c>
      <c r="J674" s="44">
        <f t="shared" si="21"/>
        <v>4.1199999999999983</v>
      </c>
      <c r="O674" s="225" t="s">
        <v>1078</v>
      </c>
    </row>
    <row r="675" spans="1:15" ht="15.95" customHeight="1" x14ac:dyDescent="0.2">
      <c r="A675" s="17"/>
      <c r="B675" s="68">
        <v>653612</v>
      </c>
      <c r="C675" s="12" t="s">
        <v>0</v>
      </c>
      <c r="D675" s="1" t="s">
        <v>768</v>
      </c>
      <c r="E675" s="64" t="s">
        <v>1831</v>
      </c>
      <c r="F675" s="1" t="s">
        <v>1124</v>
      </c>
      <c r="G675" s="12" t="s">
        <v>37</v>
      </c>
      <c r="H675" s="23">
        <v>13.399999999999997</v>
      </c>
      <c r="I675" s="41">
        <f t="shared" si="20"/>
        <v>0.56000000000000005</v>
      </c>
      <c r="J675" s="44">
        <f t="shared" si="21"/>
        <v>5.8959999999999981</v>
      </c>
      <c r="O675" s="223" t="s">
        <v>1825</v>
      </c>
    </row>
    <row r="676" spans="1:15" ht="15.95" customHeight="1" x14ac:dyDescent="0.2">
      <c r="B676" s="68">
        <v>653610</v>
      </c>
      <c r="C676" s="12" t="s">
        <v>0</v>
      </c>
      <c r="D676" s="1" t="s">
        <v>767</v>
      </c>
      <c r="E676" s="64" t="s">
        <v>1831</v>
      </c>
      <c r="F676" s="1" t="s">
        <v>1124</v>
      </c>
      <c r="G676" s="12" t="s">
        <v>37</v>
      </c>
      <c r="H676" s="23">
        <v>11.363636363636362</v>
      </c>
      <c r="I676" s="41">
        <f t="shared" si="20"/>
        <v>0.56000000000000005</v>
      </c>
      <c r="J676" s="44">
        <f t="shared" si="21"/>
        <v>4.9999999999999982</v>
      </c>
      <c r="O676" s="225" t="s">
        <v>1826</v>
      </c>
    </row>
    <row r="677" spans="1:15" ht="15.95" customHeight="1" x14ac:dyDescent="0.2">
      <c r="B677" s="69">
        <v>653609</v>
      </c>
      <c r="C677" s="12" t="s">
        <v>0</v>
      </c>
      <c r="D677" s="1" t="s">
        <v>766</v>
      </c>
      <c r="E677" s="1" t="s">
        <v>1831</v>
      </c>
      <c r="F677" s="1" t="s">
        <v>1124</v>
      </c>
      <c r="G677" s="12" t="s">
        <v>37</v>
      </c>
      <c r="H677" s="23">
        <v>10.399999999999999</v>
      </c>
      <c r="I677" s="41">
        <f t="shared" si="20"/>
        <v>0.56000000000000005</v>
      </c>
      <c r="J677" s="44">
        <f t="shared" si="21"/>
        <v>4.5759999999999987</v>
      </c>
      <c r="O677" s="223" t="s">
        <v>1827</v>
      </c>
    </row>
    <row r="678" spans="1:15" ht="15.95" customHeight="1" x14ac:dyDescent="0.2">
      <c r="B678" s="68">
        <v>653608</v>
      </c>
      <c r="C678" s="12" t="s">
        <v>0</v>
      </c>
      <c r="D678" s="1" t="s">
        <v>765</v>
      </c>
      <c r="E678" s="64" t="s">
        <v>1831</v>
      </c>
      <c r="F678" s="1" t="s">
        <v>1124</v>
      </c>
      <c r="G678" s="12" t="s">
        <v>37</v>
      </c>
      <c r="H678" s="23">
        <v>9.3636363636363615</v>
      </c>
      <c r="I678" s="41">
        <f t="shared" si="20"/>
        <v>0.56000000000000005</v>
      </c>
      <c r="J678" s="44">
        <f t="shared" si="21"/>
        <v>4.1199999999999983</v>
      </c>
      <c r="O678" s="225" t="s">
        <v>1828</v>
      </c>
    </row>
    <row r="679" spans="1:15" ht="15.95" customHeight="1" x14ac:dyDescent="0.2">
      <c r="B679" s="69">
        <v>653603</v>
      </c>
      <c r="C679" s="12" t="s">
        <v>0</v>
      </c>
      <c r="D679" s="1" t="s">
        <v>764</v>
      </c>
      <c r="E679" s="1" t="s">
        <v>1831</v>
      </c>
      <c r="F679" s="1" t="s">
        <v>1124</v>
      </c>
      <c r="G679" s="12" t="s">
        <v>37</v>
      </c>
      <c r="H679" s="23">
        <v>8.4399999999999977</v>
      </c>
      <c r="I679" s="41">
        <f t="shared" si="20"/>
        <v>0.56000000000000005</v>
      </c>
      <c r="J679" s="44">
        <f t="shared" si="21"/>
        <v>3.7135999999999987</v>
      </c>
      <c r="O679" s="223" t="s">
        <v>2119</v>
      </c>
    </row>
    <row r="680" spans="1:15" ht="15.95" customHeight="1" x14ac:dyDescent="0.2">
      <c r="B680" s="68">
        <v>653562</v>
      </c>
      <c r="C680" s="12" t="s">
        <v>0</v>
      </c>
      <c r="D680" s="1" t="s">
        <v>763</v>
      </c>
      <c r="E680" s="64" t="s">
        <v>1831</v>
      </c>
      <c r="F680" s="1" t="s">
        <v>1124</v>
      </c>
      <c r="G680" s="12" t="s">
        <v>37</v>
      </c>
      <c r="H680" s="23">
        <v>13.399999999999997</v>
      </c>
      <c r="I680" s="41">
        <f t="shared" si="20"/>
        <v>0.56000000000000005</v>
      </c>
      <c r="J680" s="44">
        <f t="shared" si="21"/>
        <v>5.8959999999999981</v>
      </c>
      <c r="O680" s="225" t="s">
        <v>2120</v>
      </c>
    </row>
    <row r="681" spans="1:15" ht="15.95" customHeight="1" x14ac:dyDescent="0.2">
      <c r="B681" s="68">
        <v>653560</v>
      </c>
      <c r="C681" s="12" t="s">
        <v>0</v>
      </c>
      <c r="D681" s="1" t="s">
        <v>762</v>
      </c>
      <c r="E681" s="64" t="s">
        <v>1831</v>
      </c>
      <c r="F681" s="1" t="s">
        <v>1124</v>
      </c>
      <c r="G681" s="12" t="s">
        <v>37</v>
      </c>
      <c r="H681" s="23">
        <v>11.363636363636362</v>
      </c>
      <c r="I681" s="41">
        <f t="shared" si="20"/>
        <v>0.56000000000000005</v>
      </c>
      <c r="J681" s="44">
        <f t="shared" si="21"/>
        <v>4.9999999999999982</v>
      </c>
      <c r="O681" s="223" t="s">
        <v>1056</v>
      </c>
    </row>
    <row r="682" spans="1:15" ht="15.95" customHeight="1" x14ac:dyDescent="0.2">
      <c r="B682" s="68">
        <v>653558</v>
      </c>
      <c r="C682" s="12" t="s">
        <v>0</v>
      </c>
      <c r="D682" s="1" t="s">
        <v>761</v>
      </c>
      <c r="E682" s="64" t="s">
        <v>1831</v>
      </c>
      <c r="F682" s="1" t="s">
        <v>1124</v>
      </c>
      <c r="G682" s="12" t="s">
        <v>37</v>
      </c>
      <c r="H682" s="23">
        <v>9.3636363636363615</v>
      </c>
      <c r="I682" s="41">
        <f t="shared" si="20"/>
        <v>0.56000000000000005</v>
      </c>
      <c r="J682" s="44">
        <f t="shared" si="21"/>
        <v>4.1199999999999983</v>
      </c>
      <c r="O682" s="225" t="s">
        <v>983</v>
      </c>
    </row>
    <row r="683" spans="1:15" ht="15.95" customHeight="1" x14ac:dyDescent="0.2">
      <c r="B683" s="73">
        <v>653530</v>
      </c>
      <c r="C683" s="12" t="s">
        <v>0</v>
      </c>
      <c r="D683" s="1" t="s">
        <v>757</v>
      </c>
      <c r="E683" s="1" t="s">
        <v>1831</v>
      </c>
      <c r="F683" s="1" t="s">
        <v>1124</v>
      </c>
      <c r="G683" s="12" t="s">
        <v>37</v>
      </c>
      <c r="H683" s="23">
        <v>47.199999999999996</v>
      </c>
      <c r="I683" s="41">
        <f t="shared" si="20"/>
        <v>0.56000000000000005</v>
      </c>
      <c r="J683" s="44">
        <f t="shared" si="21"/>
        <v>20.767999999999997</v>
      </c>
      <c r="O683" s="223" t="s">
        <v>1004</v>
      </c>
    </row>
    <row r="684" spans="1:15" ht="15.95" customHeight="1" x14ac:dyDescent="0.2">
      <c r="B684" s="69">
        <v>653528</v>
      </c>
      <c r="C684" s="12" t="s">
        <v>0</v>
      </c>
      <c r="D684" s="1" t="s">
        <v>760</v>
      </c>
      <c r="E684" s="1" t="s">
        <v>1831</v>
      </c>
      <c r="F684" s="1" t="s">
        <v>1124</v>
      </c>
      <c r="G684" s="12" t="s">
        <v>37</v>
      </c>
      <c r="H684" s="23">
        <v>39.999999999999993</v>
      </c>
      <c r="I684" s="41">
        <f t="shared" si="20"/>
        <v>0.56000000000000005</v>
      </c>
      <c r="J684" s="44">
        <f t="shared" si="21"/>
        <v>17.599999999999994</v>
      </c>
      <c r="O684" s="225" t="s">
        <v>2155</v>
      </c>
    </row>
    <row r="685" spans="1:15" ht="15.95" customHeight="1" x14ac:dyDescent="0.2">
      <c r="B685" s="73">
        <v>653527</v>
      </c>
      <c r="C685" s="12" t="s">
        <v>0</v>
      </c>
      <c r="D685" s="1" t="s">
        <v>756</v>
      </c>
      <c r="E685" s="1" t="s">
        <v>1831</v>
      </c>
      <c r="F685" s="1" t="s">
        <v>1124</v>
      </c>
      <c r="G685" s="12" t="s">
        <v>37</v>
      </c>
      <c r="H685" s="23">
        <v>31.999999999999993</v>
      </c>
      <c r="I685" s="41">
        <f t="shared" si="20"/>
        <v>0.56000000000000005</v>
      </c>
      <c r="J685" s="44">
        <f t="shared" si="21"/>
        <v>14.079999999999995</v>
      </c>
      <c r="O685" s="223" t="s">
        <v>1016</v>
      </c>
    </row>
    <row r="686" spans="1:15" ht="15.95" customHeight="1" x14ac:dyDescent="0.2">
      <c r="B686" s="69">
        <v>653526</v>
      </c>
      <c r="C686" s="12" t="s">
        <v>0</v>
      </c>
      <c r="D686" s="1" t="s">
        <v>759</v>
      </c>
      <c r="E686" s="1" t="s">
        <v>1831</v>
      </c>
      <c r="F686" s="1" t="s">
        <v>1124</v>
      </c>
      <c r="G686" s="12" t="s">
        <v>37</v>
      </c>
      <c r="H686" s="23">
        <v>27.199999999999996</v>
      </c>
      <c r="I686" s="41">
        <f t="shared" si="20"/>
        <v>0.56000000000000005</v>
      </c>
      <c r="J686" s="44">
        <f t="shared" si="21"/>
        <v>11.967999999999996</v>
      </c>
      <c r="O686" s="225" t="s">
        <v>1085</v>
      </c>
    </row>
    <row r="687" spans="1:15" ht="15.95" customHeight="1" x14ac:dyDescent="0.2">
      <c r="B687" s="73">
        <v>653524</v>
      </c>
      <c r="C687" s="12" t="s">
        <v>0</v>
      </c>
      <c r="D687" s="1" t="s">
        <v>755</v>
      </c>
      <c r="E687" s="1" t="s">
        <v>1831</v>
      </c>
      <c r="F687" s="1" t="s">
        <v>1124</v>
      </c>
      <c r="G687" s="12" t="s">
        <v>37</v>
      </c>
      <c r="H687" s="23">
        <v>25.199999999999996</v>
      </c>
      <c r="I687" s="41">
        <f t="shared" si="20"/>
        <v>0.56000000000000005</v>
      </c>
      <c r="J687" s="44">
        <f t="shared" si="21"/>
        <v>11.087999999999997</v>
      </c>
      <c r="O687" s="223" t="s">
        <v>1092</v>
      </c>
    </row>
    <row r="688" spans="1:15" ht="15.95" customHeight="1" x14ac:dyDescent="0.2">
      <c r="B688" s="73">
        <v>653522</v>
      </c>
      <c r="C688" s="12" t="s">
        <v>0</v>
      </c>
      <c r="D688" s="1" t="s">
        <v>754</v>
      </c>
      <c r="E688" s="1" t="s">
        <v>1831</v>
      </c>
      <c r="F688" s="1" t="s">
        <v>1124</v>
      </c>
      <c r="G688" s="12" t="s">
        <v>37</v>
      </c>
      <c r="H688" s="23">
        <v>23.239999999999995</v>
      </c>
      <c r="I688" s="41">
        <f t="shared" si="20"/>
        <v>0.56000000000000005</v>
      </c>
      <c r="J688" s="44">
        <f t="shared" si="21"/>
        <v>10.225599999999996</v>
      </c>
      <c r="O688" s="225" t="s">
        <v>1008</v>
      </c>
    </row>
    <row r="689" spans="2:15" ht="15.95" customHeight="1" x14ac:dyDescent="0.2">
      <c r="B689" s="73">
        <v>653520</v>
      </c>
      <c r="C689" s="12" t="s">
        <v>0</v>
      </c>
      <c r="D689" s="1" t="s">
        <v>753</v>
      </c>
      <c r="E689" s="1" t="s">
        <v>1831</v>
      </c>
      <c r="F689" s="1" t="s">
        <v>1124</v>
      </c>
      <c r="G689" s="12" t="s">
        <v>37</v>
      </c>
      <c r="H689" s="23">
        <v>21.239999999999995</v>
      </c>
      <c r="I689" s="41">
        <f t="shared" si="20"/>
        <v>0.56000000000000005</v>
      </c>
      <c r="J689" s="44">
        <f t="shared" si="21"/>
        <v>9.3455999999999975</v>
      </c>
      <c r="O689" s="223" t="s">
        <v>1530</v>
      </c>
    </row>
    <row r="690" spans="2:15" ht="15.95" customHeight="1" x14ac:dyDescent="0.2">
      <c r="B690" s="73">
        <v>653518</v>
      </c>
      <c r="C690" s="12" t="s">
        <v>0</v>
      </c>
      <c r="D690" s="1" t="s">
        <v>752</v>
      </c>
      <c r="E690" s="1" t="s">
        <v>1831</v>
      </c>
      <c r="F690" s="1" t="s">
        <v>1124</v>
      </c>
      <c r="G690" s="12" t="s">
        <v>37</v>
      </c>
      <c r="H690" s="23">
        <v>19.319999999999997</v>
      </c>
      <c r="I690" s="41">
        <f t="shared" si="20"/>
        <v>0.56000000000000005</v>
      </c>
      <c r="J690" s="44">
        <f t="shared" si="21"/>
        <v>8.5007999999999981</v>
      </c>
      <c r="O690" s="225" t="s">
        <v>1598</v>
      </c>
    </row>
    <row r="691" spans="2:15" ht="15.95" customHeight="1" x14ac:dyDescent="0.2">
      <c r="B691" s="69">
        <v>653516</v>
      </c>
      <c r="C691" s="12" t="s">
        <v>0</v>
      </c>
      <c r="D691" s="1" t="s">
        <v>758</v>
      </c>
      <c r="E691" s="1" t="s">
        <v>1831</v>
      </c>
      <c r="F691" s="1" t="s">
        <v>1124</v>
      </c>
      <c r="G691" s="12" t="s">
        <v>37</v>
      </c>
      <c r="H691" s="23">
        <v>17.279999999999998</v>
      </c>
      <c r="I691" s="41">
        <f t="shared" si="20"/>
        <v>0.56000000000000005</v>
      </c>
      <c r="J691" s="44">
        <f t="shared" si="21"/>
        <v>7.6031999999999975</v>
      </c>
      <c r="O691" s="223" t="s">
        <v>1580</v>
      </c>
    </row>
    <row r="692" spans="2:15" ht="15.95" customHeight="1" x14ac:dyDescent="0.2">
      <c r="B692" s="69">
        <v>653514</v>
      </c>
      <c r="C692" s="12" t="s">
        <v>0</v>
      </c>
      <c r="D692" s="1" t="s">
        <v>751</v>
      </c>
      <c r="E692" s="1" t="s">
        <v>1831</v>
      </c>
      <c r="F692" s="1" t="s">
        <v>1124</v>
      </c>
      <c r="G692" s="12" t="s">
        <v>37</v>
      </c>
      <c r="H692" s="23">
        <v>15.319999999999999</v>
      </c>
      <c r="I692" s="41">
        <f t="shared" si="20"/>
        <v>0.56000000000000005</v>
      </c>
      <c r="J692" s="44">
        <f t="shared" si="21"/>
        <v>6.7407999999999983</v>
      </c>
      <c r="O692" s="225" t="s">
        <v>1545</v>
      </c>
    </row>
    <row r="693" spans="2:15" ht="15.95" customHeight="1" x14ac:dyDescent="0.2">
      <c r="B693" s="69">
        <v>653512</v>
      </c>
      <c r="C693" s="12" t="s">
        <v>0</v>
      </c>
      <c r="D693" s="1" t="s">
        <v>750</v>
      </c>
      <c r="E693" s="1" t="s">
        <v>1831</v>
      </c>
      <c r="F693" s="1" t="s">
        <v>1124</v>
      </c>
      <c r="G693" s="12" t="s">
        <v>37</v>
      </c>
      <c r="H693" s="23">
        <v>13.399999999999997</v>
      </c>
      <c r="I693" s="41">
        <f t="shared" si="20"/>
        <v>0.56000000000000005</v>
      </c>
      <c r="J693" s="44">
        <f t="shared" si="21"/>
        <v>5.8959999999999981</v>
      </c>
      <c r="O693" s="223" t="s">
        <v>1533</v>
      </c>
    </row>
    <row r="694" spans="2:15" ht="15.95" customHeight="1" x14ac:dyDescent="0.2">
      <c r="B694" s="69">
        <v>653511</v>
      </c>
      <c r="C694" s="12" t="s">
        <v>0</v>
      </c>
      <c r="D694" s="1" t="s">
        <v>749</v>
      </c>
      <c r="E694" s="1" t="s">
        <v>1831</v>
      </c>
      <c r="F694" s="1" t="s">
        <v>1124</v>
      </c>
      <c r="G694" s="12" t="s">
        <v>37</v>
      </c>
      <c r="H694" s="23">
        <v>12.919999999999998</v>
      </c>
      <c r="I694" s="41">
        <f t="shared" si="20"/>
        <v>0.56000000000000005</v>
      </c>
      <c r="J694" s="44">
        <f t="shared" si="21"/>
        <v>5.6847999999999983</v>
      </c>
      <c r="O694" s="225" t="s">
        <v>1537</v>
      </c>
    </row>
    <row r="695" spans="2:15" ht="15.95" customHeight="1" x14ac:dyDescent="0.2">
      <c r="B695" s="69">
        <v>653510</v>
      </c>
      <c r="C695" s="12" t="s">
        <v>0</v>
      </c>
      <c r="D695" s="1" t="s">
        <v>748</v>
      </c>
      <c r="E695" s="1" t="s">
        <v>1831</v>
      </c>
      <c r="F695" s="1" t="s">
        <v>1124</v>
      </c>
      <c r="G695" s="12" t="s">
        <v>37</v>
      </c>
      <c r="H695" s="23">
        <v>11.363636363636362</v>
      </c>
      <c r="I695" s="41">
        <f t="shared" si="20"/>
        <v>0.56000000000000005</v>
      </c>
      <c r="J695" s="44">
        <f t="shared" si="21"/>
        <v>4.9999999999999982</v>
      </c>
      <c r="O695" s="223" t="s">
        <v>1823</v>
      </c>
    </row>
    <row r="696" spans="2:15" ht="15.95" customHeight="1" x14ac:dyDescent="0.2">
      <c r="B696" s="69">
        <v>653509</v>
      </c>
      <c r="C696" s="12" t="s">
        <v>0</v>
      </c>
      <c r="D696" s="1" t="s">
        <v>747</v>
      </c>
      <c r="E696" s="1" t="s">
        <v>1831</v>
      </c>
      <c r="F696" s="1" t="s">
        <v>1124</v>
      </c>
      <c r="G696" s="12" t="s">
        <v>37</v>
      </c>
      <c r="H696" s="23">
        <v>10.399999999999999</v>
      </c>
      <c r="I696" s="41">
        <f t="shared" si="20"/>
        <v>0.56000000000000005</v>
      </c>
      <c r="J696" s="44">
        <f t="shared" si="21"/>
        <v>4.5759999999999987</v>
      </c>
      <c r="O696" s="225" t="s">
        <v>1516</v>
      </c>
    </row>
    <row r="697" spans="2:15" ht="15.95" customHeight="1" x14ac:dyDescent="0.2">
      <c r="B697" s="69">
        <v>653508</v>
      </c>
      <c r="C697" s="12" t="s">
        <v>0</v>
      </c>
      <c r="D697" s="1" t="s">
        <v>746</v>
      </c>
      <c r="E697" s="1" t="s">
        <v>1831</v>
      </c>
      <c r="F697" s="1" t="s">
        <v>1124</v>
      </c>
      <c r="G697" s="12" t="s">
        <v>37</v>
      </c>
      <c r="H697" s="23">
        <v>9.3636363636363615</v>
      </c>
      <c r="I697" s="41">
        <f t="shared" si="20"/>
        <v>0.56000000000000005</v>
      </c>
      <c r="J697" s="44">
        <f t="shared" si="21"/>
        <v>4.1199999999999983</v>
      </c>
      <c r="O697" s="223" t="s">
        <v>1497</v>
      </c>
    </row>
    <row r="698" spans="2:15" ht="15.95" customHeight="1" x14ac:dyDescent="0.2">
      <c r="B698" s="69">
        <v>653503</v>
      </c>
      <c r="C698" s="12" t="s">
        <v>0</v>
      </c>
      <c r="D698" s="1" t="s">
        <v>745</v>
      </c>
      <c r="E698" s="1" t="s">
        <v>1831</v>
      </c>
      <c r="F698" s="1" t="s">
        <v>1124</v>
      </c>
      <c r="G698" s="12" t="s">
        <v>37</v>
      </c>
      <c r="H698" s="23">
        <v>8.4399999999999977</v>
      </c>
      <c r="I698" s="41">
        <f t="shared" si="20"/>
        <v>0.56000000000000005</v>
      </c>
      <c r="J698" s="44">
        <f t="shared" si="21"/>
        <v>3.7135999999999987</v>
      </c>
      <c r="O698" s="225" t="s">
        <v>1490</v>
      </c>
    </row>
    <row r="699" spans="2:15" ht="15.95" customHeight="1" x14ac:dyDescent="0.2">
      <c r="B699" s="69">
        <v>651862</v>
      </c>
      <c r="C699" s="12" t="s">
        <v>0</v>
      </c>
      <c r="D699" s="1" t="s">
        <v>744</v>
      </c>
      <c r="E699" s="1" t="s">
        <v>1831</v>
      </c>
      <c r="F699" s="1" t="s">
        <v>1124</v>
      </c>
      <c r="G699" s="12" t="s">
        <v>36</v>
      </c>
      <c r="H699" s="23">
        <v>12.818181818181815</v>
      </c>
      <c r="I699" s="41">
        <f t="shared" si="20"/>
        <v>0.56000000000000005</v>
      </c>
      <c r="J699" s="44">
        <f t="shared" si="21"/>
        <v>5.6399999999999979</v>
      </c>
      <c r="O699" s="223" t="s">
        <v>981</v>
      </c>
    </row>
    <row r="700" spans="2:15" ht="15.95" customHeight="1" x14ac:dyDescent="0.2">
      <c r="B700" s="69">
        <v>651860</v>
      </c>
      <c r="C700" s="12" t="s">
        <v>0</v>
      </c>
      <c r="D700" s="1" t="s">
        <v>743</v>
      </c>
      <c r="E700" s="1" t="s">
        <v>1831</v>
      </c>
      <c r="F700" s="1" t="s">
        <v>1124</v>
      </c>
      <c r="G700" s="12" t="s">
        <v>36</v>
      </c>
      <c r="H700" s="23">
        <v>11.136363636363635</v>
      </c>
      <c r="I700" s="41">
        <f t="shared" si="20"/>
        <v>0.56000000000000005</v>
      </c>
      <c r="J700" s="44">
        <f t="shared" si="21"/>
        <v>4.8999999999999986</v>
      </c>
      <c r="O700" s="225" t="s">
        <v>1531</v>
      </c>
    </row>
    <row r="701" spans="2:15" ht="15.95" customHeight="1" x14ac:dyDescent="0.2">
      <c r="B701" s="68">
        <v>651858</v>
      </c>
      <c r="C701" s="12" t="s">
        <v>0</v>
      </c>
      <c r="D701" s="1" t="s">
        <v>742</v>
      </c>
      <c r="E701" s="64" t="s">
        <v>1831</v>
      </c>
      <c r="F701" s="1" t="s">
        <v>1124</v>
      </c>
      <c r="G701" s="12" t="s">
        <v>36</v>
      </c>
      <c r="H701" s="23">
        <v>9.4545454545454533</v>
      </c>
      <c r="I701" s="41">
        <f t="shared" si="20"/>
        <v>0.56000000000000005</v>
      </c>
      <c r="J701" s="44">
        <f t="shared" si="21"/>
        <v>4.1599999999999993</v>
      </c>
      <c r="O701" s="223" t="s">
        <v>1581</v>
      </c>
    </row>
    <row r="702" spans="2:15" ht="15.95" customHeight="1" x14ac:dyDescent="0.2">
      <c r="B702" s="69">
        <v>651812</v>
      </c>
      <c r="C702" s="12" t="s">
        <v>0</v>
      </c>
      <c r="D702" s="1" t="s">
        <v>741</v>
      </c>
      <c r="E702" s="1" t="s">
        <v>1831</v>
      </c>
      <c r="F702" s="1" t="s">
        <v>1124</v>
      </c>
      <c r="G702" s="12" t="s">
        <v>36</v>
      </c>
      <c r="H702" s="23">
        <v>12.818181818181815</v>
      </c>
      <c r="I702" s="41">
        <f t="shared" si="20"/>
        <v>0.56000000000000005</v>
      </c>
      <c r="J702" s="44">
        <f t="shared" si="21"/>
        <v>5.6399999999999979</v>
      </c>
      <c r="O702" s="225" t="s">
        <v>1529</v>
      </c>
    </row>
    <row r="703" spans="2:15" ht="15.95" customHeight="1" x14ac:dyDescent="0.2">
      <c r="B703" s="69">
        <v>651810</v>
      </c>
      <c r="C703" s="12" t="s">
        <v>0</v>
      </c>
      <c r="D703" s="1" t="s">
        <v>740</v>
      </c>
      <c r="E703" s="1" t="s">
        <v>1831</v>
      </c>
      <c r="F703" s="1" t="s">
        <v>1124</v>
      </c>
      <c r="G703" s="12" t="s">
        <v>36</v>
      </c>
      <c r="H703" s="23">
        <v>11.136363636363635</v>
      </c>
      <c r="I703" s="41">
        <f t="shared" si="20"/>
        <v>0.56000000000000005</v>
      </c>
      <c r="J703" s="44">
        <f t="shared" si="21"/>
        <v>4.8999999999999986</v>
      </c>
      <c r="O703" s="223" t="s">
        <v>1547</v>
      </c>
    </row>
    <row r="704" spans="2:15" ht="15.95" customHeight="1" x14ac:dyDescent="0.2">
      <c r="B704" s="68">
        <v>651808</v>
      </c>
      <c r="C704" s="12" t="s">
        <v>0</v>
      </c>
      <c r="D704" s="1" t="s">
        <v>739</v>
      </c>
      <c r="E704" s="64" t="s">
        <v>1831</v>
      </c>
      <c r="F704" s="1" t="s">
        <v>1124</v>
      </c>
      <c r="G704" s="12" t="s">
        <v>36</v>
      </c>
      <c r="H704" s="23">
        <v>9.4545454545454533</v>
      </c>
      <c r="I704" s="41">
        <f t="shared" si="20"/>
        <v>0.56000000000000005</v>
      </c>
      <c r="J704" s="44">
        <f t="shared" si="21"/>
        <v>4.1599999999999993</v>
      </c>
      <c r="O704" s="225" t="s">
        <v>1819</v>
      </c>
    </row>
    <row r="705" spans="2:15" ht="15.95" customHeight="1" x14ac:dyDescent="0.2">
      <c r="B705" s="69">
        <v>651803</v>
      </c>
      <c r="C705" s="12" t="s">
        <v>0</v>
      </c>
      <c r="D705" s="1" t="s">
        <v>738</v>
      </c>
      <c r="E705" s="1" t="s">
        <v>1831</v>
      </c>
      <c r="F705" s="1" t="s">
        <v>1124</v>
      </c>
      <c r="G705" s="12" t="s">
        <v>36</v>
      </c>
      <c r="H705" s="23">
        <v>10.411989100817438</v>
      </c>
      <c r="I705" s="41">
        <f t="shared" si="20"/>
        <v>0.56000000000000005</v>
      </c>
      <c r="J705" s="44">
        <f t="shared" si="21"/>
        <v>4.5812752043596721</v>
      </c>
      <c r="O705" s="223" t="s">
        <v>1501</v>
      </c>
    </row>
    <row r="706" spans="2:15" ht="15.95" customHeight="1" x14ac:dyDescent="0.2">
      <c r="B706" s="69">
        <v>651762</v>
      </c>
      <c r="C706" s="12" t="s">
        <v>0</v>
      </c>
      <c r="D706" s="1" t="s">
        <v>737</v>
      </c>
      <c r="E706" s="1" t="s">
        <v>1831</v>
      </c>
      <c r="F706" s="1" t="s">
        <v>1124</v>
      </c>
      <c r="G706" s="12" t="s">
        <v>36</v>
      </c>
      <c r="H706" s="23">
        <v>12.818181818181815</v>
      </c>
      <c r="I706" s="41">
        <f t="shared" si="20"/>
        <v>0.56000000000000005</v>
      </c>
      <c r="J706" s="44">
        <f t="shared" si="21"/>
        <v>5.6399999999999979</v>
      </c>
      <c r="O706" s="225" t="s">
        <v>1549</v>
      </c>
    </row>
    <row r="707" spans="2:15" ht="15.95" customHeight="1" x14ac:dyDescent="0.2">
      <c r="B707" s="69">
        <v>651760</v>
      </c>
      <c r="C707" s="12" t="s">
        <v>0</v>
      </c>
      <c r="D707" s="1" t="s">
        <v>736</v>
      </c>
      <c r="E707" s="1" t="s">
        <v>1831</v>
      </c>
      <c r="F707" s="1" t="s">
        <v>1124</v>
      </c>
      <c r="G707" s="12" t="s">
        <v>36</v>
      </c>
      <c r="H707" s="23">
        <v>11.136363636363635</v>
      </c>
      <c r="I707" s="41">
        <f t="shared" si="20"/>
        <v>0.56000000000000005</v>
      </c>
      <c r="J707" s="44">
        <f t="shared" si="21"/>
        <v>4.8999999999999986</v>
      </c>
      <c r="O707" s="223" t="s">
        <v>1694</v>
      </c>
    </row>
    <row r="708" spans="2:15" ht="15.95" customHeight="1" x14ac:dyDescent="0.2">
      <c r="B708" s="69">
        <v>651758</v>
      </c>
      <c r="C708" s="12" t="s">
        <v>0</v>
      </c>
      <c r="D708" s="1" t="s">
        <v>735</v>
      </c>
      <c r="E708" s="1" t="s">
        <v>1831</v>
      </c>
      <c r="F708" s="1" t="s">
        <v>1124</v>
      </c>
      <c r="G708" s="12" t="s">
        <v>36</v>
      </c>
      <c r="H708" s="23">
        <v>9.4545454545454533</v>
      </c>
      <c r="I708" s="41">
        <f t="shared" si="20"/>
        <v>0.56000000000000005</v>
      </c>
      <c r="J708" s="44">
        <f t="shared" si="21"/>
        <v>4.1599999999999993</v>
      </c>
      <c r="O708" s="225" t="s">
        <v>1009</v>
      </c>
    </row>
    <row r="709" spans="2:15" ht="15.95" customHeight="1" x14ac:dyDescent="0.2">
      <c r="B709" s="69">
        <v>651712</v>
      </c>
      <c r="C709" s="12" t="s">
        <v>0</v>
      </c>
      <c r="D709" s="1" t="s">
        <v>734</v>
      </c>
      <c r="E709" s="1" t="s">
        <v>1831</v>
      </c>
      <c r="F709" s="1" t="s">
        <v>1124</v>
      </c>
      <c r="G709" s="12" t="s">
        <v>36</v>
      </c>
      <c r="H709" s="23">
        <v>12.818181818181815</v>
      </c>
      <c r="I709" s="41">
        <f t="shared" si="20"/>
        <v>0.56000000000000005</v>
      </c>
      <c r="J709" s="44">
        <f t="shared" si="21"/>
        <v>5.6399999999999979</v>
      </c>
      <c r="O709" s="223" t="s">
        <v>1351</v>
      </c>
    </row>
    <row r="710" spans="2:15" ht="15.95" customHeight="1" x14ac:dyDescent="0.2">
      <c r="B710" s="69">
        <v>651710</v>
      </c>
      <c r="C710" s="12" t="s">
        <v>0</v>
      </c>
      <c r="D710" s="1" t="s">
        <v>733</v>
      </c>
      <c r="E710" s="1" t="s">
        <v>1831</v>
      </c>
      <c r="F710" s="1" t="s">
        <v>1124</v>
      </c>
      <c r="G710" s="12" t="s">
        <v>36</v>
      </c>
      <c r="H710" s="23">
        <v>11.136363636363635</v>
      </c>
      <c r="I710" s="41">
        <f t="shared" si="20"/>
        <v>0.56000000000000005</v>
      </c>
      <c r="J710" s="44">
        <f t="shared" si="21"/>
        <v>4.8999999999999986</v>
      </c>
      <c r="O710" s="225" t="s">
        <v>1306</v>
      </c>
    </row>
    <row r="711" spans="2:15" ht="15.95" customHeight="1" x14ac:dyDescent="0.2">
      <c r="B711" s="68">
        <v>651708</v>
      </c>
      <c r="C711" s="12" t="s">
        <v>0</v>
      </c>
      <c r="D711" s="1" t="s">
        <v>732</v>
      </c>
      <c r="E711" s="64" t="s">
        <v>1831</v>
      </c>
      <c r="F711" s="1" t="s">
        <v>1124</v>
      </c>
      <c r="G711" s="12" t="s">
        <v>36</v>
      </c>
      <c r="H711" s="23">
        <v>9.4545454545454533</v>
      </c>
      <c r="I711" s="41">
        <f t="shared" si="20"/>
        <v>0.56000000000000005</v>
      </c>
      <c r="J711" s="44">
        <f t="shared" si="21"/>
        <v>4.1599999999999993</v>
      </c>
      <c r="O711" s="223" t="s">
        <v>1373</v>
      </c>
    </row>
    <row r="712" spans="2:15" ht="15.95" customHeight="1" x14ac:dyDescent="0.2">
      <c r="B712" s="69">
        <v>651662</v>
      </c>
      <c r="C712" s="12" t="s">
        <v>0</v>
      </c>
      <c r="D712" s="1" t="s">
        <v>731</v>
      </c>
      <c r="E712" s="1" t="s">
        <v>1831</v>
      </c>
      <c r="F712" s="1" t="s">
        <v>1124</v>
      </c>
      <c r="G712" s="12" t="s">
        <v>36</v>
      </c>
      <c r="H712" s="23">
        <v>15.416893732970024</v>
      </c>
      <c r="I712" s="41">
        <f t="shared" si="20"/>
        <v>0.56000000000000005</v>
      </c>
      <c r="J712" s="44">
        <f t="shared" si="21"/>
        <v>6.7834332425068098</v>
      </c>
      <c r="O712" s="225" t="s">
        <v>1362</v>
      </c>
    </row>
    <row r="713" spans="2:15" ht="15.95" customHeight="1" x14ac:dyDescent="0.2">
      <c r="B713" s="69">
        <v>651660</v>
      </c>
      <c r="C713" s="12" t="s">
        <v>0</v>
      </c>
      <c r="D713" s="1" t="s">
        <v>730</v>
      </c>
      <c r="E713" s="1" t="s">
        <v>1831</v>
      </c>
      <c r="F713" s="1" t="s">
        <v>1124</v>
      </c>
      <c r="G713" s="12" t="s">
        <v>36</v>
      </c>
      <c r="H713" s="23">
        <v>16.697184377838326</v>
      </c>
      <c r="I713" s="41">
        <f t="shared" ref="I713:I776" si="22">$H$7</f>
        <v>0.56000000000000005</v>
      </c>
      <c r="J713" s="44">
        <f t="shared" ref="J713:J776" si="23">H713-H713*I713</f>
        <v>7.3467611262488628</v>
      </c>
      <c r="O713" s="223" t="s">
        <v>1192</v>
      </c>
    </row>
    <row r="714" spans="2:15" ht="15.95" customHeight="1" x14ac:dyDescent="0.2">
      <c r="B714" s="69">
        <v>651653</v>
      </c>
      <c r="C714" s="12" t="s">
        <v>0</v>
      </c>
      <c r="D714" s="1" t="s">
        <v>729</v>
      </c>
      <c r="E714" s="1" t="s">
        <v>1831</v>
      </c>
      <c r="F714" s="1" t="s">
        <v>1124</v>
      </c>
      <c r="G714" s="12" t="s">
        <v>36</v>
      </c>
      <c r="H714" s="23">
        <v>10.612534059945503</v>
      </c>
      <c r="I714" s="41">
        <f t="shared" si="22"/>
        <v>0.56000000000000005</v>
      </c>
      <c r="J714" s="44">
        <f t="shared" si="23"/>
        <v>4.6695149863760204</v>
      </c>
      <c r="O714" s="225" t="s">
        <v>1013</v>
      </c>
    </row>
    <row r="715" spans="2:15" ht="15.95" customHeight="1" x14ac:dyDescent="0.2">
      <c r="B715" s="69">
        <v>651612</v>
      </c>
      <c r="C715" s="12" t="s">
        <v>0</v>
      </c>
      <c r="D715" s="1" t="s">
        <v>728</v>
      </c>
      <c r="E715" s="1" t="s">
        <v>1831</v>
      </c>
      <c r="F715" s="1" t="s">
        <v>1124</v>
      </c>
      <c r="G715" s="12" t="s">
        <v>36</v>
      </c>
      <c r="H715" s="23">
        <v>12.799999999999997</v>
      </c>
      <c r="I715" s="41">
        <f t="shared" si="22"/>
        <v>0.56000000000000005</v>
      </c>
      <c r="J715" s="44">
        <f t="shared" si="23"/>
        <v>5.6319999999999979</v>
      </c>
      <c r="O715" s="223" t="s">
        <v>1054</v>
      </c>
    </row>
    <row r="716" spans="2:15" ht="15.95" customHeight="1" x14ac:dyDescent="0.2">
      <c r="B716" s="69">
        <v>651610</v>
      </c>
      <c r="C716" s="12" t="s">
        <v>0</v>
      </c>
      <c r="D716" s="1" t="s">
        <v>727</v>
      </c>
      <c r="E716" s="1" t="s">
        <v>1831</v>
      </c>
      <c r="F716" s="1" t="s">
        <v>1124</v>
      </c>
      <c r="G716" s="12" t="s">
        <v>36</v>
      </c>
      <c r="H716" s="23">
        <v>11.119999999999997</v>
      </c>
      <c r="I716" s="41">
        <f t="shared" si="22"/>
        <v>0.56000000000000005</v>
      </c>
      <c r="J716" s="44">
        <f t="shared" si="23"/>
        <v>4.8927999999999985</v>
      </c>
      <c r="O716" s="225" t="s">
        <v>1058</v>
      </c>
    </row>
    <row r="717" spans="2:15" ht="15.95" customHeight="1" x14ac:dyDescent="0.2">
      <c r="B717" s="69">
        <v>651578</v>
      </c>
      <c r="C717" s="12" t="s">
        <v>0</v>
      </c>
      <c r="D717" s="1" t="s">
        <v>726</v>
      </c>
      <c r="E717" s="1" t="s">
        <v>1831</v>
      </c>
      <c r="F717" s="1" t="s">
        <v>1124</v>
      </c>
      <c r="G717" s="12" t="s">
        <v>36</v>
      </c>
      <c r="H717" s="23">
        <v>36.999999999999993</v>
      </c>
      <c r="I717" s="41">
        <f t="shared" si="22"/>
        <v>0.56000000000000005</v>
      </c>
      <c r="J717" s="44">
        <f t="shared" si="23"/>
        <v>16.279999999999994</v>
      </c>
      <c r="O717" s="223" t="s">
        <v>1062</v>
      </c>
    </row>
    <row r="718" spans="2:15" ht="15.95" customHeight="1" x14ac:dyDescent="0.2">
      <c r="B718" s="69">
        <v>651576</v>
      </c>
      <c r="C718" s="12" t="s">
        <v>0</v>
      </c>
      <c r="D718" s="1" t="s">
        <v>725</v>
      </c>
      <c r="E718" s="1" t="s">
        <v>1831</v>
      </c>
      <c r="F718" s="1" t="s">
        <v>1124</v>
      </c>
      <c r="G718" s="12" t="s">
        <v>36</v>
      </c>
      <c r="H718" s="23">
        <v>23.599999999999998</v>
      </c>
      <c r="I718" s="41">
        <f t="shared" si="22"/>
        <v>0.56000000000000005</v>
      </c>
      <c r="J718" s="44">
        <f t="shared" si="23"/>
        <v>10.383999999999999</v>
      </c>
      <c r="O718" s="225" t="s">
        <v>1068</v>
      </c>
    </row>
    <row r="719" spans="2:15" ht="15.95" customHeight="1" x14ac:dyDescent="0.2">
      <c r="B719" s="69">
        <v>651566</v>
      </c>
      <c r="C719" s="12" t="s">
        <v>0</v>
      </c>
      <c r="D719" s="1" t="s">
        <v>724</v>
      </c>
      <c r="E719" s="1" t="s">
        <v>1831</v>
      </c>
      <c r="F719" s="1" t="s">
        <v>1124</v>
      </c>
      <c r="G719" s="12" t="s">
        <v>36</v>
      </c>
      <c r="H719" s="23">
        <v>15.559999999999999</v>
      </c>
      <c r="I719" s="41">
        <f t="shared" si="22"/>
        <v>0.56000000000000005</v>
      </c>
      <c r="J719" s="44">
        <f t="shared" si="23"/>
        <v>6.8463999999999992</v>
      </c>
      <c r="O719" s="223" t="s">
        <v>1821</v>
      </c>
    </row>
    <row r="720" spans="2:15" ht="15.95" customHeight="1" x14ac:dyDescent="0.2">
      <c r="B720" s="69">
        <v>651562</v>
      </c>
      <c r="C720" s="12" t="s">
        <v>0</v>
      </c>
      <c r="D720" s="1" t="s">
        <v>723</v>
      </c>
      <c r="E720" s="1" t="s">
        <v>1831</v>
      </c>
      <c r="F720" s="1" t="s">
        <v>1124</v>
      </c>
      <c r="G720" s="12" t="s">
        <v>36</v>
      </c>
      <c r="H720" s="23">
        <v>13.959999999999997</v>
      </c>
      <c r="I720" s="41">
        <f t="shared" si="22"/>
        <v>0.56000000000000005</v>
      </c>
      <c r="J720" s="44">
        <f t="shared" si="23"/>
        <v>6.1423999999999976</v>
      </c>
      <c r="O720" s="225" t="s">
        <v>980</v>
      </c>
    </row>
    <row r="721" spans="2:15" ht="15.95" customHeight="1" x14ac:dyDescent="0.2">
      <c r="B721" s="69">
        <v>651560</v>
      </c>
      <c r="C721" s="12" t="s">
        <v>0</v>
      </c>
      <c r="D721" s="1" t="s">
        <v>722</v>
      </c>
      <c r="E721" s="1" t="s">
        <v>1831</v>
      </c>
      <c r="F721" s="1" t="s">
        <v>1124</v>
      </c>
      <c r="G721" s="12" t="s">
        <v>36</v>
      </c>
      <c r="H721" s="23">
        <v>11.119999999999997</v>
      </c>
      <c r="I721" s="41">
        <f t="shared" si="22"/>
        <v>0.56000000000000005</v>
      </c>
      <c r="J721" s="44">
        <f t="shared" si="23"/>
        <v>4.8927999999999985</v>
      </c>
      <c r="O721" s="223" t="s">
        <v>982</v>
      </c>
    </row>
    <row r="722" spans="2:15" ht="15.95" customHeight="1" x14ac:dyDescent="0.2">
      <c r="B722" s="69">
        <v>651558</v>
      </c>
      <c r="C722" s="12" t="s">
        <v>0</v>
      </c>
      <c r="D722" s="1" t="s">
        <v>721</v>
      </c>
      <c r="E722" s="1" t="s">
        <v>1831</v>
      </c>
      <c r="F722" s="1" t="s">
        <v>1124</v>
      </c>
      <c r="G722" s="12" t="s">
        <v>37</v>
      </c>
      <c r="H722" s="23">
        <v>9.4059945504087192</v>
      </c>
      <c r="I722" s="41">
        <f t="shared" si="22"/>
        <v>0.56000000000000005</v>
      </c>
      <c r="J722" s="44">
        <f t="shared" si="23"/>
        <v>4.1386376021798359</v>
      </c>
      <c r="O722" s="225" t="s">
        <v>1824</v>
      </c>
    </row>
    <row r="723" spans="2:15" ht="15.95" customHeight="1" x14ac:dyDescent="0.2">
      <c r="B723" s="67">
        <v>440044</v>
      </c>
      <c r="C723" s="21" t="s">
        <v>0</v>
      </c>
      <c r="D723" s="22" t="s">
        <v>167</v>
      </c>
      <c r="E723" s="22" t="s">
        <v>1831</v>
      </c>
      <c r="F723" s="22" t="s">
        <v>585</v>
      </c>
      <c r="G723" s="21" t="s">
        <v>39</v>
      </c>
      <c r="H723" s="23">
        <v>49.954743000009756</v>
      </c>
      <c r="I723" s="41">
        <f t="shared" si="22"/>
        <v>0.56000000000000005</v>
      </c>
      <c r="J723" s="44">
        <f t="shared" si="23"/>
        <v>21.98008692000429</v>
      </c>
      <c r="O723" s="223" t="s">
        <v>1505</v>
      </c>
    </row>
    <row r="724" spans="2:15" ht="15.95" customHeight="1" x14ac:dyDescent="0.2">
      <c r="B724" s="67">
        <v>440043</v>
      </c>
      <c r="C724" s="21" t="s">
        <v>0</v>
      </c>
      <c r="D724" s="22" t="s">
        <v>164</v>
      </c>
      <c r="E724" s="22" t="s">
        <v>1831</v>
      </c>
      <c r="F724" s="22" t="s">
        <v>585</v>
      </c>
      <c r="G724" s="21" t="s">
        <v>39</v>
      </c>
      <c r="H724" s="23">
        <v>68.540417801998174</v>
      </c>
      <c r="I724" s="41">
        <f t="shared" si="22"/>
        <v>0.56000000000000005</v>
      </c>
      <c r="J724" s="44">
        <f t="shared" si="23"/>
        <v>30.15778383287919</v>
      </c>
      <c r="O724" s="225" t="s">
        <v>1561</v>
      </c>
    </row>
    <row r="725" spans="2:15" ht="15.95" customHeight="1" x14ac:dyDescent="0.2">
      <c r="B725" s="67">
        <v>440042</v>
      </c>
      <c r="C725" s="21" t="s">
        <v>0</v>
      </c>
      <c r="D725" s="22" t="s">
        <v>163</v>
      </c>
      <c r="E725" s="22" t="s">
        <v>1831</v>
      </c>
      <c r="F725" s="22" t="s">
        <v>585</v>
      </c>
      <c r="G725" s="21" t="s">
        <v>39</v>
      </c>
      <c r="H725" s="23">
        <v>89.503633060853744</v>
      </c>
      <c r="I725" s="41">
        <f t="shared" si="22"/>
        <v>0.56000000000000005</v>
      </c>
      <c r="J725" s="44">
        <f t="shared" si="23"/>
        <v>39.381598546775642</v>
      </c>
      <c r="O725" s="223" t="s">
        <v>987</v>
      </c>
    </row>
    <row r="726" spans="2:15" ht="15.95" customHeight="1" x14ac:dyDescent="0.2">
      <c r="B726" s="67">
        <v>440005</v>
      </c>
      <c r="C726" s="21" t="s">
        <v>0</v>
      </c>
      <c r="D726" s="22" t="s">
        <v>153</v>
      </c>
      <c r="E726" s="22" t="s">
        <v>1831</v>
      </c>
      <c r="F726" s="22" t="s">
        <v>646</v>
      </c>
      <c r="G726" s="21" t="s">
        <v>37</v>
      </c>
      <c r="H726" s="23">
        <v>11.086259965687757</v>
      </c>
      <c r="I726" s="41">
        <f t="shared" si="22"/>
        <v>0.56000000000000005</v>
      </c>
      <c r="J726" s="44">
        <f t="shared" si="23"/>
        <v>4.8779543849026128</v>
      </c>
      <c r="O726" s="225" t="s">
        <v>1503</v>
      </c>
    </row>
    <row r="727" spans="2:15" ht="15.95" customHeight="1" x14ac:dyDescent="0.2">
      <c r="B727" s="67">
        <v>418200</v>
      </c>
      <c r="C727" s="21" t="s">
        <v>0</v>
      </c>
      <c r="D727" s="22" t="s">
        <v>106</v>
      </c>
      <c r="E727" s="22" t="s">
        <v>1831</v>
      </c>
      <c r="F727" s="22" t="s">
        <v>581</v>
      </c>
      <c r="G727" s="21" t="s">
        <v>33</v>
      </c>
      <c r="H727" s="23">
        <v>52.133333333333319</v>
      </c>
      <c r="I727" s="41">
        <f t="shared" si="22"/>
        <v>0.56000000000000005</v>
      </c>
      <c r="J727" s="44">
        <f t="shared" si="23"/>
        <v>22.938666666666656</v>
      </c>
      <c r="O727" s="223" t="s">
        <v>1001</v>
      </c>
    </row>
    <row r="728" spans="2:15" ht="15.95" customHeight="1" x14ac:dyDescent="0.2">
      <c r="B728" s="67">
        <v>418073</v>
      </c>
      <c r="C728" s="21" t="s">
        <v>0</v>
      </c>
      <c r="D728" s="22" t="s">
        <v>123</v>
      </c>
      <c r="E728" s="22" t="s">
        <v>1831</v>
      </c>
      <c r="F728" s="22" t="s">
        <v>645</v>
      </c>
      <c r="G728" s="21" t="s">
        <v>35</v>
      </c>
      <c r="H728" s="23">
        <v>4.3800000000000008</v>
      </c>
      <c r="I728" s="41">
        <f t="shared" si="22"/>
        <v>0.56000000000000005</v>
      </c>
      <c r="J728" s="44">
        <f t="shared" si="23"/>
        <v>1.9272</v>
      </c>
      <c r="O728" s="225" t="s">
        <v>1558</v>
      </c>
    </row>
    <row r="729" spans="2:15" ht="15.95" customHeight="1" x14ac:dyDescent="0.2">
      <c r="B729" s="67">
        <v>418072</v>
      </c>
      <c r="C729" s="21" t="s">
        <v>0</v>
      </c>
      <c r="D729" s="22" t="s">
        <v>3</v>
      </c>
      <c r="E729" s="22" t="s">
        <v>1831</v>
      </c>
      <c r="F729" s="22" t="s">
        <v>645</v>
      </c>
      <c r="G729" s="21" t="s">
        <v>35</v>
      </c>
      <c r="H729" s="23">
        <v>4.3800000000000008</v>
      </c>
      <c r="I729" s="41">
        <f t="shared" si="22"/>
        <v>0.56000000000000005</v>
      </c>
      <c r="J729" s="44">
        <f t="shared" si="23"/>
        <v>1.9272</v>
      </c>
      <c r="O729" s="223" t="s">
        <v>1535</v>
      </c>
    </row>
    <row r="730" spans="2:15" ht="15.95" customHeight="1" x14ac:dyDescent="0.2">
      <c r="B730" s="67">
        <v>418071</v>
      </c>
      <c r="C730" s="21" t="s">
        <v>0</v>
      </c>
      <c r="D730" s="22" t="s">
        <v>4</v>
      </c>
      <c r="E730" s="22" t="s">
        <v>1831</v>
      </c>
      <c r="F730" s="22" t="s">
        <v>646</v>
      </c>
      <c r="G730" s="21" t="s">
        <v>36</v>
      </c>
      <c r="H730" s="23">
        <v>4.4296296296296296</v>
      </c>
      <c r="I730" s="41">
        <f t="shared" si="22"/>
        <v>0.56000000000000005</v>
      </c>
      <c r="J730" s="44">
        <f t="shared" si="23"/>
        <v>1.9490370370370367</v>
      </c>
      <c r="O730" s="225" t="s">
        <v>1590</v>
      </c>
    </row>
    <row r="731" spans="2:15" ht="15.95" customHeight="1" x14ac:dyDescent="0.2">
      <c r="B731" s="67">
        <v>418070</v>
      </c>
      <c r="C731" s="21" t="s">
        <v>0</v>
      </c>
      <c r="D731" s="22" t="s">
        <v>5</v>
      </c>
      <c r="E731" s="22" t="s">
        <v>1831</v>
      </c>
      <c r="F731" s="22" t="s">
        <v>646</v>
      </c>
      <c r="G731" s="21" t="s">
        <v>36</v>
      </c>
      <c r="H731" s="23">
        <v>4.4296296296296296</v>
      </c>
      <c r="I731" s="41">
        <f t="shared" si="22"/>
        <v>0.56000000000000005</v>
      </c>
      <c r="J731" s="44">
        <f t="shared" si="23"/>
        <v>1.9490370370370367</v>
      </c>
      <c r="O731" s="223" t="s">
        <v>1578</v>
      </c>
    </row>
    <row r="732" spans="2:15" ht="15.95" customHeight="1" x14ac:dyDescent="0.2">
      <c r="B732" s="67">
        <v>418067</v>
      </c>
      <c r="C732" s="21" t="s">
        <v>0</v>
      </c>
      <c r="D732" s="22" t="s">
        <v>652</v>
      </c>
      <c r="E732" s="22" t="s">
        <v>1831</v>
      </c>
      <c r="F732" s="22" t="s">
        <v>646</v>
      </c>
      <c r="G732" s="21" t="s">
        <v>33</v>
      </c>
      <c r="H732" s="23">
        <v>13.203703703703702</v>
      </c>
      <c r="I732" s="41">
        <f t="shared" si="22"/>
        <v>0.56000000000000005</v>
      </c>
      <c r="J732" s="44">
        <f t="shared" si="23"/>
        <v>5.8096296296296286</v>
      </c>
      <c r="O732" s="225" t="s">
        <v>1593</v>
      </c>
    </row>
    <row r="733" spans="2:15" ht="15.95" customHeight="1" x14ac:dyDescent="0.2">
      <c r="B733" s="67">
        <v>418066</v>
      </c>
      <c r="C733" s="21" t="s">
        <v>0</v>
      </c>
      <c r="D733" s="22" t="s">
        <v>651</v>
      </c>
      <c r="E733" s="22" t="s">
        <v>1831</v>
      </c>
      <c r="F733" s="22" t="s">
        <v>646</v>
      </c>
      <c r="G733" s="21" t="s">
        <v>33</v>
      </c>
      <c r="H733" s="23">
        <v>13.203703703703702</v>
      </c>
      <c r="I733" s="41">
        <f t="shared" si="22"/>
        <v>0.56000000000000005</v>
      </c>
      <c r="J733" s="44">
        <f t="shared" si="23"/>
        <v>5.8096296296296286</v>
      </c>
      <c r="O733" s="223" t="s">
        <v>1442</v>
      </c>
    </row>
    <row r="734" spans="2:15" ht="15.95" customHeight="1" x14ac:dyDescent="0.2">
      <c r="B734" s="67">
        <v>418065</v>
      </c>
      <c r="C734" s="21" t="s">
        <v>0</v>
      </c>
      <c r="D734" s="22" t="s">
        <v>650</v>
      </c>
      <c r="E734" s="22" t="s">
        <v>1831</v>
      </c>
      <c r="F734" s="22" t="s">
        <v>646</v>
      </c>
      <c r="G734" s="21" t="s">
        <v>33</v>
      </c>
      <c r="H734" s="23">
        <v>13.203703703703702</v>
      </c>
      <c r="I734" s="41">
        <f t="shared" si="22"/>
        <v>0.56000000000000005</v>
      </c>
      <c r="J734" s="44">
        <f t="shared" si="23"/>
        <v>5.8096296296296286</v>
      </c>
      <c r="O734" s="225" t="s">
        <v>1396</v>
      </c>
    </row>
    <row r="735" spans="2:15" ht="15.95" customHeight="1" x14ac:dyDescent="0.2">
      <c r="B735" s="67">
        <v>418064</v>
      </c>
      <c r="C735" s="21" t="s">
        <v>0</v>
      </c>
      <c r="D735" s="22" t="s">
        <v>649</v>
      </c>
      <c r="E735" s="22" t="s">
        <v>1831</v>
      </c>
      <c r="F735" s="22" t="s">
        <v>646</v>
      </c>
      <c r="G735" s="21" t="s">
        <v>33</v>
      </c>
      <c r="H735" s="23">
        <v>13.203703703703702</v>
      </c>
      <c r="I735" s="41">
        <f t="shared" si="22"/>
        <v>0.56000000000000005</v>
      </c>
      <c r="J735" s="44">
        <f t="shared" si="23"/>
        <v>5.8096296296296286</v>
      </c>
      <c r="O735" s="223" t="s">
        <v>1421</v>
      </c>
    </row>
    <row r="736" spans="2:15" ht="15.95" customHeight="1" x14ac:dyDescent="0.2">
      <c r="B736" s="67">
        <v>418063</v>
      </c>
      <c r="C736" s="21" t="s">
        <v>0</v>
      </c>
      <c r="D736" s="22" t="s">
        <v>648</v>
      </c>
      <c r="E736" s="22" t="s">
        <v>1831</v>
      </c>
      <c r="F736" s="22" t="s">
        <v>646</v>
      </c>
      <c r="G736" s="21" t="s">
        <v>33</v>
      </c>
      <c r="H736" s="23">
        <v>13.203703703703702</v>
      </c>
      <c r="I736" s="41">
        <f t="shared" si="22"/>
        <v>0.56000000000000005</v>
      </c>
      <c r="J736" s="44">
        <f t="shared" si="23"/>
        <v>5.8096296296296286</v>
      </c>
      <c r="O736" s="225" t="s">
        <v>986</v>
      </c>
    </row>
    <row r="737" spans="2:15" ht="15.95" customHeight="1" x14ac:dyDescent="0.2">
      <c r="B737" s="67">
        <v>418062</v>
      </c>
      <c r="C737" s="21" t="s">
        <v>0</v>
      </c>
      <c r="D737" s="22" t="s">
        <v>647</v>
      </c>
      <c r="E737" s="22" t="s">
        <v>1831</v>
      </c>
      <c r="F737" s="22" t="s">
        <v>646</v>
      </c>
      <c r="G737" s="21" t="s">
        <v>33</v>
      </c>
      <c r="H737" s="23">
        <v>13.203703703703702</v>
      </c>
      <c r="I737" s="41">
        <f t="shared" si="22"/>
        <v>0.56000000000000005</v>
      </c>
      <c r="J737" s="44">
        <f t="shared" si="23"/>
        <v>5.8096296296296286</v>
      </c>
      <c r="O737" s="223" t="s">
        <v>985</v>
      </c>
    </row>
    <row r="738" spans="2:15" ht="15.95" customHeight="1" x14ac:dyDescent="0.2">
      <c r="B738" s="67">
        <v>418061</v>
      </c>
      <c r="C738" s="21" t="s">
        <v>0</v>
      </c>
      <c r="D738" s="22" t="s">
        <v>146</v>
      </c>
      <c r="E738" s="22" t="s">
        <v>1831</v>
      </c>
      <c r="F738" s="22" t="s">
        <v>646</v>
      </c>
      <c r="G738" s="21" t="s">
        <v>37</v>
      </c>
      <c r="H738" s="23">
        <v>6.8999999999999995</v>
      </c>
      <c r="I738" s="41">
        <f t="shared" si="22"/>
        <v>0.56000000000000005</v>
      </c>
      <c r="J738" s="44">
        <f t="shared" si="23"/>
        <v>3.0359999999999996</v>
      </c>
      <c r="O738" s="225" t="s">
        <v>984</v>
      </c>
    </row>
    <row r="739" spans="2:15" ht="15.95" customHeight="1" x14ac:dyDescent="0.2">
      <c r="B739" s="67">
        <v>418056</v>
      </c>
      <c r="C739" s="21" t="s">
        <v>0</v>
      </c>
      <c r="D739" s="22" t="s">
        <v>140</v>
      </c>
      <c r="E739" s="22" t="s">
        <v>1831</v>
      </c>
      <c r="F739" s="22" t="s">
        <v>646</v>
      </c>
      <c r="G739" s="21" t="s">
        <v>36</v>
      </c>
      <c r="H739" s="23">
        <v>6.8574074074074067</v>
      </c>
      <c r="I739" s="41">
        <f t="shared" si="22"/>
        <v>0.56000000000000005</v>
      </c>
      <c r="J739" s="44">
        <f t="shared" si="23"/>
        <v>3.0172592592592586</v>
      </c>
      <c r="O739" s="223" t="s">
        <v>1069</v>
      </c>
    </row>
    <row r="740" spans="2:15" ht="15.95" customHeight="1" x14ac:dyDescent="0.2">
      <c r="B740" s="67">
        <v>418054</v>
      </c>
      <c r="C740" s="21" t="s">
        <v>0</v>
      </c>
      <c r="D740" s="22" t="s">
        <v>152</v>
      </c>
      <c r="E740" s="22" t="s">
        <v>1831</v>
      </c>
      <c r="F740" s="22" t="s">
        <v>646</v>
      </c>
      <c r="G740" s="21" t="s">
        <v>37</v>
      </c>
      <c r="H740" s="23">
        <v>6.1333333333333329</v>
      </c>
      <c r="I740" s="41">
        <f t="shared" si="22"/>
        <v>0.56000000000000005</v>
      </c>
      <c r="J740" s="44">
        <f t="shared" si="23"/>
        <v>2.6986666666666661</v>
      </c>
      <c r="O740" s="225" t="s">
        <v>1074</v>
      </c>
    </row>
    <row r="741" spans="2:15" ht="15.95" customHeight="1" x14ac:dyDescent="0.2">
      <c r="B741" s="67">
        <v>418039</v>
      </c>
      <c r="C741" s="21" t="s">
        <v>0</v>
      </c>
      <c r="D741" s="22" t="s">
        <v>96</v>
      </c>
      <c r="E741" s="22" t="s">
        <v>1831</v>
      </c>
      <c r="F741" s="22" t="s">
        <v>645</v>
      </c>
      <c r="G741" s="21" t="s">
        <v>33</v>
      </c>
      <c r="H741" s="23">
        <v>10.140000000000002</v>
      </c>
      <c r="I741" s="41">
        <f t="shared" si="22"/>
        <v>0.56000000000000005</v>
      </c>
      <c r="J741" s="44">
        <f t="shared" si="23"/>
        <v>4.4616000000000007</v>
      </c>
      <c r="O741" s="223" t="s">
        <v>1071</v>
      </c>
    </row>
    <row r="742" spans="2:15" ht="15.95" customHeight="1" x14ac:dyDescent="0.2">
      <c r="B742" s="67">
        <v>418037</v>
      </c>
      <c r="C742" s="21" t="s">
        <v>0</v>
      </c>
      <c r="D742" s="22" t="s">
        <v>108</v>
      </c>
      <c r="E742" s="22" t="s">
        <v>1831</v>
      </c>
      <c r="F742" s="22" t="s">
        <v>645</v>
      </c>
      <c r="G742" s="21" t="s">
        <v>33</v>
      </c>
      <c r="H742" s="23">
        <v>3.4800000000000004</v>
      </c>
      <c r="I742" s="41">
        <f t="shared" si="22"/>
        <v>0.56000000000000005</v>
      </c>
      <c r="J742" s="44">
        <f t="shared" si="23"/>
        <v>1.5311999999999999</v>
      </c>
      <c r="O742" s="225" t="s">
        <v>1077</v>
      </c>
    </row>
    <row r="743" spans="2:15" ht="15.95" customHeight="1" x14ac:dyDescent="0.2">
      <c r="B743" s="67">
        <v>418035</v>
      </c>
      <c r="C743" s="21" t="s">
        <v>0</v>
      </c>
      <c r="D743" s="22" t="s">
        <v>1</v>
      </c>
      <c r="E743" s="22" t="s">
        <v>1831</v>
      </c>
      <c r="F743" s="22" t="s">
        <v>645</v>
      </c>
      <c r="G743" s="21" t="s">
        <v>33</v>
      </c>
      <c r="H743" s="23">
        <v>2.4000000000000004</v>
      </c>
      <c r="I743" s="41">
        <f t="shared" si="22"/>
        <v>0.56000000000000005</v>
      </c>
      <c r="J743" s="44">
        <f t="shared" si="23"/>
        <v>1.056</v>
      </c>
      <c r="O743" s="223" t="s">
        <v>1070</v>
      </c>
    </row>
    <row r="744" spans="2:15" ht="15.95" customHeight="1" x14ac:dyDescent="0.2">
      <c r="B744" s="67">
        <v>418031</v>
      </c>
      <c r="C744" s="21" t="s">
        <v>0</v>
      </c>
      <c r="D744" s="22" t="s">
        <v>90</v>
      </c>
      <c r="E744" s="22" t="s">
        <v>1831</v>
      </c>
      <c r="F744" s="22" t="s">
        <v>578</v>
      </c>
      <c r="G744" s="21" t="s">
        <v>33</v>
      </c>
      <c r="H744" s="23">
        <v>1.248</v>
      </c>
      <c r="I744" s="41">
        <f t="shared" si="22"/>
        <v>0.56000000000000005</v>
      </c>
      <c r="J744" s="44">
        <f t="shared" si="23"/>
        <v>0.54911999999999994</v>
      </c>
      <c r="O744" s="225" t="s">
        <v>1075</v>
      </c>
    </row>
    <row r="745" spans="2:15" ht="15.95" customHeight="1" x14ac:dyDescent="0.2">
      <c r="B745" s="67">
        <v>418026</v>
      </c>
      <c r="C745" s="21" t="s">
        <v>0</v>
      </c>
      <c r="D745" s="22" t="s">
        <v>115</v>
      </c>
      <c r="E745" s="22" t="s">
        <v>1831</v>
      </c>
      <c r="F745" s="22" t="s">
        <v>645</v>
      </c>
      <c r="G745" s="21" t="s">
        <v>33</v>
      </c>
      <c r="H745" s="23">
        <v>6.6600000000000019</v>
      </c>
      <c r="I745" s="41">
        <f t="shared" si="22"/>
        <v>0.56000000000000005</v>
      </c>
      <c r="J745" s="44">
        <f t="shared" si="23"/>
        <v>2.9304000000000006</v>
      </c>
      <c r="O745" s="223" t="s">
        <v>1014</v>
      </c>
    </row>
    <row r="746" spans="2:15" ht="15.95" customHeight="1" x14ac:dyDescent="0.2">
      <c r="B746" s="67">
        <v>418022</v>
      </c>
      <c r="C746" s="21" t="s">
        <v>0</v>
      </c>
      <c r="D746" s="22" t="s">
        <v>130</v>
      </c>
      <c r="E746" s="22" t="s">
        <v>1831</v>
      </c>
      <c r="F746" s="22" t="s">
        <v>585</v>
      </c>
      <c r="G746" s="21" t="s">
        <v>36</v>
      </c>
      <c r="H746" s="23">
        <v>25.606666666666662</v>
      </c>
      <c r="I746" s="41">
        <f t="shared" si="22"/>
        <v>0.56000000000000005</v>
      </c>
      <c r="J746" s="44">
        <f t="shared" si="23"/>
        <v>11.266933333333331</v>
      </c>
      <c r="O746" s="225" t="s">
        <v>1057</v>
      </c>
    </row>
    <row r="747" spans="2:15" ht="15.95" customHeight="1" x14ac:dyDescent="0.2">
      <c r="B747" s="67">
        <v>418021</v>
      </c>
      <c r="C747" s="21" t="s">
        <v>0</v>
      </c>
      <c r="D747" s="22" t="s">
        <v>125</v>
      </c>
      <c r="E747" s="22" t="s">
        <v>1831</v>
      </c>
      <c r="F747" s="22" t="s">
        <v>585</v>
      </c>
      <c r="G747" s="21" t="s">
        <v>36</v>
      </c>
      <c r="H747" s="23">
        <v>25.606666666666662</v>
      </c>
      <c r="I747" s="41">
        <f t="shared" si="22"/>
        <v>0.56000000000000005</v>
      </c>
      <c r="J747" s="44">
        <f t="shared" si="23"/>
        <v>11.266933333333331</v>
      </c>
      <c r="O747" s="223" t="s">
        <v>1067</v>
      </c>
    </row>
    <row r="748" spans="2:15" ht="15.95" customHeight="1" x14ac:dyDescent="0.2">
      <c r="B748" s="67">
        <v>418020</v>
      </c>
      <c r="C748" s="21" t="s">
        <v>0</v>
      </c>
      <c r="D748" s="22" t="s">
        <v>138</v>
      </c>
      <c r="E748" s="22" t="s">
        <v>1831</v>
      </c>
      <c r="F748" s="22" t="s">
        <v>585</v>
      </c>
      <c r="G748" s="21" t="s">
        <v>36</v>
      </c>
      <c r="H748" s="23">
        <v>29.056666666666658</v>
      </c>
      <c r="I748" s="41">
        <f t="shared" si="22"/>
        <v>0.56000000000000005</v>
      </c>
      <c r="J748" s="44">
        <f t="shared" si="23"/>
        <v>12.784933333333328</v>
      </c>
      <c r="O748" s="225" t="s">
        <v>1063</v>
      </c>
    </row>
    <row r="749" spans="2:15" ht="15.95" customHeight="1" x14ac:dyDescent="0.2">
      <c r="B749" s="67">
        <v>418019</v>
      </c>
      <c r="C749" s="21" t="s">
        <v>0</v>
      </c>
      <c r="D749" s="22" t="s">
        <v>151</v>
      </c>
      <c r="E749" s="22" t="s">
        <v>1831</v>
      </c>
      <c r="F749" s="22" t="s">
        <v>585</v>
      </c>
      <c r="G749" s="21" t="s">
        <v>37</v>
      </c>
      <c r="H749" s="23">
        <v>29.056666666666658</v>
      </c>
      <c r="I749" s="41">
        <f t="shared" si="22"/>
        <v>0.56000000000000005</v>
      </c>
      <c r="J749" s="44">
        <f t="shared" si="23"/>
        <v>12.784933333333328</v>
      </c>
      <c r="O749" s="223" t="s">
        <v>1072</v>
      </c>
    </row>
    <row r="750" spans="2:15" ht="15.95" customHeight="1" x14ac:dyDescent="0.2">
      <c r="B750" s="67">
        <v>418011</v>
      </c>
      <c r="C750" s="21" t="s">
        <v>0</v>
      </c>
      <c r="D750" s="22" t="s">
        <v>653</v>
      </c>
      <c r="E750" s="22" t="s">
        <v>1831</v>
      </c>
      <c r="F750" s="22" t="s">
        <v>646</v>
      </c>
      <c r="G750" s="21" t="s">
        <v>33</v>
      </c>
      <c r="H750" s="23">
        <v>19.592592592592588</v>
      </c>
      <c r="I750" s="41">
        <f t="shared" si="22"/>
        <v>0.56000000000000005</v>
      </c>
      <c r="J750" s="44">
        <f t="shared" si="23"/>
        <v>8.6207407407407377</v>
      </c>
      <c r="O750" s="225" t="s">
        <v>1076</v>
      </c>
    </row>
    <row r="751" spans="2:15" ht="15.95" customHeight="1" x14ac:dyDescent="0.2">
      <c r="B751" s="67">
        <v>418010</v>
      </c>
      <c r="C751" s="21" t="s">
        <v>0</v>
      </c>
      <c r="D751" s="22" t="s">
        <v>654</v>
      </c>
      <c r="E751" s="22" t="s">
        <v>1831</v>
      </c>
      <c r="F751" s="22" t="s">
        <v>646</v>
      </c>
      <c r="G751" s="21" t="s">
        <v>33</v>
      </c>
      <c r="H751" s="23">
        <v>19.592592592592588</v>
      </c>
      <c r="I751" s="41">
        <f t="shared" si="22"/>
        <v>0.56000000000000005</v>
      </c>
      <c r="J751" s="44">
        <f t="shared" si="23"/>
        <v>8.6207407407407377</v>
      </c>
      <c r="O751" s="223" t="s">
        <v>1084</v>
      </c>
    </row>
    <row r="752" spans="2:15" ht="15.95" customHeight="1" x14ac:dyDescent="0.2">
      <c r="B752" s="67">
        <v>418006</v>
      </c>
      <c r="C752" s="21" t="s">
        <v>0</v>
      </c>
      <c r="D752" s="22" t="s">
        <v>133</v>
      </c>
      <c r="E752" s="22" t="s">
        <v>1831</v>
      </c>
      <c r="F752" s="22" t="s">
        <v>585</v>
      </c>
      <c r="G752" s="21" t="s">
        <v>36</v>
      </c>
      <c r="H752" s="23">
        <v>124.31499999999998</v>
      </c>
      <c r="I752" s="41">
        <f t="shared" si="22"/>
        <v>0.56000000000000005</v>
      </c>
      <c r="J752" s="44">
        <f t="shared" si="23"/>
        <v>54.698599999999985</v>
      </c>
      <c r="O752" s="225" t="s">
        <v>1088</v>
      </c>
    </row>
    <row r="753" spans="2:15" ht="15.95" customHeight="1" x14ac:dyDescent="0.2">
      <c r="B753" s="67">
        <v>418005</v>
      </c>
      <c r="C753" s="21" t="s">
        <v>0</v>
      </c>
      <c r="D753" s="22" t="s">
        <v>2</v>
      </c>
      <c r="E753" s="22" t="s">
        <v>1831</v>
      </c>
      <c r="F753" s="22" t="s">
        <v>585</v>
      </c>
      <c r="G753" s="21" t="s">
        <v>36</v>
      </c>
      <c r="H753" s="23">
        <v>108.5983333333333</v>
      </c>
      <c r="I753" s="41">
        <f t="shared" si="22"/>
        <v>0.56000000000000005</v>
      </c>
      <c r="J753" s="44">
        <f t="shared" si="23"/>
        <v>47.783266666666648</v>
      </c>
      <c r="O753" s="223" t="s">
        <v>1091</v>
      </c>
    </row>
    <row r="754" spans="2:15" ht="15.95" customHeight="1" x14ac:dyDescent="0.2">
      <c r="B754" s="67">
        <v>418003</v>
      </c>
      <c r="C754" s="21" t="s">
        <v>0</v>
      </c>
      <c r="D754" s="22" t="s">
        <v>122</v>
      </c>
      <c r="E754" s="22" t="s">
        <v>1831</v>
      </c>
      <c r="F754" s="22" t="s">
        <v>585</v>
      </c>
      <c r="G754" s="21" t="s">
        <v>34</v>
      </c>
      <c r="H754" s="23">
        <v>100.93166666666663</v>
      </c>
      <c r="I754" s="41">
        <f t="shared" si="22"/>
        <v>0.56000000000000005</v>
      </c>
      <c r="J754" s="44">
        <f t="shared" si="23"/>
        <v>44.409933333333313</v>
      </c>
      <c r="O754" s="225" t="s">
        <v>1096</v>
      </c>
    </row>
    <row r="755" spans="2:15" ht="15.95" customHeight="1" x14ac:dyDescent="0.2">
      <c r="B755" s="67">
        <v>418002</v>
      </c>
      <c r="C755" s="21" t="s">
        <v>0</v>
      </c>
      <c r="D755" s="22" t="s">
        <v>121</v>
      </c>
      <c r="E755" s="22" t="s">
        <v>1831</v>
      </c>
      <c r="F755" s="22" t="s">
        <v>585</v>
      </c>
      <c r="G755" s="21" t="s">
        <v>34</v>
      </c>
      <c r="H755" s="23">
        <v>70.264999999999972</v>
      </c>
      <c r="I755" s="41">
        <f t="shared" si="22"/>
        <v>0.56000000000000005</v>
      </c>
      <c r="J755" s="44">
        <f t="shared" si="23"/>
        <v>30.916599999999981</v>
      </c>
      <c r="O755" s="223" t="s">
        <v>1595</v>
      </c>
    </row>
    <row r="756" spans="2:15" ht="15.95" customHeight="1" x14ac:dyDescent="0.2">
      <c r="B756" s="67">
        <v>418001</v>
      </c>
      <c r="C756" s="21" t="s">
        <v>0</v>
      </c>
      <c r="D756" s="22" t="s">
        <v>120</v>
      </c>
      <c r="E756" s="22" t="s">
        <v>1831</v>
      </c>
      <c r="F756" s="22" t="s">
        <v>585</v>
      </c>
      <c r="G756" s="21" t="s">
        <v>34</v>
      </c>
      <c r="H756" s="23">
        <v>100.93166666666663</v>
      </c>
      <c r="I756" s="41">
        <f t="shared" si="22"/>
        <v>0.56000000000000005</v>
      </c>
      <c r="J756" s="44">
        <f t="shared" si="23"/>
        <v>44.409933333333313</v>
      </c>
      <c r="O756" s="225" t="s">
        <v>1665</v>
      </c>
    </row>
    <row r="757" spans="2:15" ht="15.95" customHeight="1" x14ac:dyDescent="0.2">
      <c r="B757" s="67">
        <v>418000</v>
      </c>
      <c r="C757" s="21" t="s">
        <v>0</v>
      </c>
      <c r="D757" s="22" t="s">
        <v>119</v>
      </c>
      <c r="E757" s="22" t="s">
        <v>1831</v>
      </c>
      <c r="F757" s="22" t="s">
        <v>585</v>
      </c>
      <c r="G757" s="21" t="s">
        <v>34</v>
      </c>
      <c r="H757" s="23">
        <v>70.264999999999972</v>
      </c>
      <c r="I757" s="41">
        <f t="shared" si="22"/>
        <v>0.56000000000000005</v>
      </c>
      <c r="J757" s="44">
        <f t="shared" si="23"/>
        <v>30.916599999999981</v>
      </c>
      <c r="O757" s="223" t="s">
        <v>1626</v>
      </c>
    </row>
    <row r="758" spans="2:15" ht="15.95" customHeight="1" x14ac:dyDescent="0.2">
      <c r="B758" s="67">
        <v>417985</v>
      </c>
      <c r="C758" s="21" t="s">
        <v>0</v>
      </c>
      <c r="D758" s="22" t="s">
        <v>150</v>
      </c>
      <c r="E758" s="22" t="s">
        <v>1831</v>
      </c>
      <c r="F758" s="22" t="s">
        <v>646</v>
      </c>
      <c r="G758" s="21" t="s">
        <v>37</v>
      </c>
      <c r="H758" s="23">
        <v>19.166666666666664</v>
      </c>
      <c r="I758" s="41">
        <f t="shared" si="22"/>
        <v>0.56000000000000005</v>
      </c>
      <c r="J758" s="44">
        <f t="shared" si="23"/>
        <v>8.4333333333333318</v>
      </c>
      <c r="O758" s="225" t="s">
        <v>1660</v>
      </c>
    </row>
    <row r="759" spans="2:15" ht="15.95" customHeight="1" x14ac:dyDescent="0.2">
      <c r="B759" s="67">
        <v>417980</v>
      </c>
      <c r="C759" s="21" t="s">
        <v>0</v>
      </c>
      <c r="D759" s="22" t="s">
        <v>154</v>
      </c>
      <c r="E759" s="22" t="s">
        <v>1831</v>
      </c>
      <c r="F759" s="22" t="s">
        <v>585</v>
      </c>
      <c r="G759" s="21" t="s">
        <v>37</v>
      </c>
      <c r="H759" s="23">
        <v>246.11671207992728</v>
      </c>
      <c r="I759" s="41">
        <f t="shared" si="22"/>
        <v>0.56000000000000005</v>
      </c>
      <c r="J759" s="44">
        <f t="shared" si="23"/>
        <v>108.29135331516798</v>
      </c>
      <c r="O759" s="223" t="s">
        <v>1737</v>
      </c>
    </row>
    <row r="760" spans="2:15" ht="15.95" customHeight="1" x14ac:dyDescent="0.2">
      <c r="B760" s="67">
        <v>417917</v>
      </c>
      <c r="C760" s="21" t="s">
        <v>0</v>
      </c>
      <c r="D760" s="22" t="s">
        <v>103</v>
      </c>
      <c r="E760" s="22" t="s">
        <v>1831</v>
      </c>
      <c r="F760" s="22" t="s">
        <v>580</v>
      </c>
      <c r="G760" s="21" t="s">
        <v>33</v>
      </c>
      <c r="H760" s="23">
        <v>45.84</v>
      </c>
      <c r="I760" s="41">
        <f t="shared" si="22"/>
        <v>0.56000000000000005</v>
      </c>
      <c r="J760" s="44">
        <f t="shared" si="23"/>
        <v>20.169599999999999</v>
      </c>
      <c r="O760" s="225" t="s">
        <v>1745</v>
      </c>
    </row>
    <row r="761" spans="2:15" ht="15.95" customHeight="1" x14ac:dyDescent="0.2">
      <c r="B761" s="67">
        <v>417530</v>
      </c>
      <c r="C761" s="21" t="s">
        <v>0</v>
      </c>
      <c r="D761" s="22" t="s">
        <v>89</v>
      </c>
      <c r="E761" s="22" t="s">
        <v>1831</v>
      </c>
      <c r="F761" s="22" t="s">
        <v>580</v>
      </c>
      <c r="G761" s="21" t="s">
        <v>33</v>
      </c>
      <c r="H761" s="23">
        <v>182.97599999999997</v>
      </c>
      <c r="I761" s="41">
        <f t="shared" si="22"/>
        <v>0.56000000000000005</v>
      </c>
      <c r="J761" s="44">
        <f t="shared" si="23"/>
        <v>80.509439999999984</v>
      </c>
      <c r="O761" s="223" t="s">
        <v>1369</v>
      </c>
    </row>
    <row r="762" spans="2:15" ht="15.95" customHeight="1" x14ac:dyDescent="0.2">
      <c r="B762" s="67">
        <v>417523</v>
      </c>
      <c r="C762" s="21" t="s">
        <v>0</v>
      </c>
      <c r="D762" s="22" t="s">
        <v>147</v>
      </c>
      <c r="E762" s="22" t="s">
        <v>1831</v>
      </c>
      <c r="F762" s="22" t="s">
        <v>581</v>
      </c>
      <c r="G762" s="21" t="s">
        <v>37</v>
      </c>
      <c r="H762" s="23">
        <v>30.666666666666661</v>
      </c>
      <c r="I762" s="41">
        <f t="shared" si="22"/>
        <v>0.56000000000000005</v>
      </c>
      <c r="J762" s="44">
        <f t="shared" si="23"/>
        <v>13.493333333333329</v>
      </c>
      <c r="O762" s="225" t="s">
        <v>1371</v>
      </c>
    </row>
    <row r="763" spans="2:15" ht="15.95" customHeight="1" x14ac:dyDescent="0.2">
      <c r="B763" s="67">
        <v>417522</v>
      </c>
      <c r="C763" s="21" t="s">
        <v>0</v>
      </c>
      <c r="D763" s="22" t="s">
        <v>149</v>
      </c>
      <c r="E763" s="22" t="s">
        <v>1831</v>
      </c>
      <c r="F763" s="22" t="s">
        <v>581</v>
      </c>
      <c r="G763" s="21" t="s">
        <v>36</v>
      </c>
      <c r="H763" s="23">
        <v>27.927661217075382</v>
      </c>
      <c r="I763" s="41">
        <f t="shared" si="22"/>
        <v>0.56000000000000005</v>
      </c>
      <c r="J763" s="44">
        <f t="shared" si="23"/>
        <v>12.288170935513167</v>
      </c>
      <c r="O763" s="223" t="s">
        <v>1365</v>
      </c>
    </row>
    <row r="764" spans="2:15" ht="15.95" customHeight="1" x14ac:dyDescent="0.2">
      <c r="B764" s="67">
        <v>417520</v>
      </c>
      <c r="C764" s="21" t="s">
        <v>0</v>
      </c>
      <c r="D764" s="22" t="s">
        <v>124</v>
      </c>
      <c r="E764" s="22" t="s">
        <v>1831</v>
      </c>
      <c r="F764" s="22" t="s">
        <v>580</v>
      </c>
      <c r="G764" s="21" t="s">
        <v>35</v>
      </c>
      <c r="H764" s="23">
        <v>68.399999999999991</v>
      </c>
      <c r="I764" s="41">
        <f t="shared" si="22"/>
        <v>0.56000000000000005</v>
      </c>
      <c r="J764" s="44">
        <f t="shared" si="23"/>
        <v>30.095999999999989</v>
      </c>
      <c r="O764" s="225" t="s">
        <v>1099</v>
      </c>
    </row>
    <row r="765" spans="2:15" ht="15.95" customHeight="1" x14ac:dyDescent="0.2">
      <c r="B765" s="67">
        <v>417503</v>
      </c>
      <c r="C765" s="21" t="s">
        <v>0</v>
      </c>
      <c r="D765" s="22" t="s">
        <v>118</v>
      </c>
      <c r="E765" s="22" t="s">
        <v>1831</v>
      </c>
      <c r="F765" s="22" t="s">
        <v>580</v>
      </c>
      <c r="G765" s="21" t="s">
        <v>33</v>
      </c>
      <c r="H765" s="23">
        <v>142.89599999999999</v>
      </c>
      <c r="I765" s="41">
        <f t="shared" si="22"/>
        <v>0.56000000000000005</v>
      </c>
      <c r="J765" s="44">
        <f t="shared" si="23"/>
        <v>62.874239999999986</v>
      </c>
      <c r="O765" s="223" t="s">
        <v>1101</v>
      </c>
    </row>
    <row r="766" spans="2:15" ht="15.95" customHeight="1" x14ac:dyDescent="0.2">
      <c r="B766" s="70">
        <v>417490</v>
      </c>
      <c r="C766" s="12" t="s">
        <v>0</v>
      </c>
      <c r="D766" s="8" t="s">
        <v>593</v>
      </c>
      <c r="E766" s="8" t="s">
        <v>1831</v>
      </c>
      <c r="F766" s="8" t="s">
        <v>581</v>
      </c>
      <c r="G766" s="12" t="s">
        <v>33</v>
      </c>
      <c r="H766" s="23">
        <v>103.49999999999997</v>
      </c>
      <c r="I766" s="41">
        <f t="shared" si="22"/>
        <v>0.56000000000000005</v>
      </c>
      <c r="J766" s="44">
        <f t="shared" si="23"/>
        <v>45.539999999999985</v>
      </c>
      <c r="O766" s="225" t="s">
        <v>1102</v>
      </c>
    </row>
    <row r="767" spans="2:15" ht="15.95" customHeight="1" x14ac:dyDescent="0.2">
      <c r="B767" s="70">
        <v>417489</v>
      </c>
      <c r="C767" s="12" t="s">
        <v>0</v>
      </c>
      <c r="D767" s="8" t="s">
        <v>592</v>
      </c>
      <c r="E767" s="8" t="s">
        <v>1831</v>
      </c>
      <c r="F767" s="8" t="s">
        <v>581</v>
      </c>
      <c r="G767" s="12" t="s">
        <v>33</v>
      </c>
      <c r="H767" s="23">
        <v>318.16666666666657</v>
      </c>
      <c r="I767" s="41">
        <f t="shared" si="22"/>
        <v>0.56000000000000005</v>
      </c>
      <c r="J767" s="44">
        <f t="shared" si="23"/>
        <v>139.99333333333328</v>
      </c>
      <c r="O767" s="223" t="s">
        <v>1103</v>
      </c>
    </row>
    <row r="768" spans="2:15" ht="15.95" customHeight="1" x14ac:dyDescent="0.2">
      <c r="B768" s="67">
        <v>417445</v>
      </c>
      <c r="C768" s="21" t="s">
        <v>0</v>
      </c>
      <c r="D768" s="22" t="s">
        <v>135</v>
      </c>
      <c r="E768" s="22" t="s">
        <v>1831</v>
      </c>
      <c r="F768" s="22" t="s">
        <v>646</v>
      </c>
      <c r="G768" s="21" t="s">
        <v>36</v>
      </c>
      <c r="H768" s="23">
        <v>38.304319305681702</v>
      </c>
      <c r="I768" s="41">
        <f t="shared" si="22"/>
        <v>0.56000000000000005</v>
      </c>
      <c r="J768" s="44">
        <f t="shared" si="23"/>
        <v>16.853900494499946</v>
      </c>
      <c r="O768" s="225" t="s">
        <v>1104</v>
      </c>
    </row>
    <row r="769" spans="1:15" ht="15.95" customHeight="1" x14ac:dyDescent="0.2">
      <c r="B769" s="70">
        <v>401248</v>
      </c>
      <c r="C769" s="12" t="s">
        <v>0</v>
      </c>
      <c r="D769" s="8" t="s">
        <v>601</v>
      </c>
      <c r="E769" s="8" t="s">
        <v>1831</v>
      </c>
      <c r="F769" s="8" t="s">
        <v>581</v>
      </c>
      <c r="G769" s="12" t="s">
        <v>602</v>
      </c>
      <c r="H769" s="23">
        <v>42.243333333333318</v>
      </c>
      <c r="I769" s="41">
        <f t="shared" si="22"/>
        <v>0.56000000000000005</v>
      </c>
      <c r="J769" s="44">
        <f t="shared" si="23"/>
        <v>18.587066666666658</v>
      </c>
      <c r="O769" s="223" t="s">
        <v>1105</v>
      </c>
    </row>
    <row r="770" spans="1:15" ht="15.95" customHeight="1" x14ac:dyDescent="0.2">
      <c r="A770" s="17"/>
      <c r="B770" s="70">
        <v>401247</v>
      </c>
      <c r="C770" s="12" t="s">
        <v>0</v>
      </c>
      <c r="D770" s="8" t="s">
        <v>603</v>
      </c>
      <c r="E770" s="8" t="s">
        <v>1831</v>
      </c>
      <c r="F770" s="8" t="s">
        <v>581</v>
      </c>
      <c r="G770" s="12" t="s">
        <v>602</v>
      </c>
      <c r="H770" s="23">
        <v>42.243333333333318</v>
      </c>
      <c r="I770" s="41">
        <f t="shared" si="22"/>
        <v>0.56000000000000005</v>
      </c>
      <c r="J770" s="44">
        <f t="shared" si="23"/>
        <v>18.587066666666658</v>
      </c>
      <c r="O770" s="225" t="s">
        <v>1106</v>
      </c>
    </row>
    <row r="771" spans="1:15" ht="15.95" customHeight="1" x14ac:dyDescent="0.2">
      <c r="B771" s="67">
        <v>401241</v>
      </c>
      <c r="C771" s="21" t="s">
        <v>0</v>
      </c>
      <c r="D771" s="22" t="s">
        <v>98</v>
      </c>
      <c r="E771" s="22" t="s">
        <v>1831</v>
      </c>
      <c r="F771" s="22" t="s">
        <v>581</v>
      </c>
      <c r="G771" s="21" t="s">
        <v>33</v>
      </c>
      <c r="H771" s="23">
        <v>32.199999999999996</v>
      </c>
      <c r="I771" s="41">
        <f t="shared" si="22"/>
        <v>0.56000000000000005</v>
      </c>
      <c r="J771" s="44">
        <f t="shared" si="23"/>
        <v>14.167999999999996</v>
      </c>
      <c r="O771" s="223" t="s">
        <v>1107</v>
      </c>
    </row>
    <row r="772" spans="1:15" ht="15.95" customHeight="1" x14ac:dyDescent="0.2">
      <c r="B772" s="68">
        <v>400312</v>
      </c>
      <c r="C772" s="12" t="s">
        <v>0</v>
      </c>
      <c r="D772" s="1" t="s">
        <v>555</v>
      </c>
      <c r="E772" s="1" t="s">
        <v>1831</v>
      </c>
      <c r="F772" s="1" t="s">
        <v>645</v>
      </c>
      <c r="G772" s="12" t="s">
        <v>40</v>
      </c>
      <c r="H772" s="23">
        <v>1.0800000000000003</v>
      </c>
      <c r="I772" s="41">
        <f t="shared" si="22"/>
        <v>0.56000000000000005</v>
      </c>
      <c r="J772" s="44">
        <f t="shared" si="23"/>
        <v>0.47520000000000007</v>
      </c>
      <c r="O772" s="225" t="s">
        <v>1108</v>
      </c>
    </row>
    <row r="773" spans="1:15" ht="15.95" customHeight="1" x14ac:dyDescent="0.2">
      <c r="B773" s="67">
        <v>400123</v>
      </c>
      <c r="C773" s="21" t="s">
        <v>0</v>
      </c>
      <c r="D773" s="22" t="s">
        <v>161</v>
      </c>
      <c r="E773" s="22" t="s">
        <v>1831</v>
      </c>
      <c r="F773" s="22" t="s">
        <v>1124</v>
      </c>
      <c r="G773" s="21" t="s">
        <v>39</v>
      </c>
      <c r="H773" s="23">
        <v>85.007084468664843</v>
      </c>
      <c r="I773" s="41">
        <f t="shared" si="22"/>
        <v>0.56000000000000005</v>
      </c>
      <c r="J773" s="44">
        <f t="shared" si="23"/>
        <v>37.403117166212525</v>
      </c>
      <c r="O773" s="223" t="s">
        <v>1398</v>
      </c>
    </row>
    <row r="774" spans="1:15" ht="15.95" customHeight="1" x14ac:dyDescent="0.2">
      <c r="B774" s="67">
        <v>400122</v>
      </c>
      <c r="C774" s="21" t="s">
        <v>0</v>
      </c>
      <c r="D774" s="22" t="s">
        <v>156</v>
      </c>
      <c r="E774" s="22" t="s">
        <v>1831</v>
      </c>
      <c r="F774" s="22" t="s">
        <v>1124</v>
      </c>
      <c r="G774" s="21" t="s">
        <v>39</v>
      </c>
      <c r="H774" s="23">
        <v>67.799999999999983</v>
      </c>
      <c r="I774" s="41">
        <f t="shared" si="22"/>
        <v>0.56000000000000005</v>
      </c>
      <c r="J774" s="44">
        <f t="shared" si="23"/>
        <v>29.831999999999987</v>
      </c>
      <c r="O774" s="225" t="s">
        <v>1301</v>
      </c>
    </row>
    <row r="775" spans="1:15" ht="15.95" customHeight="1" x14ac:dyDescent="0.2">
      <c r="B775" s="67">
        <v>400120</v>
      </c>
      <c r="C775" s="21" t="s">
        <v>0</v>
      </c>
      <c r="D775" s="22" t="s">
        <v>162</v>
      </c>
      <c r="E775" s="22" t="s">
        <v>1831</v>
      </c>
      <c r="F775" s="22" t="s">
        <v>646</v>
      </c>
      <c r="G775" s="21" t="s">
        <v>39</v>
      </c>
      <c r="H775" s="23">
        <v>194.44621051569277</v>
      </c>
      <c r="I775" s="41">
        <f t="shared" si="22"/>
        <v>0.56000000000000005</v>
      </c>
      <c r="J775" s="44">
        <f t="shared" si="23"/>
        <v>85.556332626904805</v>
      </c>
      <c r="O775" s="223" t="s">
        <v>1343</v>
      </c>
    </row>
    <row r="776" spans="1:15" ht="15.95" customHeight="1" x14ac:dyDescent="0.2">
      <c r="B776" s="67">
        <v>400103</v>
      </c>
      <c r="C776" s="21" t="s">
        <v>0</v>
      </c>
      <c r="D776" s="22" t="s">
        <v>158</v>
      </c>
      <c r="E776" s="22" t="s">
        <v>1831</v>
      </c>
      <c r="F776" s="22" t="s">
        <v>646</v>
      </c>
      <c r="G776" s="21" t="s">
        <v>39</v>
      </c>
      <c r="H776" s="23">
        <v>56.92668281360379</v>
      </c>
      <c r="I776" s="41">
        <f t="shared" si="22"/>
        <v>0.56000000000000005</v>
      </c>
      <c r="J776" s="44">
        <f t="shared" si="23"/>
        <v>25.047740437985663</v>
      </c>
      <c r="O776" s="225" t="s">
        <v>1109</v>
      </c>
    </row>
    <row r="777" spans="1:15" ht="15.75" x14ac:dyDescent="0.2">
      <c r="B777" s="67">
        <v>400102</v>
      </c>
      <c r="C777" s="21" t="s">
        <v>0</v>
      </c>
      <c r="D777" s="22" t="s">
        <v>155</v>
      </c>
      <c r="E777" s="22" t="s">
        <v>1831</v>
      </c>
      <c r="F777" s="22" t="s">
        <v>646</v>
      </c>
      <c r="G777" s="21" t="s">
        <v>39</v>
      </c>
      <c r="H777" s="23">
        <v>38.286910889090727</v>
      </c>
      <c r="I777" s="41">
        <f t="shared" ref="I777:I840" si="24">$H$7</f>
        <v>0.56000000000000005</v>
      </c>
      <c r="J777" s="44">
        <f t="shared" ref="J777:J840" si="25">H777-H777*I777</f>
        <v>16.846240791199918</v>
      </c>
      <c r="O777" s="223" t="s">
        <v>1110</v>
      </c>
    </row>
    <row r="778" spans="1:15" ht="15.75" x14ac:dyDescent="0.2">
      <c r="B778" s="67">
        <v>400098</v>
      </c>
      <c r="C778" s="21" t="s">
        <v>0</v>
      </c>
      <c r="D778" s="22" t="s">
        <v>105</v>
      </c>
      <c r="E778" s="22" t="s">
        <v>1831</v>
      </c>
      <c r="F778" s="22" t="s">
        <v>581</v>
      </c>
      <c r="G778" s="21" t="s">
        <v>33</v>
      </c>
      <c r="H778" s="23">
        <v>16.751666666666665</v>
      </c>
      <c r="I778" s="41">
        <f t="shared" si="24"/>
        <v>0.56000000000000005</v>
      </c>
      <c r="J778" s="44">
        <f t="shared" si="25"/>
        <v>7.370733333333332</v>
      </c>
      <c r="O778" s="225" t="s">
        <v>1208</v>
      </c>
    </row>
    <row r="779" spans="1:15" ht="15.75" x14ac:dyDescent="0.2">
      <c r="B779" s="67">
        <v>309331</v>
      </c>
      <c r="C779" s="21" t="s">
        <v>0</v>
      </c>
      <c r="D779" s="22" t="s">
        <v>711</v>
      </c>
      <c r="E779" s="22" t="s">
        <v>1831</v>
      </c>
      <c r="F779" s="22" t="s">
        <v>1015</v>
      </c>
      <c r="G779" s="21" t="s">
        <v>36</v>
      </c>
      <c r="H779" s="23">
        <v>18.428571428571423</v>
      </c>
      <c r="I779" s="41">
        <f t="shared" si="24"/>
        <v>0.56000000000000005</v>
      </c>
      <c r="J779" s="44">
        <f t="shared" si="25"/>
        <v>8.108571428571425</v>
      </c>
      <c r="O779" s="223" t="s">
        <v>1010</v>
      </c>
    </row>
    <row r="780" spans="1:15" ht="15.75" x14ac:dyDescent="0.2">
      <c r="B780" s="67">
        <v>309329</v>
      </c>
      <c r="C780" s="21" t="s">
        <v>0</v>
      </c>
      <c r="D780" s="22" t="s">
        <v>141</v>
      </c>
      <c r="E780" s="22" t="s">
        <v>1831</v>
      </c>
      <c r="F780" s="22" t="s">
        <v>1015</v>
      </c>
      <c r="G780" s="21" t="s">
        <v>36</v>
      </c>
      <c r="H780" s="23">
        <v>13.714285714285712</v>
      </c>
      <c r="I780" s="41">
        <f t="shared" si="24"/>
        <v>0.56000000000000005</v>
      </c>
      <c r="J780" s="44">
        <f t="shared" si="25"/>
        <v>6.034285714285712</v>
      </c>
      <c r="O780" s="225" t="s">
        <v>1011</v>
      </c>
    </row>
    <row r="781" spans="1:15" ht="15.75" x14ac:dyDescent="0.2">
      <c r="B781" s="67">
        <v>309327</v>
      </c>
      <c r="C781" s="21" t="s">
        <v>0</v>
      </c>
      <c r="D781" s="22" t="s">
        <v>132</v>
      </c>
      <c r="E781" s="22" t="s">
        <v>1831</v>
      </c>
      <c r="F781" s="22" t="s">
        <v>1015</v>
      </c>
      <c r="G781" s="21" t="s">
        <v>36</v>
      </c>
      <c r="H781" s="23">
        <v>10.714285714285714</v>
      </c>
      <c r="I781" s="41">
        <f t="shared" si="24"/>
        <v>0.56000000000000005</v>
      </c>
      <c r="J781" s="44">
        <f t="shared" si="25"/>
        <v>4.7142857142857135</v>
      </c>
      <c r="O781" s="223" t="s">
        <v>1012</v>
      </c>
    </row>
    <row r="782" spans="1:15" ht="15.75" x14ac:dyDescent="0.2">
      <c r="B782" s="67">
        <v>309326</v>
      </c>
      <c r="C782" s="21" t="s">
        <v>0</v>
      </c>
      <c r="D782" s="22" t="s">
        <v>710</v>
      </c>
      <c r="E782" s="22" t="s">
        <v>1831</v>
      </c>
      <c r="F782" s="22" t="s">
        <v>1015</v>
      </c>
      <c r="G782" s="21" t="s">
        <v>36</v>
      </c>
      <c r="H782" s="23">
        <v>9.4285714285714288</v>
      </c>
      <c r="I782" s="41">
        <f t="shared" si="24"/>
        <v>0.56000000000000005</v>
      </c>
      <c r="J782" s="44">
        <f t="shared" si="25"/>
        <v>4.1485714285714286</v>
      </c>
      <c r="O782" s="225" t="s">
        <v>1123</v>
      </c>
    </row>
    <row r="783" spans="1:15" ht="15.75" x14ac:dyDescent="0.2">
      <c r="B783" s="67">
        <v>309325</v>
      </c>
      <c r="C783" s="21" t="s">
        <v>0</v>
      </c>
      <c r="D783" s="22" t="s">
        <v>137</v>
      </c>
      <c r="E783" s="22" t="s">
        <v>1831</v>
      </c>
      <c r="F783" s="22" t="s">
        <v>1015</v>
      </c>
      <c r="G783" s="21" t="s">
        <v>36</v>
      </c>
      <c r="H783" s="23">
        <v>7.9285714285714288</v>
      </c>
      <c r="I783" s="41">
        <f t="shared" si="24"/>
        <v>0.56000000000000005</v>
      </c>
      <c r="J783" s="44">
        <f t="shared" si="25"/>
        <v>3.4885714285714284</v>
      </c>
      <c r="O783" s="223" t="s">
        <v>1125</v>
      </c>
    </row>
    <row r="784" spans="1:15" ht="15.75" x14ac:dyDescent="0.2">
      <c r="B784" s="67">
        <v>309323</v>
      </c>
      <c r="C784" s="21" t="s">
        <v>0</v>
      </c>
      <c r="D784" s="22" t="s">
        <v>134</v>
      </c>
      <c r="E784" s="22" t="s">
        <v>1831</v>
      </c>
      <c r="F784" s="22" t="s">
        <v>1015</v>
      </c>
      <c r="G784" s="21" t="s">
        <v>36</v>
      </c>
      <c r="H784" s="23">
        <v>6.1714285714285708</v>
      </c>
      <c r="I784" s="41">
        <f t="shared" si="24"/>
        <v>0.56000000000000005</v>
      </c>
      <c r="J784" s="44">
        <f t="shared" si="25"/>
        <v>2.7154285714285709</v>
      </c>
      <c r="O784" s="225" t="s">
        <v>1006</v>
      </c>
    </row>
    <row r="785" spans="1:15" ht="15.75" x14ac:dyDescent="0.2">
      <c r="B785" s="67">
        <v>309322</v>
      </c>
      <c r="C785" s="21" t="s">
        <v>0</v>
      </c>
      <c r="D785" s="22" t="s">
        <v>709</v>
      </c>
      <c r="E785" s="22" t="s">
        <v>1831</v>
      </c>
      <c r="F785" s="22" t="s">
        <v>1015</v>
      </c>
      <c r="G785" s="21" t="s">
        <v>36</v>
      </c>
      <c r="H785" s="23">
        <v>5.5714285714285712</v>
      </c>
      <c r="I785" s="41">
        <f t="shared" si="24"/>
        <v>0.56000000000000005</v>
      </c>
      <c r="J785" s="44">
        <f t="shared" si="25"/>
        <v>2.4514285714285711</v>
      </c>
      <c r="O785" s="223" t="s">
        <v>1320</v>
      </c>
    </row>
    <row r="786" spans="1:15" ht="15.95" customHeight="1" x14ac:dyDescent="0.2">
      <c r="B786" s="67">
        <v>309321</v>
      </c>
      <c r="C786" s="21" t="s">
        <v>0</v>
      </c>
      <c r="D786" s="22" t="s">
        <v>129</v>
      </c>
      <c r="E786" s="22" t="s">
        <v>1831</v>
      </c>
      <c r="F786" s="22" t="s">
        <v>1015</v>
      </c>
      <c r="G786" s="21" t="s">
        <v>36</v>
      </c>
      <c r="H786" s="23">
        <v>4.7142857142857144</v>
      </c>
      <c r="I786" s="41">
        <f t="shared" si="24"/>
        <v>0.56000000000000005</v>
      </c>
      <c r="J786" s="44">
        <f t="shared" si="25"/>
        <v>2.0742857142857143</v>
      </c>
      <c r="O786" s="225" t="s">
        <v>1355</v>
      </c>
    </row>
    <row r="787" spans="1:15" ht="15.95" customHeight="1" x14ac:dyDescent="0.2">
      <c r="B787" s="67">
        <v>309301</v>
      </c>
      <c r="C787" s="21" t="s">
        <v>0</v>
      </c>
      <c r="D787" s="22" t="s">
        <v>136</v>
      </c>
      <c r="E787" s="22" t="s">
        <v>1831</v>
      </c>
      <c r="F787" s="22" t="s">
        <v>1015</v>
      </c>
      <c r="G787" s="21" t="s">
        <v>703</v>
      </c>
      <c r="H787" s="23">
        <v>4.2857142857142856</v>
      </c>
      <c r="I787" s="41">
        <f t="shared" si="24"/>
        <v>0.56000000000000005</v>
      </c>
      <c r="J787" s="44">
        <f t="shared" si="25"/>
        <v>1.8857142857142852</v>
      </c>
      <c r="O787" s="223" t="s">
        <v>1356</v>
      </c>
    </row>
    <row r="788" spans="1:15" ht="15.95" customHeight="1" x14ac:dyDescent="0.2">
      <c r="A788" s="20"/>
      <c r="B788" s="67">
        <v>309201</v>
      </c>
      <c r="C788" s="21" t="s">
        <v>0</v>
      </c>
      <c r="D788" s="22" t="s">
        <v>114</v>
      </c>
      <c r="E788" s="22" t="s">
        <v>1831</v>
      </c>
      <c r="F788" s="22" t="s">
        <v>578</v>
      </c>
      <c r="G788" s="21" t="s">
        <v>33</v>
      </c>
      <c r="H788" s="23">
        <v>48.536239782016345</v>
      </c>
      <c r="I788" s="41">
        <f t="shared" si="24"/>
        <v>0.56000000000000005</v>
      </c>
      <c r="J788" s="44">
        <f t="shared" si="25"/>
        <v>21.355945504087188</v>
      </c>
      <c r="O788" s="225" t="s">
        <v>1017</v>
      </c>
    </row>
    <row r="789" spans="1:15" ht="15.95" customHeight="1" x14ac:dyDescent="0.2">
      <c r="B789" s="67">
        <v>309198</v>
      </c>
      <c r="C789" s="21" t="s">
        <v>0</v>
      </c>
      <c r="D789" s="22" t="s">
        <v>113</v>
      </c>
      <c r="E789" s="22" t="s">
        <v>1831</v>
      </c>
      <c r="F789" s="22" t="s">
        <v>578</v>
      </c>
      <c r="G789" s="21" t="s">
        <v>33</v>
      </c>
      <c r="H789" s="23">
        <v>62.949318801089916</v>
      </c>
      <c r="I789" s="41">
        <f t="shared" si="24"/>
        <v>0.56000000000000005</v>
      </c>
      <c r="J789" s="44">
        <f t="shared" si="25"/>
        <v>27.697700272479558</v>
      </c>
      <c r="O789" s="223" t="s">
        <v>1395</v>
      </c>
    </row>
    <row r="790" spans="1:15" ht="15.95" customHeight="1" x14ac:dyDescent="0.2">
      <c r="B790" s="67">
        <v>309197</v>
      </c>
      <c r="C790" s="21" t="s">
        <v>0</v>
      </c>
      <c r="D790" s="22" t="s">
        <v>112</v>
      </c>
      <c r="E790" s="22" t="s">
        <v>1831</v>
      </c>
      <c r="F790" s="22" t="s">
        <v>578</v>
      </c>
      <c r="G790" s="21" t="s">
        <v>33</v>
      </c>
      <c r="H790" s="23">
        <v>58.136239782016354</v>
      </c>
      <c r="I790" s="41">
        <f t="shared" si="24"/>
        <v>0.56000000000000005</v>
      </c>
      <c r="J790" s="44">
        <f t="shared" si="25"/>
        <v>25.579945504087192</v>
      </c>
      <c r="O790" s="225" t="s">
        <v>1376</v>
      </c>
    </row>
    <row r="791" spans="1:15" ht="15.95" customHeight="1" x14ac:dyDescent="0.2">
      <c r="B791" s="69">
        <v>309106</v>
      </c>
      <c r="C791" s="12" t="s">
        <v>553</v>
      </c>
      <c r="D791" s="1" t="s">
        <v>304</v>
      </c>
      <c r="E791" s="1" t="s">
        <v>1831</v>
      </c>
      <c r="F791" s="1" t="s">
        <v>583</v>
      </c>
      <c r="G791" s="12" t="s">
        <v>34</v>
      </c>
      <c r="H791" s="23">
        <v>6233.333333333333</v>
      </c>
      <c r="I791" s="41">
        <f t="shared" si="24"/>
        <v>0.56000000000000005</v>
      </c>
      <c r="J791" s="44">
        <f t="shared" si="25"/>
        <v>2742.6666666666661</v>
      </c>
      <c r="O791" s="223" t="s">
        <v>992</v>
      </c>
    </row>
    <row r="792" spans="1:15" ht="15.95" customHeight="1" x14ac:dyDescent="0.2">
      <c r="B792" s="69">
        <v>309105</v>
      </c>
      <c r="C792" s="12" t="s">
        <v>553</v>
      </c>
      <c r="D792" s="1" t="s">
        <v>303</v>
      </c>
      <c r="E792" s="1" t="s">
        <v>1831</v>
      </c>
      <c r="F792" s="1" t="s">
        <v>583</v>
      </c>
      <c r="G792" s="12" t="s">
        <v>34</v>
      </c>
      <c r="H792" s="23">
        <v>5940</v>
      </c>
      <c r="I792" s="41">
        <f t="shared" si="24"/>
        <v>0.56000000000000005</v>
      </c>
      <c r="J792" s="44">
        <f t="shared" si="25"/>
        <v>2613.6</v>
      </c>
      <c r="O792" s="225" t="s">
        <v>1316</v>
      </c>
    </row>
    <row r="793" spans="1:15" ht="15.95" customHeight="1" x14ac:dyDescent="0.2">
      <c r="A793" s="33"/>
      <c r="B793" s="69">
        <v>309104</v>
      </c>
      <c r="C793" s="12" t="s">
        <v>553</v>
      </c>
      <c r="D793" s="1" t="s">
        <v>302</v>
      </c>
      <c r="E793" s="1" t="s">
        <v>1831</v>
      </c>
      <c r="F793" s="1" t="s">
        <v>583</v>
      </c>
      <c r="G793" s="12" t="s">
        <v>34</v>
      </c>
      <c r="H793" s="23">
        <v>3098.333333333333</v>
      </c>
      <c r="I793" s="41">
        <f t="shared" si="24"/>
        <v>0.56000000000000005</v>
      </c>
      <c r="J793" s="44">
        <f t="shared" si="25"/>
        <v>1363.2666666666664</v>
      </c>
      <c r="O793" s="223" t="s">
        <v>1397</v>
      </c>
    </row>
    <row r="794" spans="1:15" ht="15.95" customHeight="1" x14ac:dyDescent="0.2">
      <c r="B794" s="69">
        <v>309103</v>
      </c>
      <c r="C794" s="12" t="s">
        <v>553</v>
      </c>
      <c r="D794" s="1" t="s">
        <v>305</v>
      </c>
      <c r="E794" s="1" t="s">
        <v>1831</v>
      </c>
      <c r="F794" s="1" t="s">
        <v>583</v>
      </c>
      <c r="G794" s="12" t="s">
        <v>34</v>
      </c>
      <c r="H794" s="23">
        <v>1796.6666666666663</v>
      </c>
      <c r="I794" s="41">
        <f t="shared" si="24"/>
        <v>0.56000000000000005</v>
      </c>
      <c r="J794" s="44">
        <f t="shared" si="25"/>
        <v>790.53333333333308</v>
      </c>
      <c r="O794" s="225" t="s">
        <v>1361</v>
      </c>
    </row>
    <row r="795" spans="1:15" ht="15.95" customHeight="1" x14ac:dyDescent="0.2">
      <c r="A795" s="33"/>
      <c r="B795" s="69">
        <v>309047</v>
      </c>
      <c r="C795" s="12" t="s">
        <v>553</v>
      </c>
      <c r="D795" s="1" t="s">
        <v>301</v>
      </c>
      <c r="E795" s="1" t="s">
        <v>1831</v>
      </c>
      <c r="F795" s="1" t="s">
        <v>583</v>
      </c>
      <c r="G795" s="12" t="s">
        <v>34</v>
      </c>
      <c r="H795" s="23">
        <v>3263.333333333333</v>
      </c>
      <c r="I795" s="41">
        <f t="shared" si="24"/>
        <v>0.56000000000000005</v>
      </c>
      <c r="J795" s="44">
        <f t="shared" si="25"/>
        <v>1435.8666666666663</v>
      </c>
      <c r="O795" s="223" t="s">
        <v>1510</v>
      </c>
    </row>
    <row r="796" spans="1:15" ht="15.95" customHeight="1" x14ac:dyDescent="0.2">
      <c r="B796" s="69">
        <v>309046</v>
      </c>
      <c r="C796" s="12" t="s">
        <v>553</v>
      </c>
      <c r="D796" s="1" t="s">
        <v>306</v>
      </c>
      <c r="E796" s="22" t="s">
        <v>1831</v>
      </c>
      <c r="F796" s="1" t="s">
        <v>583</v>
      </c>
      <c r="G796" s="12" t="s">
        <v>34</v>
      </c>
      <c r="H796" s="23">
        <v>1650</v>
      </c>
      <c r="I796" s="41">
        <f t="shared" si="24"/>
        <v>0.56000000000000005</v>
      </c>
      <c r="J796" s="44">
        <f t="shared" si="25"/>
        <v>725.99999999999989</v>
      </c>
      <c r="O796" s="225" t="s">
        <v>1053</v>
      </c>
    </row>
    <row r="797" spans="1:15" ht="15.95" customHeight="1" x14ac:dyDescent="0.2">
      <c r="B797" s="67">
        <v>309031</v>
      </c>
      <c r="C797" s="21" t="s">
        <v>0</v>
      </c>
      <c r="D797" s="22" t="s">
        <v>145</v>
      </c>
      <c r="E797" s="22" t="s">
        <v>1831</v>
      </c>
      <c r="F797" s="22" t="s">
        <v>1015</v>
      </c>
      <c r="G797" s="21" t="s">
        <v>36</v>
      </c>
      <c r="H797" s="23">
        <v>15</v>
      </c>
      <c r="I797" s="41">
        <f t="shared" si="24"/>
        <v>0.56000000000000005</v>
      </c>
      <c r="J797" s="44">
        <f t="shared" si="25"/>
        <v>6.6</v>
      </c>
      <c r="O797" s="223" t="s">
        <v>1511</v>
      </c>
    </row>
    <row r="798" spans="1:15" ht="15.95" customHeight="1" x14ac:dyDescent="0.2">
      <c r="B798" s="67">
        <v>309029</v>
      </c>
      <c r="C798" s="21" t="s">
        <v>0</v>
      </c>
      <c r="D798" s="22" t="s">
        <v>707</v>
      </c>
      <c r="E798" s="22" t="s">
        <v>1831</v>
      </c>
      <c r="F798" s="22" t="s">
        <v>1015</v>
      </c>
      <c r="G798" s="21" t="s">
        <v>36</v>
      </c>
      <c r="H798" s="23">
        <v>11.571428571428571</v>
      </c>
      <c r="I798" s="41">
        <f t="shared" si="24"/>
        <v>0.56000000000000005</v>
      </c>
      <c r="J798" s="44">
        <f t="shared" si="25"/>
        <v>5.0914285714285707</v>
      </c>
      <c r="O798" s="225" t="s">
        <v>1512</v>
      </c>
    </row>
    <row r="799" spans="1:15" ht="15.95" customHeight="1" x14ac:dyDescent="0.2">
      <c r="B799" s="67">
        <v>309027</v>
      </c>
      <c r="C799" s="21" t="s">
        <v>0</v>
      </c>
      <c r="D799" s="22" t="s">
        <v>144</v>
      </c>
      <c r="E799" s="22" t="s">
        <v>1831</v>
      </c>
      <c r="F799" s="22" t="s">
        <v>1015</v>
      </c>
      <c r="G799" s="21" t="s">
        <v>36</v>
      </c>
      <c r="H799" s="23">
        <v>9</v>
      </c>
      <c r="I799" s="41">
        <f t="shared" si="24"/>
        <v>0.56000000000000005</v>
      </c>
      <c r="J799" s="44">
        <f t="shared" si="25"/>
        <v>3.9599999999999991</v>
      </c>
      <c r="O799" s="223" t="s">
        <v>1513</v>
      </c>
    </row>
    <row r="800" spans="1:15" ht="15.95" customHeight="1" x14ac:dyDescent="0.2">
      <c r="B800" s="67">
        <v>309026</v>
      </c>
      <c r="C800" s="21" t="s">
        <v>0</v>
      </c>
      <c r="D800" s="22" t="s">
        <v>706</v>
      </c>
      <c r="E800" s="22" t="s">
        <v>1831</v>
      </c>
      <c r="F800" s="22" t="s">
        <v>1015</v>
      </c>
      <c r="G800" s="21" t="s">
        <v>36</v>
      </c>
      <c r="H800" s="23">
        <v>7.7142857142857144</v>
      </c>
      <c r="I800" s="41">
        <f t="shared" si="24"/>
        <v>0.56000000000000005</v>
      </c>
      <c r="J800" s="44">
        <f t="shared" si="25"/>
        <v>3.3942857142857141</v>
      </c>
      <c r="O800" s="225" t="s">
        <v>1514</v>
      </c>
    </row>
    <row r="801" spans="2:15" ht="15.95" customHeight="1" x14ac:dyDescent="0.2">
      <c r="B801" s="67">
        <v>309025</v>
      </c>
      <c r="C801" s="21" t="s">
        <v>0</v>
      </c>
      <c r="D801" s="22" t="s">
        <v>128</v>
      </c>
      <c r="E801" s="22" t="s">
        <v>1831</v>
      </c>
      <c r="F801" s="22" t="s">
        <v>1015</v>
      </c>
      <c r="G801" s="21" t="s">
        <v>36</v>
      </c>
      <c r="H801" s="23">
        <v>6.428571428571427</v>
      </c>
      <c r="I801" s="41">
        <f t="shared" si="24"/>
        <v>0.56000000000000005</v>
      </c>
      <c r="J801" s="44">
        <f t="shared" si="25"/>
        <v>2.8285714285714274</v>
      </c>
      <c r="O801" s="223" t="s">
        <v>1518</v>
      </c>
    </row>
    <row r="802" spans="2:15" ht="15.95" customHeight="1" x14ac:dyDescent="0.2">
      <c r="B802" s="67">
        <v>309023</v>
      </c>
      <c r="C802" s="21" t="s">
        <v>0</v>
      </c>
      <c r="D802" s="22" t="s">
        <v>127</v>
      </c>
      <c r="E802" s="22" t="s">
        <v>1831</v>
      </c>
      <c r="F802" s="22" t="s">
        <v>1015</v>
      </c>
      <c r="G802" s="21" t="s">
        <v>36</v>
      </c>
      <c r="H802" s="23">
        <v>5.1428571428571423</v>
      </c>
      <c r="I802" s="41">
        <f t="shared" si="24"/>
        <v>0.56000000000000005</v>
      </c>
      <c r="J802" s="44">
        <f t="shared" si="25"/>
        <v>2.2628571428571425</v>
      </c>
      <c r="O802" s="225" t="s">
        <v>1519</v>
      </c>
    </row>
    <row r="803" spans="2:15" ht="15.95" customHeight="1" x14ac:dyDescent="0.2">
      <c r="B803" s="67">
        <v>309022</v>
      </c>
      <c r="C803" s="21" t="s">
        <v>0</v>
      </c>
      <c r="D803" s="22" t="s">
        <v>705</v>
      </c>
      <c r="E803" s="22" t="s">
        <v>1831</v>
      </c>
      <c r="F803" s="22" t="s">
        <v>1015</v>
      </c>
      <c r="G803" s="21" t="s">
        <v>36</v>
      </c>
      <c r="H803" s="23">
        <v>4.7142857142857144</v>
      </c>
      <c r="I803" s="41">
        <f t="shared" si="24"/>
        <v>0.56000000000000005</v>
      </c>
      <c r="J803" s="44">
        <f t="shared" si="25"/>
        <v>2.0742857142857143</v>
      </c>
      <c r="O803" s="223" t="s">
        <v>1065</v>
      </c>
    </row>
    <row r="804" spans="2:15" ht="15.95" customHeight="1" x14ac:dyDescent="0.2">
      <c r="B804" s="67">
        <v>309021</v>
      </c>
      <c r="C804" s="21" t="s">
        <v>0</v>
      </c>
      <c r="D804" s="22" t="s">
        <v>131</v>
      </c>
      <c r="E804" s="22" t="s">
        <v>1831</v>
      </c>
      <c r="F804" s="22" t="s">
        <v>1015</v>
      </c>
      <c r="G804" s="21" t="s">
        <v>36</v>
      </c>
      <c r="H804" s="23">
        <v>3.8571428571428572</v>
      </c>
      <c r="I804" s="41">
        <f t="shared" si="24"/>
        <v>0.56000000000000005</v>
      </c>
      <c r="J804" s="44">
        <f t="shared" si="25"/>
        <v>1.6971428571428571</v>
      </c>
      <c r="O804" s="225" t="s">
        <v>1066</v>
      </c>
    </row>
    <row r="805" spans="2:15" ht="15.95" customHeight="1" x14ac:dyDescent="0.2">
      <c r="B805" s="67">
        <v>309005</v>
      </c>
      <c r="C805" s="21" t="s">
        <v>0</v>
      </c>
      <c r="D805" s="22" t="s">
        <v>143</v>
      </c>
      <c r="E805" s="22" t="s">
        <v>1831</v>
      </c>
      <c r="F805" s="22" t="s">
        <v>1015</v>
      </c>
      <c r="G805" s="21" t="s">
        <v>703</v>
      </c>
      <c r="H805" s="23">
        <v>5.4857142857142849</v>
      </c>
      <c r="I805" s="41">
        <f t="shared" si="24"/>
        <v>0.56000000000000005</v>
      </c>
      <c r="J805" s="44">
        <f t="shared" si="25"/>
        <v>2.4137142857142853</v>
      </c>
      <c r="O805" s="223" t="s">
        <v>1520</v>
      </c>
    </row>
    <row r="806" spans="2:15" ht="15.95" customHeight="1" x14ac:dyDescent="0.2">
      <c r="B806" s="67">
        <v>309001</v>
      </c>
      <c r="C806" s="21" t="s">
        <v>0</v>
      </c>
      <c r="D806" s="22" t="s">
        <v>142</v>
      </c>
      <c r="E806" s="22" t="s">
        <v>1831</v>
      </c>
      <c r="F806" s="22" t="s">
        <v>1015</v>
      </c>
      <c r="G806" s="21" t="s">
        <v>703</v>
      </c>
      <c r="H806" s="23">
        <v>2.9999999999999996</v>
      </c>
      <c r="I806" s="41">
        <f t="shared" si="24"/>
        <v>0.56000000000000005</v>
      </c>
      <c r="J806" s="44">
        <f t="shared" si="25"/>
        <v>1.3199999999999996</v>
      </c>
      <c r="O806" s="225" t="s">
        <v>1523</v>
      </c>
    </row>
    <row r="807" spans="2:15" ht="15.95" customHeight="1" x14ac:dyDescent="0.2">
      <c r="B807" s="68">
        <v>240640</v>
      </c>
      <c r="C807" s="12" t="s">
        <v>0</v>
      </c>
      <c r="D807" s="1" t="s">
        <v>599</v>
      </c>
      <c r="E807" s="64" t="s">
        <v>1831</v>
      </c>
      <c r="F807" s="1" t="s">
        <v>578</v>
      </c>
      <c r="G807" s="12" t="s">
        <v>33</v>
      </c>
      <c r="H807" s="23">
        <v>4.4160000000000004</v>
      </c>
      <c r="I807" s="41">
        <f t="shared" si="24"/>
        <v>0.56000000000000005</v>
      </c>
      <c r="J807" s="44">
        <f t="shared" si="25"/>
        <v>1.9430399999999999</v>
      </c>
      <c r="O807" s="223" t="s">
        <v>1525</v>
      </c>
    </row>
    <row r="808" spans="2:15" ht="15.95" customHeight="1" x14ac:dyDescent="0.2">
      <c r="B808" s="68">
        <v>240639</v>
      </c>
      <c r="C808" s="12" t="s">
        <v>0</v>
      </c>
      <c r="D808" s="1" t="s">
        <v>591</v>
      </c>
      <c r="E808" s="8" t="s">
        <v>1831</v>
      </c>
      <c r="F808" s="1" t="s">
        <v>578</v>
      </c>
      <c r="G808" s="12" t="s">
        <v>33</v>
      </c>
      <c r="H808" s="23">
        <v>3.6959999999999997</v>
      </c>
      <c r="I808" s="41">
        <f t="shared" si="24"/>
        <v>0.56000000000000005</v>
      </c>
      <c r="J808" s="44">
        <f t="shared" si="25"/>
        <v>1.6262399999999997</v>
      </c>
      <c r="O808" s="225" t="s">
        <v>1526</v>
      </c>
    </row>
    <row r="809" spans="2:15" ht="15.95" customHeight="1" x14ac:dyDescent="0.2">
      <c r="B809" s="67">
        <v>240605</v>
      </c>
      <c r="C809" s="21" t="s">
        <v>0</v>
      </c>
      <c r="D809" s="22" t="s">
        <v>598</v>
      </c>
      <c r="E809" s="22" t="s">
        <v>1831</v>
      </c>
      <c r="F809" s="22" t="s">
        <v>578</v>
      </c>
      <c r="G809" s="21" t="s">
        <v>33</v>
      </c>
      <c r="H809" s="23">
        <v>4.6079999999999997</v>
      </c>
      <c r="I809" s="41">
        <f t="shared" si="24"/>
        <v>0.56000000000000005</v>
      </c>
      <c r="J809" s="44">
        <f t="shared" si="25"/>
        <v>2.0275199999999995</v>
      </c>
      <c r="O809" s="223" t="s">
        <v>1082</v>
      </c>
    </row>
    <row r="810" spans="2:15" ht="15.95" customHeight="1" x14ac:dyDescent="0.2">
      <c r="B810" s="67">
        <v>240604</v>
      </c>
      <c r="C810" s="21" t="s">
        <v>0</v>
      </c>
      <c r="D810" s="22" t="s">
        <v>597</v>
      </c>
      <c r="E810" s="22" t="s">
        <v>1831</v>
      </c>
      <c r="F810" s="22" t="s">
        <v>578</v>
      </c>
      <c r="G810" s="21" t="s">
        <v>33</v>
      </c>
      <c r="H810" s="23">
        <v>3.9839999999999995</v>
      </c>
      <c r="I810" s="41">
        <f t="shared" si="24"/>
        <v>0.56000000000000005</v>
      </c>
      <c r="J810" s="44">
        <f t="shared" si="25"/>
        <v>1.7529599999999994</v>
      </c>
      <c r="O810" s="225" t="s">
        <v>1007</v>
      </c>
    </row>
    <row r="811" spans="2:15" ht="15.95" customHeight="1" x14ac:dyDescent="0.2">
      <c r="B811" s="67">
        <v>240601</v>
      </c>
      <c r="C811" s="21" t="s">
        <v>0</v>
      </c>
      <c r="D811" s="22" t="s">
        <v>595</v>
      </c>
      <c r="E811" s="22" t="s">
        <v>1831</v>
      </c>
      <c r="F811" s="22" t="s">
        <v>578</v>
      </c>
      <c r="G811" s="21" t="s">
        <v>33</v>
      </c>
      <c r="H811" s="23">
        <v>4.4160000000000004</v>
      </c>
      <c r="I811" s="41">
        <f t="shared" si="24"/>
        <v>0.56000000000000005</v>
      </c>
      <c r="J811" s="44">
        <f t="shared" si="25"/>
        <v>1.9430399999999999</v>
      </c>
      <c r="O811" s="223" t="s">
        <v>1079</v>
      </c>
    </row>
    <row r="812" spans="2:15" ht="15.95" customHeight="1" x14ac:dyDescent="0.2">
      <c r="B812" s="67">
        <v>240600</v>
      </c>
      <c r="C812" s="21" t="s">
        <v>0</v>
      </c>
      <c r="D812" s="22" t="s">
        <v>596</v>
      </c>
      <c r="E812" s="22" t="s">
        <v>1831</v>
      </c>
      <c r="F812" s="22" t="s">
        <v>578</v>
      </c>
      <c r="G812" s="21" t="s">
        <v>33</v>
      </c>
      <c r="H812" s="23">
        <v>3.6959999999999997</v>
      </c>
      <c r="I812" s="41">
        <f t="shared" si="24"/>
        <v>0.56000000000000005</v>
      </c>
      <c r="J812" s="44">
        <f t="shared" si="25"/>
        <v>1.6262399999999997</v>
      </c>
      <c r="O812" s="225" t="s">
        <v>1064</v>
      </c>
    </row>
    <row r="813" spans="2:15" ht="15.95" customHeight="1" x14ac:dyDescent="0.2">
      <c r="B813" s="81">
        <v>240563</v>
      </c>
      <c r="C813" s="26" t="s">
        <v>553</v>
      </c>
      <c r="D813" s="28" t="s">
        <v>340</v>
      </c>
      <c r="E813" s="22" t="s">
        <v>1831</v>
      </c>
      <c r="F813" s="8" t="s">
        <v>583</v>
      </c>
      <c r="G813" s="12" t="s">
        <v>36</v>
      </c>
      <c r="H813" s="23">
        <v>237.37999999999997</v>
      </c>
      <c r="I813" s="41">
        <f t="shared" si="24"/>
        <v>0.56000000000000005</v>
      </c>
      <c r="J813" s="44">
        <f t="shared" si="25"/>
        <v>104.44719999999998</v>
      </c>
      <c r="O813" s="223" t="s">
        <v>1122</v>
      </c>
    </row>
    <row r="814" spans="2:15" ht="15.95" customHeight="1" x14ac:dyDescent="0.2">
      <c r="B814" s="69">
        <v>240562</v>
      </c>
      <c r="C814" s="12" t="s">
        <v>553</v>
      </c>
      <c r="D814" s="8" t="s">
        <v>339</v>
      </c>
      <c r="E814" s="22" t="s">
        <v>1831</v>
      </c>
      <c r="F814" s="8" t="s">
        <v>583</v>
      </c>
      <c r="G814" s="12" t="s">
        <v>36</v>
      </c>
      <c r="H814" s="23">
        <v>217.21333333333331</v>
      </c>
      <c r="I814" s="41">
        <f t="shared" si="24"/>
        <v>0.56000000000000005</v>
      </c>
      <c r="J814" s="44">
        <f t="shared" si="25"/>
        <v>95.573866666666646</v>
      </c>
      <c r="O814" s="225" t="s">
        <v>1080</v>
      </c>
    </row>
    <row r="815" spans="2:15" ht="15.95" customHeight="1" x14ac:dyDescent="0.2">
      <c r="B815" s="69">
        <v>240136</v>
      </c>
      <c r="C815" s="12" t="s">
        <v>553</v>
      </c>
      <c r="D815" s="1" t="s">
        <v>309</v>
      </c>
      <c r="E815" s="22" t="s">
        <v>1831</v>
      </c>
      <c r="F815" s="1" t="s">
        <v>583</v>
      </c>
      <c r="G815" s="12" t="s">
        <v>36</v>
      </c>
      <c r="H815" s="23">
        <v>223.66666666666666</v>
      </c>
      <c r="I815" s="41">
        <f t="shared" si="24"/>
        <v>0.56000000000000005</v>
      </c>
      <c r="J815" s="44">
        <f t="shared" si="25"/>
        <v>98.413333333333313</v>
      </c>
      <c r="O815" s="223" t="s">
        <v>991</v>
      </c>
    </row>
    <row r="816" spans="2:15" ht="15.95" customHeight="1" x14ac:dyDescent="0.2">
      <c r="B816" s="69">
        <v>240133</v>
      </c>
      <c r="C816" s="12" t="s">
        <v>553</v>
      </c>
      <c r="D816" s="1" t="s">
        <v>308</v>
      </c>
      <c r="E816" s="22" t="s">
        <v>1831</v>
      </c>
      <c r="F816" s="1" t="s">
        <v>583</v>
      </c>
      <c r="G816" s="12" t="s">
        <v>35</v>
      </c>
      <c r="H816" s="23">
        <v>221.61333333333334</v>
      </c>
      <c r="I816" s="41">
        <f t="shared" si="24"/>
        <v>0.56000000000000005</v>
      </c>
      <c r="J816" s="44">
        <f t="shared" si="25"/>
        <v>97.509866666666653</v>
      </c>
      <c r="O816" s="225" t="s">
        <v>1094</v>
      </c>
    </row>
    <row r="817" spans="1:15" ht="15.95" customHeight="1" x14ac:dyDescent="0.2">
      <c r="B817" s="69">
        <v>240130</v>
      </c>
      <c r="C817" s="12" t="s">
        <v>553</v>
      </c>
      <c r="D817" s="1" t="s">
        <v>307</v>
      </c>
      <c r="E817" s="22" t="s">
        <v>1831</v>
      </c>
      <c r="F817" s="1" t="s">
        <v>583</v>
      </c>
      <c r="G817" s="12" t="s">
        <v>35</v>
      </c>
      <c r="H817" s="23">
        <v>157.92333333333332</v>
      </c>
      <c r="I817" s="41">
        <f t="shared" si="24"/>
        <v>0.56000000000000005</v>
      </c>
      <c r="J817" s="44">
        <f t="shared" si="25"/>
        <v>69.486266666666651</v>
      </c>
      <c r="O817" s="223" t="s">
        <v>1095</v>
      </c>
    </row>
    <row r="818" spans="1:15" ht="15.95" customHeight="1" x14ac:dyDescent="0.2">
      <c r="B818" s="69">
        <v>240129</v>
      </c>
      <c r="C818" s="12" t="s">
        <v>553</v>
      </c>
      <c r="D818" s="1" t="s">
        <v>310</v>
      </c>
      <c r="E818" s="22" t="s">
        <v>1831</v>
      </c>
      <c r="F818" s="1" t="s">
        <v>583</v>
      </c>
      <c r="G818" s="12" t="s">
        <v>36</v>
      </c>
      <c r="H818" s="23">
        <v>245.73999999999998</v>
      </c>
      <c r="I818" s="41">
        <f t="shared" si="24"/>
        <v>0.56000000000000005</v>
      </c>
      <c r="J818" s="44">
        <f t="shared" si="25"/>
        <v>108.12559999999999</v>
      </c>
      <c r="O818" s="225" t="s">
        <v>1172</v>
      </c>
    </row>
    <row r="819" spans="1:15" ht="15.95" customHeight="1" x14ac:dyDescent="0.2">
      <c r="B819" s="70">
        <v>194215</v>
      </c>
      <c r="C819" s="12" t="s">
        <v>553</v>
      </c>
      <c r="D819" s="8" t="s">
        <v>1594</v>
      </c>
      <c r="E819" s="8" t="s">
        <v>1831</v>
      </c>
      <c r="F819" s="8" t="s">
        <v>583</v>
      </c>
      <c r="G819" s="12" t="s">
        <v>36</v>
      </c>
      <c r="H819" s="23">
        <v>931.33333333333326</v>
      </c>
      <c r="I819" s="41">
        <f t="shared" si="24"/>
        <v>0.56000000000000005</v>
      </c>
      <c r="J819" s="44">
        <f t="shared" si="25"/>
        <v>409.78666666666663</v>
      </c>
      <c r="O819" s="223" t="s">
        <v>1280</v>
      </c>
    </row>
    <row r="820" spans="1:15" ht="15.95" customHeight="1" x14ac:dyDescent="0.2">
      <c r="A820" s="17"/>
      <c r="B820" s="78">
        <v>191923</v>
      </c>
      <c r="C820" s="12" t="s">
        <v>553</v>
      </c>
      <c r="D820" s="8" t="s">
        <v>297</v>
      </c>
      <c r="E820" s="22" t="s">
        <v>1831</v>
      </c>
      <c r="F820" s="1" t="s">
        <v>583</v>
      </c>
      <c r="G820" s="12" t="s">
        <v>38</v>
      </c>
      <c r="H820" s="23">
        <v>1577.06667756</v>
      </c>
      <c r="I820" s="41">
        <f t="shared" si="24"/>
        <v>0.56000000000000005</v>
      </c>
      <c r="J820" s="44">
        <f t="shared" si="25"/>
        <v>693.90933812639992</v>
      </c>
      <c r="O820" s="225" t="s">
        <v>1283</v>
      </c>
    </row>
    <row r="821" spans="1:15" ht="15.95" customHeight="1" x14ac:dyDescent="0.2">
      <c r="A821" s="17"/>
      <c r="B821" s="80">
        <v>191467</v>
      </c>
      <c r="C821" s="12" t="s">
        <v>553</v>
      </c>
      <c r="D821" s="8" t="s">
        <v>342</v>
      </c>
      <c r="E821" s="22" t="s">
        <v>1831</v>
      </c>
      <c r="F821" s="8" t="s">
        <v>583</v>
      </c>
      <c r="G821" s="12" t="s">
        <v>39</v>
      </c>
      <c r="H821" s="23">
        <v>1811.0055743999999</v>
      </c>
      <c r="I821" s="41">
        <f t="shared" si="24"/>
        <v>0.56000000000000005</v>
      </c>
      <c r="J821" s="44">
        <f t="shared" si="25"/>
        <v>796.84245273599981</v>
      </c>
      <c r="O821" s="223" t="s">
        <v>1291</v>
      </c>
    </row>
    <row r="822" spans="1:15" ht="15.95" customHeight="1" x14ac:dyDescent="0.2">
      <c r="B822" s="80">
        <v>191466</v>
      </c>
      <c r="C822" s="12" t="s">
        <v>553</v>
      </c>
      <c r="D822" s="8" t="s">
        <v>627</v>
      </c>
      <c r="E822" s="22" t="s">
        <v>1831</v>
      </c>
      <c r="F822" s="8" t="s">
        <v>583</v>
      </c>
      <c r="G822" s="12" t="s">
        <v>39</v>
      </c>
      <c r="H822" s="23">
        <v>876.79278720000025</v>
      </c>
      <c r="I822" s="41">
        <f t="shared" si="24"/>
        <v>0.56000000000000005</v>
      </c>
      <c r="J822" s="44">
        <f t="shared" si="25"/>
        <v>385.78882636800006</v>
      </c>
      <c r="O822" s="225" t="s">
        <v>1357</v>
      </c>
    </row>
    <row r="823" spans="1:15" ht="15.95" customHeight="1" x14ac:dyDescent="0.2">
      <c r="A823" s="17"/>
      <c r="B823" s="82">
        <v>191456</v>
      </c>
      <c r="C823" s="12" t="s">
        <v>553</v>
      </c>
      <c r="D823" s="8" t="s">
        <v>299</v>
      </c>
      <c r="E823" s="22" t="s">
        <v>1831</v>
      </c>
      <c r="F823" s="8" t="s">
        <v>583</v>
      </c>
      <c r="G823" s="12" t="s">
        <v>37</v>
      </c>
      <c r="H823" s="23">
        <v>1222.2159840000002</v>
      </c>
      <c r="I823" s="41">
        <f t="shared" si="24"/>
        <v>0.56000000000000005</v>
      </c>
      <c r="J823" s="44">
        <f t="shared" si="25"/>
        <v>537.77503295999998</v>
      </c>
      <c r="O823" s="223" t="s">
        <v>1358</v>
      </c>
    </row>
    <row r="824" spans="1:15" ht="15.95" customHeight="1" x14ac:dyDescent="0.2">
      <c r="A824" s="17"/>
      <c r="B824" s="78">
        <v>191455</v>
      </c>
      <c r="C824" s="12" t="s">
        <v>553</v>
      </c>
      <c r="D824" s="8" t="s">
        <v>300</v>
      </c>
      <c r="E824" s="22" t="s">
        <v>1831</v>
      </c>
      <c r="F824" s="8" t="s">
        <v>583</v>
      </c>
      <c r="G824" s="12" t="s">
        <v>37</v>
      </c>
      <c r="H824" s="23">
        <v>1182.6159839999998</v>
      </c>
      <c r="I824" s="41">
        <f t="shared" si="24"/>
        <v>0.56000000000000005</v>
      </c>
      <c r="J824" s="44">
        <f t="shared" si="25"/>
        <v>520.35103295999988</v>
      </c>
      <c r="O824" s="225" t="s">
        <v>1368</v>
      </c>
    </row>
    <row r="825" spans="1:15" ht="15.95" customHeight="1" x14ac:dyDescent="0.2">
      <c r="B825" s="78">
        <v>191454</v>
      </c>
      <c r="C825" s="12" t="s">
        <v>553</v>
      </c>
      <c r="D825" s="8" t="s">
        <v>617</v>
      </c>
      <c r="E825" s="22" t="s">
        <v>1831</v>
      </c>
      <c r="F825" s="8" t="s">
        <v>583</v>
      </c>
      <c r="G825" s="12" t="s">
        <v>37</v>
      </c>
      <c r="H825" s="23">
        <v>610.11799200000007</v>
      </c>
      <c r="I825" s="41">
        <f t="shared" si="24"/>
        <v>0.56000000000000005</v>
      </c>
      <c r="J825" s="44">
        <f t="shared" si="25"/>
        <v>268.45191648000002</v>
      </c>
      <c r="O825" s="223" t="s">
        <v>1372</v>
      </c>
    </row>
    <row r="826" spans="1:15" ht="15.95" customHeight="1" x14ac:dyDescent="0.2">
      <c r="B826" s="69">
        <v>191453</v>
      </c>
      <c r="C826" s="12" t="s">
        <v>553</v>
      </c>
      <c r="D826" s="1" t="s">
        <v>618</v>
      </c>
      <c r="E826" s="22" t="s">
        <v>1831</v>
      </c>
      <c r="F826" s="1" t="s">
        <v>583</v>
      </c>
      <c r="G826" s="12" t="s">
        <v>37</v>
      </c>
      <c r="H826" s="23">
        <v>590.317992</v>
      </c>
      <c r="I826" s="41">
        <f t="shared" si="24"/>
        <v>0.56000000000000005</v>
      </c>
      <c r="J826" s="44">
        <f t="shared" si="25"/>
        <v>259.73991647999998</v>
      </c>
      <c r="O826" s="225" t="s">
        <v>1374</v>
      </c>
    </row>
    <row r="827" spans="1:15" ht="15.95" customHeight="1" x14ac:dyDescent="0.2">
      <c r="A827" s="17"/>
      <c r="B827" s="78">
        <v>188515</v>
      </c>
      <c r="C827" s="12" t="s">
        <v>553</v>
      </c>
      <c r="D827" s="8" t="s">
        <v>298</v>
      </c>
      <c r="E827" s="22" t="s">
        <v>1831</v>
      </c>
      <c r="F827" s="1" t="s">
        <v>583</v>
      </c>
      <c r="G827" s="12" t="s">
        <v>38</v>
      </c>
      <c r="H827" s="23">
        <v>1278.8717832000002</v>
      </c>
      <c r="I827" s="41">
        <f t="shared" si="24"/>
        <v>0.56000000000000005</v>
      </c>
      <c r="J827" s="44">
        <f t="shared" si="25"/>
        <v>562.70358460800003</v>
      </c>
      <c r="O827" s="223" t="s">
        <v>1367</v>
      </c>
    </row>
    <row r="828" spans="1:15" ht="15.95" customHeight="1" x14ac:dyDescent="0.2">
      <c r="B828" s="78">
        <v>188514</v>
      </c>
      <c r="C828" s="12" t="s">
        <v>553</v>
      </c>
      <c r="D828" s="8" t="s">
        <v>624</v>
      </c>
      <c r="E828" s="22" t="s">
        <v>1831</v>
      </c>
      <c r="F828" s="1" t="s">
        <v>583</v>
      </c>
      <c r="G828" s="12" t="s">
        <v>38</v>
      </c>
      <c r="H828" s="23">
        <v>623.59589160000007</v>
      </c>
      <c r="I828" s="41">
        <f t="shared" si="24"/>
        <v>0.56000000000000005</v>
      </c>
      <c r="J828" s="44">
        <f t="shared" si="25"/>
        <v>274.382192304</v>
      </c>
      <c r="O828" s="225" t="s">
        <v>1002</v>
      </c>
    </row>
    <row r="829" spans="1:15" ht="15.95" customHeight="1" x14ac:dyDescent="0.2">
      <c r="B829" s="81">
        <v>188512</v>
      </c>
      <c r="C829" s="26" t="s">
        <v>553</v>
      </c>
      <c r="D829" s="27" t="s">
        <v>613</v>
      </c>
      <c r="E829" s="22" t="s">
        <v>1831</v>
      </c>
      <c r="F829" s="1" t="s">
        <v>583</v>
      </c>
      <c r="G829" s="12" t="s">
        <v>36</v>
      </c>
      <c r="H829" s="23">
        <v>610.11799200000007</v>
      </c>
      <c r="I829" s="41">
        <f t="shared" si="24"/>
        <v>0.56000000000000005</v>
      </c>
      <c r="J829" s="44">
        <f t="shared" si="25"/>
        <v>268.45191648000002</v>
      </c>
      <c r="O829" s="223" t="s">
        <v>1534</v>
      </c>
    </row>
    <row r="830" spans="1:15" ht="15.95" customHeight="1" x14ac:dyDescent="0.2">
      <c r="B830" s="78">
        <v>188486</v>
      </c>
      <c r="C830" s="12" t="s">
        <v>553</v>
      </c>
      <c r="D830" s="8" t="s">
        <v>622</v>
      </c>
      <c r="E830" s="22" t="s">
        <v>1831</v>
      </c>
      <c r="F830" s="1" t="s">
        <v>583</v>
      </c>
      <c r="G830" s="12" t="s">
        <v>38</v>
      </c>
      <c r="H830" s="23">
        <v>7191.1872252000003</v>
      </c>
      <c r="I830" s="41">
        <f t="shared" si="24"/>
        <v>0.56000000000000005</v>
      </c>
      <c r="J830" s="44">
        <f t="shared" si="25"/>
        <v>3164.1223790879999</v>
      </c>
      <c r="O830" s="225" t="s">
        <v>1536</v>
      </c>
    </row>
    <row r="831" spans="1:15" ht="15.95" customHeight="1" x14ac:dyDescent="0.2">
      <c r="A831" s="17"/>
      <c r="B831" s="78">
        <v>187689</v>
      </c>
      <c r="C831" s="12" t="s">
        <v>553</v>
      </c>
      <c r="D831" s="8" t="s">
        <v>623</v>
      </c>
      <c r="E831" s="22" t="s">
        <v>1831</v>
      </c>
      <c r="F831" s="1" t="s">
        <v>583</v>
      </c>
      <c r="G831" s="12" t="s">
        <v>38</v>
      </c>
      <c r="H831" s="23">
        <v>1330.5948876000002</v>
      </c>
      <c r="I831" s="41">
        <f t="shared" si="24"/>
        <v>0.56000000000000005</v>
      </c>
      <c r="J831" s="44">
        <f t="shared" si="25"/>
        <v>585.46175054399998</v>
      </c>
      <c r="O831" s="223" t="s">
        <v>1542</v>
      </c>
    </row>
    <row r="832" spans="1:15" ht="15.95" customHeight="1" x14ac:dyDescent="0.2">
      <c r="B832" s="69">
        <v>187665</v>
      </c>
      <c r="C832" s="12" t="s">
        <v>553</v>
      </c>
      <c r="D832" s="1" t="s">
        <v>1822</v>
      </c>
      <c r="E832" s="22" t="s">
        <v>1831</v>
      </c>
      <c r="F832" s="1" t="s">
        <v>583</v>
      </c>
      <c r="G832" s="12" t="s">
        <v>36</v>
      </c>
      <c r="H832" s="23">
        <v>916.66666666666652</v>
      </c>
      <c r="I832" s="41">
        <f t="shared" si="24"/>
        <v>0.56000000000000005</v>
      </c>
      <c r="J832" s="44">
        <f t="shared" si="25"/>
        <v>403.33333333333326</v>
      </c>
      <c r="O832" s="225" t="s">
        <v>1282</v>
      </c>
    </row>
    <row r="833" spans="2:15" ht="15.95" customHeight="1" x14ac:dyDescent="0.2">
      <c r="B833" s="67">
        <v>185867</v>
      </c>
      <c r="C833" s="21" t="s">
        <v>0</v>
      </c>
      <c r="D833" s="22" t="s">
        <v>111</v>
      </c>
      <c r="E833" s="22" t="s">
        <v>1831</v>
      </c>
      <c r="F833" s="22" t="s">
        <v>578</v>
      </c>
      <c r="G833" s="21" t="s">
        <v>33</v>
      </c>
      <c r="H833" s="23">
        <v>3.6479999999999997</v>
      </c>
      <c r="I833" s="41">
        <f t="shared" si="24"/>
        <v>0.56000000000000005</v>
      </c>
      <c r="J833" s="44">
        <f t="shared" si="25"/>
        <v>1.6051199999999999</v>
      </c>
      <c r="O833" s="223" t="s">
        <v>1284</v>
      </c>
    </row>
    <row r="834" spans="2:15" ht="15.95" customHeight="1" x14ac:dyDescent="0.2">
      <c r="B834" s="67">
        <v>185865</v>
      </c>
      <c r="C834" s="21" t="s">
        <v>0</v>
      </c>
      <c r="D834" s="22" t="s">
        <v>94</v>
      </c>
      <c r="E834" s="22" t="s">
        <v>1831</v>
      </c>
      <c r="F834" s="22" t="s">
        <v>578</v>
      </c>
      <c r="G834" s="21" t="s">
        <v>33</v>
      </c>
      <c r="H834" s="23">
        <v>3.3119999999999998</v>
      </c>
      <c r="I834" s="41">
        <f t="shared" si="24"/>
        <v>0.56000000000000005</v>
      </c>
      <c r="J834" s="44">
        <f t="shared" si="25"/>
        <v>1.4572799999999997</v>
      </c>
      <c r="O834" s="225" t="s">
        <v>1285</v>
      </c>
    </row>
    <row r="835" spans="2:15" ht="15.95" customHeight="1" x14ac:dyDescent="0.2">
      <c r="B835" s="67">
        <v>185864</v>
      </c>
      <c r="C835" s="21" t="s">
        <v>0</v>
      </c>
      <c r="D835" s="22" t="s">
        <v>97</v>
      </c>
      <c r="E835" s="22" t="s">
        <v>1831</v>
      </c>
      <c r="F835" s="22" t="s">
        <v>578</v>
      </c>
      <c r="G835" s="21" t="s">
        <v>33</v>
      </c>
      <c r="H835" s="23">
        <v>2.9279999999999999</v>
      </c>
      <c r="I835" s="41">
        <f t="shared" si="24"/>
        <v>0.56000000000000005</v>
      </c>
      <c r="J835" s="44">
        <f t="shared" si="25"/>
        <v>1.2883199999999999</v>
      </c>
      <c r="O835" s="223" t="s">
        <v>1286</v>
      </c>
    </row>
    <row r="836" spans="2:15" ht="15.95" customHeight="1" x14ac:dyDescent="0.2">
      <c r="B836" s="67">
        <v>185863</v>
      </c>
      <c r="C836" s="21" t="s">
        <v>0</v>
      </c>
      <c r="D836" s="22" t="s">
        <v>101</v>
      </c>
      <c r="E836" s="22" t="s">
        <v>1831</v>
      </c>
      <c r="F836" s="22" t="s">
        <v>578</v>
      </c>
      <c r="G836" s="21" t="s">
        <v>33</v>
      </c>
      <c r="H836" s="23">
        <v>2.2559999999999998</v>
      </c>
      <c r="I836" s="41">
        <f t="shared" si="24"/>
        <v>0.56000000000000005</v>
      </c>
      <c r="J836" s="44">
        <f t="shared" si="25"/>
        <v>0.99263999999999974</v>
      </c>
      <c r="O836" s="225" t="s">
        <v>1287</v>
      </c>
    </row>
    <row r="837" spans="2:15" ht="15.95" customHeight="1" x14ac:dyDescent="0.2">
      <c r="B837" s="67">
        <v>185862</v>
      </c>
      <c r="C837" s="21" t="s">
        <v>0</v>
      </c>
      <c r="D837" s="22" t="s">
        <v>102</v>
      </c>
      <c r="E837" s="22" t="s">
        <v>1831</v>
      </c>
      <c r="F837" s="22" t="s">
        <v>578</v>
      </c>
      <c r="G837" s="21" t="s">
        <v>33</v>
      </c>
      <c r="H837" s="23">
        <v>1.8239999999999998</v>
      </c>
      <c r="I837" s="41">
        <f t="shared" si="24"/>
        <v>0.56000000000000005</v>
      </c>
      <c r="J837" s="44">
        <f t="shared" si="25"/>
        <v>0.80255999999999994</v>
      </c>
      <c r="O837" s="223" t="s">
        <v>1288</v>
      </c>
    </row>
    <row r="838" spans="2:15" ht="15.95" customHeight="1" x14ac:dyDescent="0.2">
      <c r="B838" s="67">
        <v>185841</v>
      </c>
      <c r="C838" s="21" t="s">
        <v>0</v>
      </c>
      <c r="D838" s="22" t="s">
        <v>99</v>
      </c>
      <c r="E838" s="22" t="s">
        <v>1831</v>
      </c>
      <c r="F838" s="22" t="s">
        <v>585</v>
      </c>
      <c r="G838" s="21" t="s">
        <v>33</v>
      </c>
      <c r="H838" s="23">
        <v>96.178333333333313</v>
      </c>
      <c r="I838" s="41">
        <f t="shared" si="24"/>
        <v>0.56000000000000005</v>
      </c>
      <c r="J838" s="44">
        <f t="shared" si="25"/>
        <v>42.318466666666652</v>
      </c>
      <c r="O838" s="225" t="s">
        <v>1289</v>
      </c>
    </row>
    <row r="839" spans="2:15" ht="15.95" customHeight="1" x14ac:dyDescent="0.2">
      <c r="B839" s="67">
        <v>185763</v>
      </c>
      <c r="C839" s="21" t="s">
        <v>0</v>
      </c>
      <c r="D839" s="22" t="s">
        <v>95</v>
      </c>
      <c r="E839" s="22" t="s">
        <v>1831</v>
      </c>
      <c r="F839" s="22" t="s">
        <v>578</v>
      </c>
      <c r="G839" s="21" t="s">
        <v>33</v>
      </c>
      <c r="H839" s="23">
        <v>47.04</v>
      </c>
      <c r="I839" s="41">
        <f t="shared" si="24"/>
        <v>0.56000000000000005</v>
      </c>
      <c r="J839" s="44">
        <f t="shared" si="25"/>
        <v>20.697599999999998</v>
      </c>
      <c r="O839" s="223" t="s">
        <v>1292</v>
      </c>
    </row>
    <row r="840" spans="2:15" ht="15.95" customHeight="1" x14ac:dyDescent="0.2">
      <c r="B840" s="67">
        <v>185728</v>
      </c>
      <c r="C840" s="21" t="s">
        <v>0</v>
      </c>
      <c r="D840" s="22" t="s">
        <v>107</v>
      </c>
      <c r="E840" s="22" t="s">
        <v>1831</v>
      </c>
      <c r="F840" s="22" t="s">
        <v>580</v>
      </c>
      <c r="G840" s="21" t="s">
        <v>33</v>
      </c>
      <c r="H840" s="23">
        <v>66.335999999999999</v>
      </c>
      <c r="I840" s="41">
        <f t="shared" si="24"/>
        <v>0.56000000000000005</v>
      </c>
      <c r="J840" s="44">
        <f t="shared" si="25"/>
        <v>29.187839999999994</v>
      </c>
      <c r="O840" s="225" t="s">
        <v>1293</v>
      </c>
    </row>
    <row r="841" spans="2:15" ht="15.95" customHeight="1" x14ac:dyDescent="0.2">
      <c r="B841" s="67">
        <v>185726</v>
      </c>
      <c r="C841" s="21" t="s">
        <v>0</v>
      </c>
      <c r="D841" s="22" t="s">
        <v>110</v>
      </c>
      <c r="E841" s="22" t="s">
        <v>1831</v>
      </c>
      <c r="F841" s="22" t="s">
        <v>580</v>
      </c>
      <c r="G841" s="21" t="s">
        <v>33</v>
      </c>
      <c r="H841" s="23">
        <v>27.84</v>
      </c>
      <c r="I841" s="41">
        <f t="shared" ref="I841:I878" si="26">$H$7</f>
        <v>0.56000000000000005</v>
      </c>
      <c r="J841" s="44">
        <f t="shared" ref="J841:J878" si="27">H841-H841*I841</f>
        <v>12.249599999999999</v>
      </c>
      <c r="O841" s="223" t="s">
        <v>1294</v>
      </c>
    </row>
    <row r="842" spans="2:15" ht="15.95" customHeight="1" x14ac:dyDescent="0.2">
      <c r="B842" s="67">
        <v>185719</v>
      </c>
      <c r="C842" s="21" t="s">
        <v>0</v>
      </c>
      <c r="D842" s="22" t="s">
        <v>104</v>
      </c>
      <c r="E842" s="22" t="s">
        <v>1831</v>
      </c>
      <c r="F842" s="22" t="s">
        <v>580</v>
      </c>
      <c r="G842" s="21" t="s">
        <v>33</v>
      </c>
      <c r="H842" s="23">
        <v>41.136000000000003</v>
      </c>
      <c r="I842" s="41">
        <f t="shared" si="26"/>
        <v>0.56000000000000005</v>
      </c>
      <c r="J842" s="44">
        <f t="shared" si="27"/>
        <v>18.09984</v>
      </c>
      <c r="O842" s="225" t="s">
        <v>1295</v>
      </c>
    </row>
    <row r="843" spans="2:15" ht="15.95" customHeight="1" x14ac:dyDescent="0.2">
      <c r="B843" s="67">
        <v>185685</v>
      </c>
      <c r="C843" s="21" t="s">
        <v>0</v>
      </c>
      <c r="D843" s="22" t="s">
        <v>139</v>
      </c>
      <c r="E843" s="22" t="s">
        <v>1831</v>
      </c>
      <c r="F843" s="22" t="s">
        <v>646</v>
      </c>
      <c r="G843" s="21" t="s">
        <v>36</v>
      </c>
      <c r="H843" s="23">
        <v>51.49444444444444</v>
      </c>
      <c r="I843" s="41">
        <f t="shared" si="26"/>
        <v>0.56000000000000005</v>
      </c>
      <c r="J843" s="44">
        <f t="shared" si="27"/>
        <v>22.65755555555555</v>
      </c>
      <c r="O843" s="223" t="s">
        <v>1296</v>
      </c>
    </row>
    <row r="844" spans="2:15" ht="15.95" customHeight="1" x14ac:dyDescent="0.2">
      <c r="B844" s="78">
        <v>182976</v>
      </c>
      <c r="C844" s="12" t="s">
        <v>553</v>
      </c>
      <c r="D844" s="8" t="s">
        <v>620</v>
      </c>
      <c r="E844" s="22" t="s">
        <v>1831</v>
      </c>
      <c r="F844" s="1" t="s">
        <v>583</v>
      </c>
      <c r="G844" s="12" t="s">
        <v>38</v>
      </c>
      <c r="H844" s="23">
        <v>4490.7446628000007</v>
      </c>
      <c r="I844" s="41">
        <f t="shared" si="26"/>
        <v>0.56000000000000005</v>
      </c>
      <c r="J844" s="44">
        <f t="shared" si="27"/>
        <v>1975.9276516320001</v>
      </c>
      <c r="O844" s="225" t="s">
        <v>1297</v>
      </c>
    </row>
    <row r="845" spans="2:15" ht="15.95" customHeight="1" x14ac:dyDescent="0.2">
      <c r="B845" s="81">
        <v>182943</v>
      </c>
      <c r="C845" s="26" t="s">
        <v>553</v>
      </c>
      <c r="D845" s="27" t="s">
        <v>614</v>
      </c>
      <c r="E845" s="22" t="s">
        <v>1831</v>
      </c>
      <c r="F845" s="1" t="s">
        <v>583</v>
      </c>
      <c r="G845" s="12" t="s">
        <v>36</v>
      </c>
      <c r="H845" s="23">
        <v>1042.6611887999998</v>
      </c>
      <c r="I845" s="41">
        <f t="shared" si="26"/>
        <v>0.56000000000000005</v>
      </c>
      <c r="J845" s="44">
        <f t="shared" si="27"/>
        <v>458.77092307199985</v>
      </c>
      <c r="O845" s="223" t="s">
        <v>1299</v>
      </c>
    </row>
    <row r="846" spans="2:15" ht="15.95" customHeight="1" x14ac:dyDescent="0.2">
      <c r="B846" s="79">
        <v>182936</v>
      </c>
      <c r="C846" s="26" t="s">
        <v>553</v>
      </c>
      <c r="D846" s="28" t="s">
        <v>615</v>
      </c>
      <c r="E846" s="22" t="s">
        <v>1831</v>
      </c>
      <c r="F846" s="8" t="s">
        <v>583</v>
      </c>
      <c r="G846" s="12" t="s">
        <v>36</v>
      </c>
      <c r="H846" s="23">
        <v>590.317992</v>
      </c>
      <c r="I846" s="41">
        <f t="shared" si="26"/>
        <v>0.56000000000000005</v>
      </c>
      <c r="J846" s="44">
        <f t="shared" si="27"/>
        <v>259.73991647999998</v>
      </c>
      <c r="O846" s="225" t="s">
        <v>1300</v>
      </c>
    </row>
    <row r="847" spans="2:15" ht="15.95" customHeight="1" x14ac:dyDescent="0.2">
      <c r="B847" s="80">
        <v>182926</v>
      </c>
      <c r="C847" s="12" t="s">
        <v>553</v>
      </c>
      <c r="D847" s="8" t="s">
        <v>1820</v>
      </c>
      <c r="E847" s="1" t="s">
        <v>1831</v>
      </c>
      <c r="F847" s="8" t="s">
        <v>583</v>
      </c>
      <c r="G847" s="12" t="s">
        <v>39</v>
      </c>
      <c r="H847" s="23">
        <v>2163.333333333333</v>
      </c>
      <c r="I847" s="41">
        <f t="shared" si="26"/>
        <v>0.56000000000000005</v>
      </c>
      <c r="J847" s="44">
        <f t="shared" si="27"/>
        <v>951.86666666666633</v>
      </c>
      <c r="O847" s="223" t="s">
        <v>1302</v>
      </c>
    </row>
    <row r="848" spans="2:15" ht="15.95" customHeight="1" x14ac:dyDescent="0.2">
      <c r="B848" s="80">
        <v>182925</v>
      </c>
      <c r="C848" s="12" t="s">
        <v>553</v>
      </c>
      <c r="D848" s="8" t="s">
        <v>625</v>
      </c>
      <c r="E848" s="22" t="s">
        <v>1831</v>
      </c>
      <c r="F848" s="8" t="s">
        <v>583</v>
      </c>
      <c r="G848" s="12" t="s">
        <v>39</v>
      </c>
      <c r="H848" s="23">
        <v>1014.3159840000001</v>
      </c>
      <c r="I848" s="41">
        <f t="shared" si="26"/>
        <v>0.56000000000000005</v>
      </c>
      <c r="J848" s="44">
        <f t="shared" si="27"/>
        <v>446.29903295999998</v>
      </c>
      <c r="O848" s="225" t="s">
        <v>1303</v>
      </c>
    </row>
    <row r="849" spans="1:15" ht="15.95" customHeight="1" x14ac:dyDescent="0.2">
      <c r="B849" s="69">
        <v>182924</v>
      </c>
      <c r="C849" s="12" t="s">
        <v>553</v>
      </c>
      <c r="D849" s="1" t="s">
        <v>616</v>
      </c>
      <c r="E849" s="22" t="s">
        <v>1831</v>
      </c>
      <c r="F849" s="1" t="s">
        <v>583</v>
      </c>
      <c r="G849" s="12" t="s">
        <v>37</v>
      </c>
      <c r="H849" s="23">
        <v>787.62328919999993</v>
      </c>
      <c r="I849" s="41">
        <f t="shared" si="26"/>
        <v>0.56000000000000005</v>
      </c>
      <c r="J849" s="44">
        <f t="shared" si="27"/>
        <v>346.55424724799991</v>
      </c>
      <c r="O849" s="223" t="s">
        <v>1304</v>
      </c>
    </row>
    <row r="850" spans="1:15" ht="15.95" customHeight="1" x14ac:dyDescent="0.2">
      <c r="A850" s="17"/>
      <c r="B850" s="78">
        <v>182912</v>
      </c>
      <c r="C850" s="12" t="s">
        <v>553</v>
      </c>
      <c r="D850" s="8" t="s">
        <v>296</v>
      </c>
      <c r="E850" s="22" t="s">
        <v>1831</v>
      </c>
      <c r="F850" s="1" t="s">
        <v>583</v>
      </c>
      <c r="G850" s="12" t="s">
        <v>38</v>
      </c>
      <c r="H850" s="23">
        <v>1613.7697751999999</v>
      </c>
      <c r="I850" s="41">
        <f t="shared" si="26"/>
        <v>0.56000000000000005</v>
      </c>
      <c r="J850" s="44">
        <f t="shared" si="27"/>
        <v>710.05870108799991</v>
      </c>
      <c r="O850" s="225" t="s">
        <v>1305</v>
      </c>
    </row>
    <row r="851" spans="1:15" ht="15.95" customHeight="1" x14ac:dyDescent="0.2">
      <c r="B851" s="78">
        <v>182911</v>
      </c>
      <c r="C851" s="12" t="s">
        <v>553</v>
      </c>
      <c r="D851" s="8" t="s">
        <v>619</v>
      </c>
      <c r="E851" s="22" t="s">
        <v>1831</v>
      </c>
      <c r="F851" s="1" t="s">
        <v>583</v>
      </c>
      <c r="G851" s="12" t="s">
        <v>38</v>
      </c>
      <c r="H851" s="23">
        <v>788.07488760000001</v>
      </c>
      <c r="I851" s="41">
        <f t="shared" si="26"/>
        <v>0.56000000000000005</v>
      </c>
      <c r="J851" s="44">
        <f t="shared" si="27"/>
        <v>346.75295054399999</v>
      </c>
      <c r="O851" s="223" t="s">
        <v>1307</v>
      </c>
    </row>
    <row r="852" spans="1:15" ht="15.95" customHeight="1" x14ac:dyDescent="0.2">
      <c r="B852" s="78">
        <v>182874</v>
      </c>
      <c r="C852" s="12" t="s">
        <v>553</v>
      </c>
      <c r="D852" s="8" t="s">
        <v>621</v>
      </c>
      <c r="E852" s="22" t="s">
        <v>1831</v>
      </c>
      <c r="F852" s="1" t="s">
        <v>583</v>
      </c>
      <c r="G852" s="12" t="s">
        <v>38</v>
      </c>
      <c r="H852" s="23">
        <v>5371.8795504000009</v>
      </c>
      <c r="I852" s="41">
        <f t="shared" si="26"/>
        <v>0.56000000000000005</v>
      </c>
      <c r="J852" s="44">
        <f t="shared" si="27"/>
        <v>2363.6270021760001</v>
      </c>
      <c r="O852" s="225" t="s">
        <v>1308</v>
      </c>
    </row>
    <row r="853" spans="1:15" ht="15.95" customHeight="1" x14ac:dyDescent="0.2">
      <c r="B853" s="78">
        <v>181114</v>
      </c>
      <c r="C853" s="12" t="s">
        <v>553</v>
      </c>
      <c r="D853" s="7" t="s">
        <v>608</v>
      </c>
      <c r="E853" s="22" t="s">
        <v>1831</v>
      </c>
      <c r="F853" s="7" t="s">
        <v>583</v>
      </c>
      <c r="G853" s="12" t="s">
        <v>35</v>
      </c>
      <c r="H853" s="23">
        <v>552.697992</v>
      </c>
      <c r="I853" s="41">
        <f t="shared" si="26"/>
        <v>0.56000000000000005</v>
      </c>
      <c r="J853" s="44">
        <f t="shared" si="27"/>
        <v>243.18711647999999</v>
      </c>
      <c r="O853" s="223" t="s">
        <v>1309</v>
      </c>
    </row>
    <row r="854" spans="1:15" ht="15.95" customHeight="1" x14ac:dyDescent="0.2">
      <c r="B854" s="78">
        <v>181113</v>
      </c>
      <c r="C854" s="12" t="s">
        <v>553</v>
      </c>
      <c r="D854" s="7" t="s">
        <v>609</v>
      </c>
      <c r="E854" s="22" t="s">
        <v>1831</v>
      </c>
      <c r="F854" s="7" t="s">
        <v>583</v>
      </c>
      <c r="G854" s="12" t="s">
        <v>35</v>
      </c>
      <c r="H854" s="23">
        <v>578.43799200000001</v>
      </c>
      <c r="I854" s="41">
        <f t="shared" si="26"/>
        <v>0.56000000000000005</v>
      </c>
      <c r="J854" s="44">
        <f t="shared" si="27"/>
        <v>254.51271647999999</v>
      </c>
      <c r="O854" s="225" t="s">
        <v>1311</v>
      </c>
    </row>
    <row r="855" spans="1:15" ht="15.95" customHeight="1" x14ac:dyDescent="0.2">
      <c r="B855" s="78">
        <v>181112</v>
      </c>
      <c r="C855" s="12" t="s">
        <v>553</v>
      </c>
      <c r="D855" s="7" t="s">
        <v>606</v>
      </c>
      <c r="E855" s="22" t="s">
        <v>1831</v>
      </c>
      <c r="F855" s="7" t="s">
        <v>583</v>
      </c>
      <c r="G855" s="12" t="s">
        <v>35</v>
      </c>
      <c r="H855" s="23">
        <v>710.78538960000003</v>
      </c>
      <c r="I855" s="41">
        <f t="shared" si="26"/>
        <v>0.56000000000000005</v>
      </c>
      <c r="J855" s="44">
        <f t="shared" si="27"/>
        <v>312.74557142399999</v>
      </c>
      <c r="O855" s="223" t="s">
        <v>1313</v>
      </c>
    </row>
    <row r="856" spans="1:15" ht="15.95" customHeight="1" x14ac:dyDescent="0.2">
      <c r="B856" s="86">
        <v>181111</v>
      </c>
      <c r="C856" s="12" t="s">
        <v>553</v>
      </c>
      <c r="D856" s="25" t="s">
        <v>607</v>
      </c>
      <c r="E856" s="22" t="s">
        <v>1831</v>
      </c>
      <c r="F856" s="7" t="s">
        <v>583</v>
      </c>
      <c r="G856" s="12" t="s">
        <v>35</v>
      </c>
      <c r="H856" s="23">
        <v>734.54538960000002</v>
      </c>
      <c r="I856" s="41">
        <f t="shared" si="26"/>
        <v>0.56000000000000005</v>
      </c>
      <c r="J856" s="44">
        <f t="shared" si="27"/>
        <v>323.19997142399995</v>
      </c>
      <c r="O856" s="225" t="s">
        <v>1314</v>
      </c>
    </row>
    <row r="857" spans="1:15" ht="15.95" customHeight="1" x14ac:dyDescent="0.2">
      <c r="B857" s="69">
        <v>181101</v>
      </c>
      <c r="C857" s="12" t="s">
        <v>553</v>
      </c>
      <c r="D857" s="7" t="s">
        <v>612</v>
      </c>
      <c r="E857" s="22" t="s">
        <v>1831</v>
      </c>
      <c r="F857" s="7" t="s">
        <v>583</v>
      </c>
      <c r="G857" s="12" t="s">
        <v>611</v>
      </c>
      <c r="H857" s="23">
        <v>879.84959040000001</v>
      </c>
      <c r="I857" s="41">
        <f t="shared" si="26"/>
        <v>0.56000000000000005</v>
      </c>
      <c r="J857" s="44">
        <f t="shared" si="27"/>
        <v>387.13381977599994</v>
      </c>
      <c r="O857" s="223" t="s">
        <v>1315</v>
      </c>
    </row>
    <row r="858" spans="1:15" ht="15.95" customHeight="1" x14ac:dyDescent="0.2">
      <c r="B858" s="69">
        <v>179595</v>
      </c>
      <c r="C858" s="12" t="s">
        <v>553</v>
      </c>
      <c r="D858" s="7" t="s">
        <v>610</v>
      </c>
      <c r="E858" s="22" t="s">
        <v>1831</v>
      </c>
      <c r="F858" s="7" t="s">
        <v>583</v>
      </c>
      <c r="G858" s="12" t="s">
        <v>611</v>
      </c>
      <c r="H858" s="23">
        <v>862.02959040000007</v>
      </c>
      <c r="I858" s="41">
        <f t="shared" si="26"/>
        <v>0.56000000000000005</v>
      </c>
      <c r="J858" s="44">
        <f t="shared" si="27"/>
        <v>379.29301977599999</v>
      </c>
      <c r="O858" s="225" t="s">
        <v>1317</v>
      </c>
    </row>
    <row r="859" spans="1:15" ht="15.95" customHeight="1" x14ac:dyDescent="0.2">
      <c r="B859" s="80">
        <v>177400</v>
      </c>
      <c r="C859" s="12" t="s">
        <v>553</v>
      </c>
      <c r="D859" s="8" t="s">
        <v>626</v>
      </c>
      <c r="E859" s="22" t="s">
        <v>1831</v>
      </c>
      <c r="F859" s="8" t="s">
        <v>583</v>
      </c>
      <c r="G859" s="12" t="s">
        <v>39</v>
      </c>
      <c r="H859" s="23">
        <v>962.7664860000001</v>
      </c>
      <c r="I859" s="41">
        <f t="shared" si="26"/>
        <v>0.56000000000000005</v>
      </c>
      <c r="J859" s="44">
        <f t="shared" si="27"/>
        <v>423.61725383999999</v>
      </c>
      <c r="O859" s="223" t="s">
        <v>1318</v>
      </c>
    </row>
    <row r="860" spans="1:15" ht="15.95" customHeight="1" x14ac:dyDescent="0.2">
      <c r="A860" s="17"/>
      <c r="B860" s="78">
        <v>177398</v>
      </c>
      <c r="C860" s="12" t="s">
        <v>553</v>
      </c>
      <c r="D860" s="8" t="s">
        <v>296</v>
      </c>
      <c r="E860" s="22" t="s">
        <v>1831</v>
      </c>
      <c r="F860" s="1" t="s">
        <v>583</v>
      </c>
      <c r="G860" s="12" t="s">
        <v>38</v>
      </c>
      <c r="H860" s="23">
        <v>1613.7697751999999</v>
      </c>
      <c r="I860" s="41">
        <f t="shared" si="26"/>
        <v>0.56000000000000005</v>
      </c>
      <c r="J860" s="44">
        <f t="shared" si="27"/>
        <v>710.05870108799991</v>
      </c>
      <c r="O860" s="225" t="s">
        <v>1319</v>
      </c>
    </row>
    <row r="861" spans="1:15" ht="15.95" customHeight="1" x14ac:dyDescent="0.2">
      <c r="B861" s="80">
        <v>177390</v>
      </c>
      <c r="C861" s="12" t="s">
        <v>553</v>
      </c>
      <c r="D861" s="8" t="s">
        <v>341</v>
      </c>
      <c r="E861" s="22" t="s">
        <v>1831</v>
      </c>
      <c r="F861" s="8" t="s">
        <v>583</v>
      </c>
      <c r="G861" s="12" t="s">
        <v>39</v>
      </c>
      <c r="H861" s="23">
        <v>1955.2329720000005</v>
      </c>
      <c r="I861" s="41">
        <f t="shared" si="26"/>
        <v>0.56000000000000005</v>
      </c>
      <c r="J861" s="44">
        <f t="shared" si="27"/>
        <v>860.30250768000019</v>
      </c>
      <c r="O861" s="223" t="s">
        <v>1321</v>
      </c>
    </row>
    <row r="862" spans="1:15" ht="15.95" customHeight="1" x14ac:dyDescent="0.2">
      <c r="B862" s="78">
        <v>177388</v>
      </c>
      <c r="C862" s="12" t="s">
        <v>553</v>
      </c>
      <c r="D862" s="8" t="s">
        <v>619</v>
      </c>
      <c r="E862" s="22" t="s">
        <v>1831</v>
      </c>
      <c r="F862" s="1" t="s">
        <v>583</v>
      </c>
      <c r="G862" s="12" t="s">
        <v>38</v>
      </c>
      <c r="H862" s="23">
        <v>788.07488760000001</v>
      </c>
      <c r="I862" s="41">
        <f t="shared" si="26"/>
        <v>0.56000000000000005</v>
      </c>
      <c r="J862" s="44">
        <f t="shared" si="27"/>
        <v>346.75295054399999</v>
      </c>
      <c r="O862" s="225" t="s">
        <v>1322</v>
      </c>
    </row>
    <row r="863" spans="1:15" ht="15.95" customHeight="1" x14ac:dyDescent="0.2">
      <c r="B863" s="71">
        <v>4109321</v>
      </c>
      <c r="C863" s="12" t="s">
        <v>639</v>
      </c>
      <c r="D863" s="2" t="s">
        <v>643</v>
      </c>
      <c r="E863" s="2" t="s">
        <v>935</v>
      </c>
      <c r="F863" s="1" t="s">
        <v>583</v>
      </c>
      <c r="G863" s="12" t="s">
        <v>641</v>
      </c>
      <c r="H863" s="23">
        <v>12.833333333333334</v>
      </c>
      <c r="I863" s="41">
        <f t="shared" si="26"/>
        <v>0.56000000000000005</v>
      </c>
      <c r="J863" s="44">
        <f t="shared" si="27"/>
        <v>5.6466666666666665</v>
      </c>
      <c r="O863" s="223" t="s">
        <v>1329</v>
      </c>
    </row>
    <row r="864" spans="1:15" ht="15.95" customHeight="1" x14ac:dyDescent="0.2">
      <c r="B864" s="71">
        <v>4109320</v>
      </c>
      <c r="C864" s="12" t="s">
        <v>639</v>
      </c>
      <c r="D864" s="2" t="s">
        <v>642</v>
      </c>
      <c r="E864" s="2" t="s">
        <v>935</v>
      </c>
      <c r="F864" s="1" t="s">
        <v>583</v>
      </c>
      <c r="G864" s="12" t="s">
        <v>641</v>
      </c>
      <c r="H864" s="23">
        <v>6.7833333333333332</v>
      </c>
      <c r="I864" s="41">
        <f t="shared" si="26"/>
        <v>0.56000000000000005</v>
      </c>
      <c r="J864" s="44">
        <f t="shared" si="27"/>
        <v>2.9846666666666661</v>
      </c>
      <c r="O864" s="225" t="s">
        <v>1323</v>
      </c>
    </row>
    <row r="865" spans="1:15" ht="15.95" customHeight="1" x14ac:dyDescent="0.2">
      <c r="B865" s="71">
        <v>4109319</v>
      </c>
      <c r="C865" s="12" t="s">
        <v>639</v>
      </c>
      <c r="D865" s="2" t="s">
        <v>640</v>
      </c>
      <c r="E865" s="2" t="s">
        <v>935</v>
      </c>
      <c r="F865" s="1" t="s">
        <v>583</v>
      </c>
      <c r="G865" s="12" t="s">
        <v>641</v>
      </c>
      <c r="H865" s="23">
        <v>3.6666666666666665</v>
      </c>
      <c r="I865" s="41">
        <f t="shared" si="26"/>
        <v>0.56000000000000005</v>
      </c>
      <c r="J865" s="44">
        <f t="shared" si="27"/>
        <v>1.6133333333333333</v>
      </c>
      <c r="O865" s="223" t="s">
        <v>1324</v>
      </c>
    </row>
    <row r="866" spans="1:15" ht="15.95" customHeight="1" x14ac:dyDescent="0.2">
      <c r="B866" s="71">
        <v>440041</v>
      </c>
      <c r="C866" s="12" t="s">
        <v>0</v>
      </c>
      <c r="D866" s="2" t="s">
        <v>644</v>
      </c>
      <c r="E866" s="2" t="s">
        <v>935</v>
      </c>
      <c r="F866" s="1" t="s">
        <v>585</v>
      </c>
      <c r="G866" s="12" t="s">
        <v>33</v>
      </c>
      <c r="H866" s="23">
        <v>50.216666666666654</v>
      </c>
      <c r="I866" s="41">
        <f t="shared" si="26"/>
        <v>0.56000000000000005</v>
      </c>
      <c r="J866" s="44">
        <f t="shared" si="27"/>
        <v>22.095333333333325</v>
      </c>
      <c r="O866" s="225" t="s">
        <v>1325</v>
      </c>
    </row>
    <row r="867" spans="1:15" ht="15.95" customHeight="1" x14ac:dyDescent="0.2">
      <c r="B867" s="71">
        <v>240642</v>
      </c>
      <c r="C867" s="12" t="s">
        <v>0</v>
      </c>
      <c r="D867" s="2" t="s">
        <v>598</v>
      </c>
      <c r="E867" s="2" t="s">
        <v>935</v>
      </c>
      <c r="F867" s="1" t="s">
        <v>578</v>
      </c>
      <c r="G867" s="12" t="s">
        <v>33</v>
      </c>
      <c r="H867" s="23">
        <v>4.6079999999999997</v>
      </c>
      <c r="I867" s="41">
        <f t="shared" si="26"/>
        <v>0.56000000000000005</v>
      </c>
      <c r="J867" s="44">
        <f t="shared" si="27"/>
        <v>2.0275199999999995</v>
      </c>
      <c r="O867" s="223" t="s">
        <v>1326</v>
      </c>
    </row>
    <row r="868" spans="1:15" ht="15.95" customHeight="1" x14ac:dyDescent="0.2">
      <c r="B868" s="71">
        <v>240641</v>
      </c>
      <c r="C868" s="12" t="s">
        <v>0</v>
      </c>
      <c r="D868" s="2" t="s">
        <v>597</v>
      </c>
      <c r="E868" s="2" t="s">
        <v>935</v>
      </c>
      <c r="F868" s="1" t="s">
        <v>578</v>
      </c>
      <c r="G868" s="12" t="s">
        <v>33</v>
      </c>
      <c r="H868" s="23">
        <v>3.9839999999999995</v>
      </c>
      <c r="I868" s="41">
        <f t="shared" si="26"/>
        <v>0.56000000000000005</v>
      </c>
      <c r="J868" s="44">
        <f t="shared" si="27"/>
        <v>1.7529599999999994</v>
      </c>
      <c r="O868" s="225" t="s">
        <v>1330</v>
      </c>
    </row>
    <row r="869" spans="1:15" ht="15.95" customHeight="1" x14ac:dyDescent="0.2">
      <c r="A869" s="17"/>
      <c r="B869" s="77">
        <v>4001090</v>
      </c>
      <c r="C869" s="12" t="s">
        <v>0</v>
      </c>
      <c r="D869" s="3" t="s">
        <v>718</v>
      </c>
      <c r="E869" s="8" t="s">
        <v>579</v>
      </c>
      <c r="F869" s="8" t="s">
        <v>579</v>
      </c>
      <c r="G869" s="12" t="s">
        <v>46</v>
      </c>
      <c r="H869" s="23">
        <v>160.96153846153845</v>
      </c>
      <c r="I869" s="41">
        <f t="shared" si="26"/>
        <v>0.56000000000000005</v>
      </c>
      <c r="J869" s="44">
        <f t="shared" si="27"/>
        <v>70.823076923076911</v>
      </c>
      <c r="O869" s="223" t="s">
        <v>1327</v>
      </c>
    </row>
    <row r="870" spans="1:15" ht="15.95" customHeight="1" x14ac:dyDescent="0.2">
      <c r="B870" s="77">
        <v>4000703</v>
      </c>
      <c r="C870" s="12" t="s">
        <v>0</v>
      </c>
      <c r="D870" s="3" t="s">
        <v>720</v>
      </c>
      <c r="E870" s="8" t="s">
        <v>579</v>
      </c>
      <c r="F870" s="8" t="s">
        <v>579</v>
      </c>
      <c r="G870" s="12" t="s">
        <v>46</v>
      </c>
      <c r="H870" s="23">
        <v>181.73076923076923</v>
      </c>
      <c r="I870" s="41">
        <f t="shared" si="26"/>
        <v>0.56000000000000005</v>
      </c>
      <c r="J870" s="44">
        <f t="shared" si="27"/>
        <v>79.961538461538453</v>
      </c>
      <c r="O870" s="225" t="s">
        <v>1331</v>
      </c>
    </row>
    <row r="871" spans="1:15" ht="15.95" customHeight="1" x14ac:dyDescent="0.2">
      <c r="A871" s="17"/>
      <c r="B871" s="77">
        <v>4000702</v>
      </c>
      <c r="C871" s="12" t="s">
        <v>0</v>
      </c>
      <c r="D871" s="3" t="s">
        <v>719</v>
      </c>
      <c r="E871" s="8" t="s">
        <v>579</v>
      </c>
      <c r="F871" s="8" t="s">
        <v>579</v>
      </c>
      <c r="G871" s="12" t="s">
        <v>46</v>
      </c>
      <c r="H871" s="23">
        <v>116.82692307692308</v>
      </c>
      <c r="I871" s="41">
        <f t="shared" si="26"/>
        <v>0.56000000000000005</v>
      </c>
      <c r="J871" s="44">
        <f t="shared" si="27"/>
        <v>51.403846153846146</v>
      </c>
      <c r="O871" s="223" t="s">
        <v>1328</v>
      </c>
    </row>
    <row r="872" spans="1:15" ht="15.95" customHeight="1" x14ac:dyDescent="0.2">
      <c r="A872" s="17"/>
      <c r="B872" s="77">
        <v>4000640</v>
      </c>
      <c r="C872" s="12" t="s">
        <v>0</v>
      </c>
      <c r="D872" s="3" t="s">
        <v>716</v>
      </c>
      <c r="E872" s="8" t="s">
        <v>579</v>
      </c>
      <c r="F872" s="8" t="s">
        <v>579</v>
      </c>
      <c r="G872" s="12" t="s">
        <v>46</v>
      </c>
      <c r="H872" s="23">
        <v>1116.3461538461538</v>
      </c>
      <c r="I872" s="41">
        <f t="shared" si="26"/>
        <v>0.56000000000000005</v>
      </c>
      <c r="J872" s="44">
        <f t="shared" si="27"/>
        <v>491.19230769230762</v>
      </c>
      <c r="O872" s="225" t="s">
        <v>1332</v>
      </c>
    </row>
    <row r="873" spans="1:15" ht="15.95" customHeight="1" x14ac:dyDescent="0.2">
      <c r="B873" s="69">
        <v>4000614</v>
      </c>
      <c r="C873" s="12" t="s">
        <v>0</v>
      </c>
      <c r="D873" s="8" t="s">
        <v>712</v>
      </c>
      <c r="E873" s="8" t="s">
        <v>579</v>
      </c>
      <c r="F873" s="8" t="s">
        <v>579</v>
      </c>
      <c r="G873" s="12" t="s">
        <v>46</v>
      </c>
      <c r="H873" s="23">
        <v>368.65384615384619</v>
      </c>
      <c r="I873" s="41">
        <f t="shared" si="26"/>
        <v>0.56000000000000005</v>
      </c>
      <c r="J873" s="44">
        <f t="shared" si="27"/>
        <v>162.2076923076923</v>
      </c>
      <c r="O873" s="223" t="s">
        <v>1333</v>
      </c>
    </row>
    <row r="874" spans="1:15" ht="15.95" customHeight="1" x14ac:dyDescent="0.2">
      <c r="B874" s="69">
        <v>4000613</v>
      </c>
      <c r="C874" s="12" t="s">
        <v>0</v>
      </c>
      <c r="D874" s="8" t="s">
        <v>713</v>
      </c>
      <c r="E874" s="8" t="s">
        <v>579</v>
      </c>
      <c r="F874" s="8" t="s">
        <v>579</v>
      </c>
      <c r="G874" s="12" t="s">
        <v>46</v>
      </c>
      <c r="H874" s="23">
        <v>415.38461538461536</v>
      </c>
      <c r="I874" s="41">
        <f t="shared" si="26"/>
        <v>0.56000000000000005</v>
      </c>
      <c r="J874" s="44">
        <f t="shared" si="27"/>
        <v>182.76923076923075</v>
      </c>
      <c r="O874" s="225" t="s">
        <v>1334</v>
      </c>
    </row>
    <row r="875" spans="1:15" ht="15.95" customHeight="1" x14ac:dyDescent="0.2">
      <c r="A875" s="17"/>
      <c r="B875" s="69">
        <v>4000612</v>
      </c>
      <c r="C875" s="12" t="s">
        <v>0</v>
      </c>
      <c r="D875" s="8" t="s">
        <v>717</v>
      </c>
      <c r="E875" s="8" t="s">
        <v>579</v>
      </c>
      <c r="F875" s="8" t="s">
        <v>579</v>
      </c>
      <c r="G875" s="12" t="s">
        <v>46</v>
      </c>
      <c r="H875" s="23">
        <v>1298.0769230769231</v>
      </c>
      <c r="I875" s="41">
        <f t="shared" si="26"/>
        <v>0.56000000000000005</v>
      </c>
      <c r="J875" s="44">
        <f t="shared" si="27"/>
        <v>571.15384615384608</v>
      </c>
      <c r="O875" s="223" t="s">
        <v>1335</v>
      </c>
    </row>
    <row r="876" spans="1:15" ht="15.95" customHeight="1" x14ac:dyDescent="0.2">
      <c r="B876" s="69">
        <v>4000611</v>
      </c>
      <c r="C876" s="12" t="s">
        <v>0</v>
      </c>
      <c r="D876" s="8" t="s">
        <v>714</v>
      </c>
      <c r="E876" s="8" t="s">
        <v>579</v>
      </c>
      <c r="F876" s="8" t="s">
        <v>579</v>
      </c>
      <c r="G876" s="12" t="s">
        <v>46</v>
      </c>
      <c r="H876" s="23">
        <v>1375.9615384615383</v>
      </c>
      <c r="I876" s="41">
        <f t="shared" si="26"/>
        <v>0.56000000000000005</v>
      </c>
      <c r="J876" s="44">
        <f t="shared" si="27"/>
        <v>605.42307692307679</v>
      </c>
      <c r="O876" s="225" t="s">
        <v>1336</v>
      </c>
    </row>
    <row r="877" spans="1:15" ht="15.95" customHeight="1" x14ac:dyDescent="0.2">
      <c r="B877" s="69">
        <v>4000610</v>
      </c>
      <c r="C877" s="12" t="s">
        <v>0</v>
      </c>
      <c r="D877" s="8" t="s">
        <v>715</v>
      </c>
      <c r="E877" s="8" t="s">
        <v>579</v>
      </c>
      <c r="F877" s="8" t="s">
        <v>579</v>
      </c>
      <c r="G877" s="12" t="s">
        <v>46</v>
      </c>
      <c r="H877" s="23">
        <v>1713.4615384615386</v>
      </c>
      <c r="I877" s="41">
        <f t="shared" si="26"/>
        <v>0.56000000000000005</v>
      </c>
      <c r="J877" s="44">
        <f t="shared" si="27"/>
        <v>753.92307692307691</v>
      </c>
      <c r="O877" s="223" t="s">
        <v>1337</v>
      </c>
    </row>
    <row r="878" spans="1:15" ht="15.95" customHeight="1" x14ac:dyDescent="0.2">
      <c r="B878" s="70">
        <v>4000682</v>
      </c>
      <c r="C878" s="12" t="s">
        <v>0</v>
      </c>
      <c r="D878" s="8" t="s">
        <v>589</v>
      </c>
      <c r="E878" s="8" t="s">
        <v>590</v>
      </c>
      <c r="F878" s="8" t="s">
        <v>579</v>
      </c>
      <c r="G878" s="12" t="s">
        <v>46</v>
      </c>
      <c r="H878" s="23">
        <v>934.61538461538464</v>
      </c>
      <c r="I878" s="41">
        <f t="shared" si="26"/>
        <v>0.56000000000000005</v>
      </c>
      <c r="J878" s="44">
        <f t="shared" si="27"/>
        <v>411.23076923076917</v>
      </c>
      <c r="O878" s="225" t="s">
        <v>1338</v>
      </c>
    </row>
    <row r="879" spans="1:15" ht="15.95" customHeight="1" x14ac:dyDescent="0.2">
      <c r="O879" s="223" t="s">
        <v>1339</v>
      </c>
    </row>
    <row r="880" spans="1:15" ht="15.95" customHeight="1" x14ac:dyDescent="0.2">
      <c r="O880" s="225" t="s">
        <v>1340</v>
      </c>
    </row>
    <row r="881" spans="15:15" ht="15.95" customHeight="1" x14ac:dyDescent="0.2">
      <c r="O881" s="223" t="s">
        <v>1342</v>
      </c>
    </row>
    <row r="882" spans="15:15" ht="15.95" customHeight="1" x14ac:dyDescent="0.2">
      <c r="O882" s="225" t="s">
        <v>1344</v>
      </c>
    </row>
    <row r="883" spans="15:15" ht="15.95" customHeight="1" x14ac:dyDescent="0.2">
      <c r="O883" s="223" t="s">
        <v>1345</v>
      </c>
    </row>
    <row r="884" spans="15:15" ht="15.95" customHeight="1" x14ac:dyDescent="0.2">
      <c r="O884" s="225" t="s">
        <v>1347</v>
      </c>
    </row>
    <row r="885" spans="15:15" ht="15.95" customHeight="1" x14ac:dyDescent="0.2">
      <c r="O885" s="223" t="s">
        <v>1348</v>
      </c>
    </row>
    <row r="886" spans="15:15" ht="15.95" customHeight="1" x14ac:dyDescent="0.2">
      <c r="O886" s="225" t="s">
        <v>1350</v>
      </c>
    </row>
    <row r="887" spans="15:15" ht="15.95" customHeight="1" x14ac:dyDescent="0.2">
      <c r="O887" s="223" t="s">
        <v>1352</v>
      </c>
    </row>
    <row r="888" spans="15:15" ht="15.95" customHeight="1" x14ac:dyDescent="0.2">
      <c r="O888" s="225" t="s">
        <v>1353</v>
      </c>
    </row>
    <row r="889" spans="15:15" ht="15.95" customHeight="1" x14ac:dyDescent="0.2">
      <c r="O889" s="223" t="s">
        <v>1354</v>
      </c>
    </row>
    <row r="890" spans="15:15" ht="15.95" customHeight="1" x14ac:dyDescent="0.2">
      <c r="O890" s="225" t="s">
        <v>1359</v>
      </c>
    </row>
    <row r="891" spans="15:15" ht="15.95" customHeight="1" x14ac:dyDescent="0.2">
      <c r="O891" s="223" t="s">
        <v>1363</v>
      </c>
    </row>
    <row r="892" spans="15:15" ht="15.95" customHeight="1" x14ac:dyDescent="0.2">
      <c r="O892" s="225" t="s">
        <v>1364</v>
      </c>
    </row>
    <row r="893" spans="15:15" ht="15.95" customHeight="1" x14ac:dyDescent="0.2">
      <c r="O893" s="223" t="s">
        <v>1366</v>
      </c>
    </row>
    <row r="894" spans="15:15" ht="15.95" customHeight="1" x14ac:dyDescent="0.2">
      <c r="O894" s="225" t="s">
        <v>1375</v>
      </c>
    </row>
    <row r="895" spans="15:15" ht="15.95" customHeight="1" x14ac:dyDescent="0.2">
      <c r="O895" s="223" t="s">
        <v>1393</v>
      </c>
    </row>
    <row r="896" spans="15:15" ht="15.95" customHeight="1" x14ac:dyDescent="0.2">
      <c r="O896" s="225" t="s">
        <v>1060</v>
      </c>
    </row>
    <row r="897" spans="15:15" ht="15.95" customHeight="1" x14ac:dyDescent="0.2">
      <c r="O897" s="223" t="s">
        <v>979</v>
      </c>
    </row>
    <row r="898" spans="15:15" ht="15.95" customHeight="1" x14ac:dyDescent="0.2">
      <c r="O898" s="225">
        <v>571595</v>
      </c>
    </row>
    <row r="899" spans="15:15" ht="15.95" customHeight="1" x14ac:dyDescent="0.2">
      <c r="O899" s="223">
        <v>4000639</v>
      </c>
    </row>
    <row r="900" spans="15:15" ht="15.95" customHeight="1" x14ac:dyDescent="0.2">
      <c r="O900" s="225" t="s">
        <v>1310</v>
      </c>
    </row>
    <row r="901" spans="15:15" ht="15.95" customHeight="1" x14ac:dyDescent="0.2">
      <c r="O901" s="223" t="s">
        <v>1087</v>
      </c>
    </row>
    <row r="902" spans="15:15" ht="15.95" customHeight="1" x14ac:dyDescent="0.2">
      <c r="O902" s="225" t="s">
        <v>1083</v>
      </c>
    </row>
    <row r="903" spans="15:15" ht="15.95" customHeight="1" x14ac:dyDescent="0.2">
      <c r="O903" s="223" t="s">
        <v>1059</v>
      </c>
    </row>
    <row r="904" spans="15:15" ht="15.95" customHeight="1" x14ac:dyDescent="0.2">
      <c r="O904" s="225" t="s">
        <v>1061</v>
      </c>
    </row>
    <row r="905" spans="15:15" ht="15.95" customHeight="1" x14ac:dyDescent="0.2">
      <c r="O905" s="223" t="s">
        <v>1055</v>
      </c>
    </row>
    <row r="906" spans="15:15" ht="15.95" customHeight="1" x14ac:dyDescent="0.2">
      <c r="O906" s="225" t="s">
        <v>1051</v>
      </c>
    </row>
    <row r="907" spans="15:15" ht="15.95" customHeight="1" x14ac:dyDescent="0.2">
      <c r="O907" s="223" t="s">
        <v>1052</v>
      </c>
    </row>
    <row r="908" spans="15:15" ht="15.95" customHeight="1" x14ac:dyDescent="0.2">
      <c r="O908" s="225" t="s">
        <v>1005</v>
      </c>
    </row>
    <row r="909" spans="15:15" ht="15.95" customHeight="1" x14ac:dyDescent="0.2">
      <c r="O909" s="223" t="s">
        <v>1045</v>
      </c>
    </row>
    <row r="910" spans="15:15" ht="15.95" customHeight="1" x14ac:dyDescent="0.2">
      <c r="O910" s="225" t="s">
        <v>1046</v>
      </c>
    </row>
    <row r="911" spans="15:15" ht="15.95" customHeight="1" x14ac:dyDescent="0.2">
      <c r="O911" s="223" t="s">
        <v>1708</v>
      </c>
    </row>
    <row r="912" spans="15:15" ht="15.95" customHeight="1" x14ac:dyDescent="0.2">
      <c r="O912" s="225" t="s">
        <v>1666</v>
      </c>
    </row>
    <row r="913" spans="15:15" ht="15.95" customHeight="1" x14ac:dyDescent="0.2">
      <c r="O913" s="223" t="s">
        <v>1692</v>
      </c>
    </row>
    <row r="914" spans="15:15" ht="15.95" customHeight="1" x14ac:dyDescent="0.2">
      <c r="O914" s="225" t="s">
        <v>1662</v>
      </c>
    </row>
    <row r="915" spans="15:15" ht="15.95" customHeight="1" x14ac:dyDescent="0.2">
      <c r="O915" s="223" t="s">
        <v>1675</v>
      </c>
    </row>
    <row r="916" spans="15:15" ht="15.95" customHeight="1" x14ac:dyDescent="0.2">
      <c r="O916" s="225" t="s">
        <v>1684</v>
      </c>
    </row>
    <row r="917" spans="15:15" ht="15.95" customHeight="1" x14ac:dyDescent="0.2">
      <c r="O917" s="223" t="s">
        <v>1652</v>
      </c>
    </row>
    <row r="918" spans="15:15" ht="15.95" customHeight="1" x14ac:dyDescent="0.2">
      <c r="O918" s="225" t="s">
        <v>1780</v>
      </c>
    </row>
    <row r="919" spans="15:15" ht="15.95" customHeight="1" x14ac:dyDescent="0.2">
      <c r="O919" s="223" t="s">
        <v>1759</v>
      </c>
    </row>
    <row r="920" spans="15:15" ht="15.95" customHeight="1" x14ac:dyDescent="0.2">
      <c r="O920" s="225" t="s">
        <v>1802</v>
      </c>
    </row>
    <row r="921" spans="15:15" ht="15.95" customHeight="1" x14ac:dyDescent="0.2">
      <c r="O921" s="223" t="s">
        <v>1658</v>
      </c>
    </row>
    <row r="922" spans="15:15" ht="15.95" customHeight="1" x14ac:dyDescent="0.2">
      <c r="O922" s="225" t="s">
        <v>1602</v>
      </c>
    </row>
    <row r="923" spans="15:15" ht="15.95" customHeight="1" x14ac:dyDescent="0.2">
      <c r="O923" s="223" t="s">
        <v>1621</v>
      </c>
    </row>
    <row r="924" spans="15:15" ht="15.95" customHeight="1" x14ac:dyDescent="0.2">
      <c r="O924" s="225" t="s">
        <v>1644</v>
      </c>
    </row>
    <row r="925" spans="15:15" ht="15.95" customHeight="1" x14ac:dyDescent="0.2">
      <c r="O925" s="223" t="s">
        <v>1636</v>
      </c>
    </row>
    <row r="926" spans="15:15" ht="15.95" customHeight="1" x14ac:dyDescent="0.2">
      <c r="O926" s="225" t="s">
        <v>1646</v>
      </c>
    </row>
    <row r="927" spans="15:15" ht="15.95" customHeight="1" x14ac:dyDescent="0.2">
      <c r="O927" s="223" t="s">
        <v>1603</v>
      </c>
    </row>
    <row r="928" spans="15:15" ht="15.95" customHeight="1" x14ac:dyDescent="0.2">
      <c r="O928" s="225" t="s">
        <v>1691</v>
      </c>
    </row>
    <row r="929" spans="15:15" ht="15.95" customHeight="1" x14ac:dyDescent="0.2">
      <c r="O929" s="223" t="s">
        <v>1648</v>
      </c>
    </row>
    <row r="930" spans="15:15" ht="15.95" customHeight="1" x14ac:dyDescent="0.2">
      <c r="O930" s="225" t="s">
        <v>1612</v>
      </c>
    </row>
    <row r="931" spans="15:15" ht="15.95" customHeight="1" x14ac:dyDescent="0.2">
      <c r="O931" s="223" t="s">
        <v>1614</v>
      </c>
    </row>
    <row r="932" spans="15:15" ht="15.95" customHeight="1" x14ac:dyDescent="0.2">
      <c r="O932" s="225" t="s">
        <v>1669</v>
      </c>
    </row>
    <row r="933" spans="15:15" ht="15.95" customHeight="1" x14ac:dyDescent="0.2">
      <c r="O933" s="223" t="s">
        <v>1568</v>
      </c>
    </row>
    <row r="934" spans="15:15" ht="15.95" customHeight="1" x14ac:dyDescent="0.2">
      <c r="O934" s="225" t="s">
        <v>1613</v>
      </c>
    </row>
    <row r="935" spans="15:15" ht="15.95" customHeight="1" x14ac:dyDescent="0.2">
      <c r="O935" s="223" t="s">
        <v>1615</v>
      </c>
    </row>
    <row r="936" spans="15:15" ht="15.95" customHeight="1" x14ac:dyDescent="0.2">
      <c r="O936" s="225" t="s">
        <v>1674</v>
      </c>
    </row>
    <row r="937" spans="15:15" ht="15.95" customHeight="1" x14ac:dyDescent="0.2">
      <c r="O937" s="223" t="s">
        <v>1638</v>
      </c>
    </row>
    <row r="938" spans="15:15" ht="15.95" customHeight="1" x14ac:dyDescent="0.2">
      <c r="O938" s="225" t="s">
        <v>1719</v>
      </c>
    </row>
    <row r="939" spans="15:15" ht="15.95" customHeight="1" x14ac:dyDescent="0.2">
      <c r="O939" s="223" t="s">
        <v>1763</v>
      </c>
    </row>
    <row r="940" spans="15:15" ht="15.95" customHeight="1" x14ac:dyDescent="0.2">
      <c r="O940" s="225" t="s">
        <v>1693</v>
      </c>
    </row>
    <row r="941" spans="15:15" ht="15.95" customHeight="1" x14ac:dyDescent="0.2">
      <c r="O941" s="223" t="s">
        <v>1668</v>
      </c>
    </row>
    <row r="942" spans="15:15" ht="15.95" customHeight="1" x14ac:dyDescent="0.2">
      <c r="O942" s="225" t="s">
        <v>1755</v>
      </c>
    </row>
    <row r="943" spans="15:15" ht="15.95" customHeight="1" x14ac:dyDescent="0.2">
      <c r="O943" s="223" t="s">
        <v>1543</v>
      </c>
    </row>
    <row r="944" spans="15:15" ht="15.95" customHeight="1" x14ac:dyDescent="0.2">
      <c r="O944" s="225" t="s">
        <v>1557</v>
      </c>
    </row>
    <row r="945" spans="15:15" ht="15.95" customHeight="1" x14ac:dyDescent="0.2">
      <c r="O945" s="223" t="s">
        <v>1623</v>
      </c>
    </row>
    <row r="946" spans="15:15" ht="15.95" customHeight="1" x14ac:dyDescent="0.2">
      <c r="O946" s="225" t="s">
        <v>1757</v>
      </c>
    </row>
    <row r="947" spans="15:15" ht="15.95" customHeight="1" x14ac:dyDescent="0.2">
      <c r="O947" s="223" t="s">
        <v>1751</v>
      </c>
    </row>
    <row r="948" spans="15:15" ht="15.95" customHeight="1" x14ac:dyDescent="0.2">
      <c r="O948" s="225" t="s">
        <v>2156</v>
      </c>
    </row>
    <row r="949" spans="15:15" ht="15.95" customHeight="1" x14ac:dyDescent="0.2">
      <c r="O949" s="223" t="s">
        <v>1770</v>
      </c>
    </row>
    <row r="950" spans="15:15" ht="15.95" customHeight="1" x14ac:dyDescent="0.2">
      <c r="O950" s="225" t="s">
        <v>1725</v>
      </c>
    </row>
    <row r="951" spans="15:15" ht="15.95" customHeight="1" x14ac:dyDescent="0.2">
      <c r="O951" s="223" t="s">
        <v>1794</v>
      </c>
    </row>
    <row r="952" spans="15:15" ht="15.95" customHeight="1" x14ac:dyDescent="0.2">
      <c r="O952" s="225" t="s">
        <v>1608</v>
      </c>
    </row>
    <row r="953" spans="15:15" ht="15.95" customHeight="1" x14ac:dyDescent="0.2">
      <c r="O953" s="223" t="s">
        <v>1628</v>
      </c>
    </row>
    <row r="954" spans="15:15" ht="15.95" customHeight="1" x14ac:dyDescent="0.2">
      <c r="O954" s="225" t="s">
        <v>1618</v>
      </c>
    </row>
    <row r="955" spans="15:15" ht="15.95" customHeight="1" x14ac:dyDescent="0.2">
      <c r="O955" s="223" t="s">
        <v>1641</v>
      </c>
    </row>
    <row r="956" spans="15:15" ht="15.95" customHeight="1" x14ac:dyDescent="0.2">
      <c r="O956" s="225" t="s">
        <v>1655</v>
      </c>
    </row>
    <row r="957" spans="15:15" ht="15.95" customHeight="1" x14ac:dyDescent="0.2">
      <c r="O957" s="223" t="s">
        <v>1798</v>
      </c>
    </row>
    <row r="958" spans="15:15" ht="15.95" customHeight="1" x14ac:dyDescent="0.2">
      <c r="O958" s="225" t="s">
        <v>1749</v>
      </c>
    </row>
    <row r="959" spans="15:15" ht="15.95" customHeight="1" x14ac:dyDescent="0.2">
      <c r="O959" s="223" t="s">
        <v>1624</v>
      </c>
    </row>
    <row r="960" spans="15:15" ht="15.95" customHeight="1" x14ac:dyDescent="0.2">
      <c r="O960" s="225" t="s">
        <v>1657</v>
      </c>
    </row>
    <row r="961" spans="15:15" ht="15.95" customHeight="1" x14ac:dyDescent="0.2">
      <c r="O961" s="223" t="s">
        <v>1632</v>
      </c>
    </row>
    <row r="962" spans="15:15" ht="15.95" customHeight="1" x14ac:dyDescent="0.2">
      <c r="O962" s="225" t="s">
        <v>1597</v>
      </c>
    </row>
    <row r="963" spans="15:15" ht="15.95" customHeight="1" x14ac:dyDescent="0.2">
      <c r="O963" s="223" t="s">
        <v>1804</v>
      </c>
    </row>
    <row r="964" spans="15:15" ht="15.95" customHeight="1" x14ac:dyDescent="0.2">
      <c r="O964" s="225" t="s">
        <v>1813</v>
      </c>
    </row>
    <row r="965" spans="15:15" ht="15.95" customHeight="1" x14ac:dyDescent="0.2">
      <c r="O965" s="223" t="s">
        <v>1756</v>
      </c>
    </row>
    <row r="966" spans="15:15" ht="15.95" customHeight="1" x14ac:dyDescent="0.2">
      <c r="O966" s="225" t="s">
        <v>1764</v>
      </c>
    </row>
    <row r="967" spans="15:15" ht="15.95" customHeight="1" x14ac:dyDescent="0.2">
      <c r="O967" s="223" t="s">
        <v>1649</v>
      </c>
    </row>
    <row r="968" spans="15:15" ht="15.95" customHeight="1" x14ac:dyDescent="0.2">
      <c r="O968" s="225" t="s">
        <v>1695</v>
      </c>
    </row>
    <row r="969" spans="15:15" ht="15.95" customHeight="1" x14ac:dyDescent="0.2">
      <c r="O969" s="223" t="s">
        <v>1747</v>
      </c>
    </row>
    <row r="970" spans="15:15" ht="15.95" customHeight="1" x14ac:dyDescent="0.2">
      <c r="O970" s="225" t="s">
        <v>1709</v>
      </c>
    </row>
    <row r="971" spans="15:15" ht="15.95" customHeight="1" x14ac:dyDescent="0.2">
      <c r="O971" s="223" t="s">
        <v>1712</v>
      </c>
    </row>
    <row r="972" spans="15:15" ht="15.95" customHeight="1" x14ac:dyDescent="0.2">
      <c r="O972" s="225" t="s">
        <v>1686</v>
      </c>
    </row>
    <row r="973" spans="15:15" ht="15.95" customHeight="1" x14ac:dyDescent="0.2">
      <c r="O973" s="223" t="s">
        <v>1671</v>
      </c>
    </row>
    <row r="974" spans="15:15" ht="15.95" customHeight="1" x14ac:dyDescent="0.2">
      <c r="O974" s="225" t="s">
        <v>1731</v>
      </c>
    </row>
    <row r="975" spans="15:15" ht="15.95" customHeight="1" x14ac:dyDescent="0.2">
      <c r="O975" s="223" t="s">
        <v>1727</v>
      </c>
    </row>
    <row r="976" spans="15:15" ht="15.95" customHeight="1" x14ac:dyDescent="0.2">
      <c r="O976" s="225" t="s">
        <v>1699</v>
      </c>
    </row>
    <row r="977" spans="15:15" ht="15.95" customHeight="1" x14ac:dyDescent="0.2">
      <c r="O977" s="223" t="s">
        <v>1768</v>
      </c>
    </row>
    <row r="978" spans="15:15" ht="15.95" customHeight="1" x14ac:dyDescent="0.2">
      <c r="O978" s="225" t="s">
        <v>1711</v>
      </c>
    </row>
    <row r="979" spans="15:15" ht="15.95" customHeight="1" x14ac:dyDescent="0.2">
      <c r="O979" s="223" t="s">
        <v>1766</v>
      </c>
    </row>
    <row r="980" spans="15:15" ht="15.95" customHeight="1" x14ac:dyDescent="0.2">
      <c r="O980" s="225" t="s">
        <v>1654</v>
      </c>
    </row>
    <row r="981" spans="15:15" ht="15.95" customHeight="1" x14ac:dyDescent="0.2">
      <c r="O981" s="223" t="s">
        <v>1769</v>
      </c>
    </row>
    <row r="982" spans="15:15" ht="15.95" customHeight="1" x14ac:dyDescent="0.2">
      <c r="O982" s="225" t="s">
        <v>1792</v>
      </c>
    </row>
    <row r="983" spans="15:15" ht="15.95" customHeight="1" x14ac:dyDescent="0.2">
      <c r="O983" s="223" t="s">
        <v>1703</v>
      </c>
    </row>
    <row r="984" spans="15:15" ht="15.95" customHeight="1" x14ac:dyDescent="0.2">
      <c r="O984" s="225" t="s">
        <v>1774</v>
      </c>
    </row>
    <row r="985" spans="15:15" ht="15.95" customHeight="1" x14ac:dyDescent="0.2">
      <c r="O985" s="223" t="s">
        <v>1721</v>
      </c>
    </row>
    <row r="986" spans="15:15" ht="15.95" customHeight="1" x14ac:dyDescent="0.2">
      <c r="O986" s="225" t="s">
        <v>1762</v>
      </c>
    </row>
    <row r="987" spans="15:15" ht="15.95" customHeight="1" x14ac:dyDescent="0.2">
      <c r="O987" s="223" t="s">
        <v>1667</v>
      </c>
    </row>
    <row r="988" spans="15:15" ht="15.95" customHeight="1" x14ac:dyDescent="0.2">
      <c r="O988" s="225" t="s">
        <v>1640</v>
      </c>
    </row>
    <row r="989" spans="15:15" ht="15.95" customHeight="1" x14ac:dyDescent="0.2">
      <c r="O989" s="223" t="s">
        <v>1791</v>
      </c>
    </row>
    <row r="990" spans="15:15" ht="15.95" customHeight="1" x14ac:dyDescent="0.2">
      <c r="O990" s="225" t="s">
        <v>1706</v>
      </c>
    </row>
    <row r="991" spans="15:15" ht="15.95" customHeight="1" x14ac:dyDescent="0.2">
      <c r="O991" s="223" t="s">
        <v>1620</v>
      </c>
    </row>
    <row r="992" spans="15:15" ht="15.95" customHeight="1" x14ac:dyDescent="0.2">
      <c r="O992" s="225" t="s">
        <v>1687</v>
      </c>
    </row>
    <row r="993" spans="15:15" ht="15.95" customHeight="1" x14ac:dyDescent="0.2">
      <c r="O993" s="223" t="s">
        <v>1645</v>
      </c>
    </row>
    <row r="994" spans="15:15" ht="15.95" customHeight="1" x14ac:dyDescent="0.2">
      <c r="O994" s="225" t="s">
        <v>1723</v>
      </c>
    </row>
    <row r="995" spans="15:15" ht="15.95" customHeight="1" x14ac:dyDescent="0.2">
      <c r="O995" s="223" t="s">
        <v>1679</v>
      </c>
    </row>
    <row r="996" spans="15:15" ht="15.95" customHeight="1" x14ac:dyDescent="0.2">
      <c r="O996" s="225" t="s">
        <v>1787</v>
      </c>
    </row>
    <row r="997" spans="15:15" ht="15.95" customHeight="1" x14ac:dyDescent="0.2">
      <c r="O997" s="223" t="s">
        <v>1720</v>
      </c>
    </row>
    <row r="998" spans="15:15" ht="15.95" customHeight="1" x14ac:dyDescent="0.2">
      <c r="O998" s="225" t="s">
        <v>1688</v>
      </c>
    </row>
    <row r="999" spans="15:15" ht="15.95" customHeight="1" x14ac:dyDescent="0.2">
      <c r="O999" s="223" t="s">
        <v>1670</v>
      </c>
    </row>
    <row r="1000" spans="15:15" ht="15.95" customHeight="1" x14ac:dyDescent="0.2">
      <c r="O1000" s="225" t="s">
        <v>1696</v>
      </c>
    </row>
    <row r="1001" spans="15:15" ht="15.95" customHeight="1" x14ac:dyDescent="0.2">
      <c r="O1001" s="223" t="s">
        <v>1617</v>
      </c>
    </row>
    <row r="1002" spans="15:15" ht="15.95" customHeight="1" x14ac:dyDescent="0.2">
      <c r="O1002" s="225" t="s">
        <v>1685</v>
      </c>
    </row>
    <row r="1003" spans="15:15" ht="15.95" customHeight="1" x14ac:dyDescent="0.2">
      <c r="O1003" s="223" t="s">
        <v>1683</v>
      </c>
    </row>
    <row r="1004" spans="15:15" ht="15.95" customHeight="1" x14ac:dyDescent="0.2">
      <c r="O1004" s="225" t="s">
        <v>1633</v>
      </c>
    </row>
    <row r="1005" spans="15:15" ht="15.95" customHeight="1" x14ac:dyDescent="0.2">
      <c r="O1005" s="223" t="s">
        <v>1643</v>
      </c>
    </row>
    <row r="1006" spans="15:15" ht="15.95" customHeight="1" x14ac:dyDescent="0.2">
      <c r="O1006" s="225" t="s">
        <v>1715</v>
      </c>
    </row>
    <row r="1007" spans="15:15" ht="15.95" customHeight="1" x14ac:dyDescent="0.2">
      <c r="O1007" s="223" t="s">
        <v>1722</v>
      </c>
    </row>
    <row r="1008" spans="15:15" ht="15.95" customHeight="1" x14ac:dyDescent="0.2">
      <c r="O1008" s="225" t="s">
        <v>1742</v>
      </c>
    </row>
    <row r="1009" spans="15:15" ht="15.95" customHeight="1" x14ac:dyDescent="0.2">
      <c r="O1009" s="223" t="s">
        <v>1765</v>
      </c>
    </row>
    <row r="1010" spans="15:15" ht="15.95" customHeight="1" x14ac:dyDescent="0.2">
      <c r="O1010" s="225" t="s">
        <v>1778</v>
      </c>
    </row>
    <row r="1011" spans="15:15" ht="15.95" customHeight="1" x14ac:dyDescent="0.2">
      <c r="O1011" s="223" t="s">
        <v>1789</v>
      </c>
    </row>
    <row r="1012" spans="15:15" ht="15.95" customHeight="1" x14ac:dyDescent="0.2">
      <c r="O1012" s="225" t="s">
        <v>1605</v>
      </c>
    </row>
    <row r="1013" spans="15:15" ht="15.95" customHeight="1" x14ac:dyDescent="0.2">
      <c r="O1013" s="223" t="s">
        <v>1606</v>
      </c>
    </row>
    <row r="1014" spans="15:15" ht="15.95" customHeight="1" x14ac:dyDescent="0.2">
      <c r="O1014" s="225" t="s">
        <v>1609</v>
      </c>
    </row>
    <row r="1015" spans="15:15" ht="15.95" customHeight="1" x14ac:dyDescent="0.2">
      <c r="O1015" s="223" t="s">
        <v>1610</v>
      </c>
    </row>
    <row r="1016" spans="15:15" ht="15.95" customHeight="1" x14ac:dyDescent="0.2">
      <c r="O1016" s="225" t="s">
        <v>1743</v>
      </c>
    </row>
    <row r="1017" spans="15:15" ht="15.95" customHeight="1" x14ac:dyDescent="0.2">
      <c r="O1017" s="223" t="s">
        <v>1744</v>
      </c>
    </row>
    <row r="1018" spans="15:15" ht="15.95" customHeight="1" x14ac:dyDescent="0.2">
      <c r="O1018" s="225" t="s">
        <v>1775</v>
      </c>
    </row>
    <row r="1019" spans="15:15" ht="15.95" customHeight="1" x14ac:dyDescent="0.2">
      <c r="O1019" s="223" t="s">
        <v>1781</v>
      </c>
    </row>
    <row r="1020" spans="15:15" ht="15.95" customHeight="1" x14ac:dyDescent="0.2">
      <c r="O1020" s="225" t="s">
        <v>1809</v>
      </c>
    </row>
    <row r="1021" spans="15:15" ht="15.95" customHeight="1" x14ac:dyDescent="0.2">
      <c r="O1021" s="223" t="s">
        <v>993</v>
      </c>
    </row>
    <row r="1022" spans="15:15" ht="15.95" customHeight="1" x14ac:dyDescent="0.2">
      <c r="O1022" s="225" t="s">
        <v>1733</v>
      </c>
    </row>
    <row r="1023" spans="15:15" ht="15.95" customHeight="1" x14ac:dyDescent="0.2">
      <c r="O1023" s="223" t="s">
        <v>1754</v>
      </c>
    </row>
    <row r="1024" spans="15:15" ht="15.95" customHeight="1" x14ac:dyDescent="0.2">
      <c r="O1024" s="225" t="s">
        <v>1604</v>
      </c>
    </row>
    <row r="1025" spans="15:15" ht="15.95" customHeight="1" x14ac:dyDescent="0.2">
      <c r="O1025" s="223" t="s">
        <v>1629</v>
      </c>
    </row>
    <row r="1026" spans="15:15" ht="15.95" customHeight="1" x14ac:dyDescent="0.2">
      <c r="O1026" s="225" t="s">
        <v>1710</v>
      </c>
    </row>
    <row r="1027" spans="15:15" ht="15.95" customHeight="1" x14ac:dyDescent="0.2">
      <c r="O1027" s="223" t="s">
        <v>1718</v>
      </c>
    </row>
    <row r="1028" spans="15:15" ht="15.95" customHeight="1" x14ac:dyDescent="0.2">
      <c r="O1028" s="225" t="s">
        <v>1639</v>
      </c>
    </row>
    <row r="1029" spans="15:15" ht="15.95" customHeight="1" x14ac:dyDescent="0.2">
      <c r="O1029" s="223" t="s">
        <v>1642</v>
      </c>
    </row>
    <row r="1030" spans="15:15" ht="15.95" customHeight="1" x14ac:dyDescent="0.2">
      <c r="O1030" s="225" t="s">
        <v>1653</v>
      </c>
    </row>
    <row r="1031" spans="15:15" ht="15.95" customHeight="1" x14ac:dyDescent="0.2">
      <c r="O1031" s="223" t="s">
        <v>1591</v>
      </c>
    </row>
    <row r="1032" spans="15:15" ht="15.95" customHeight="1" x14ac:dyDescent="0.2">
      <c r="O1032" s="225" t="s">
        <v>1596</v>
      </c>
    </row>
    <row r="1033" spans="15:15" ht="15.95" customHeight="1" x14ac:dyDescent="0.2">
      <c r="O1033" s="223" t="s">
        <v>1599</v>
      </c>
    </row>
    <row r="1034" spans="15:15" ht="15.95" customHeight="1" x14ac:dyDescent="0.2">
      <c r="O1034" s="225" t="s">
        <v>1724</v>
      </c>
    </row>
    <row r="1035" spans="15:15" ht="15.95" customHeight="1" x14ac:dyDescent="0.2">
      <c r="O1035" s="223" t="s">
        <v>1748</v>
      </c>
    </row>
    <row r="1036" spans="15:15" ht="15.95" customHeight="1" x14ac:dyDescent="0.2">
      <c r="O1036" s="225" t="s">
        <v>1793</v>
      </c>
    </row>
    <row r="1037" spans="15:15" ht="15.95" customHeight="1" x14ac:dyDescent="0.2">
      <c r="O1037" s="223" t="s">
        <v>1627</v>
      </c>
    </row>
    <row r="1038" spans="15:15" ht="15.95" customHeight="1" x14ac:dyDescent="0.2">
      <c r="O1038" s="225" t="s">
        <v>1663</v>
      </c>
    </row>
    <row r="1039" spans="15:15" ht="15.95" customHeight="1" x14ac:dyDescent="0.2">
      <c r="O1039" s="223" t="s">
        <v>1704</v>
      </c>
    </row>
    <row r="1040" spans="15:15" ht="15.95" customHeight="1" x14ac:dyDescent="0.2">
      <c r="O1040" s="225" t="s">
        <v>1729</v>
      </c>
    </row>
    <row r="1041" spans="15:15" ht="15.95" customHeight="1" x14ac:dyDescent="0.2">
      <c r="O1041" s="223" t="s">
        <v>1734</v>
      </c>
    </row>
    <row r="1042" spans="15:15" ht="15.95" customHeight="1" x14ac:dyDescent="0.2">
      <c r="O1042" s="225" t="s">
        <v>1752</v>
      </c>
    </row>
    <row r="1043" spans="15:15" ht="15.95" customHeight="1" x14ac:dyDescent="0.2">
      <c r="O1043" s="223" t="s">
        <v>1773</v>
      </c>
    </row>
    <row r="1044" spans="15:15" ht="15.95" customHeight="1" x14ac:dyDescent="0.2">
      <c r="O1044" s="225" t="s">
        <v>1784</v>
      </c>
    </row>
    <row r="1045" spans="15:15" ht="15.95" customHeight="1" x14ac:dyDescent="0.2">
      <c r="O1045" s="223" t="s">
        <v>1795</v>
      </c>
    </row>
    <row r="1046" spans="15:15" ht="15.95" customHeight="1" x14ac:dyDescent="0.2">
      <c r="O1046" s="225" t="s">
        <v>1758</v>
      </c>
    </row>
    <row r="1047" spans="15:15" ht="15.95" customHeight="1" x14ac:dyDescent="0.2">
      <c r="O1047" s="223" t="s">
        <v>1772</v>
      </c>
    </row>
    <row r="1048" spans="15:15" ht="15.95" customHeight="1" x14ac:dyDescent="0.2">
      <c r="O1048" s="225" t="s">
        <v>1783</v>
      </c>
    </row>
    <row r="1049" spans="15:15" ht="15.95" customHeight="1" x14ac:dyDescent="0.2">
      <c r="O1049" s="223" t="s">
        <v>1788</v>
      </c>
    </row>
    <row r="1050" spans="15:15" ht="15.95" customHeight="1" x14ac:dyDescent="0.2">
      <c r="O1050" s="225" t="s">
        <v>1586</v>
      </c>
    </row>
    <row r="1051" spans="15:15" ht="15.95" customHeight="1" x14ac:dyDescent="0.2">
      <c r="O1051" s="223" t="s">
        <v>1705</v>
      </c>
    </row>
    <row r="1052" spans="15:15" ht="15.95" customHeight="1" x14ac:dyDescent="0.2">
      <c r="O1052" s="225" t="s">
        <v>1714</v>
      </c>
    </row>
    <row r="1053" spans="15:15" ht="15.95" customHeight="1" x14ac:dyDescent="0.2">
      <c r="O1053" s="223" t="s">
        <v>1726</v>
      </c>
    </row>
    <row r="1054" spans="15:15" ht="15.95" customHeight="1" x14ac:dyDescent="0.2">
      <c r="O1054" s="225" t="s">
        <v>1736</v>
      </c>
    </row>
    <row r="1055" spans="15:15" ht="15.95" customHeight="1" x14ac:dyDescent="0.2">
      <c r="O1055" s="223" t="s">
        <v>1538</v>
      </c>
    </row>
    <row r="1056" spans="15:15" ht="15.95" customHeight="1" x14ac:dyDescent="0.2">
      <c r="O1056" s="225" t="s">
        <v>1539</v>
      </c>
    </row>
    <row r="1057" spans="15:15" ht="15.95" customHeight="1" x14ac:dyDescent="0.2">
      <c r="O1057" s="223" t="s">
        <v>1817</v>
      </c>
    </row>
    <row r="1058" spans="15:15" ht="15.95" customHeight="1" x14ac:dyDescent="0.2">
      <c r="O1058" s="225" t="s">
        <v>1807</v>
      </c>
    </row>
    <row r="1059" spans="15:15" ht="15.95" customHeight="1" x14ac:dyDescent="0.2">
      <c r="O1059" s="223" t="s">
        <v>1672</v>
      </c>
    </row>
    <row r="1060" spans="15:15" ht="15.95" customHeight="1" x14ac:dyDescent="0.2">
      <c r="O1060" s="225" t="s">
        <v>1619</v>
      </c>
    </row>
    <row r="1061" spans="15:15" ht="15.95" customHeight="1" x14ac:dyDescent="0.2">
      <c r="O1061" s="223" t="s">
        <v>1767</v>
      </c>
    </row>
    <row r="1062" spans="15:15" ht="15.95" customHeight="1" x14ac:dyDescent="0.2">
      <c r="O1062" s="225" t="s">
        <v>1800</v>
      </c>
    </row>
    <row r="1063" spans="15:15" ht="15.95" customHeight="1" x14ac:dyDescent="0.2">
      <c r="O1063" s="223" t="s">
        <v>1815</v>
      </c>
    </row>
    <row r="1064" spans="15:15" ht="15.95" customHeight="1" x14ac:dyDescent="0.2">
      <c r="O1064" s="225" t="s">
        <v>1690</v>
      </c>
    </row>
    <row r="1065" spans="15:15" ht="15.95" customHeight="1" x14ac:dyDescent="0.2">
      <c r="O1065" s="223" t="s">
        <v>1680</v>
      </c>
    </row>
    <row r="1066" spans="15:15" ht="15.95" customHeight="1" x14ac:dyDescent="0.2">
      <c r="O1066" s="225" t="s">
        <v>1812</v>
      </c>
    </row>
    <row r="1067" spans="15:15" ht="15.95" customHeight="1" x14ac:dyDescent="0.2">
      <c r="O1067" s="223" t="s">
        <v>1616</v>
      </c>
    </row>
    <row r="1068" spans="15:15" ht="15.95" customHeight="1" x14ac:dyDescent="0.2">
      <c r="O1068" s="225" t="s">
        <v>1682</v>
      </c>
    </row>
    <row r="1069" spans="15:15" ht="15.95" customHeight="1" x14ac:dyDescent="0.2">
      <c r="O1069" s="223" t="s">
        <v>1776</v>
      </c>
    </row>
    <row r="1070" spans="15:15" ht="15.95" customHeight="1" x14ac:dyDescent="0.2">
      <c r="O1070" s="225" t="s">
        <v>1730</v>
      </c>
    </row>
    <row r="1071" spans="15:15" ht="15.95" customHeight="1" x14ac:dyDescent="0.2">
      <c r="O1071" s="223" t="s">
        <v>1563</v>
      </c>
    </row>
    <row r="1072" spans="15:15" ht="15.95" customHeight="1" x14ac:dyDescent="0.2">
      <c r="O1072" s="225" t="s">
        <v>1661</v>
      </c>
    </row>
    <row r="1073" spans="15:15" ht="15.95" customHeight="1" x14ac:dyDescent="0.2">
      <c r="O1073" s="223" t="s">
        <v>1689</v>
      </c>
    </row>
    <row r="1074" spans="15:15" ht="15.95" customHeight="1" x14ac:dyDescent="0.2">
      <c r="O1074" s="225" t="s">
        <v>1717</v>
      </c>
    </row>
    <row r="1075" spans="15:15" ht="15.95" customHeight="1" x14ac:dyDescent="0.2">
      <c r="O1075" s="223" t="s">
        <v>1803</v>
      </c>
    </row>
    <row r="1076" spans="15:15" ht="15.95" customHeight="1" x14ac:dyDescent="0.2">
      <c r="O1076" s="225" t="s">
        <v>1806</v>
      </c>
    </row>
    <row r="1077" spans="15:15" ht="15.95" customHeight="1" x14ac:dyDescent="0.2">
      <c r="O1077" s="223" t="s">
        <v>1818</v>
      </c>
    </row>
    <row r="1078" spans="15:15" ht="15.95" customHeight="1" x14ac:dyDescent="0.2">
      <c r="O1078" s="225" t="s">
        <v>1805</v>
      </c>
    </row>
    <row r="1079" spans="15:15" ht="15.95" customHeight="1" x14ac:dyDescent="0.2">
      <c r="O1079" s="223" t="s">
        <v>1664</v>
      </c>
    </row>
    <row r="1080" spans="15:15" ht="15.95" customHeight="1" x14ac:dyDescent="0.2">
      <c r="O1080" s="225" t="s">
        <v>1650</v>
      </c>
    </row>
    <row r="1081" spans="15:15" ht="15.95" customHeight="1" x14ac:dyDescent="0.2">
      <c r="O1081" s="223" t="s">
        <v>1697</v>
      </c>
    </row>
    <row r="1082" spans="15:15" ht="15.95" customHeight="1" x14ac:dyDescent="0.2">
      <c r="O1082" s="225" t="s">
        <v>1782</v>
      </c>
    </row>
    <row r="1083" spans="15:15" ht="15.95" customHeight="1" x14ac:dyDescent="0.2">
      <c r="O1083" s="223" t="s">
        <v>1700</v>
      </c>
    </row>
    <row r="1084" spans="15:15" ht="15.95" customHeight="1" x14ac:dyDescent="0.2">
      <c r="O1084" s="225" t="s">
        <v>1630</v>
      </c>
    </row>
    <row r="1085" spans="15:15" ht="15.95" customHeight="1" x14ac:dyDescent="0.2">
      <c r="O1085" s="223" t="s">
        <v>1673</v>
      </c>
    </row>
    <row r="1086" spans="15:15" ht="15.95" customHeight="1" x14ac:dyDescent="0.2">
      <c r="O1086" s="225" t="s">
        <v>1677</v>
      </c>
    </row>
    <row r="1087" spans="15:15" ht="15.95" customHeight="1" x14ac:dyDescent="0.2">
      <c r="O1087" s="223" t="s">
        <v>1808</v>
      </c>
    </row>
    <row r="1088" spans="15:15" ht="15.95" customHeight="1" x14ac:dyDescent="0.2">
      <c r="O1088" s="225" t="s">
        <v>1797</v>
      </c>
    </row>
    <row r="1089" spans="15:15" ht="15.95" customHeight="1" x14ac:dyDescent="0.2">
      <c r="O1089" s="223" t="s">
        <v>1611</v>
      </c>
    </row>
    <row r="1090" spans="15:15" ht="15.95" customHeight="1" x14ac:dyDescent="0.2">
      <c r="O1090" s="225" t="s">
        <v>1732</v>
      </c>
    </row>
    <row r="1091" spans="15:15" ht="15.95" customHeight="1" x14ac:dyDescent="0.2">
      <c r="O1091" s="223" t="s">
        <v>1790</v>
      </c>
    </row>
    <row r="1092" spans="15:15" ht="15.95" customHeight="1" x14ac:dyDescent="0.2">
      <c r="O1092" s="225" t="s">
        <v>1592</v>
      </c>
    </row>
    <row r="1093" spans="15:15" ht="15.95" customHeight="1" x14ac:dyDescent="0.2">
      <c r="O1093" s="223" t="s">
        <v>1607</v>
      </c>
    </row>
    <row r="1094" spans="15:15" ht="15.95" customHeight="1" x14ac:dyDescent="0.2">
      <c r="O1094" s="225" t="s">
        <v>1799</v>
      </c>
    </row>
    <row r="1095" spans="15:15" ht="15.95" customHeight="1" x14ac:dyDescent="0.2">
      <c r="O1095" s="223" t="s">
        <v>1631</v>
      </c>
    </row>
    <row r="1096" spans="15:15" ht="15.95" customHeight="1" x14ac:dyDescent="0.2">
      <c r="O1096" s="225" t="s">
        <v>1811</v>
      </c>
    </row>
    <row r="1097" spans="15:15" ht="15.95" customHeight="1" x14ac:dyDescent="0.2">
      <c r="O1097" s="223" t="s">
        <v>1587</v>
      </c>
    </row>
    <row r="1098" spans="15:15" ht="15.95" customHeight="1" x14ac:dyDescent="0.2">
      <c r="O1098" s="225" t="s">
        <v>1527</v>
      </c>
    </row>
    <row r="1099" spans="15:15" ht="15.95" customHeight="1" x14ac:dyDescent="0.2">
      <c r="O1099" s="223" t="s">
        <v>1600</v>
      </c>
    </row>
    <row r="1100" spans="15:15" ht="15.95" customHeight="1" x14ac:dyDescent="0.2">
      <c r="O1100" s="225" t="s">
        <v>1622</v>
      </c>
    </row>
    <row r="1101" spans="15:15" ht="15.95" customHeight="1" x14ac:dyDescent="0.2">
      <c r="O1101" s="223" t="s">
        <v>1814</v>
      </c>
    </row>
    <row r="1102" spans="15:15" ht="15.95" customHeight="1" x14ac:dyDescent="0.2">
      <c r="O1102" s="225" t="s">
        <v>1779</v>
      </c>
    </row>
    <row r="1103" spans="15:15" ht="15.95" customHeight="1" x14ac:dyDescent="0.2">
      <c r="O1103" s="223" t="s">
        <v>1625</v>
      </c>
    </row>
    <row r="1104" spans="15:15" ht="15.95" customHeight="1" x14ac:dyDescent="0.2">
      <c r="O1104" s="225" t="s">
        <v>1810</v>
      </c>
    </row>
    <row r="1105" spans="15:15" ht="15.95" customHeight="1" x14ac:dyDescent="0.2">
      <c r="O1105" s="223" t="s">
        <v>998</v>
      </c>
    </row>
    <row r="1106" spans="15:15" ht="15.95" customHeight="1" x14ac:dyDescent="0.2">
      <c r="O1106" s="225" t="s">
        <v>996</v>
      </c>
    </row>
    <row r="1107" spans="15:15" ht="15.95" customHeight="1" x14ac:dyDescent="0.2">
      <c r="O1107" s="223" t="s">
        <v>1659</v>
      </c>
    </row>
    <row r="1108" spans="15:15" ht="15.95" customHeight="1" x14ac:dyDescent="0.2">
      <c r="O1108" s="225" t="s">
        <v>1735</v>
      </c>
    </row>
    <row r="1109" spans="15:15" ht="15.95" customHeight="1" x14ac:dyDescent="0.2">
      <c r="O1109" s="223" t="s">
        <v>1740</v>
      </c>
    </row>
    <row r="1110" spans="15:15" ht="15.95" customHeight="1" x14ac:dyDescent="0.2">
      <c r="O1110" s="225" t="s">
        <v>1728</v>
      </c>
    </row>
    <row r="1111" spans="15:15" ht="15.95" customHeight="1" x14ac:dyDescent="0.2">
      <c r="O1111" s="223" t="s">
        <v>1528</v>
      </c>
    </row>
    <row r="1112" spans="15:15" ht="15.95" customHeight="1" x14ac:dyDescent="0.2">
      <c r="O1112" s="225" t="s">
        <v>1570</v>
      </c>
    </row>
    <row r="1113" spans="15:15" ht="15.95" customHeight="1" x14ac:dyDescent="0.2">
      <c r="O1113" s="223" t="s">
        <v>1551</v>
      </c>
    </row>
    <row r="1114" spans="15:15" ht="15.95" customHeight="1" x14ac:dyDescent="0.2">
      <c r="O1114" s="225" t="s">
        <v>1556</v>
      </c>
    </row>
    <row r="1115" spans="15:15" ht="15.95" customHeight="1" x14ac:dyDescent="0.2">
      <c r="O1115" s="223" t="s">
        <v>999</v>
      </c>
    </row>
    <row r="1116" spans="15:15" ht="15.95" customHeight="1" x14ac:dyDescent="0.2">
      <c r="O1116" s="225" t="s">
        <v>1577</v>
      </c>
    </row>
    <row r="1117" spans="15:15" ht="15.95" customHeight="1" x14ac:dyDescent="0.2">
      <c r="O1117" s="223" t="s">
        <v>1548</v>
      </c>
    </row>
    <row r="1118" spans="15:15" ht="15.95" customHeight="1" x14ac:dyDescent="0.2">
      <c r="O1118" s="225" t="s">
        <v>1713</v>
      </c>
    </row>
    <row r="1119" spans="15:15" ht="15.95" customHeight="1" x14ac:dyDescent="0.2">
      <c r="O1119" s="223" t="s">
        <v>994</v>
      </c>
    </row>
    <row r="1120" spans="15:15" ht="15.95" customHeight="1" x14ac:dyDescent="0.2">
      <c r="O1120" s="225" t="s">
        <v>1771</v>
      </c>
    </row>
    <row r="1121" spans="15:15" ht="15.95" customHeight="1" x14ac:dyDescent="0.2">
      <c r="O1121" s="223" t="s">
        <v>1647</v>
      </c>
    </row>
    <row r="1122" spans="15:15" ht="15.95" customHeight="1" x14ac:dyDescent="0.2">
      <c r="O1122" s="225" t="s">
        <v>1702</v>
      </c>
    </row>
    <row r="1123" spans="15:15" ht="15.95" customHeight="1" x14ac:dyDescent="0.2">
      <c r="O1123" s="223" t="s">
        <v>1753</v>
      </c>
    </row>
    <row r="1124" spans="15:15" ht="15.95" customHeight="1" x14ac:dyDescent="0.2">
      <c r="O1124" s="225" t="s">
        <v>995</v>
      </c>
    </row>
    <row r="1125" spans="15:15" ht="15.95" customHeight="1" x14ac:dyDescent="0.2">
      <c r="O1125" s="223" t="s">
        <v>1739</v>
      </c>
    </row>
    <row r="1126" spans="15:15" ht="15.95" customHeight="1" x14ac:dyDescent="0.2">
      <c r="O1126" s="225" t="s">
        <v>1656</v>
      </c>
    </row>
    <row r="1127" spans="15:15" ht="15.95" customHeight="1" x14ac:dyDescent="0.2">
      <c r="O1127" s="223" t="s">
        <v>1816</v>
      </c>
    </row>
    <row r="1128" spans="15:15" ht="15.95" customHeight="1" x14ac:dyDescent="0.2">
      <c r="O1128" s="225" t="s">
        <v>1482</v>
      </c>
    </row>
    <row r="1129" spans="15:15" ht="15.95" customHeight="1" x14ac:dyDescent="0.2">
      <c r="O1129" s="223" t="s">
        <v>1483</v>
      </c>
    </row>
    <row r="1130" spans="15:15" ht="15.95" customHeight="1" x14ac:dyDescent="0.2">
      <c r="O1130" s="225" t="s">
        <v>1517</v>
      </c>
    </row>
    <row r="1131" spans="15:15" ht="15.95" customHeight="1" x14ac:dyDescent="0.2">
      <c r="O1131" s="223" t="s">
        <v>1504</v>
      </c>
    </row>
    <row r="1132" spans="15:15" ht="15.95" customHeight="1" x14ac:dyDescent="0.2">
      <c r="O1132" s="225" t="s">
        <v>1540</v>
      </c>
    </row>
    <row r="1133" spans="15:15" ht="15.95" customHeight="1" x14ac:dyDescent="0.2">
      <c r="O1133" s="223" t="s">
        <v>1541</v>
      </c>
    </row>
    <row r="1134" spans="15:15" ht="15.95" customHeight="1" x14ac:dyDescent="0.2">
      <c r="O1134" s="225" t="s">
        <v>1524</v>
      </c>
    </row>
    <row r="1135" spans="15:15" ht="15.95" customHeight="1" x14ac:dyDescent="0.2">
      <c r="O1135" s="223" t="s">
        <v>1532</v>
      </c>
    </row>
    <row r="1136" spans="15:15" ht="15.95" customHeight="1" x14ac:dyDescent="0.2">
      <c r="O1136" s="225" t="s">
        <v>997</v>
      </c>
    </row>
    <row r="1137" spans="15:15" ht="15.95" customHeight="1" x14ac:dyDescent="0.2">
      <c r="O1137" s="223" t="s">
        <v>1559</v>
      </c>
    </row>
    <row r="1138" spans="15:15" ht="15.95" customHeight="1" x14ac:dyDescent="0.2">
      <c r="O1138" s="225" t="s">
        <v>1573</v>
      </c>
    </row>
    <row r="1139" spans="15:15" ht="15.95" customHeight="1" x14ac:dyDescent="0.2">
      <c r="O1139" s="223" t="s">
        <v>1589</v>
      </c>
    </row>
    <row r="1140" spans="15:15" ht="15.95" customHeight="1" x14ac:dyDescent="0.2">
      <c r="O1140" s="225" t="s">
        <v>1585</v>
      </c>
    </row>
    <row r="1141" spans="15:15" ht="15.95" customHeight="1" x14ac:dyDescent="0.2">
      <c r="O1141" s="223" t="s">
        <v>1582</v>
      </c>
    </row>
    <row r="1142" spans="15:15" ht="15.95" customHeight="1" x14ac:dyDescent="0.2">
      <c r="O1142" s="225" t="s">
        <v>1583</v>
      </c>
    </row>
    <row r="1143" spans="15:15" ht="15.95" customHeight="1" x14ac:dyDescent="0.2">
      <c r="O1143" s="223" t="s">
        <v>1584</v>
      </c>
    </row>
    <row r="1144" spans="15:15" ht="15.95" customHeight="1" x14ac:dyDescent="0.2">
      <c r="O1144" s="225" t="s">
        <v>1601</v>
      </c>
    </row>
    <row r="1145" spans="15:15" ht="15.95" customHeight="1" x14ac:dyDescent="0.2">
      <c r="O1145" s="223" t="s">
        <v>1588</v>
      </c>
    </row>
    <row r="1146" spans="15:15" ht="15.95" customHeight="1" x14ac:dyDescent="0.2">
      <c r="O1146" s="225" t="s">
        <v>1801</v>
      </c>
    </row>
    <row r="1147" spans="15:15" ht="15.95" customHeight="1" x14ac:dyDescent="0.2">
      <c r="O1147" s="223" t="s">
        <v>1637</v>
      </c>
    </row>
    <row r="1148" spans="15:15" ht="15.95" customHeight="1" x14ac:dyDescent="0.2">
      <c r="O1148" s="225" t="s">
        <v>1521</v>
      </c>
    </row>
    <row r="1149" spans="15:15" ht="15.95" customHeight="1" x14ac:dyDescent="0.2">
      <c r="O1149" s="223" t="s">
        <v>1698</v>
      </c>
    </row>
    <row r="1150" spans="15:15" ht="15.95" customHeight="1" x14ac:dyDescent="0.2">
      <c r="O1150" s="225" t="s">
        <v>1522</v>
      </c>
    </row>
    <row r="1151" spans="15:15" ht="15.95" customHeight="1" x14ac:dyDescent="0.2">
      <c r="O1151" s="223" t="s">
        <v>1579</v>
      </c>
    </row>
    <row r="1152" spans="15:15" ht="15.95" customHeight="1" x14ac:dyDescent="0.2">
      <c r="O1152" s="225" t="s">
        <v>1562</v>
      </c>
    </row>
    <row r="1153" spans="15:15" ht="15.95" customHeight="1" x14ac:dyDescent="0.2">
      <c r="O1153" s="223" t="s">
        <v>1544</v>
      </c>
    </row>
    <row r="1154" spans="15:15" ht="15.95" customHeight="1" x14ac:dyDescent="0.2">
      <c r="O1154" s="225" t="s">
        <v>1701</v>
      </c>
    </row>
    <row r="1155" spans="15:15" ht="15.95" customHeight="1" x14ac:dyDescent="0.2">
      <c r="O1155" s="223" t="s">
        <v>1760</v>
      </c>
    </row>
    <row r="1156" spans="15:15" ht="15.95" customHeight="1" x14ac:dyDescent="0.2">
      <c r="O1156" s="225" t="s">
        <v>1707</v>
      </c>
    </row>
    <row r="1157" spans="15:15" ht="15.95" customHeight="1" x14ac:dyDescent="0.2">
      <c r="O1157" s="223" t="s">
        <v>1761</v>
      </c>
    </row>
    <row r="1158" spans="15:15" ht="15.95" customHeight="1" x14ac:dyDescent="0.2">
      <c r="O1158" s="225" t="s">
        <v>1746</v>
      </c>
    </row>
    <row r="1159" spans="15:15" ht="15.95" customHeight="1" x14ac:dyDescent="0.2">
      <c r="O1159" s="223" t="s">
        <v>1786</v>
      </c>
    </row>
    <row r="1160" spans="15:15" ht="15.95" customHeight="1" x14ac:dyDescent="0.2">
      <c r="O1160" s="225" t="s">
        <v>1738</v>
      </c>
    </row>
    <row r="1161" spans="15:15" ht="15.95" customHeight="1" x14ac:dyDescent="0.2">
      <c r="O1161" s="223" t="s">
        <v>1796</v>
      </c>
    </row>
    <row r="1162" spans="15:15" ht="15.95" customHeight="1" x14ac:dyDescent="0.2">
      <c r="O1162" s="225" t="s">
        <v>1741</v>
      </c>
    </row>
    <row r="1163" spans="15:15" ht="15.95" customHeight="1" x14ac:dyDescent="0.2">
      <c r="O1163" s="223" t="s">
        <v>1750</v>
      </c>
    </row>
    <row r="1164" spans="15:15" ht="15.95" customHeight="1" x14ac:dyDescent="0.2">
      <c r="O1164" s="225" t="s">
        <v>1676</v>
      </c>
    </row>
    <row r="1165" spans="15:15" ht="15.95" customHeight="1" x14ac:dyDescent="0.2">
      <c r="O1165" s="223" t="s">
        <v>1651</v>
      </c>
    </row>
    <row r="1166" spans="15:15" ht="15.95" customHeight="1" x14ac:dyDescent="0.2">
      <c r="O1166" s="225" t="s">
        <v>1785</v>
      </c>
    </row>
    <row r="1167" spans="15:15" ht="15.95" customHeight="1" x14ac:dyDescent="0.2">
      <c r="O1167" s="223" t="s">
        <v>1635</v>
      </c>
    </row>
    <row r="1168" spans="15:15" ht="15.95" customHeight="1" x14ac:dyDescent="0.2">
      <c r="O1168" s="225" t="s">
        <v>1681</v>
      </c>
    </row>
    <row r="1169" spans="15:15" ht="15.95" customHeight="1" x14ac:dyDescent="0.2">
      <c r="O1169" s="223" t="s">
        <v>1494</v>
      </c>
    </row>
    <row r="1170" spans="15:15" ht="15.95" customHeight="1" x14ac:dyDescent="0.2">
      <c r="O1170" s="225" t="s">
        <v>1552</v>
      </c>
    </row>
    <row r="1171" spans="15:15" ht="15.95" customHeight="1" x14ac:dyDescent="0.2">
      <c r="O1171" s="223" t="s">
        <v>1496</v>
      </c>
    </row>
    <row r="1172" spans="15:15" ht="15.95" customHeight="1" x14ac:dyDescent="0.2">
      <c r="O1172" s="225" t="s">
        <v>1553</v>
      </c>
    </row>
    <row r="1173" spans="15:15" ht="15.95" customHeight="1" x14ac:dyDescent="0.2">
      <c r="O1173" s="223" t="s">
        <v>1515</v>
      </c>
    </row>
    <row r="1174" spans="15:15" ht="15.95" customHeight="1" x14ac:dyDescent="0.2">
      <c r="O1174" s="225" t="s">
        <v>1571</v>
      </c>
    </row>
    <row r="1175" spans="15:15" ht="15.95" customHeight="1" x14ac:dyDescent="0.2">
      <c r="O1175" s="223" t="s">
        <v>1399</v>
      </c>
    </row>
    <row r="1176" spans="15:15" ht="15.95" customHeight="1" x14ac:dyDescent="0.2">
      <c r="O1176" s="225" t="s">
        <v>1400</v>
      </c>
    </row>
    <row r="1177" spans="15:15" ht="15.95" customHeight="1" x14ac:dyDescent="0.2">
      <c r="O1177" s="223" t="s">
        <v>1403</v>
      </c>
    </row>
    <row r="1178" spans="15:15" ht="15.95" customHeight="1" x14ac:dyDescent="0.2">
      <c r="O1178" s="225" t="s">
        <v>1404</v>
      </c>
    </row>
    <row r="1179" spans="15:15" ht="15.95" customHeight="1" x14ac:dyDescent="0.2">
      <c r="O1179" s="223" t="s">
        <v>1405</v>
      </c>
    </row>
    <row r="1180" spans="15:15" ht="15.95" customHeight="1" x14ac:dyDescent="0.2">
      <c r="O1180" s="225" t="s">
        <v>1184</v>
      </c>
    </row>
    <row r="1181" spans="15:15" ht="15.95" customHeight="1" x14ac:dyDescent="0.2">
      <c r="O1181" s="223" t="s">
        <v>1111</v>
      </c>
    </row>
    <row r="1182" spans="15:15" ht="15.95" customHeight="1" x14ac:dyDescent="0.2">
      <c r="O1182" s="225" t="s">
        <v>1112</v>
      </c>
    </row>
    <row r="1183" spans="15:15" ht="15.95" customHeight="1" x14ac:dyDescent="0.2">
      <c r="O1183" s="223" t="s">
        <v>1113</v>
      </c>
    </row>
    <row r="1184" spans="15:15" ht="15.95" customHeight="1" x14ac:dyDescent="0.2">
      <c r="O1184" s="225" t="s">
        <v>1114</v>
      </c>
    </row>
    <row r="1185" spans="15:15" ht="15.95" customHeight="1" x14ac:dyDescent="0.2">
      <c r="O1185" s="223" t="s">
        <v>1115</v>
      </c>
    </row>
    <row r="1186" spans="15:15" ht="15.95" customHeight="1" x14ac:dyDescent="0.2">
      <c r="O1186" s="225" t="s">
        <v>1116</v>
      </c>
    </row>
    <row r="1187" spans="15:15" ht="15.95" customHeight="1" x14ac:dyDescent="0.2">
      <c r="O1187" s="223" t="s">
        <v>1117</v>
      </c>
    </row>
    <row r="1188" spans="15:15" ht="15.95" customHeight="1" x14ac:dyDescent="0.2">
      <c r="O1188" s="225" t="s">
        <v>1118</v>
      </c>
    </row>
    <row r="1189" spans="15:15" ht="15.95" customHeight="1" x14ac:dyDescent="0.2">
      <c r="O1189" s="223" t="s">
        <v>1119</v>
      </c>
    </row>
    <row r="1190" spans="15:15" ht="15.95" customHeight="1" x14ac:dyDescent="0.2">
      <c r="O1190" s="225" t="s">
        <v>1121</v>
      </c>
    </row>
    <row r="1191" spans="15:15" ht="15.95" customHeight="1" x14ac:dyDescent="0.2">
      <c r="O1191" s="223" t="s">
        <v>1401</v>
      </c>
    </row>
    <row r="1192" spans="15:15" ht="15.95" customHeight="1" x14ac:dyDescent="0.2">
      <c r="O1192" s="225" t="s">
        <v>1402</v>
      </c>
    </row>
    <row r="1193" spans="15:15" ht="15.95" customHeight="1" x14ac:dyDescent="0.2">
      <c r="O1193" s="223" t="s">
        <v>1406</v>
      </c>
    </row>
    <row r="1194" spans="15:15" ht="15.95" customHeight="1" x14ac:dyDescent="0.2">
      <c r="O1194" s="225" t="s">
        <v>1407</v>
      </c>
    </row>
    <row r="1195" spans="15:15" ht="15.95" customHeight="1" x14ac:dyDescent="0.2">
      <c r="O1195" s="223" t="s">
        <v>1408</v>
      </c>
    </row>
    <row r="1196" spans="15:15" ht="15.95" customHeight="1" x14ac:dyDescent="0.2">
      <c r="O1196" s="225" t="s">
        <v>1409</v>
      </c>
    </row>
    <row r="1197" spans="15:15" ht="15.95" customHeight="1" x14ac:dyDescent="0.2">
      <c r="O1197" s="223" t="s">
        <v>1410</v>
      </c>
    </row>
    <row r="1198" spans="15:15" ht="15.95" customHeight="1" x14ac:dyDescent="0.2">
      <c r="O1198" s="225" t="s">
        <v>1411</v>
      </c>
    </row>
    <row r="1199" spans="15:15" ht="15.95" customHeight="1" x14ac:dyDescent="0.2">
      <c r="O1199" s="223" t="s">
        <v>1412</v>
      </c>
    </row>
    <row r="1200" spans="15:15" ht="15.95" customHeight="1" x14ac:dyDescent="0.2">
      <c r="O1200" s="225" t="s">
        <v>1414</v>
      </c>
    </row>
    <row r="1201" spans="15:15" ht="15.95" customHeight="1" x14ac:dyDescent="0.2">
      <c r="O1201" s="223" t="s">
        <v>1415</v>
      </c>
    </row>
    <row r="1202" spans="15:15" ht="15.95" customHeight="1" x14ac:dyDescent="0.2">
      <c r="O1202" s="225" t="s">
        <v>1416</v>
      </c>
    </row>
    <row r="1203" spans="15:15" ht="15.95" customHeight="1" x14ac:dyDescent="0.2">
      <c r="O1203" s="223" t="s">
        <v>1417</v>
      </c>
    </row>
    <row r="1204" spans="15:15" ht="15.95" customHeight="1" x14ac:dyDescent="0.2">
      <c r="O1204" s="225" t="s">
        <v>1418</v>
      </c>
    </row>
    <row r="1205" spans="15:15" ht="15.95" customHeight="1" x14ac:dyDescent="0.2">
      <c r="O1205" s="223" t="s">
        <v>1419</v>
      </c>
    </row>
    <row r="1206" spans="15:15" ht="15.95" customHeight="1" x14ac:dyDescent="0.2">
      <c r="O1206" s="225" t="s">
        <v>1420</v>
      </c>
    </row>
    <row r="1207" spans="15:15" ht="15.95" customHeight="1" x14ac:dyDescent="0.2">
      <c r="O1207" s="223" t="s">
        <v>1423</v>
      </c>
    </row>
    <row r="1208" spans="15:15" ht="15.95" customHeight="1" x14ac:dyDescent="0.2">
      <c r="O1208" s="225" t="s">
        <v>1424</v>
      </c>
    </row>
    <row r="1209" spans="15:15" ht="15.95" customHeight="1" x14ac:dyDescent="0.2">
      <c r="O1209" s="223" t="s">
        <v>1425</v>
      </c>
    </row>
    <row r="1210" spans="15:15" ht="15.95" customHeight="1" x14ac:dyDescent="0.2">
      <c r="O1210" s="225" t="s">
        <v>1426</v>
      </c>
    </row>
    <row r="1211" spans="15:15" ht="15.95" customHeight="1" x14ac:dyDescent="0.2">
      <c r="O1211" s="223" t="s">
        <v>1427</v>
      </c>
    </row>
    <row r="1212" spans="15:15" ht="15.95" customHeight="1" x14ac:dyDescent="0.2">
      <c r="O1212" s="225" t="s">
        <v>1428</v>
      </c>
    </row>
    <row r="1213" spans="15:15" ht="15.95" customHeight="1" x14ac:dyDescent="0.2">
      <c r="O1213" s="223" t="s">
        <v>1429</v>
      </c>
    </row>
    <row r="1214" spans="15:15" ht="15.95" customHeight="1" x14ac:dyDescent="0.2">
      <c r="O1214" s="225" t="s">
        <v>1430</v>
      </c>
    </row>
    <row r="1215" spans="15:15" ht="15.95" customHeight="1" x14ac:dyDescent="0.2">
      <c r="O1215" s="223" t="s">
        <v>1431</v>
      </c>
    </row>
    <row r="1216" spans="15:15" ht="15.95" customHeight="1" x14ac:dyDescent="0.2">
      <c r="O1216" s="225" t="s">
        <v>1432</v>
      </c>
    </row>
    <row r="1217" spans="15:15" ht="15.95" customHeight="1" x14ac:dyDescent="0.2">
      <c r="O1217" s="223" t="s">
        <v>1433</v>
      </c>
    </row>
    <row r="1218" spans="15:15" ht="15.95" customHeight="1" x14ac:dyDescent="0.2">
      <c r="O1218" s="225" t="s">
        <v>1434</v>
      </c>
    </row>
    <row r="1219" spans="15:15" ht="15.95" customHeight="1" x14ac:dyDescent="0.2">
      <c r="O1219" s="223" t="s">
        <v>1435</v>
      </c>
    </row>
    <row r="1220" spans="15:15" ht="15.95" customHeight="1" x14ac:dyDescent="0.2">
      <c r="O1220" s="225" t="s">
        <v>1436</v>
      </c>
    </row>
    <row r="1221" spans="15:15" ht="15.95" customHeight="1" x14ac:dyDescent="0.2">
      <c r="O1221" s="223" t="s">
        <v>1437</v>
      </c>
    </row>
    <row r="1222" spans="15:15" ht="15.95" customHeight="1" x14ac:dyDescent="0.2">
      <c r="O1222" s="225" t="s">
        <v>1438</v>
      </c>
    </row>
    <row r="1223" spans="15:15" ht="15.95" customHeight="1" x14ac:dyDescent="0.2">
      <c r="O1223" s="223" t="s">
        <v>1439</v>
      </c>
    </row>
    <row r="1224" spans="15:15" ht="15.95" customHeight="1" x14ac:dyDescent="0.2">
      <c r="O1224" s="225" t="s">
        <v>1440</v>
      </c>
    </row>
    <row r="1225" spans="15:15" ht="15.95" customHeight="1" x14ac:dyDescent="0.2">
      <c r="O1225" s="223" t="s">
        <v>1441</v>
      </c>
    </row>
    <row r="1226" spans="15:15" ht="15.95" customHeight="1" x14ac:dyDescent="0.2">
      <c r="O1226" s="225" t="s">
        <v>1443</v>
      </c>
    </row>
    <row r="1227" spans="15:15" ht="15.95" customHeight="1" x14ac:dyDescent="0.2">
      <c r="O1227" s="223" t="s">
        <v>1444</v>
      </c>
    </row>
    <row r="1228" spans="15:15" ht="15.95" customHeight="1" x14ac:dyDescent="0.2">
      <c r="O1228" s="225" t="s">
        <v>1446</v>
      </c>
    </row>
    <row r="1229" spans="15:15" ht="15.95" customHeight="1" x14ac:dyDescent="0.2">
      <c r="O1229" s="223" t="s">
        <v>1447</v>
      </c>
    </row>
    <row r="1230" spans="15:15" ht="15.95" customHeight="1" x14ac:dyDescent="0.2">
      <c r="O1230" s="225" t="s">
        <v>1448</v>
      </c>
    </row>
    <row r="1231" spans="15:15" ht="15.95" customHeight="1" x14ac:dyDescent="0.2">
      <c r="O1231" s="223" t="s">
        <v>1449</v>
      </c>
    </row>
    <row r="1232" spans="15:15" ht="15.95" customHeight="1" x14ac:dyDescent="0.2">
      <c r="O1232" s="225" t="s">
        <v>1450</v>
      </c>
    </row>
    <row r="1233" spans="15:15" ht="15.95" customHeight="1" x14ac:dyDescent="0.2">
      <c r="O1233" s="223" t="s">
        <v>1451</v>
      </c>
    </row>
    <row r="1234" spans="15:15" ht="15.95" customHeight="1" x14ac:dyDescent="0.2">
      <c r="O1234" s="225" t="s">
        <v>1452</v>
      </c>
    </row>
    <row r="1235" spans="15:15" ht="15.95" customHeight="1" x14ac:dyDescent="0.2">
      <c r="O1235" s="223" t="s">
        <v>1453</v>
      </c>
    </row>
    <row r="1236" spans="15:15" ht="15.95" customHeight="1" x14ac:dyDescent="0.2">
      <c r="O1236" s="225" t="s">
        <v>1454</v>
      </c>
    </row>
    <row r="1237" spans="15:15" ht="15.95" customHeight="1" x14ac:dyDescent="0.2">
      <c r="O1237" s="223" t="s">
        <v>1455</v>
      </c>
    </row>
    <row r="1238" spans="15:15" ht="15.95" customHeight="1" x14ac:dyDescent="0.2">
      <c r="O1238" s="225" t="s">
        <v>1456</v>
      </c>
    </row>
    <row r="1239" spans="15:15" ht="15.95" customHeight="1" x14ac:dyDescent="0.2">
      <c r="O1239" s="223" t="s">
        <v>1457</v>
      </c>
    </row>
    <row r="1240" spans="15:15" ht="15.95" customHeight="1" x14ac:dyDescent="0.2">
      <c r="O1240" s="225" t="s">
        <v>1458</v>
      </c>
    </row>
    <row r="1241" spans="15:15" ht="15.95" customHeight="1" x14ac:dyDescent="0.2">
      <c r="O1241" s="223" t="s">
        <v>1459</v>
      </c>
    </row>
    <row r="1242" spans="15:15" ht="15.95" customHeight="1" x14ac:dyDescent="0.2">
      <c r="O1242" s="225" t="s">
        <v>1460</v>
      </c>
    </row>
    <row r="1243" spans="15:15" ht="15.95" customHeight="1" x14ac:dyDescent="0.2">
      <c r="O1243" s="223" t="s">
        <v>1461</v>
      </c>
    </row>
    <row r="1244" spans="15:15" ht="15.95" customHeight="1" x14ac:dyDescent="0.2">
      <c r="O1244" s="225" t="s">
        <v>1462</v>
      </c>
    </row>
    <row r="1245" spans="15:15" ht="15.95" customHeight="1" x14ac:dyDescent="0.2">
      <c r="O1245" s="223" t="s">
        <v>1463</v>
      </c>
    </row>
    <row r="1246" spans="15:15" ht="15.95" customHeight="1" x14ac:dyDescent="0.2">
      <c r="O1246" s="225" t="s">
        <v>1464</v>
      </c>
    </row>
    <row r="1247" spans="15:15" ht="15.95" customHeight="1" x14ac:dyDescent="0.2">
      <c r="O1247" s="223" t="s">
        <v>1465</v>
      </c>
    </row>
    <row r="1248" spans="15:15" ht="15.95" customHeight="1" x14ac:dyDescent="0.2">
      <c r="O1248" s="225" t="s">
        <v>1466</v>
      </c>
    </row>
    <row r="1249" spans="15:15" ht="15.95" customHeight="1" x14ac:dyDescent="0.2">
      <c r="O1249" s="223" t="s">
        <v>1467</v>
      </c>
    </row>
    <row r="1250" spans="15:15" ht="15.95" customHeight="1" x14ac:dyDescent="0.2">
      <c r="O1250" s="225" t="s">
        <v>1468</v>
      </c>
    </row>
    <row r="1251" spans="15:15" ht="15.95" customHeight="1" x14ac:dyDescent="0.2">
      <c r="O1251" s="223" t="s">
        <v>1469</v>
      </c>
    </row>
    <row r="1252" spans="15:15" ht="15.95" customHeight="1" x14ac:dyDescent="0.2">
      <c r="O1252" s="225" t="s">
        <v>1470</v>
      </c>
    </row>
    <row r="1253" spans="15:15" ht="15.95" customHeight="1" x14ac:dyDescent="0.2">
      <c r="O1253" s="223" t="s">
        <v>1471</v>
      </c>
    </row>
    <row r="1254" spans="15:15" ht="15.95" customHeight="1" x14ac:dyDescent="0.2">
      <c r="O1254" s="225" t="s">
        <v>1472</v>
      </c>
    </row>
    <row r="1255" spans="15:15" ht="15.95" customHeight="1" x14ac:dyDescent="0.2">
      <c r="O1255" s="223" t="s">
        <v>1473</v>
      </c>
    </row>
    <row r="1256" spans="15:15" ht="15.95" customHeight="1" x14ac:dyDescent="0.2">
      <c r="O1256" s="225" t="s">
        <v>1474</v>
      </c>
    </row>
    <row r="1257" spans="15:15" ht="15.95" customHeight="1" x14ac:dyDescent="0.2">
      <c r="O1257" s="223" t="s">
        <v>1475</v>
      </c>
    </row>
    <row r="1258" spans="15:15" ht="15.95" customHeight="1" x14ac:dyDescent="0.2">
      <c r="O1258" s="225" t="s">
        <v>1476</v>
      </c>
    </row>
    <row r="1259" spans="15:15" ht="15.95" customHeight="1" x14ac:dyDescent="0.2">
      <c r="O1259" s="223" t="s">
        <v>1477</v>
      </c>
    </row>
    <row r="1260" spans="15:15" ht="15.95" customHeight="1" x14ac:dyDescent="0.2">
      <c r="O1260" s="225" t="s">
        <v>1478</v>
      </c>
    </row>
    <row r="1261" spans="15:15" ht="15.95" customHeight="1" x14ac:dyDescent="0.2">
      <c r="O1261" s="223" t="s">
        <v>1479</v>
      </c>
    </row>
    <row r="1262" spans="15:15" ht="15.95" customHeight="1" x14ac:dyDescent="0.2">
      <c r="O1262" s="225" t="s">
        <v>1480</v>
      </c>
    </row>
    <row r="1263" spans="15:15" ht="15.95" customHeight="1" x14ac:dyDescent="0.2">
      <c r="O1263" s="223" t="s">
        <v>1484</v>
      </c>
    </row>
    <row r="1264" spans="15:15" ht="15.95" customHeight="1" x14ac:dyDescent="0.2">
      <c r="O1264" s="225" t="s">
        <v>1298</v>
      </c>
    </row>
    <row r="1265" spans="15:15" ht="15.95" customHeight="1" x14ac:dyDescent="0.2">
      <c r="O1265" s="223" t="s">
        <v>1210</v>
      </c>
    </row>
    <row r="1266" spans="15:15" ht="15.95" customHeight="1" x14ac:dyDescent="0.2">
      <c r="O1266" s="225" t="s">
        <v>1485</v>
      </c>
    </row>
    <row r="1267" spans="15:15" ht="15.95" customHeight="1" x14ac:dyDescent="0.2">
      <c r="O1267" s="223" t="s">
        <v>1486</v>
      </c>
    </row>
    <row r="1268" spans="15:15" ht="15.95" customHeight="1" x14ac:dyDescent="0.2">
      <c r="O1268" s="225" t="s">
        <v>1370</v>
      </c>
    </row>
    <row r="1269" spans="15:15" ht="15.95" customHeight="1" x14ac:dyDescent="0.2">
      <c r="O1269" s="223" t="s">
        <v>1487</v>
      </c>
    </row>
    <row r="1270" spans="15:15" ht="15.95" customHeight="1" x14ac:dyDescent="0.2">
      <c r="O1270" s="225" t="s">
        <v>1488</v>
      </c>
    </row>
    <row r="1271" spans="15:15" ht="15.95" customHeight="1" x14ac:dyDescent="0.2">
      <c r="O1271" s="223" t="s">
        <v>1489</v>
      </c>
    </row>
    <row r="1272" spans="15:15" ht="15.95" customHeight="1" x14ac:dyDescent="0.2">
      <c r="O1272" s="225" t="s">
        <v>1491</v>
      </c>
    </row>
    <row r="1273" spans="15:15" ht="15.95" customHeight="1" x14ac:dyDescent="0.2">
      <c r="O1273" s="223" t="s">
        <v>1492</v>
      </c>
    </row>
    <row r="1274" spans="15:15" ht="15.95" customHeight="1" x14ac:dyDescent="0.2">
      <c r="O1274" s="225" t="s">
        <v>1493</v>
      </c>
    </row>
    <row r="1275" spans="15:15" ht="15.95" customHeight="1" x14ac:dyDescent="0.2">
      <c r="O1275" s="223" t="s">
        <v>1498</v>
      </c>
    </row>
    <row r="1276" spans="15:15" ht="15.95" customHeight="1" x14ac:dyDescent="0.2">
      <c r="O1276" s="225" t="s">
        <v>1499</v>
      </c>
    </row>
    <row r="1277" spans="15:15" ht="15.95" customHeight="1" x14ac:dyDescent="0.2">
      <c r="O1277" s="223" t="s">
        <v>1500</v>
      </c>
    </row>
    <row r="1278" spans="15:15" ht="15.95" customHeight="1" x14ac:dyDescent="0.2">
      <c r="O1278" s="225" t="s">
        <v>1502</v>
      </c>
    </row>
    <row r="1279" spans="15:15" ht="15.95" customHeight="1" x14ac:dyDescent="0.2">
      <c r="O1279" s="223" t="s">
        <v>1281</v>
      </c>
    </row>
    <row r="1280" spans="15:15" ht="15.95" customHeight="1" x14ac:dyDescent="0.2">
      <c r="O1280" s="225" t="s">
        <v>1100</v>
      </c>
    </row>
    <row r="1281" spans="15:15" ht="15.95" customHeight="1" x14ac:dyDescent="0.2">
      <c r="O1281" s="223" t="s">
        <v>1349</v>
      </c>
    </row>
    <row r="1282" spans="15:15" ht="15.95" customHeight="1" x14ac:dyDescent="0.2">
      <c r="O1282" s="225" t="s">
        <v>1346</v>
      </c>
    </row>
    <row r="1283" spans="15:15" ht="15.95" customHeight="1" x14ac:dyDescent="0.2">
      <c r="O1283" s="223" t="s">
        <v>1506</v>
      </c>
    </row>
    <row r="1284" spans="15:15" ht="15.95" customHeight="1" x14ac:dyDescent="0.2">
      <c r="O1284" s="225" t="s">
        <v>1507</v>
      </c>
    </row>
    <row r="1285" spans="15:15" ht="15.95" customHeight="1" x14ac:dyDescent="0.2">
      <c r="O1285" s="223" t="s">
        <v>1508</v>
      </c>
    </row>
    <row r="1286" spans="15:15" ht="15.95" customHeight="1" x14ac:dyDescent="0.2">
      <c r="O1286" s="225" t="s">
        <v>1509</v>
      </c>
    </row>
    <row r="1287" spans="15:15" ht="15.95" customHeight="1" x14ac:dyDescent="0.2">
      <c r="O1287" s="223" t="s">
        <v>1218</v>
      </c>
    </row>
    <row r="1288" spans="15:15" ht="15.95" customHeight="1" x14ac:dyDescent="0.2">
      <c r="O1288" s="225" t="s">
        <v>1213</v>
      </c>
    </row>
    <row r="1289" spans="15:15" ht="15.95" customHeight="1" x14ac:dyDescent="0.2">
      <c r="O1289" s="223" t="s">
        <v>1214</v>
      </c>
    </row>
    <row r="1290" spans="15:15" ht="15.95" customHeight="1" x14ac:dyDescent="0.2">
      <c r="O1290" s="225" t="s">
        <v>1341</v>
      </c>
    </row>
    <row r="1291" spans="15:15" ht="15.95" customHeight="1" x14ac:dyDescent="0.2">
      <c r="O1291" s="223" t="s">
        <v>1209</v>
      </c>
    </row>
    <row r="1292" spans="15:15" ht="15.95" customHeight="1" x14ac:dyDescent="0.2">
      <c r="O1292" s="225" t="s">
        <v>1290</v>
      </c>
    </row>
    <row r="1293" spans="15:15" ht="15.95" customHeight="1" x14ac:dyDescent="0.2">
      <c r="O1293" s="223" t="s">
        <v>1204</v>
      </c>
    </row>
    <row r="1294" spans="15:15" ht="15.95" customHeight="1" x14ac:dyDescent="0.2">
      <c r="O1294" s="225" t="s">
        <v>1312</v>
      </c>
    </row>
    <row r="1295" spans="15:15" ht="15.95" customHeight="1" x14ac:dyDescent="0.2">
      <c r="O1295" s="223" t="s">
        <v>990</v>
      </c>
    </row>
    <row r="1296" spans="15:15" ht="15.95" customHeight="1" x14ac:dyDescent="0.2">
      <c r="O1296" s="225" t="s">
        <v>1130</v>
      </c>
    </row>
    <row r="1297" spans="15:15" ht="15.95" customHeight="1" x14ac:dyDescent="0.2">
      <c r="O1297" s="223" t="s">
        <v>1086</v>
      </c>
    </row>
    <row r="1298" spans="15:15" ht="15.95" customHeight="1" x14ac:dyDescent="0.2">
      <c r="O1298" s="225" t="s">
        <v>1041</v>
      </c>
    </row>
    <row r="1299" spans="15:15" ht="15.95" customHeight="1" x14ac:dyDescent="0.2">
      <c r="O1299" s="223" t="s">
        <v>1019</v>
      </c>
    </row>
    <row r="1300" spans="15:15" ht="15.95" customHeight="1" x14ac:dyDescent="0.2">
      <c r="O1300" s="225" t="s">
        <v>1020</v>
      </c>
    </row>
    <row r="1301" spans="15:15" ht="15.95" customHeight="1" x14ac:dyDescent="0.2">
      <c r="O1301" s="223" t="s">
        <v>1042</v>
      </c>
    </row>
    <row r="1302" spans="15:15" ht="15.95" customHeight="1" x14ac:dyDescent="0.2">
      <c r="O1302" s="225" t="s">
        <v>1021</v>
      </c>
    </row>
    <row r="1303" spans="15:15" ht="15.95" customHeight="1" x14ac:dyDescent="0.2">
      <c r="O1303" s="223" t="s">
        <v>1043</v>
      </c>
    </row>
    <row r="1304" spans="15:15" ht="15.95" customHeight="1" x14ac:dyDescent="0.2">
      <c r="O1304" s="225" t="s">
        <v>1022</v>
      </c>
    </row>
    <row r="1305" spans="15:15" ht="15.95" customHeight="1" x14ac:dyDescent="0.2">
      <c r="O1305" s="223" t="s">
        <v>1024</v>
      </c>
    </row>
    <row r="1306" spans="15:15" ht="15.95" customHeight="1" x14ac:dyDescent="0.2">
      <c r="O1306" s="225" t="s">
        <v>1025</v>
      </c>
    </row>
    <row r="1307" spans="15:15" ht="15.95" customHeight="1" x14ac:dyDescent="0.2">
      <c r="O1307" s="223" t="s">
        <v>1026</v>
      </c>
    </row>
    <row r="1308" spans="15:15" ht="15.95" customHeight="1" x14ac:dyDescent="0.2">
      <c r="O1308" s="225" t="s">
        <v>1029</v>
      </c>
    </row>
    <row r="1309" spans="15:15" ht="15.95" customHeight="1" x14ac:dyDescent="0.2">
      <c r="O1309" s="223" t="s">
        <v>1030</v>
      </c>
    </row>
    <row r="1310" spans="15:15" ht="15.95" customHeight="1" x14ac:dyDescent="0.2">
      <c r="O1310" s="225" t="s">
        <v>1027</v>
      </c>
    </row>
    <row r="1311" spans="15:15" ht="15.95" customHeight="1" x14ac:dyDescent="0.2">
      <c r="O1311" s="223" t="s">
        <v>1031</v>
      </c>
    </row>
    <row r="1312" spans="15:15" ht="15.95" customHeight="1" x14ac:dyDescent="0.2">
      <c r="O1312" s="225" t="s">
        <v>1032</v>
      </c>
    </row>
    <row r="1313" spans="15:15" ht="15.95" customHeight="1" x14ac:dyDescent="0.2">
      <c r="O1313" s="223" t="s">
        <v>1034</v>
      </c>
    </row>
    <row r="1314" spans="15:15" ht="15.95" customHeight="1" x14ac:dyDescent="0.2">
      <c r="O1314" s="225" t="s">
        <v>1035</v>
      </c>
    </row>
    <row r="1315" spans="15:15" ht="15.95" customHeight="1" x14ac:dyDescent="0.2">
      <c r="O1315" s="223" t="s">
        <v>1047</v>
      </c>
    </row>
    <row r="1316" spans="15:15" ht="15.95" customHeight="1" x14ac:dyDescent="0.2">
      <c r="O1316" s="225" t="s">
        <v>1048</v>
      </c>
    </row>
    <row r="1317" spans="15:15" ht="15.95" customHeight="1" x14ac:dyDescent="0.2">
      <c r="O1317" s="223" t="s">
        <v>1049</v>
      </c>
    </row>
    <row r="1318" spans="15:15" ht="15.95" customHeight="1" x14ac:dyDescent="0.2">
      <c r="O1318" s="225" t="s">
        <v>1050</v>
      </c>
    </row>
    <row r="1319" spans="15:15" ht="15.95" customHeight="1" x14ac:dyDescent="0.2">
      <c r="O1319" s="223" t="s">
        <v>1036</v>
      </c>
    </row>
    <row r="1320" spans="15:15" ht="15.95" customHeight="1" x14ac:dyDescent="0.2">
      <c r="O1320" s="225" t="s">
        <v>1039</v>
      </c>
    </row>
    <row r="1321" spans="15:15" ht="15.95" customHeight="1" x14ac:dyDescent="0.2">
      <c r="O1321" s="223" t="s">
        <v>1040</v>
      </c>
    </row>
    <row r="1322" spans="15:15" ht="15.95" customHeight="1" x14ac:dyDescent="0.2">
      <c r="O1322" s="225" t="s">
        <v>1037</v>
      </c>
    </row>
    <row r="1323" spans="15:15" ht="15.95" customHeight="1" x14ac:dyDescent="0.2">
      <c r="O1323" s="223" t="s">
        <v>1018</v>
      </c>
    </row>
    <row r="1324" spans="15:15" ht="15.95" customHeight="1" x14ac:dyDescent="0.2">
      <c r="O1324" s="225" t="s">
        <v>1033</v>
      </c>
    </row>
    <row r="1325" spans="15:15" ht="15.95" customHeight="1" x14ac:dyDescent="0.2">
      <c r="O1325" s="223" t="s">
        <v>1028</v>
      </c>
    </row>
    <row r="1326" spans="15:15" ht="15.95" customHeight="1" x14ac:dyDescent="0.2">
      <c r="O1326" s="225" t="s">
        <v>1023</v>
      </c>
    </row>
    <row r="1327" spans="15:15" ht="15.95" customHeight="1" x14ac:dyDescent="0.2">
      <c r="O1327" s="223" t="s">
        <v>1038</v>
      </c>
    </row>
    <row r="1328" spans="15:15" ht="15.95" customHeight="1" x14ac:dyDescent="0.2">
      <c r="O1328" s="225" t="s">
        <v>1044</v>
      </c>
    </row>
    <row r="1329" spans="15:15" ht="15.95" customHeight="1" x14ac:dyDescent="0.2">
      <c r="O1329" s="223" t="s">
        <v>1126</v>
      </c>
    </row>
    <row r="1330" spans="15:15" ht="15.95" customHeight="1" x14ac:dyDescent="0.2">
      <c r="O1330" s="225" t="s">
        <v>1128</v>
      </c>
    </row>
    <row r="1331" spans="15:15" ht="15.95" customHeight="1" x14ac:dyDescent="0.2">
      <c r="O1331" s="223" t="s">
        <v>1129</v>
      </c>
    </row>
    <row r="1332" spans="15:15" ht="15.95" customHeight="1" x14ac:dyDescent="0.2">
      <c r="O1332" s="225" t="s">
        <v>1131</v>
      </c>
    </row>
    <row r="1333" spans="15:15" ht="15.95" customHeight="1" x14ac:dyDescent="0.2">
      <c r="O1333" s="223" t="s">
        <v>1132</v>
      </c>
    </row>
    <row r="1334" spans="15:15" ht="15.95" customHeight="1" x14ac:dyDescent="0.2">
      <c r="O1334" s="225" t="s">
        <v>1133</v>
      </c>
    </row>
    <row r="1335" spans="15:15" ht="15.95" customHeight="1" x14ac:dyDescent="0.2">
      <c r="O1335" s="223" t="s">
        <v>1134</v>
      </c>
    </row>
    <row r="1336" spans="15:15" ht="15.95" customHeight="1" x14ac:dyDescent="0.2">
      <c r="O1336" s="225" t="s">
        <v>1135</v>
      </c>
    </row>
    <row r="1337" spans="15:15" ht="15.95" customHeight="1" x14ac:dyDescent="0.2">
      <c r="O1337" s="223" t="s">
        <v>1136</v>
      </c>
    </row>
    <row r="1338" spans="15:15" ht="15.95" customHeight="1" x14ac:dyDescent="0.2">
      <c r="O1338" s="225" t="s">
        <v>1137</v>
      </c>
    </row>
    <row r="1339" spans="15:15" ht="15.95" customHeight="1" x14ac:dyDescent="0.2">
      <c r="O1339" s="223" t="s">
        <v>1093</v>
      </c>
    </row>
    <row r="1340" spans="15:15" ht="15.95" customHeight="1" x14ac:dyDescent="0.2">
      <c r="O1340" s="225" t="s">
        <v>1381</v>
      </c>
    </row>
    <row r="1341" spans="15:15" ht="15.95" customHeight="1" x14ac:dyDescent="0.2">
      <c r="O1341" s="223" t="s">
        <v>1138</v>
      </c>
    </row>
    <row r="1342" spans="15:15" ht="15.95" customHeight="1" x14ac:dyDescent="0.2">
      <c r="O1342" s="225" t="s">
        <v>1139</v>
      </c>
    </row>
    <row r="1343" spans="15:15" ht="15.95" customHeight="1" x14ac:dyDescent="0.2">
      <c r="O1343" s="223" t="s">
        <v>1140</v>
      </c>
    </row>
    <row r="1344" spans="15:15" ht="15.95" customHeight="1" x14ac:dyDescent="0.2">
      <c r="O1344" s="225" t="s">
        <v>1141</v>
      </c>
    </row>
    <row r="1345" spans="15:15" ht="15.95" customHeight="1" x14ac:dyDescent="0.2">
      <c r="O1345" s="223" t="s">
        <v>1142</v>
      </c>
    </row>
    <row r="1346" spans="15:15" ht="15.95" customHeight="1" x14ac:dyDescent="0.2">
      <c r="O1346" s="225" t="s">
        <v>1143</v>
      </c>
    </row>
    <row r="1347" spans="15:15" ht="15.95" customHeight="1" x14ac:dyDescent="0.2">
      <c r="O1347" s="223" t="s">
        <v>1144</v>
      </c>
    </row>
    <row r="1348" spans="15:15" ht="15.95" customHeight="1" x14ac:dyDescent="0.2">
      <c r="O1348" s="225" t="s">
        <v>1145</v>
      </c>
    </row>
    <row r="1349" spans="15:15" ht="15.95" customHeight="1" x14ac:dyDescent="0.2">
      <c r="O1349" s="223" t="s">
        <v>1146</v>
      </c>
    </row>
    <row r="1350" spans="15:15" ht="15.95" customHeight="1" x14ac:dyDescent="0.2">
      <c r="O1350" s="225" t="s">
        <v>1147</v>
      </c>
    </row>
    <row r="1351" spans="15:15" ht="15.95" customHeight="1" x14ac:dyDescent="0.2">
      <c r="O1351" s="223" t="s">
        <v>1090</v>
      </c>
    </row>
    <row r="1352" spans="15:15" ht="15.95" customHeight="1" x14ac:dyDescent="0.2">
      <c r="O1352" s="225" t="s">
        <v>1383</v>
      </c>
    </row>
    <row r="1353" spans="15:15" ht="15.95" customHeight="1" x14ac:dyDescent="0.2">
      <c r="O1353" s="223" t="s">
        <v>1377</v>
      </c>
    </row>
    <row r="1354" spans="15:15" ht="15.95" customHeight="1" x14ac:dyDescent="0.2">
      <c r="O1354" s="225" t="s">
        <v>1382</v>
      </c>
    </row>
    <row r="1355" spans="15:15" ht="15.95" customHeight="1" x14ac:dyDescent="0.2">
      <c r="O1355" s="223" t="s">
        <v>1148</v>
      </c>
    </row>
    <row r="1356" spans="15:15" ht="15.95" customHeight="1" x14ac:dyDescent="0.2">
      <c r="O1356" s="225" t="s">
        <v>1149</v>
      </c>
    </row>
    <row r="1357" spans="15:15" ht="15.95" customHeight="1" x14ac:dyDescent="0.2">
      <c r="O1357" s="223" t="s">
        <v>1081</v>
      </c>
    </row>
    <row r="1358" spans="15:15" ht="15.95" customHeight="1" x14ac:dyDescent="0.2">
      <c r="O1358" s="225" t="s">
        <v>1384</v>
      </c>
    </row>
    <row r="1359" spans="15:15" ht="15.95" customHeight="1" x14ac:dyDescent="0.2">
      <c r="O1359" s="223" t="s">
        <v>1385</v>
      </c>
    </row>
    <row r="1360" spans="15:15" ht="15.95" customHeight="1" x14ac:dyDescent="0.2">
      <c r="O1360" s="225" t="s">
        <v>1150</v>
      </c>
    </row>
    <row r="1361" spans="15:15" ht="15.95" customHeight="1" x14ac:dyDescent="0.2">
      <c r="O1361" s="223" t="s">
        <v>1151</v>
      </c>
    </row>
    <row r="1362" spans="15:15" ht="15.95" customHeight="1" x14ac:dyDescent="0.2">
      <c r="O1362" s="225" t="s">
        <v>1152</v>
      </c>
    </row>
    <row r="1363" spans="15:15" ht="15.95" customHeight="1" x14ac:dyDescent="0.2">
      <c r="O1363" s="223" t="s">
        <v>1153</v>
      </c>
    </row>
    <row r="1364" spans="15:15" ht="15.95" customHeight="1" x14ac:dyDescent="0.2">
      <c r="O1364" s="225" t="s">
        <v>1154</v>
      </c>
    </row>
    <row r="1365" spans="15:15" ht="15.95" customHeight="1" x14ac:dyDescent="0.2">
      <c r="O1365" s="223" t="s">
        <v>1155</v>
      </c>
    </row>
    <row r="1366" spans="15:15" ht="15.95" customHeight="1" x14ac:dyDescent="0.2">
      <c r="O1366" s="225" t="s">
        <v>1156</v>
      </c>
    </row>
    <row r="1367" spans="15:15" ht="15.95" customHeight="1" x14ac:dyDescent="0.2">
      <c r="O1367" s="223" t="s">
        <v>1157</v>
      </c>
    </row>
    <row r="1368" spans="15:15" ht="15.95" customHeight="1" x14ac:dyDescent="0.2">
      <c r="O1368" s="225" t="s">
        <v>1158</v>
      </c>
    </row>
    <row r="1369" spans="15:15" ht="15.95" customHeight="1" x14ac:dyDescent="0.2">
      <c r="O1369" s="223" t="s">
        <v>1159</v>
      </c>
    </row>
    <row r="1370" spans="15:15" ht="15.95" customHeight="1" x14ac:dyDescent="0.2">
      <c r="O1370" s="225" t="s">
        <v>1160</v>
      </c>
    </row>
    <row r="1371" spans="15:15" ht="15.95" customHeight="1" x14ac:dyDescent="0.2">
      <c r="O1371" s="223" t="s">
        <v>1161</v>
      </c>
    </row>
    <row r="1372" spans="15:15" ht="15.95" customHeight="1" x14ac:dyDescent="0.2">
      <c r="O1372" s="225" t="s">
        <v>1162</v>
      </c>
    </row>
    <row r="1373" spans="15:15" ht="15.95" customHeight="1" x14ac:dyDescent="0.2">
      <c r="O1373" s="223" t="s">
        <v>1163</v>
      </c>
    </row>
    <row r="1374" spans="15:15" ht="15.95" customHeight="1" x14ac:dyDescent="0.2">
      <c r="O1374" s="225" t="s">
        <v>1165</v>
      </c>
    </row>
    <row r="1375" spans="15:15" ht="15.95" customHeight="1" x14ac:dyDescent="0.2">
      <c r="O1375" s="223" t="s">
        <v>1164</v>
      </c>
    </row>
    <row r="1376" spans="15:15" ht="15.95" customHeight="1" x14ac:dyDescent="0.2">
      <c r="O1376" s="225" t="s">
        <v>1166</v>
      </c>
    </row>
    <row r="1377" spans="15:15" ht="15.95" customHeight="1" x14ac:dyDescent="0.2">
      <c r="O1377" s="223" t="s">
        <v>1167</v>
      </c>
    </row>
    <row r="1378" spans="15:15" ht="15.95" customHeight="1" x14ac:dyDescent="0.2">
      <c r="O1378" s="225" t="s">
        <v>1168</v>
      </c>
    </row>
    <row r="1379" spans="15:15" ht="15.95" customHeight="1" x14ac:dyDescent="0.2">
      <c r="O1379" s="223" t="s">
        <v>1169</v>
      </c>
    </row>
    <row r="1380" spans="15:15" ht="15.95" customHeight="1" x14ac:dyDescent="0.2">
      <c r="O1380" s="225" t="s">
        <v>1170</v>
      </c>
    </row>
    <row r="1381" spans="15:15" ht="15.95" customHeight="1" x14ac:dyDescent="0.2">
      <c r="O1381" s="223" t="s">
        <v>1171</v>
      </c>
    </row>
    <row r="1382" spans="15:15" ht="15.95" customHeight="1" x14ac:dyDescent="0.2">
      <c r="O1382" s="225" t="s">
        <v>1173</v>
      </c>
    </row>
    <row r="1383" spans="15:15" ht="15.95" customHeight="1" x14ac:dyDescent="0.2">
      <c r="O1383" s="223" t="s">
        <v>1174</v>
      </c>
    </row>
    <row r="1384" spans="15:15" ht="15.95" customHeight="1" x14ac:dyDescent="0.2">
      <c r="O1384" s="225" t="s">
        <v>1175</v>
      </c>
    </row>
    <row r="1385" spans="15:15" ht="15.95" customHeight="1" x14ac:dyDescent="0.2">
      <c r="O1385" s="223" t="s">
        <v>1176</v>
      </c>
    </row>
    <row r="1386" spans="15:15" ht="15.95" customHeight="1" x14ac:dyDescent="0.2">
      <c r="O1386" s="225" t="s">
        <v>1177</v>
      </c>
    </row>
    <row r="1387" spans="15:15" ht="15.95" customHeight="1" x14ac:dyDescent="0.2">
      <c r="O1387" s="223" t="s">
        <v>1178</v>
      </c>
    </row>
    <row r="1388" spans="15:15" ht="15.95" customHeight="1" x14ac:dyDescent="0.2">
      <c r="O1388" s="225" t="s">
        <v>1179</v>
      </c>
    </row>
    <row r="1389" spans="15:15" ht="15.95" customHeight="1" x14ac:dyDescent="0.2">
      <c r="O1389" s="223" t="s">
        <v>1089</v>
      </c>
    </row>
    <row r="1390" spans="15:15" ht="15.95" customHeight="1" x14ac:dyDescent="0.2">
      <c r="O1390" s="225" t="s">
        <v>1180</v>
      </c>
    </row>
    <row r="1391" spans="15:15" ht="15.95" customHeight="1" x14ac:dyDescent="0.2">
      <c r="O1391" s="223" t="s">
        <v>1181</v>
      </c>
    </row>
    <row r="1392" spans="15:15" ht="15.95" customHeight="1" x14ac:dyDescent="0.2">
      <c r="O1392" s="225" t="s">
        <v>1182</v>
      </c>
    </row>
    <row r="1393" spans="15:15" ht="15.95" customHeight="1" x14ac:dyDescent="0.2">
      <c r="O1393" s="223" t="s">
        <v>1185</v>
      </c>
    </row>
    <row r="1394" spans="15:15" ht="15.95" customHeight="1" x14ac:dyDescent="0.2">
      <c r="O1394" s="225" t="s">
        <v>1183</v>
      </c>
    </row>
    <row r="1395" spans="15:15" ht="15.95" customHeight="1" x14ac:dyDescent="0.2">
      <c r="O1395" s="223" t="s">
        <v>1186</v>
      </c>
    </row>
    <row r="1396" spans="15:15" ht="15.95" customHeight="1" x14ac:dyDescent="0.2">
      <c r="O1396" s="225" t="s">
        <v>1187</v>
      </c>
    </row>
    <row r="1397" spans="15:15" ht="15.95" customHeight="1" x14ac:dyDescent="0.2">
      <c r="O1397" s="223" t="s">
        <v>1188</v>
      </c>
    </row>
    <row r="1398" spans="15:15" ht="15.95" customHeight="1" x14ac:dyDescent="0.2">
      <c r="O1398" s="225" t="s">
        <v>1189</v>
      </c>
    </row>
    <row r="1399" spans="15:15" ht="15.95" customHeight="1" x14ac:dyDescent="0.2">
      <c r="O1399" s="223" t="s">
        <v>1190</v>
      </c>
    </row>
    <row r="1400" spans="15:15" ht="15.95" customHeight="1" x14ac:dyDescent="0.2">
      <c r="O1400" s="225" t="s">
        <v>1098</v>
      </c>
    </row>
    <row r="1401" spans="15:15" ht="15.95" customHeight="1" x14ac:dyDescent="0.2">
      <c r="O1401" s="223" t="s">
        <v>1387</v>
      </c>
    </row>
    <row r="1402" spans="15:15" ht="15.95" customHeight="1" x14ac:dyDescent="0.2">
      <c r="O1402" s="225" t="s">
        <v>1191</v>
      </c>
    </row>
    <row r="1403" spans="15:15" ht="15.95" customHeight="1" x14ac:dyDescent="0.2">
      <c r="O1403" s="223" t="s">
        <v>1193</v>
      </c>
    </row>
    <row r="1404" spans="15:15" ht="15.95" customHeight="1" x14ac:dyDescent="0.2">
      <c r="O1404" s="225" t="s">
        <v>1194</v>
      </c>
    </row>
    <row r="1405" spans="15:15" ht="15.95" customHeight="1" x14ac:dyDescent="0.2">
      <c r="O1405" s="223" t="s">
        <v>1196</v>
      </c>
    </row>
    <row r="1406" spans="15:15" ht="15.95" customHeight="1" x14ac:dyDescent="0.2">
      <c r="O1406" s="225" t="s">
        <v>1195</v>
      </c>
    </row>
    <row r="1407" spans="15:15" ht="15.95" customHeight="1" x14ac:dyDescent="0.2">
      <c r="O1407" s="223" t="s">
        <v>1197</v>
      </c>
    </row>
    <row r="1408" spans="15:15" ht="15.95" customHeight="1" x14ac:dyDescent="0.2">
      <c r="O1408" s="225" t="s">
        <v>1198</v>
      </c>
    </row>
    <row r="1409" spans="15:15" ht="15.95" customHeight="1" x14ac:dyDescent="0.2">
      <c r="O1409" s="223" t="s">
        <v>1199</v>
      </c>
    </row>
    <row r="1410" spans="15:15" ht="15.95" customHeight="1" x14ac:dyDescent="0.2">
      <c r="O1410" s="225" t="s">
        <v>1200</v>
      </c>
    </row>
    <row r="1411" spans="15:15" ht="15.95" customHeight="1" x14ac:dyDescent="0.2">
      <c r="O1411" s="223" t="s">
        <v>1201</v>
      </c>
    </row>
    <row r="1412" spans="15:15" ht="15.95" customHeight="1" x14ac:dyDescent="0.2">
      <c r="O1412" s="225" t="s">
        <v>1097</v>
      </c>
    </row>
    <row r="1413" spans="15:15" ht="15.95" customHeight="1" x14ac:dyDescent="0.2">
      <c r="O1413" s="223" t="s">
        <v>1389</v>
      </c>
    </row>
    <row r="1414" spans="15:15" ht="15.95" customHeight="1" x14ac:dyDescent="0.2">
      <c r="O1414" s="225" t="s">
        <v>1378</v>
      </c>
    </row>
    <row r="1415" spans="15:15" ht="15.95" customHeight="1" x14ac:dyDescent="0.2">
      <c r="O1415" s="223" t="s">
        <v>1388</v>
      </c>
    </row>
    <row r="1416" spans="15:15" ht="15.95" customHeight="1" x14ac:dyDescent="0.2">
      <c r="O1416" s="225" t="s">
        <v>1202</v>
      </c>
    </row>
    <row r="1417" spans="15:15" ht="15.95" customHeight="1" x14ac:dyDescent="0.2">
      <c r="O1417" s="223" t="s">
        <v>1203</v>
      </c>
    </row>
    <row r="1418" spans="15:15" ht="15.95" customHeight="1" x14ac:dyDescent="0.2">
      <c r="O1418" s="225" t="s">
        <v>1205</v>
      </c>
    </row>
    <row r="1419" spans="15:15" ht="15.95" customHeight="1" x14ac:dyDescent="0.2">
      <c r="O1419" s="223" t="s">
        <v>1206</v>
      </c>
    </row>
    <row r="1420" spans="15:15" ht="15.95" customHeight="1" x14ac:dyDescent="0.2">
      <c r="O1420" s="225" t="s">
        <v>1207</v>
      </c>
    </row>
    <row r="1421" spans="15:15" ht="15.95" customHeight="1" x14ac:dyDescent="0.2">
      <c r="O1421" s="223" t="s">
        <v>1211</v>
      </c>
    </row>
    <row r="1422" spans="15:15" ht="15.95" customHeight="1" x14ac:dyDescent="0.2">
      <c r="O1422" s="225" t="s">
        <v>1379</v>
      </c>
    </row>
    <row r="1423" spans="15:15" ht="15.95" customHeight="1" x14ac:dyDescent="0.2">
      <c r="O1423" s="223" t="s">
        <v>1390</v>
      </c>
    </row>
    <row r="1424" spans="15:15" ht="15.95" customHeight="1" x14ac:dyDescent="0.2">
      <c r="O1424" s="225" t="s">
        <v>1391</v>
      </c>
    </row>
    <row r="1425" spans="15:15" ht="15.95" customHeight="1" x14ac:dyDescent="0.2">
      <c r="O1425" s="223" t="s">
        <v>1212</v>
      </c>
    </row>
    <row r="1426" spans="15:15" ht="15.95" customHeight="1" x14ac:dyDescent="0.2">
      <c r="O1426" s="225" t="s">
        <v>1215</v>
      </c>
    </row>
    <row r="1427" spans="15:15" ht="15.95" customHeight="1" x14ac:dyDescent="0.2">
      <c r="O1427" s="223" t="s">
        <v>1216</v>
      </c>
    </row>
    <row r="1428" spans="15:15" ht="15.95" customHeight="1" x14ac:dyDescent="0.2">
      <c r="O1428" s="225" t="s">
        <v>1217</v>
      </c>
    </row>
    <row r="1429" spans="15:15" ht="15.95" customHeight="1" x14ac:dyDescent="0.2">
      <c r="O1429" s="223" t="s">
        <v>1360</v>
      </c>
    </row>
    <row r="1430" spans="15:15" ht="15.95" customHeight="1" x14ac:dyDescent="0.2">
      <c r="O1430" s="225" t="s">
        <v>1392</v>
      </c>
    </row>
    <row r="1431" spans="15:15" ht="15.95" customHeight="1" x14ac:dyDescent="0.2">
      <c r="O1431" s="223" t="s">
        <v>1219</v>
      </c>
    </row>
    <row r="1432" spans="15:15" ht="15.95" customHeight="1" x14ac:dyDescent="0.2">
      <c r="O1432" s="225" t="s">
        <v>1394</v>
      </c>
    </row>
    <row r="1433" spans="15:15" ht="15.95" customHeight="1" x14ac:dyDescent="0.2">
      <c r="O1433" s="223" t="s">
        <v>1270</v>
      </c>
    </row>
    <row r="1434" spans="15:15" ht="15.95" customHeight="1" x14ac:dyDescent="0.2">
      <c r="O1434" s="225" t="s">
        <v>1271</v>
      </c>
    </row>
    <row r="1435" spans="15:15" ht="15.95" customHeight="1" x14ac:dyDescent="0.2">
      <c r="O1435" s="223" t="s">
        <v>1272</v>
      </c>
    </row>
    <row r="1436" spans="15:15" ht="15.95" customHeight="1" x14ac:dyDescent="0.2">
      <c r="O1436" s="225" t="s">
        <v>1273</v>
      </c>
    </row>
    <row r="1437" spans="15:15" ht="15.95" customHeight="1" x14ac:dyDescent="0.2">
      <c r="O1437" s="223" t="s">
        <v>1274</v>
      </c>
    </row>
    <row r="1438" spans="15:15" ht="15.95" customHeight="1" x14ac:dyDescent="0.2">
      <c r="O1438" s="225" t="s">
        <v>1275</v>
      </c>
    </row>
    <row r="1439" spans="15:15" ht="15.95" customHeight="1" x14ac:dyDescent="0.2">
      <c r="O1439" s="223" t="s">
        <v>1276</v>
      </c>
    </row>
    <row r="1440" spans="15:15" ht="15.95" customHeight="1" x14ac:dyDescent="0.2">
      <c r="O1440" s="225" t="s">
        <v>1277</v>
      </c>
    </row>
    <row r="1441" spans="15:15" ht="15.95" customHeight="1" x14ac:dyDescent="0.2">
      <c r="O1441" s="223" t="s">
        <v>1278</v>
      </c>
    </row>
    <row r="1442" spans="15:15" ht="15.95" customHeight="1" x14ac:dyDescent="0.2">
      <c r="O1442" s="225" t="s">
        <v>1279</v>
      </c>
    </row>
    <row r="1443" spans="15:15" ht="15.95" customHeight="1" x14ac:dyDescent="0.2">
      <c r="O1443" s="223" t="s">
        <v>1073</v>
      </c>
    </row>
    <row r="1444" spans="15:15" ht="15.95" customHeight="1" x14ac:dyDescent="0.2">
      <c r="O1444" s="225" t="s">
        <v>1380</v>
      </c>
    </row>
    <row r="1445" spans="15:15" ht="15.95" customHeight="1" x14ac:dyDescent="0.2">
      <c r="O1445" s="223" t="s">
        <v>1260</v>
      </c>
    </row>
    <row r="1446" spans="15:15" ht="15.95" customHeight="1" x14ac:dyDescent="0.2">
      <c r="O1446" s="225" t="s">
        <v>1261</v>
      </c>
    </row>
    <row r="1447" spans="15:15" ht="15.95" customHeight="1" x14ac:dyDescent="0.2">
      <c r="O1447" s="223" t="s">
        <v>1262</v>
      </c>
    </row>
    <row r="1448" spans="15:15" ht="15.95" customHeight="1" x14ac:dyDescent="0.2">
      <c r="O1448" s="225" t="s">
        <v>1263</v>
      </c>
    </row>
    <row r="1449" spans="15:15" ht="15.95" customHeight="1" x14ac:dyDescent="0.2">
      <c r="O1449" s="223" t="s">
        <v>1264</v>
      </c>
    </row>
    <row r="1450" spans="15:15" ht="15.95" customHeight="1" x14ac:dyDescent="0.2">
      <c r="O1450" s="225" t="s">
        <v>1265</v>
      </c>
    </row>
    <row r="1451" spans="15:15" ht="15.95" customHeight="1" x14ac:dyDescent="0.2">
      <c r="O1451" s="223" t="s">
        <v>1266</v>
      </c>
    </row>
    <row r="1452" spans="15:15" ht="15.95" customHeight="1" x14ac:dyDescent="0.2">
      <c r="O1452" s="225" t="s">
        <v>1267</v>
      </c>
    </row>
    <row r="1453" spans="15:15" ht="15.95" customHeight="1" x14ac:dyDescent="0.2">
      <c r="O1453" s="223" t="s">
        <v>1268</v>
      </c>
    </row>
    <row r="1454" spans="15:15" ht="15.95" customHeight="1" x14ac:dyDescent="0.2">
      <c r="O1454" s="225" t="s">
        <v>1269</v>
      </c>
    </row>
    <row r="1455" spans="15:15" ht="15.95" customHeight="1" x14ac:dyDescent="0.2">
      <c r="O1455" s="223" t="s">
        <v>1250</v>
      </c>
    </row>
    <row r="1456" spans="15:15" ht="15.95" customHeight="1" x14ac:dyDescent="0.2">
      <c r="O1456" s="225" t="s">
        <v>1251</v>
      </c>
    </row>
    <row r="1457" spans="15:15" ht="15.95" customHeight="1" x14ac:dyDescent="0.2">
      <c r="O1457" s="223" t="s">
        <v>1252</v>
      </c>
    </row>
    <row r="1458" spans="15:15" ht="15.95" customHeight="1" x14ac:dyDescent="0.2">
      <c r="O1458" s="225" t="s">
        <v>1253</v>
      </c>
    </row>
    <row r="1459" spans="15:15" ht="15.95" customHeight="1" x14ac:dyDescent="0.2">
      <c r="O1459" s="223" t="s">
        <v>1254</v>
      </c>
    </row>
    <row r="1460" spans="15:15" ht="15.95" customHeight="1" x14ac:dyDescent="0.2">
      <c r="O1460" s="225" t="s">
        <v>1255</v>
      </c>
    </row>
    <row r="1461" spans="15:15" ht="15.95" customHeight="1" x14ac:dyDescent="0.2">
      <c r="O1461" s="223" t="s">
        <v>1256</v>
      </c>
    </row>
    <row r="1462" spans="15:15" ht="15.95" customHeight="1" x14ac:dyDescent="0.2">
      <c r="O1462" s="225" t="s">
        <v>1257</v>
      </c>
    </row>
    <row r="1463" spans="15:15" ht="15.95" customHeight="1" x14ac:dyDescent="0.2">
      <c r="O1463" s="223" t="s">
        <v>1258</v>
      </c>
    </row>
    <row r="1464" spans="15:15" ht="15.95" customHeight="1" x14ac:dyDescent="0.2">
      <c r="O1464" s="225" t="s">
        <v>1259</v>
      </c>
    </row>
    <row r="1465" spans="15:15" ht="15.95" customHeight="1" x14ac:dyDescent="0.2">
      <c r="O1465" s="223" t="s">
        <v>1120</v>
      </c>
    </row>
    <row r="1466" spans="15:15" ht="15.95" customHeight="1" x14ac:dyDescent="0.2">
      <c r="O1466" s="225" t="s">
        <v>1386</v>
      </c>
    </row>
    <row r="1467" spans="15:15" ht="15.95" customHeight="1" x14ac:dyDescent="0.2">
      <c r="O1467" s="223" t="s">
        <v>1230</v>
      </c>
    </row>
    <row r="1468" spans="15:15" ht="15.95" customHeight="1" x14ac:dyDescent="0.2">
      <c r="O1468" s="225" t="s">
        <v>1231</v>
      </c>
    </row>
    <row r="1469" spans="15:15" ht="15.95" customHeight="1" x14ac:dyDescent="0.2">
      <c r="O1469" s="223" t="s">
        <v>1232</v>
      </c>
    </row>
    <row r="1470" spans="15:15" ht="15.95" customHeight="1" x14ac:dyDescent="0.2">
      <c r="O1470" s="225" t="s">
        <v>1233</v>
      </c>
    </row>
    <row r="1471" spans="15:15" ht="15.95" customHeight="1" x14ac:dyDescent="0.2">
      <c r="O1471" s="223" t="s">
        <v>1234</v>
      </c>
    </row>
    <row r="1472" spans="15:15" ht="15.95" customHeight="1" x14ac:dyDescent="0.2">
      <c r="O1472" s="225" t="s">
        <v>1235</v>
      </c>
    </row>
    <row r="1473" spans="15:15" ht="15.95" customHeight="1" x14ac:dyDescent="0.2">
      <c r="O1473" s="223" t="s">
        <v>1236</v>
      </c>
    </row>
    <row r="1474" spans="15:15" ht="15.95" customHeight="1" x14ac:dyDescent="0.2">
      <c r="O1474" s="225" t="s">
        <v>1237</v>
      </c>
    </row>
    <row r="1475" spans="15:15" ht="15.95" customHeight="1" x14ac:dyDescent="0.2">
      <c r="O1475" s="223" t="s">
        <v>1238</v>
      </c>
    </row>
    <row r="1476" spans="15:15" ht="15.95" customHeight="1" x14ac:dyDescent="0.2">
      <c r="O1476" s="225" t="s">
        <v>1239</v>
      </c>
    </row>
    <row r="1477" spans="15:15" ht="15.95" customHeight="1" x14ac:dyDescent="0.2">
      <c r="O1477" s="223" t="s">
        <v>1220</v>
      </c>
    </row>
    <row r="1478" spans="15:15" ht="15.95" customHeight="1" x14ac:dyDescent="0.2">
      <c r="O1478" s="225" t="s">
        <v>1221</v>
      </c>
    </row>
    <row r="1479" spans="15:15" ht="15.95" customHeight="1" x14ac:dyDescent="0.2">
      <c r="O1479" s="223" t="s">
        <v>1222</v>
      </c>
    </row>
    <row r="1480" spans="15:15" ht="15.95" customHeight="1" x14ac:dyDescent="0.2">
      <c r="O1480" s="225" t="s">
        <v>1223</v>
      </c>
    </row>
    <row r="1481" spans="15:15" ht="15.95" customHeight="1" x14ac:dyDescent="0.2">
      <c r="O1481" s="223" t="s">
        <v>1224</v>
      </c>
    </row>
    <row r="1482" spans="15:15" ht="15.95" customHeight="1" x14ac:dyDescent="0.2">
      <c r="O1482" s="225" t="s">
        <v>1225</v>
      </c>
    </row>
    <row r="1483" spans="15:15" ht="15.95" customHeight="1" x14ac:dyDescent="0.2">
      <c r="O1483" s="223" t="s">
        <v>1226</v>
      </c>
    </row>
    <row r="1484" spans="15:15" ht="15.95" customHeight="1" x14ac:dyDescent="0.2">
      <c r="O1484" s="225" t="s">
        <v>1227</v>
      </c>
    </row>
    <row r="1485" spans="15:15" ht="15.95" customHeight="1" x14ac:dyDescent="0.2">
      <c r="O1485" s="223" t="s">
        <v>1228</v>
      </c>
    </row>
    <row r="1486" spans="15:15" ht="15.95" customHeight="1" x14ac:dyDescent="0.2">
      <c r="O1486" s="225" t="s">
        <v>1229</v>
      </c>
    </row>
    <row r="1487" spans="15:15" ht="15.95" customHeight="1" x14ac:dyDescent="0.2">
      <c r="O1487" s="223" t="s">
        <v>1240</v>
      </c>
    </row>
    <row r="1488" spans="15:15" ht="15.95" customHeight="1" x14ac:dyDescent="0.2">
      <c r="O1488" s="225" t="s">
        <v>1241</v>
      </c>
    </row>
    <row r="1489" spans="15:15" ht="15.95" customHeight="1" x14ac:dyDescent="0.2">
      <c r="O1489" s="223" t="s">
        <v>1242</v>
      </c>
    </row>
    <row r="1490" spans="15:15" ht="15.95" customHeight="1" x14ac:dyDescent="0.2">
      <c r="O1490" s="225" t="s">
        <v>1243</v>
      </c>
    </row>
    <row r="1491" spans="15:15" ht="15.95" customHeight="1" x14ac:dyDescent="0.2">
      <c r="O1491" s="223" t="s">
        <v>1244</v>
      </c>
    </row>
    <row r="1492" spans="15:15" ht="15.95" customHeight="1" x14ac:dyDescent="0.2">
      <c r="O1492" s="225" t="s">
        <v>1245</v>
      </c>
    </row>
    <row r="1493" spans="15:15" ht="15.95" customHeight="1" x14ac:dyDescent="0.2">
      <c r="O1493" s="223" t="s">
        <v>1246</v>
      </c>
    </row>
    <row r="1494" spans="15:15" ht="15.95" customHeight="1" x14ac:dyDescent="0.2">
      <c r="O1494" s="225" t="s">
        <v>1247</v>
      </c>
    </row>
    <row r="1495" spans="15:15" ht="15.95" customHeight="1" x14ac:dyDescent="0.2">
      <c r="O1495" s="223" t="s">
        <v>1248</v>
      </c>
    </row>
    <row r="1496" spans="15:15" ht="15.95" customHeight="1" x14ac:dyDescent="0.2">
      <c r="O1496" s="225" t="s">
        <v>1249</v>
      </c>
    </row>
    <row r="1497" spans="15:15" ht="15.95" customHeight="1" x14ac:dyDescent="0.2">
      <c r="O1497" s="223" t="s">
        <v>1546</v>
      </c>
    </row>
    <row r="1498" spans="15:15" ht="15.95" customHeight="1" x14ac:dyDescent="0.2">
      <c r="O1498" s="225" t="s">
        <v>1413</v>
      </c>
    </row>
    <row r="1499" spans="15:15" ht="15.95" customHeight="1" x14ac:dyDescent="0.2">
      <c r="O1499" s="223" t="s">
        <v>1422</v>
      </c>
    </row>
    <row r="1500" spans="15:15" ht="15.95" customHeight="1" x14ac:dyDescent="0.2">
      <c r="O1500" s="225" t="s">
        <v>1550</v>
      </c>
    </row>
    <row r="1501" spans="15:15" ht="15.95" customHeight="1" x14ac:dyDescent="0.2">
      <c r="O1501" s="223" t="s">
        <v>1554</v>
      </c>
    </row>
    <row r="1502" spans="15:15" ht="15.95" customHeight="1" x14ac:dyDescent="0.2">
      <c r="O1502" s="225" t="s">
        <v>1555</v>
      </c>
    </row>
    <row r="1503" spans="15:15" ht="15.95" customHeight="1" x14ac:dyDescent="0.2">
      <c r="O1503" s="223" t="s">
        <v>1560</v>
      </c>
    </row>
    <row r="1504" spans="15:15" ht="15.95" customHeight="1" x14ac:dyDescent="0.2">
      <c r="O1504" s="225" t="s">
        <v>1445</v>
      </c>
    </row>
    <row r="1505" spans="15:15" ht="15.95" customHeight="1" x14ac:dyDescent="0.2">
      <c r="O1505" s="223" t="s">
        <v>1569</v>
      </c>
    </row>
    <row r="1506" spans="15:15" ht="15.95" customHeight="1" x14ac:dyDescent="0.2">
      <c r="O1506" s="225" t="s">
        <v>1572</v>
      </c>
    </row>
    <row r="1507" spans="15:15" ht="15.95" customHeight="1" x14ac:dyDescent="0.2">
      <c r="O1507" s="223" t="s">
        <v>1574</v>
      </c>
    </row>
    <row r="1508" spans="15:15" ht="15.95" customHeight="1" x14ac:dyDescent="0.2">
      <c r="O1508" s="225" t="s">
        <v>1575</v>
      </c>
    </row>
    <row r="1509" spans="15:15" ht="15.95" customHeight="1" x14ac:dyDescent="0.2">
      <c r="O1509" s="223" t="s">
        <v>1576</v>
      </c>
    </row>
    <row r="1510" spans="15:15" ht="15.95" customHeight="1" x14ac:dyDescent="0.2">
      <c r="O1510" s="225" t="s">
        <v>1634</v>
      </c>
    </row>
    <row r="1511" spans="15:15" ht="15.95" customHeight="1" x14ac:dyDescent="0.2">
      <c r="O1511" s="223" t="s">
        <v>1678</v>
      </c>
    </row>
    <row r="1512" spans="15:15" ht="15.95" customHeight="1" x14ac:dyDescent="0.2">
      <c r="O1512" s="225" t="s">
        <v>1716</v>
      </c>
    </row>
    <row r="1513" spans="15:15" ht="15.95" customHeight="1" x14ac:dyDescent="0.2">
      <c r="O1513" s="223" t="s">
        <v>1777</v>
      </c>
    </row>
    <row r="1514" spans="15:15" ht="15.95" customHeight="1" x14ac:dyDescent="0.2">
      <c r="O1514" s="225" t="s">
        <v>11</v>
      </c>
    </row>
    <row r="1515" spans="15:15" ht="15.95" customHeight="1" x14ac:dyDescent="0.2">
      <c r="O1515" s="223" t="s">
        <v>20</v>
      </c>
    </row>
    <row r="1516" spans="15:15" ht="15.95" customHeight="1" x14ac:dyDescent="0.2">
      <c r="O1516" s="225" t="s">
        <v>21</v>
      </c>
    </row>
    <row r="1517" spans="15:15" ht="15.95" customHeight="1" x14ac:dyDescent="0.2">
      <c r="O1517" s="223" t="s">
        <v>26</v>
      </c>
    </row>
    <row r="1518" spans="15:15" ht="15.95" customHeight="1" x14ac:dyDescent="0.2">
      <c r="O1518" s="225" t="s">
        <v>27</v>
      </c>
    </row>
    <row r="1519" spans="15:15" ht="15.95" customHeight="1" x14ac:dyDescent="0.2">
      <c r="O1519" s="223" t="s">
        <v>28</v>
      </c>
    </row>
    <row r="1520" spans="15:15" ht="15.95" customHeight="1" x14ac:dyDescent="0.2">
      <c r="O1520" s="225" t="s">
        <v>29</v>
      </c>
    </row>
    <row r="1521" spans="15:15" ht="15.95" customHeight="1" x14ac:dyDescent="0.2">
      <c r="O1521" s="223" t="s">
        <v>24</v>
      </c>
    </row>
    <row r="1522" spans="15:15" ht="15.95" customHeight="1" x14ac:dyDescent="0.2">
      <c r="O1522" s="225" t="s">
        <v>23</v>
      </c>
    </row>
    <row r="1523" spans="15:15" ht="15.95" customHeight="1" x14ac:dyDescent="0.2">
      <c r="O1523" s="223" t="s">
        <v>25</v>
      </c>
    </row>
    <row r="1524" spans="15:15" ht="15.95" customHeight="1" x14ac:dyDescent="0.2">
      <c r="O1524" s="225" t="s">
        <v>12</v>
      </c>
    </row>
    <row r="1525" spans="15:15" ht="15.95" customHeight="1" x14ac:dyDescent="0.2">
      <c r="O1525" s="223" t="s">
        <v>13</v>
      </c>
    </row>
    <row r="1526" spans="15:15" ht="15.95" customHeight="1" x14ac:dyDescent="0.2">
      <c r="O1526" s="225" t="s">
        <v>14</v>
      </c>
    </row>
    <row r="1527" spans="15:15" ht="15.95" customHeight="1" x14ac:dyDescent="0.2">
      <c r="O1527" s="223" t="s">
        <v>22</v>
      </c>
    </row>
    <row r="1528" spans="15:15" ht="15.95" customHeight="1" x14ac:dyDescent="0.2">
      <c r="O1528" s="225" t="s">
        <v>15</v>
      </c>
    </row>
    <row r="1529" spans="15:15" ht="15.95" customHeight="1" x14ac:dyDescent="0.2">
      <c r="O1529" s="223" t="s">
        <v>16</v>
      </c>
    </row>
    <row r="1530" spans="15:15" ht="15.95" customHeight="1" x14ac:dyDescent="0.2">
      <c r="O1530" s="225" t="s">
        <v>17</v>
      </c>
    </row>
    <row r="1531" spans="15:15" ht="15.95" customHeight="1" x14ac:dyDescent="0.2">
      <c r="O1531" s="223" t="s">
        <v>18</v>
      </c>
    </row>
    <row r="1532" spans="15:15" ht="15.95" customHeight="1" x14ac:dyDescent="0.2">
      <c r="O1532" s="390" t="s">
        <v>19</v>
      </c>
    </row>
    <row r="1533" spans="15:15" ht="15.95" customHeight="1" x14ac:dyDescent="0.2">
      <c r="O1533" s="223"/>
    </row>
  </sheetData>
  <sheetProtection algorithmName="SHA-512" hashValue="8rD3J7J5SvMDPhZMGYPzYSyhZ8BUsz5YyWrEHCFj3qfsh3RS8w8aX2MoXVzDK6454q3xpQEHpfZwbpPbtruJsQ==" saltValue="2fRN8VmbDg7qgLFP3qLC8g==" spinCount="100000" sheet="1" objects="1" scenarios="1" selectLockedCells="1"/>
  <autoFilter ref="A8:J878">
    <sortState ref="A9:J946">
      <sortCondition descending="1" ref="E8"/>
    </sortState>
  </autoFilter>
  <conditionalFormatting sqref="B879:B1048576 B2 B7 B4">
    <cfRule type="duplicateValues" dxfId="443" priority="378"/>
  </conditionalFormatting>
  <conditionalFormatting sqref="B3">
    <cfRule type="duplicateValues" dxfId="442" priority="376"/>
  </conditionalFormatting>
  <conditionalFormatting sqref="B11:B143">
    <cfRule type="duplicateValues" dxfId="441" priority="373"/>
  </conditionalFormatting>
  <conditionalFormatting sqref="B187">
    <cfRule type="duplicateValues" dxfId="440" priority="372"/>
  </conditionalFormatting>
  <conditionalFormatting sqref="G867:G868 G844:G857 D838 G831:G836 G819:G820 D820 D812 G811:G816 G787:G803 D775 G769:G776 G764:G767 G754:G756 D752 G745:G752 G734:G736 G722:G727 G702:G711 D685 D683 G685 G679:G682 D659 D656 G641:G648 G654:G659 D651 G638 G634:G636 G625:G630">
    <cfRule type="cellIs" dxfId="439" priority="368" stopIfTrue="1" operator="equal">
      <formula>0</formula>
    </cfRule>
    <cfRule type="cellIs" dxfId="438" priority="369" stopIfTrue="1" operator="equal">
      <formula>#N/A</formula>
    </cfRule>
  </conditionalFormatting>
  <conditionalFormatting sqref="D631:D632">
    <cfRule type="cellIs" dxfId="437" priority="370" stopIfTrue="1" operator="equal">
      <formula>0</formula>
    </cfRule>
    <cfRule type="cellIs" dxfId="436" priority="371" stopIfTrue="1" operator="equal">
      <formula>#N/A</formula>
    </cfRule>
  </conditionalFormatting>
  <conditionalFormatting sqref="D625">
    <cfRule type="cellIs" dxfId="435" priority="366" stopIfTrue="1" operator="equal">
      <formula>0</formula>
    </cfRule>
    <cfRule type="cellIs" dxfId="434" priority="367" stopIfTrue="1" operator="equal">
      <formula>#N/A</formula>
    </cfRule>
  </conditionalFormatting>
  <conditionalFormatting sqref="D626">
    <cfRule type="cellIs" dxfId="433" priority="364" stopIfTrue="1" operator="equal">
      <formula>0</formula>
    </cfRule>
    <cfRule type="cellIs" dxfId="432" priority="365" stopIfTrue="1" operator="equal">
      <formula>#N/A</formula>
    </cfRule>
  </conditionalFormatting>
  <conditionalFormatting sqref="D627">
    <cfRule type="cellIs" dxfId="431" priority="362" stopIfTrue="1" operator="equal">
      <formula>0</formula>
    </cfRule>
    <cfRule type="cellIs" dxfId="430" priority="363" stopIfTrue="1" operator="equal">
      <formula>#N/A</formula>
    </cfRule>
  </conditionalFormatting>
  <conditionalFormatting sqref="D628">
    <cfRule type="cellIs" dxfId="429" priority="360" stopIfTrue="1" operator="equal">
      <formula>0</formula>
    </cfRule>
    <cfRule type="cellIs" dxfId="428" priority="361" stopIfTrue="1" operator="equal">
      <formula>#N/A</formula>
    </cfRule>
  </conditionalFormatting>
  <conditionalFormatting sqref="D629">
    <cfRule type="cellIs" dxfId="427" priority="358" stopIfTrue="1" operator="equal">
      <formula>0</formula>
    </cfRule>
    <cfRule type="cellIs" dxfId="426" priority="359" stopIfTrue="1" operator="equal">
      <formula>#N/A</formula>
    </cfRule>
  </conditionalFormatting>
  <conditionalFormatting sqref="D630">
    <cfRule type="cellIs" dxfId="425" priority="356" stopIfTrue="1" operator="equal">
      <formula>0</formula>
    </cfRule>
    <cfRule type="cellIs" dxfId="424" priority="357" stopIfTrue="1" operator="equal">
      <formula>#N/A</formula>
    </cfRule>
  </conditionalFormatting>
  <conditionalFormatting sqref="D633">
    <cfRule type="cellIs" dxfId="423" priority="354" stopIfTrue="1" operator="equal">
      <formula>0</formula>
    </cfRule>
    <cfRule type="cellIs" dxfId="422" priority="355" stopIfTrue="1" operator="equal">
      <formula>#N/A</formula>
    </cfRule>
  </conditionalFormatting>
  <conditionalFormatting sqref="D634">
    <cfRule type="cellIs" dxfId="421" priority="352" stopIfTrue="1" operator="equal">
      <formula>0</formula>
    </cfRule>
    <cfRule type="cellIs" dxfId="420" priority="353" stopIfTrue="1" operator="equal">
      <formula>#N/A</formula>
    </cfRule>
  </conditionalFormatting>
  <conditionalFormatting sqref="D635">
    <cfRule type="cellIs" dxfId="419" priority="350" stopIfTrue="1" operator="equal">
      <formula>0</formula>
    </cfRule>
    <cfRule type="cellIs" dxfId="418" priority="351" stopIfTrue="1" operator="equal">
      <formula>#N/A</formula>
    </cfRule>
  </conditionalFormatting>
  <conditionalFormatting sqref="D636">
    <cfRule type="cellIs" dxfId="417" priority="348" stopIfTrue="1" operator="equal">
      <formula>0</formula>
    </cfRule>
    <cfRule type="cellIs" dxfId="416" priority="349" stopIfTrue="1" operator="equal">
      <formula>#N/A</formula>
    </cfRule>
  </conditionalFormatting>
  <conditionalFormatting sqref="D637">
    <cfRule type="cellIs" dxfId="415" priority="346" stopIfTrue="1" operator="equal">
      <formula>0</formula>
    </cfRule>
    <cfRule type="cellIs" dxfId="414" priority="347" stopIfTrue="1" operator="equal">
      <formula>#N/A</formula>
    </cfRule>
  </conditionalFormatting>
  <conditionalFormatting sqref="D638">
    <cfRule type="cellIs" dxfId="413" priority="344" stopIfTrue="1" operator="equal">
      <formula>0</formula>
    </cfRule>
    <cfRule type="cellIs" dxfId="412" priority="345" stopIfTrue="1" operator="equal">
      <formula>#N/A</formula>
    </cfRule>
  </conditionalFormatting>
  <conditionalFormatting sqref="D654:D655">
    <cfRule type="cellIs" dxfId="411" priority="342" stopIfTrue="1" operator="equal">
      <formula>0</formula>
    </cfRule>
    <cfRule type="cellIs" dxfId="410" priority="343" stopIfTrue="1" operator="equal">
      <formula>#N/A</formula>
    </cfRule>
  </conditionalFormatting>
  <conditionalFormatting sqref="D652:D653">
    <cfRule type="cellIs" dxfId="409" priority="340" stopIfTrue="1" operator="equal">
      <formula>0</formula>
    </cfRule>
    <cfRule type="cellIs" dxfId="408" priority="341" stopIfTrue="1" operator="equal">
      <formula>#N/A</formula>
    </cfRule>
  </conditionalFormatting>
  <conditionalFormatting sqref="D657">
    <cfRule type="cellIs" dxfId="407" priority="338" stopIfTrue="1" operator="equal">
      <formula>0</formula>
    </cfRule>
    <cfRule type="cellIs" dxfId="406" priority="339" stopIfTrue="1" operator="equal">
      <formula>#N/A</formula>
    </cfRule>
  </conditionalFormatting>
  <conditionalFormatting sqref="D658">
    <cfRule type="cellIs" dxfId="405" priority="336" stopIfTrue="1" operator="equal">
      <formula>0</formula>
    </cfRule>
    <cfRule type="cellIs" dxfId="404" priority="337" stopIfTrue="1" operator="equal">
      <formula>#N/A</formula>
    </cfRule>
  </conditionalFormatting>
  <conditionalFormatting sqref="D639">
    <cfRule type="cellIs" dxfId="403" priority="334" stopIfTrue="1" operator="equal">
      <formula>0</formula>
    </cfRule>
    <cfRule type="cellIs" dxfId="402" priority="335" stopIfTrue="1" operator="equal">
      <formula>#N/A</formula>
    </cfRule>
  </conditionalFormatting>
  <conditionalFormatting sqref="D640">
    <cfRule type="cellIs" dxfId="401" priority="332" stopIfTrue="1" operator="equal">
      <formula>0</formula>
    </cfRule>
    <cfRule type="cellIs" dxfId="400" priority="333" stopIfTrue="1" operator="equal">
      <formula>#N/A</formula>
    </cfRule>
  </conditionalFormatting>
  <conditionalFormatting sqref="D641">
    <cfRule type="cellIs" dxfId="399" priority="330" stopIfTrue="1" operator="equal">
      <formula>0</formula>
    </cfRule>
    <cfRule type="cellIs" dxfId="398" priority="331" stopIfTrue="1" operator="equal">
      <formula>#N/A</formula>
    </cfRule>
  </conditionalFormatting>
  <conditionalFormatting sqref="D642">
    <cfRule type="cellIs" dxfId="397" priority="328" stopIfTrue="1" operator="equal">
      <formula>0</formula>
    </cfRule>
    <cfRule type="cellIs" dxfId="396" priority="329" stopIfTrue="1" operator="equal">
      <formula>#N/A</formula>
    </cfRule>
  </conditionalFormatting>
  <conditionalFormatting sqref="D644">
    <cfRule type="cellIs" dxfId="395" priority="326" stopIfTrue="1" operator="equal">
      <formula>0</formula>
    </cfRule>
    <cfRule type="cellIs" dxfId="394" priority="327" stopIfTrue="1" operator="equal">
      <formula>#N/A</formula>
    </cfRule>
  </conditionalFormatting>
  <conditionalFormatting sqref="D645">
    <cfRule type="cellIs" dxfId="393" priority="324" stopIfTrue="1" operator="equal">
      <formula>0</formula>
    </cfRule>
    <cfRule type="cellIs" dxfId="392" priority="325" stopIfTrue="1" operator="equal">
      <formula>#N/A</formula>
    </cfRule>
  </conditionalFormatting>
  <conditionalFormatting sqref="D643">
    <cfRule type="cellIs" dxfId="391" priority="322" stopIfTrue="1" operator="equal">
      <formula>0</formula>
    </cfRule>
    <cfRule type="cellIs" dxfId="390" priority="323" stopIfTrue="1" operator="equal">
      <formula>#N/A</formula>
    </cfRule>
  </conditionalFormatting>
  <conditionalFormatting sqref="D646">
    <cfRule type="cellIs" dxfId="389" priority="320" stopIfTrue="1" operator="equal">
      <formula>0</formula>
    </cfRule>
    <cfRule type="cellIs" dxfId="388" priority="321" stopIfTrue="1" operator="equal">
      <formula>#N/A</formula>
    </cfRule>
  </conditionalFormatting>
  <conditionalFormatting sqref="D648">
    <cfRule type="cellIs" dxfId="387" priority="318" stopIfTrue="1" operator="equal">
      <formula>0</formula>
    </cfRule>
    <cfRule type="cellIs" dxfId="386" priority="319" stopIfTrue="1" operator="equal">
      <formula>#N/A</formula>
    </cfRule>
  </conditionalFormatting>
  <conditionalFormatting sqref="D647">
    <cfRule type="cellIs" dxfId="385" priority="316" stopIfTrue="1" operator="equal">
      <formula>0</formula>
    </cfRule>
    <cfRule type="cellIs" dxfId="384" priority="317" stopIfTrue="1" operator="equal">
      <formula>#N/A</formula>
    </cfRule>
  </conditionalFormatting>
  <conditionalFormatting sqref="D649">
    <cfRule type="cellIs" dxfId="383" priority="314" stopIfTrue="1" operator="equal">
      <formula>0</formula>
    </cfRule>
    <cfRule type="cellIs" dxfId="382" priority="315" stopIfTrue="1" operator="equal">
      <formula>#N/A</formula>
    </cfRule>
  </conditionalFormatting>
  <conditionalFormatting sqref="D650">
    <cfRule type="cellIs" dxfId="381" priority="312" stopIfTrue="1" operator="equal">
      <formula>0</formula>
    </cfRule>
    <cfRule type="cellIs" dxfId="380" priority="313" stopIfTrue="1" operator="equal">
      <formula>#N/A</formula>
    </cfRule>
  </conditionalFormatting>
  <conditionalFormatting sqref="D661">
    <cfRule type="cellIs" dxfId="379" priority="310" stopIfTrue="1" operator="equal">
      <formula>0</formula>
    </cfRule>
    <cfRule type="cellIs" dxfId="378" priority="311" stopIfTrue="1" operator="equal">
      <formula>#N/A</formula>
    </cfRule>
  </conditionalFormatting>
  <conditionalFormatting sqref="D660">
    <cfRule type="cellIs" dxfId="377" priority="308" stopIfTrue="1" operator="equal">
      <formula>0</formula>
    </cfRule>
    <cfRule type="cellIs" dxfId="376" priority="309" stopIfTrue="1" operator="equal">
      <formula>#N/A</formula>
    </cfRule>
  </conditionalFormatting>
  <conditionalFormatting sqref="D662">
    <cfRule type="cellIs" dxfId="375" priority="306" stopIfTrue="1" operator="equal">
      <formula>0</formula>
    </cfRule>
    <cfRule type="cellIs" dxfId="374" priority="307" stopIfTrue="1" operator="equal">
      <formula>#N/A</formula>
    </cfRule>
  </conditionalFormatting>
  <conditionalFormatting sqref="D664">
    <cfRule type="cellIs" dxfId="373" priority="304" stopIfTrue="1" operator="equal">
      <formula>0</formula>
    </cfRule>
    <cfRule type="cellIs" dxfId="372" priority="305" stopIfTrue="1" operator="equal">
      <formula>#N/A</formula>
    </cfRule>
  </conditionalFormatting>
  <conditionalFormatting sqref="D665">
    <cfRule type="cellIs" dxfId="371" priority="302" stopIfTrue="1" operator="equal">
      <formula>0</formula>
    </cfRule>
    <cfRule type="cellIs" dxfId="370" priority="303" stopIfTrue="1" operator="equal">
      <formula>#N/A</formula>
    </cfRule>
  </conditionalFormatting>
  <conditionalFormatting sqref="D666">
    <cfRule type="cellIs" dxfId="369" priority="300" stopIfTrue="1" operator="equal">
      <formula>0</formula>
    </cfRule>
    <cfRule type="cellIs" dxfId="368" priority="301" stopIfTrue="1" operator="equal">
      <formula>#N/A</formula>
    </cfRule>
  </conditionalFormatting>
  <conditionalFormatting sqref="D663">
    <cfRule type="cellIs" dxfId="367" priority="298" stopIfTrue="1" operator="equal">
      <formula>0</formula>
    </cfRule>
    <cfRule type="cellIs" dxfId="366" priority="299" stopIfTrue="1" operator="equal">
      <formula>#N/A</formula>
    </cfRule>
  </conditionalFormatting>
  <conditionalFormatting sqref="D667">
    <cfRule type="cellIs" dxfId="365" priority="296" stopIfTrue="1" operator="equal">
      <formula>0</formula>
    </cfRule>
    <cfRule type="cellIs" dxfId="364" priority="297" stopIfTrue="1" operator="equal">
      <formula>#N/A</formula>
    </cfRule>
  </conditionalFormatting>
  <conditionalFormatting sqref="D679:D680">
    <cfRule type="cellIs" dxfId="363" priority="294" stopIfTrue="1" operator="equal">
      <formula>0</formula>
    </cfRule>
    <cfRule type="cellIs" dxfId="362" priority="295" stopIfTrue="1" operator="equal">
      <formula>#N/A</formula>
    </cfRule>
  </conditionalFormatting>
  <conditionalFormatting sqref="D671:D672">
    <cfRule type="cellIs" dxfId="361" priority="292" stopIfTrue="1" operator="equal">
      <formula>0</formula>
    </cfRule>
    <cfRule type="cellIs" dxfId="360" priority="293" stopIfTrue="1" operator="equal">
      <formula>#N/A</formula>
    </cfRule>
  </conditionalFormatting>
  <conditionalFormatting sqref="D669:D670">
    <cfRule type="cellIs" dxfId="359" priority="290" stopIfTrue="1" operator="equal">
      <formula>0</formula>
    </cfRule>
    <cfRule type="cellIs" dxfId="358" priority="291" stopIfTrue="1" operator="equal">
      <formula>#N/A</formula>
    </cfRule>
  </conditionalFormatting>
  <conditionalFormatting sqref="D668">
    <cfRule type="cellIs" dxfId="357" priority="288" stopIfTrue="1" operator="equal">
      <formula>0</formula>
    </cfRule>
    <cfRule type="cellIs" dxfId="356" priority="289" stopIfTrue="1" operator="equal">
      <formula>#N/A</formula>
    </cfRule>
  </conditionalFormatting>
  <conditionalFormatting sqref="D673">
    <cfRule type="cellIs" dxfId="355" priority="286" stopIfTrue="1" operator="equal">
      <formula>0</formula>
    </cfRule>
    <cfRule type="cellIs" dxfId="354" priority="287" stopIfTrue="1" operator="equal">
      <formula>#N/A</formula>
    </cfRule>
  </conditionalFormatting>
  <conditionalFormatting sqref="D674">
    <cfRule type="cellIs" dxfId="353" priority="284" stopIfTrue="1" operator="equal">
      <formula>0</formula>
    </cfRule>
    <cfRule type="cellIs" dxfId="352" priority="285" stopIfTrue="1" operator="equal">
      <formula>#N/A</formula>
    </cfRule>
  </conditionalFormatting>
  <conditionalFormatting sqref="D675">
    <cfRule type="cellIs" dxfId="351" priority="282" stopIfTrue="1" operator="equal">
      <formula>0</formula>
    </cfRule>
    <cfRule type="cellIs" dxfId="350" priority="283" stopIfTrue="1" operator="equal">
      <formula>#N/A</formula>
    </cfRule>
  </conditionalFormatting>
  <conditionalFormatting sqref="D676">
    <cfRule type="cellIs" dxfId="349" priority="280" stopIfTrue="1" operator="equal">
      <formula>0</formula>
    </cfRule>
    <cfRule type="cellIs" dxfId="348" priority="281" stopIfTrue="1" operator="equal">
      <formula>#N/A</formula>
    </cfRule>
  </conditionalFormatting>
  <conditionalFormatting sqref="D677">
    <cfRule type="cellIs" dxfId="347" priority="278" stopIfTrue="1" operator="equal">
      <formula>0</formula>
    </cfRule>
    <cfRule type="cellIs" dxfId="346" priority="279" stopIfTrue="1" operator="equal">
      <formula>#N/A</formula>
    </cfRule>
  </conditionalFormatting>
  <conditionalFormatting sqref="D678">
    <cfRule type="cellIs" dxfId="345" priority="276" stopIfTrue="1" operator="equal">
      <formula>0</formula>
    </cfRule>
    <cfRule type="cellIs" dxfId="344" priority="277" stopIfTrue="1" operator="equal">
      <formula>#N/A</formula>
    </cfRule>
  </conditionalFormatting>
  <conditionalFormatting sqref="D681">
    <cfRule type="cellIs" dxfId="343" priority="274" stopIfTrue="1" operator="equal">
      <formula>0</formula>
    </cfRule>
    <cfRule type="cellIs" dxfId="342" priority="275" stopIfTrue="1" operator="equal">
      <formula>#N/A</formula>
    </cfRule>
  </conditionalFormatting>
  <conditionalFormatting sqref="D684">
    <cfRule type="cellIs" dxfId="341" priority="272" stopIfTrue="1" operator="equal">
      <formula>0</formula>
    </cfRule>
    <cfRule type="cellIs" dxfId="340" priority="273" stopIfTrue="1" operator="equal">
      <formula>#N/A</formula>
    </cfRule>
  </conditionalFormatting>
  <conditionalFormatting sqref="D682">
    <cfRule type="cellIs" dxfId="339" priority="270" stopIfTrue="1" operator="equal">
      <formula>0</formula>
    </cfRule>
    <cfRule type="cellIs" dxfId="338" priority="271" stopIfTrue="1" operator="equal">
      <formula>#N/A</formula>
    </cfRule>
  </conditionalFormatting>
  <conditionalFormatting sqref="D692">
    <cfRule type="cellIs" dxfId="337" priority="268" stopIfTrue="1" operator="equal">
      <formula>0</formula>
    </cfRule>
    <cfRule type="cellIs" dxfId="336" priority="269" stopIfTrue="1" operator="equal">
      <formula>#N/A</formula>
    </cfRule>
  </conditionalFormatting>
  <conditionalFormatting sqref="D690:D691">
    <cfRule type="cellIs" dxfId="335" priority="266" stopIfTrue="1" operator="equal">
      <formula>0</formula>
    </cfRule>
    <cfRule type="cellIs" dxfId="334" priority="267" stopIfTrue="1" operator="equal">
      <formula>#N/A</formula>
    </cfRule>
  </conditionalFormatting>
  <conditionalFormatting sqref="D688:D689">
    <cfRule type="cellIs" dxfId="333" priority="264" stopIfTrue="1" operator="equal">
      <formula>0</formula>
    </cfRule>
    <cfRule type="cellIs" dxfId="332" priority="265" stopIfTrue="1" operator="equal">
      <formula>#N/A</formula>
    </cfRule>
  </conditionalFormatting>
  <conditionalFormatting sqref="D686:D687">
    <cfRule type="cellIs" dxfId="331" priority="262" stopIfTrue="1" operator="equal">
      <formula>0</formula>
    </cfRule>
    <cfRule type="cellIs" dxfId="330" priority="263" stopIfTrue="1" operator="equal">
      <formula>#N/A</formula>
    </cfRule>
  </conditionalFormatting>
  <conditionalFormatting sqref="D696">
    <cfRule type="cellIs" dxfId="329" priority="260" stopIfTrue="1" operator="equal">
      <formula>0</formula>
    </cfRule>
    <cfRule type="cellIs" dxfId="328" priority="261" stopIfTrue="1" operator="equal">
      <formula>#N/A</formula>
    </cfRule>
  </conditionalFormatting>
  <conditionalFormatting sqref="D693:D694">
    <cfRule type="cellIs" dxfId="327" priority="258" stopIfTrue="1" operator="equal">
      <formula>0</formula>
    </cfRule>
    <cfRule type="cellIs" dxfId="326" priority="259" stopIfTrue="1" operator="equal">
      <formula>#N/A</formula>
    </cfRule>
  </conditionalFormatting>
  <conditionalFormatting sqref="D695">
    <cfRule type="cellIs" dxfId="325" priority="256" stopIfTrue="1" operator="equal">
      <formula>0</formula>
    </cfRule>
    <cfRule type="cellIs" dxfId="324" priority="257" stopIfTrue="1" operator="equal">
      <formula>#N/A</formula>
    </cfRule>
  </conditionalFormatting>
  <conditionalFormatting sqref="D702:D703">
    <cfRule type="cellIs" dxfId="323" priority="254" stopIfTrue="1" operator="equal">
      <formula>0</formula>
    </cfRule>
    <cfRule type="cellIs" dxfId="322" priority="255" stopIfTrue="1" operator="equal">
      <formula>#N/A</formula>
    </cfRule>
  </conditionalFormatting>
  <conditionalFormatting sqref="D697:D698">
    <cfRule type="cellIs" dxfId="321" priority="252" stopIfTrue="1" operator="equal">
      <formula>0</formula>
    </cfRule>
    <cfRule type="cellIs" dxfId="320" priority="253" stopIfTrue="1" operator="equal">
      <formula>#N/A</formula>
    </cfRule>
  </conditionalFormatting>
  <conditionalFormatting sqref="D699:D700">
    <cfRule type="cellIs" dxfId="319" priority="250" stopIfTrue="1" operator="equal">
      <formula>0</formula>
    </cfRule>
    <cfRule type="cellIs" dxfId="318" priority="251" stopIfTrue="1" operator="equal">
      <formula>#N/A</formula>
    </cfRule>
  </conditionalFormatting>
  <conditionalFormatting sqref="D701">
    <cfRule type="cellIs" dxfId="317" priority="248" stopIfTrue="1" operator="equal">
      <formula>0</formula>
    </cfRule>
    <cfRule type="cellIs" dxfId="316" priority="249" stopIfTrue="1" operator="equal">
      <formula>#N/A</formula>
    </cfRule>
  </conditionalFormatting>
  <conditionalFormatting sqref="D704">
    <cfRule type="cellIs" dxfId="315" priority="246" stopIfTrue="1" operator="equal">
      <formula>0</formula>
    </cfRule>
    <cfRule type="cellIs" dxfId="314" priority="247" stopIfTrue="1" operator="equal">
      <formula>#N/A</formula>
    </cfRule>
  </conditionalFormatting>
  <conditionalFormatting sqref="D705:D706">
    <cfRule type="cellIs" dxfId="313" priority="244" stopIfTrue="1" operator="equal">
      <formula>0</formula>
    </cfRule>
    <cfRule type="cellIs" dxfId="312" priority="245" stopIfTrue="1" operator="equal">
      <formula>#N/A</formula>
    </cfRule>
  </conditionalFormatting>
  <conditionalFormatting sqref="D707">
    <cfRule type="cellIs" dxfId="311" priority="242" stopIfTrue="1" operator="equal">
      <formula>0</formula>
    </cfRule>
    <cfRule type="cellIs" dxfId="310" priority="243" stopIfTrue="1" operator="equal">
      <formula>#N/A</formula>
    </cfRule>
  </conditionalFormatting>
  <conditionalFormatting sqref="D712">
    <cfRule type="cellIs" dxfId="309" priority="240" stopIfTrue="1" operator="equal">
      <formula>0</formula>
    </cfRule>
    <cfRule type="cellIs" dxfId="308" priority="241" stopIfTrue="1" operator="equal">
      <formula>#N/A</formula>
    </cfRule>
  </conditionalFormatting>
  <conditionalFormatting sqref="D711">
    <cfRule type="cellIs" dxfId="307" priority="238" stopIfTrue="1" operator="equal">
      <formula>0</formula>
    </cfRule>
    <cfRule type="cellIs" dxfId="306" priority="239" stopIfTrue="1" operator="equal">
      <formula>#N/A</formula>
    </cfRule>
  </conditionalFormatting>
  <conditionalFormatting sqref="D708:D709">
    <cfRule type="cellIs" dxfId="305" priority="236" stopIfTrue="1" operator="equal">
      <formula>0</formula>
    </cfRule>
    <cfRule type="cellIs" dxfId="304" priority="237" stopIfTrue="1" operator="equal">
      <formula>#N/A</formula>
    </cfRule>
  </conditionalFormatting>
  <conditionalFormatting sqref="D710">
    <cfRule type="cellIs" dxfId="303" priority="234" stopIfTrue="1" operator="equal">
      <formula>0</formula>
    </cfRule>
    <cfRule type="cellIs" dxfId="302" priority="235" stopIfTrue="1" operator="equal">
      <formula>#N/A</formula>
    </cfRule>
  </conditionalFormatting>
  <conditionalFormatting sqref="D725">
    <cfRule type="cellIs" dxfId="301" priority="232" stopIfTrue="1" operator="equal">
      <formula>0</formula>
    </cfRule>
    <cfRule type="cellIs" dxfId="300" priority="233" stopIfTrue="1" operator="equal">
      <formula>#N/A</formula>
    </cfRule>
  </conditionalFormatting>
  <conditionalFormatting sqref="D722:D723">
    <cfRule type="cellIs" dxfId="299" priority="230" stopIfTrue="1" operator="equal">
      <formula>0</formula>
    </cfRule>
    <cfRule type="cellIs" dxfId="298" priority="231" stopIfTrue="1" operator="equal">
      <formula>#N/A</formula>
    </cfRule>
  </conditionalFormatting>
  <conditionalFormatting sqref="D715:D716">
    <cfRule type="cellIs" dxfId="297" priority="228" stopIfTrue="1" operator="equal">
      <formula>0</formula>
    </cfRule>
    <cfRule type="cellIs" dxfId="296" priority="229" stopIfTrue="1" operator="equal">
      <formula>#N/A</formula>
    </cfRule>
  </conditionalFormatting>
  <conditionalFormatting sqref="D713:D714">
    <cfRule type="cellIs" dxfId="295" priority="226" stopIfTrue="1" operator="equal">
      <formula>0</formula>
    </cfRule>
    <cfRule type="cellIs" dxfId="294" priority="227" stopIfTrue="1" operator="equal">
      <formula>#N/A</formula>
    </cfRule>
  </conditionalFormatting>
  <conditionalFormatting sqref="D726">
    <cfRule type="cellIs" dxfId="293" priority="224" stopIfTrue="1" operator="equal">
      <formula>0</formula>
    </cfRule>
    <cfRule type="cellIs" dxfId="292" priority="225" stopIfTrue="1" operator="equal">
      <formula>#N/A</formula>
    </cfRule>
  </conditionalFormatting>
  <conditionalFormatting sqref="D717">
    <cfRule type="cellIs" dxfId="291" priority="222" stopIfTrue="1" operator="equal">
      <formula>0</formula>
    </cfRule>
    <cfRule type="cellIs" dxfId="290" priority="223" stopIfTrue="1" operator="equal">
      <formula>#N/A</formula>
    </cfRule>
  </conditionalFormatting>
  <conditionalFormatting sqref="D718">
    <cfRule type="cellIs" dxfId="289" priority="220" stopIfTrue="1" operator="equal">
      <formula>0</formula>
    </cfRule>
    <cfRule type="cellIs" dxfId="288" priority="221" stopIfTrue="1" operator="equal">
      <formula>#N/A</formula>
    </cfRule>
  </conditionalFormatting>
  <conditionalFormatting sqref="D719">
    <cfRule type="cellIs" dxfId="287" priority="218" stopIfTrue="1" operator="equal">
      <formula>0</formula>
    </cfRule>
    <cfRule type="cellIs" dxfId="286" priority="219" stopIfTrue="1" operator="equal">
      <formula>#N/A</formula>
    </cfRule>
  </conditionalFormatting>
  <conditionalFormatting sqref="D720">
    <cfRule type="cellIs" dxfId="285" priority="216" stopIfTrue="1" operator="equal">
      <formula>0</formula>
    </cfRule>
    <cfRule type="cellIs" dxfId="284" priority="217" stopIfTrue="1" operator="equal">
      <formula>#N/A</formula>
    </cfRule>
  </conditionalFormatting>
  <conditionalFormatting sqref="D721">
    <cfRule type="cellIs" dxfId="283" priority="214" stopIfTrue="1" operator="equal">
      <formula>0</formula>
    </cfRule>
    <cfRule type="cellIs" dxfId="282" priority="215" stopIfTrue="1" operator="equal">
      <formula>#N/A</formula>
    </cfRule>
  </conditionalFormatting>
  <conditionalFormatting sqref="D724">
    <cfRule type="cellIs" dxfId="281" priority="212" stopIfTrue="1" operator="equal">
      <formula>0</formula>
    </cfRule>
    <cfRule type="cellIs" dxfId="280" priority="213" stopIfTrue="1" operator="equal">
      <formula>#N/A</formula>
    </cfRule>
  </conditionalFormatting>
  <conditionalFormatting sqref="D732:D733">
    <cfRule type="cellIs" dxfId="279" priority="210" stopIfTrue="1" operator="equal">
      <formula>0</formula>
    </cfRule>
    <cfRule type="cellIs" dxfId="278" priority="211" stopIfTrue="1" operator="equal">
      <formula>#N/A</formula>
    </cfRule>
  </conditionalFormatting>
  <conditionalFormatting sqref="D730:D731">
    <cfRule type="cellIs" dxfId="277" priority="208" stopIfTrue="1" operator="equal">
      <formula>0</formula>
    </cfRule>
    <cfRule type="cellIs" dxfId="276" priority="209" stopIfTrue="1" operator="equal">
      <formula>#N/A</formula>
    </cfRule>
  </conditionalFormatting>
  <conditionalFormatting sqref="D727">
    <cfRule type="cellIs" dxfId="275" priority="206" stopIfTrue="1" operator="equal">
      <formula>0</formula>
    </cfRule>
    <cfRule type="cellIs" dxfId="274" priority="207" stopIfTrue="1" operator="equal">
      <formula>#N/A</formula>
    </cfRule>
  </conditionalFormatting>
  <conditionalFormatting sqref="D728:D729">
    <cfRule type="cellIs" dxfId="273" priority="204" stopIfTrue="1" operator="equal">
      <formula>0</formula>
    </cfRule>
    <cfRule type="cellIs" dxfId="272" priority="205" stopIfTrue="1" operator="equal">
      <formula>#N/A</formula>
    </cfRule>
  </conditionalFormatting>
  <conditionalFormatting sqref="D737">
    <cfRule type="cellIs" dxfId="271" priority="202" stopIfTrue="1" operator="equal">
      <formula>0</formula>
    </cfRule>
    <cfRule type="cellIs" dxfId="270" priority="203" stopIfTrue="1" operator="equal">
      <formula>#N/A</formula>
    </cfRule>
  </conditionalFormatting>
  <conditionalFormatting sqref="D736">
    <cfRule type="cellIs" dxfId="269" priority="200" stopIfTrue="1" operator="equal">
      <formula>0</formula>
    </cfRule>
    <cfRule type="cellIs" dxfId="268" priority="201" stopIfTrue="1" operator="equal">
      <formula>#N/A</formula>
    </cfRule>
  </conditionalFormatting>
  <conditionalFormatting sqref="D734:D735">
    <cfRule type="cellIs" dxfId="267" priority="198" stopIfTrue="1" operator="equal">
      <formula>0</formula>
    </cfRule>
    <cfRule type="cellIs" dxfId="266" priority="199" stopIfTrue="1" operator="equal">
      <formula>#N/A</formula>
    </cfRule>
  </conditionalFormatting>
  <conditionalFormatting sqref="D738">
    <cfRule type="cellIs" dxfId="265" priority="196" stopIfTrue="1" operator="equal">
      <formula>0</formula>
    </cfRule>
    <cfRule type="cellIs" dxfId="264" priority="197" stopIfTrue="1" operator="equal">
      <formula>#N/A</formula>
    </cfRule>
  </conditionalFormatting>
  <conditionalFormatting sqref="D739">
    <cfRule type="cellIs" dxfId="263" priority="194" stopIfTrue="1" operator="equal">
      <formula>0</formula>
    </cfRule>
    <cfRule type="cellIs" dxfId="262" priority="195" stopIfTrue="1" operator="equal">
      <formula>#N/A</formula>
    </cfRule>
  </conditionalFormatting>
  <conditionalFormatting sqref="D740">
    <cfRule type="cellIs" dxfId="261" priority="192" stopIfTrue="1" operator="equal">
      <formula>0</formula>
    </cfRule>
    <cfRule type="cellIs" dxfId="260" priority="193" stopIfTrue="1" operator="equal">
      <formula>#N/A</formula>
    </cfRule>
  </conditionalFormatting>
  <conditionalFormatting sqref="D741">
    <cfRule type="cellIs" dxfId="259" priority="190" stopIfTrue="1" operator="equal">
      <formula>0</formula>
    </cfRule>
    <cfRule type="cellIs" dxfId="258" priority="191" stopIfTrue="1" operator="equal">
      <formula>#N/A</formula>
    </cfRule>
  </conditionalFormatting>
  <conditionalFormatting sqref="D742">
    <cfRule type="cellIs" dxfId="257" priority="188" stopIfTrue="1" operator="equal">
      <formula>0</formula>
    </cfRule>
    <cfRule type="cellIs" dxfId="256" priority="189" stopIfTrue="1" operator="equal">
      <formula>#N/A</formula>
    </cfRule>
  </conditionalFormatting>
  <conditionalFormatting sqref="D743">
    <cfRule type="cellIs" dxfId="255" priority="186" stopIfTrue="1" operator="equal">
      <formula>0</formula>
    </cfRule>
    <cfRule type="cellIs" dxfId="254" priority="187" stopIfTrue="1" operator="equal">
      <formula>#N/A</formula>
    </cfRule>
  </conditionalFormatting>
  <conditionalFormatting sqref="D744">
    <cfRule type="cellIs" dxfId="253" priority="184" stopIfTrue="1" operator="equal">
      <formula>0</formula>
    </cfRule>
    <cfRule type="cellIs" dxfId="252" priority="185" stopIfTrue="1" operator="equal">
      <formula>#N/A</formula>
    </cfRule>
  </conditionalFormatting>
  <conditionalFormatting sqref="D748">
    <cfRule type="cellIs" dxfId="251" priority="182" stopIfTrue="1" operator="equal">
      <formula>0</formula>
    </cfRule>
    <cfRule type="cellIs" dxfId="250" priority="183" stopIfTrue="1" operator="equal">
      <formula>#N/A</formula>
    </cfRule>
  </conditionalFormatting>
  <conditionalFormatting sqref="D746:D747">
    <cfRule type="cellIs" dxfId="249" priority="180" stopIfTrue="1" operator="equal">
      <formula>0</formula>
    </cfRule>
    <cfRule type="cellIs" dxfId="248" priority="181" stopIfTrue="1" operator="equal">
      <formula>#N/A</formula>
    </cfRule>
  </conditionalFormatting>
  <conditionalFormatting sqref="D745">
    <cfRule type="cellIs" dxfId="247" priority="178" stopIfTrue="1" operator="equal">
      <formula>0</formula>
    </cfRule>
    <cfRule type="cellIs" dxfId="246" priority="179" stopIfTrue="1" operator="equal">
      <formula>#N/A</formula>
    </cfRule>
  </conditionalFormatting>
  <conditionalFormatting sqref="D753">
    <cfRule type="cellIs" dxfId="245" priority="176" stopIfTrue="1" operator="equal">
      <formula>0</formula>
    </cfRule>
    <cfRule type="cellIs" dxfId="244" priority="177" stopIfTrue="1" operator="equal">
      <formula>#N/A</formula>
    </cfRule>
  </conditionalFormatting>
  <conditionalFormatting sqref="D749">
    <cfRule type="cellIs" dxfId="243" priority="174" stopIfTrue="1" operator="equal">
      <formula>0</formula>
    </cfRule>
    <cfRule type="cellIs" dxfId="242" priority="175" stopIfTrue="1" operator="equal">
      <formula>#N/A</formula>
    </cfRule>
  </conditionalFormatting>
  <conditionalFormatting sqref="D750:D751">
    <cfRule type="cellIs" dxfId="241" priority="172" stopIfTrue="1" operator="equal">
      <formula>0</formula>
    </cfRule>
    <cfRule type="cellIs" dxfId="240" priority="173" stopIfTrue="1" operator="equal">
      <formula>#N/A</formula>
    </cfRule>
  </conditionalFormatting>
  <conditionalFormatting sqref="D754">
    <cfRule type="cellIs" dxfId="239" priority="170" stopIfTrue="1" operator="equal">
      <formula>0</formula>
    </cfRule>
    <cfRule type="cellIs" dxfId="238" priority="171" stopIfTrue="1" operator="equal">
      <formula>#N/A</formula>
    </cfRule>
  </conditionalFormatting>
  <conditionalFormatting sqref="D755">
    <cfRule type="cellIs" dxfId="237" priority="168" stopIfTrue="1" operator="equal">
      <formula>0</formula>
    </cfRule>
    <cfRule type="cellIs" dxfId="236" priority="169" stopIfTrue="1" operator="equal">
      <formula>#N/A</formula>
    </cfRule>
  </conditionalFormatting>
  <conditionalFormatting sqref="D756">
    <cfRule type="cellIs" dxfId="235" priority="166" stopIfTrue="1" operator="equal">
      <formula>0</formula>
    </cfRule>
    <cfRule type="cellIs" dxfId="234" priority="167" stopIfTrue="1" operator="equal">
      <formula>#N/A</formula>
    </cfRule>
  </conditionalFormatting>
  <conditionalFormatting sqref="D757">
    <cfRule type="cellIs" dxfId="233" priority="164" stopIfTrue="1" operator="equal">
      <formula>0</formula>
    </cfRule>
    <cfRule type="cellIs" dxfId="232" priority="165" stopIfTrue="1" operator="equal">
      <formula>#N/A</formula>
    </cfRule>
  </conditionalFormatting>
  <conditionalFormatting sqref="D758">
    <cfRule type="cellIs" dxfId="231" priority="162" stopIfTrue="1" operator="equal">
      <formula>0</formula>
    </cfRule>
    <cfRule type="cellIs" dxfId="230" priority="163" stopIfTrue="1" operator="equal">
      <formula>#N/A</formula>
    </cfRule>
  </conditionalFormatting>
  <conditionalFormatting sqref="D759">
    <cfRule type="cellIs" dxfId="229" priority="160" stopIfTrue="1" operator="equal">
      <formula>0</formula>
    </cfRule>
    <cfRule type="cellIs" dxfId="228" priority="161" stopIfTrue="1" operator="equal">
      <formula>#N/A</formula>
    </cfRule>
  </conditionalFormatting>
  <conditionalFormatting sqref="D760">
    <cfRule type="cellIs" dxfId="227" priority="158" stopIfTrue="1" operator="equal">
      <formula>0</formula>
    </cfRule>
    <cfRule type="cellIs" dxfId="226" priority="159" stopIfTrue="1" operator="equal">
      <formula>#N/A</formula>
    </cfRule>
  </conditionalFormatting>
  <conditionalFormatting sqref="D761">
    <cfRule type="cellIs" dxfId="225" priority="156" stopIfTrue="1" operator="equal">
      <formula>0</formula>
    </cfRule>
    <cfRule type="cellIs" dxfId="224" priority="157" stopIfTrue="1" operator="equal">
      <formula>#N/A</formula>
    </cfRule>
  </conditionalFormatting>
  <conditionalFormatting sqref="D762">
    <cfRule type="cellIs" dxfId="223" priority="154" stopIfTrue="1" operator="equal">
      <formula>0</formula>
    </cfRule>
    <cfRule type="cellIs" dxfId="222" priority="155" stopIfTrue="1" operator="equal">
      <formula>#N/A</formula>
    </cfRule>
  </conditionalFormatting>
  <conditionalFormatting sqref="D763">
    <cfRule type="cellIs" dxfId="221" priority="152" stopIfTrue="1" operator="equal">
      <formula>0</formula>
    </cfRule>
    <cfRule type="cellIs" dxfId="220" priority="153" stopIfTrue="1" operator="equal">
      <formula>#N/A</formula>
    </cfRule>
  </conditionalFormatting>
  <conditionalFormatting sqref="D767:D768">
    <cfRule type="cellIs" dxfId="219" priority="150" stopIfTrue="1" operator="equal">
      <formula>0</formula>
    </cfRule>
    <cfRule type="cellIs" dxfId="218" priority="151" stopIfTrue="1" operator="equal">
      <formula>#N/A</formula>
    </cfRule>
  </conditionalFormatting>
  <conditionalFormatting sqref="D764">
    <cfRule type="cellIs" dxfId="217" priority="148" stopIfTrue="1" operator="equal">
      <formula>0</formula>
    </cfRule>
    <cfRule type="cellIs" dxfId="216" priority="149" stopIfTrue="1" operator="equal">
      <formula>#N/A</formula>
    </cfRule>
  </conditionalFormatting>
  <conditionalFormatting sqref="D765">
    <cfRule type="cellIs" dxfId="215" priority="146" stopIfTrue="1" operator="equal">
      <formula>0</formula>
    </cfRule>
    <cfRule type="cellIs" dxfId="214" priority="147" stopIfTrue="1" operator="equal">
      <formula>#N/A</formula>
    </cfRule>
  </conditionalFormatting>
  <conditionalFormatting sqref="D766">
    <cfRule type="cellIs" dxfId="213" priority="144" stopIfTrue="1" operator="equal">
      <formula>0</formula>
    </cfRule>
    <cfRule type="cellIs" dxfId="212" priority="145" stopIfTrue="1" operator="equal">
      <formula>#N/A</formula>
    </cfRule>
  </conditionalFormatting>
  <conditionalFormatting sqref="D769">
    <cfRule type="cellIs" dxfId="211" priority="142" stopIfTrue="1" operator="equal">
      <formula>0</formula>
    </cfRule>
    <cfRule type="cellIs" dxfId="210" priority="143" stopIfTrue="1" operator="equal">
      <formula>#N/A</formula>
    </cfRule>
  </conditionalFormatting>
  <conditionalFormatting sqref="D770">
    <cfRule type="cellIs" dxfId="209" priority="140" stopIfTrue="1" operator="equal">
      <formula>0</formula>
    </cfRule>
    <cfRule type="cellIs" dxfId="208" priority="141" stopIfTrue="1" operator="equal">
      <formula>#N/A</formula>
    </cfRule>
  </conditionalFormatting>
  <conditionalFormatting sqref="D773:D774">
    <cfRule type="cellIs" dxfId="207" priority="138" stopIfTrue="1" operator="equal">
      <formula>0</formula>
    </cfRule>
    <cfRule type="cellIs" dxfId="206" priority="139" stopIfTrue="1" operator="equal">
      <formula>#N/A</formula>
    </cfRule>
  </conditionalFormatting>
  <conditionalFormatting sqref="D771:D772">
    <cfRule type="cellIs" dxfId="205" priority="136" stopIfTrue="1" operator="equal">
      <formula>0</formula>
    </cfRule>
    <cfRule type="cellIs" dxfId="204" priority="137" stopIfTrue="1" operator="equal">
      <formula>#N/A</formula>
    </cfRule>
  </conditionalFormatting>
  <conditionalFormatting sqref="D777:D778">
    <cfRule type="cellIs" dxfId="203" priority="128" stopIfTrue="1" operator="equal">
      <formula>0</formula>
    </cfRule>
    <cfRule type="cellIs" dxfId="202" priority="129" stopIfTrue="1" operator="equal">
      <formula>#N/A</formula>
    </cfRule>
  </conditionalFormatting>
  <conditionalFormatting sqref="D782:D783">
    <cfRule type="cellIs" dxfId="201" priority="134" stopIfTrue="1" operator="equal">
      <formula>0</formula>
    </cfRule>
    <cfRule type="cellIs" dxfId="200" priority="135" stopIfTrue="1" operator="equal">
      <formula>#N/A</formula>
    </cfRule>
  </conditionalFormatting>
  <conditionalFormatting sqref="D781">
    <cfRule type="cellIs" dxfId="199" priority="132" stopIfTrue="1" operator="equal">
      <formula>0</formula>
    </cfRule>
    <cfRule type="cellIs" dxfId="198" priority="133" stopIfTrue="1" operator="equal">
      <formula>#N/A</formula>
    </cfRule>
  </conditionalFormatting>
  <conditionalFormatting sqref="D779:D780">
    <cfRule type="cellIs" dxfId="197" priority="130" stopIfTrue="1" operator="equal">
      <formula>0</formula>
    </cfRule>
    <cfRule type="cellIs" dxfId="196" priority="131" stopIfTrue="1" operator="equal">
      <formula>#N/A</formula>
    </cfRule>
  </conditionalFormatting>
  <conditionalFormatting sqref="D776">
    <cfRule type="cellIs" dxfId="195" priority="126" stopIfTrue="1" operator="equal">
      <formula>0</formula>
    </cfRule>
    <cfRule type="cellIs" dxfId="194" priority="127" stopIfTrue="1" operator="equal">
      <formula>#N/A</formula>
    </cfRule>
  </conditionalFormatting>
  <conditionalFormatting sqref="D786">
    <cfRule type="cellIs" dxfId="193" priority="124" stopIfTrue="1" operator="equal">
      <formula>0</formula>
    </cfRule>
    <cfRule type="cellIs" dxfId="192" priority="125" stopIfTrue="1" operator="equal">
      <formula>#N/A</formula>
    </cfRule>
  </conditionalFormatting>
  <conditionalFormatting sqref="D784">
    <cfRule type="cellIs" dxfId="191" priority="122" stopIfTrue="1" operator="equal">
      <formula>0</formula>
    </cfRule>
    <cfRule type="cellIs" dxfId="190" priority="123" stopIfTrue="1" operator="equal">
      <formula>#N/A</formula>
    </cfRule>
  </conditionalFormatting>
  <conditionalFormatting sqref="D785">
    <cfRule type="cellIs" dxfId="189" priority="120" stopIfTrue="1" operator="equal">
      <formula>0</formula>
    </cfRule>
    <cfRule type="cellIs" dxfId="188" priority="121" stopIfTrue="1" operator="equal">
      <formula>#N/A</formula>
    </cfRule>
  </conditionalFormatting>
  <conditionalFormatting sqref="D787">
    <cfRule type="cellIs" dxfId="187" priority="118" stopIfTrue="1" operator="equal">
      <formula>0</formula>
    </cfRule>
    <cfRule type="cellIs" dxfId="186" priority="119" stopIfTrue="1" operator="equal">
      <formula>#N/A</formula>
    </cfRule>
  </conditionalFormatting>
  <conditionalFormatting sqref="D788">
    <cfRule type="cellIs" dxfId="185" priority="116" stopIfTrue="1" operator="equal">
      <formula>0</formula>
    </cfRule>
    <cfRule type="cellIs" dxfId="184" priority="117" stopIfTrue="1" operator="equal">
      <formula>#N/A</formula>
    </cfRule>
  </conditionalFormatting>
  <conditionalFormatting sqref="D789">
    <cfRule type="cellIs" dxfId="183" priority="114" stopIfTrue="1" operator="equal">
      <formula>0</formula>
    </cfRule>
    <cfRule type="cellIs" dxfId="182" priority="115" stopIfTrue="1" operator="equal">
      <formula>#N/A</formula>
    </cfRule>
  </conditionalFormatting>
  <conditionalFormatting sqref="D795">
    <cfRule type="cellIs" dxfId="181" priority="112" stopIfTrue="1" operator="equal">
      <formula>0</formula>
    </cfRule>
    <cfRule type="cellIs" dxfId="180" priority="113" stopIfTrue="1" operator="equal">
      <formula>#N/A</formula>
    </cfRule>
  </conditionalFormatting>
  <conditionalFormatting sqref="D793:D794">
    <cfRule type="cellIs" dxfId="179" priority="110" stopIfTrue="1" operator="equal">
      <formula>0</formula>
    </cfRule>
    <cfRule type="cellIs" dxfId="178" priority="111" stopIfTrue="1" operator="equal">
      <formula>#N/A</formula>
    </cfRule>
  </conditionalFormatting>
  <conditionalFormatting sqref="D791:D792">
    <cfRule type="cellIs" dxfId="177" priority="108" stopIfTrue="1" operator="equal">
      <formula>0</formula>
    </cfRule>
    <cfRule type="cellIs" dxfId="176" priority="109" stopIfTrue="1" operator="equal">
      <formula>#N/A</formula>
    </cfRule>
  </conditionalFormatting>
  <conditionalFormatting sqref="D790">
    <cfRule type="cellIs" dxfId="175" priority="106" stopIfTrue="1" operator="equal">
      <formula>0</formula>
    </cfRule>
    <cfRule type="cellIs" dxfId="174" priority="107" stopIfTrue="1" operator="equal">
      <formula>#N/A</formula>
    </cfRule>
  </conditionalFormatting>
  <conditionalFormatting sqref="D796">
    <cfRule type="cellIs" dxfId="173" priority="104" stopIfTrue="1" operator="equal">
      <formula>0</formula>
    </cfRule>
    <cfRule type="cellIs" dxfId="172" priority="105" stopIfTrue="1" operator="equal">
      <formula>#N/A</formula>
    </cfRule>
  </conditionalFormatting>
  <conditionalFormatting sqref="D798">
    <cfRule type="cellIs" dxfId="171" priority="102" stopIfTrue="1" operator="equal">
      <formula>0</formula>
    </cfRule>
    <cfRule type="cellIs" dxfId="170" priority="103" stopIfTrue="1" operator="equal">
      <formula>#N/A</formula>
    </cfRule>
  </conditionalFormatting>
  <conditionalFormatting sqref="D797">
    <cfRule type="cellIs" dxfId="169" priority="100" stopIfTrue="1" operator="equal">
      <formula>0</formula>
    </cfRule>
    <cfRule type="cellIs" dxfId="168" priority="101" stopIfTrue="1" operator="equal">
      <formula>#N/A</formula>
    </cfRule>
  </conditionalFormatting>
  <conditionalFormatting sqref="D799:D800">
    <cfRule type="cellIs" dxfId="167" priority="96" stopIfTrue="1" operator="equal">
      <formula>0</formula>
    </cfRule>
    <cfRule type="cellIs" dxfId="166" priority="97" stopIfTrue="1" operator="equal">
      <formula>#N/A</formula>
    </cfRule>
  </conditionalFormatting>
  <conditionalFormatting sqref="D801">
    <cfRule type="cellIs" dxfId="165" priority="98" stopIfTrue="1" operator="equal">
      <formula>0</formula>
    </cfRule>
    <cfRule type="cellIs" dxfId="164" priority="99" stopIfTrue="1" operator="equal">
      <formula>#N/A</formula>
    </cfRule>
  </conditionalFormatting>
  <conditionalFormatting sqref="D807">
    <cfRule type="cellIs" dxfId="163" priority="90" stopIfTrue="1" operator="equal">
      <formula>0</formula>
    </cfRule>
    <cfRule type="cellIs" dxfId="162" priority="91" stopIfTrue="1" operator="equal">
      <formula>#N/A</formula>
    </cfRule>
  </conditionalFormatting>
  <conditionalFormatting sqref="D806">
    <cfRule type="cellIs" dxfId="161" priority="94" stopIfTrue="1" operator="equal">
      <formula>0</formula>
    </cfRule>
    <cfRule type="cellIs" dxfId="160" priority="95" stopIfTrue="1" operator="equal">
      <formula>#N/A</formula>
    </cfRule>
  </conditionalFormatting>
  <conditionalFormatting sqref="D804:D805">
    <cfRule type="cellIs" dxfId="159" priority="92" stopIfTrue="1" operator="equal">
      <formula>0</formula>
    </cfRule>
    <cfRule type="cellIs" dxfId="158" priority="93" stopIfTrue="1" operator="equal">
      <formula>#N/A</formula>
    </cfRule>
  </conditionalFormatting>
  <conditionalFormatting sqref="D802:D803">
    <cfRule type="cellIs" dxfId="157" priority="88" stopIfTrue="1" operator="equal">
      <formula>0</formula>
    </cfRule>
    <cfRule type="cellIs" dxfId="156" priority="89" stopIfTrue="1" operator="equal">
      <formula>#N/A</formula>
    </cfRule>
  </conditionalFormatting>
  <conditionalFormatting sqref="D808">
    <cfRule type="cellIs" dxfId="155" priority="86" stopIfTrue="1" operator="equal">
      <formula>0</formula>
    </cfRule>
    <cfRule type="cellIs" dxfId="154" priority="87" stopIfTrue="1" operator="equal">
      <formula>#N/A</formula>
    </cfRule>
  </conditionalFormatting>
  <conditionalFormatting sqref="D809">
    <cfRule type="cellIs" dxfId="153" priority="84" stopIfTrue="1" operator="equal">
      <formula>0</formula>
    </cfRule>
    <cfRule type="cellIs" dxfId="152" priority="85" stopIfTrue="1" operator="equal">
      <formula>#N/A</formula>
    </cfRule>
  </conditionalFormatting>
  <conditionalFormatting sqref="D810">
    <cfRule type="cellIs" dxfId="151" priority="82" stopIfTrue="1" operator="equal">
      <formula>0</formula>
    </cfRule>
    <cfRule type="cellIs" dxfId="150" priority="83" stopIfTrue="1" operator="equal">
      <formula>#N/A</formula>
    </cfRule>
  </conditionalFormatting>
  <conditionalFormatting sqref="D811">
    <cfRule type="cellIs" dxfId="149" priority="80" stopIfTrue="1" operator="equal">
      <formula>0</formula>
    </cfRule>
    <cfRule type="cellIs" dxfId="148" priority="81" stopIfTrue="1" operator="equal">
      <formula>#N/A</formula>
    </cfRule>
  </conditionalFormatting>
  <conditionalFormatting sqref="D815:D816">
    <cfRule type="cellIs" dxfId="147" priority="78" stopIfTrue="1" operator="equal">
      <formula>0</formula>
    </cfRule>
    <cfRule type="cellIs" dxfId="146" priority="79" stopIfTrue="1" operator="equal">
      <formula>#N/A</formula>
    </cfRule>
  </conditionalFormatting>
  <conditionalFormatting sqref="D813:D814">
    <cfRule type="cellIs" dxfId="145" priority="76" stopIfTrue="1" operator="equal">
      <formula>0</formula>
    </cfRule>
    <cfRule type="cellIs" dxfId="144" priority="77" stopIfTrue="1" operator="equal">
      <formula>#N/A</formula>
    </cfRule>
  </conditionalFormatting>
  <conditionalFormatting sqref="D817">
    <cfRule type="cellIs" dxfId="143" priority="74" stopIfTrue="1" operator="equal">
      <formula>0</formula>
    </cfRule>
    <cfRule type="cellIs" dxfId="142" priority="75" stopIfTrue="1" operator="equal">
      <formula>#N/A</formula>
    </cfRule>
  </conditionalFormatting>
  <conditionalFormatting sqref="D818">
    <cfRule type="cellIs" dxfId="141" priority="72" stopIfTrue="1" operator="equal">
      <formula>0</formula>
    </cfRule>
    <cfRule type="cellIs" dxfId="140" priority="73" stopIfTrue="1" operator="equal">
      <formula>#N/A</formula>
    </cfRule>
  </conditionalFormatting>
  <conditionalFormatting sqref="D819">
    <cfRule type="cellIs" dxfId="139" priority="70" stopIfTrue="1" operator="equal">
      <formula>0</formula>
    </cfRule>
    <cfRule type="cellIs" dxfId="138" priority="71" stopIfTrue="1" operator="equal">
      <formula>#N/A</formula>
    </cfRule>
  </conditionalFormatting>
  <conditionalFormatting sqref="D821">
    <cfRule type="cellIs" dxfId="137" priority="68" stopIfTrue="1" operator="equal">
      <formula>0</formula>
    </cfRule>
    <cfRule type="cellIs" dxfId="136" priority="69" stopIfTrue="1" operator="equal">
      <formula>#N/A</formula>
    </cfRule>
  </conditionalFormatting>
  <conditionalFormatting sqref="D824">
    <cfRule type="cellIs" dxfId="135" priority="64" stopIfTrue="1" operator="equal">
      <formula>0</formula>
    </cfRule>
    <cfRule type="cellIs" dxfId="134" priority="65" stopIfTrue="1" operator="equal">
      <formula>#N/A</formula>
    </cfRule>
  </conditionalFormatting>
  <conditionalFormatting sqref="D823">
    <cfRule type="cellIs" dxfId="133" priority="66" stopIfTrue="1" operator="equal">
      <formula>0</formula>
    </cfRule>
    <cfRule type="cellIs" dxfId="132" priority="67" stopIfTrue="1" operator="equal">
      <formula>#N/A</formula>
    </cfRule>
  </conditionalFormatting>
  <conditionalFormatting sqref="D822">
    <cfRule type="cellIs" dxfId="131" priority="62" stopIfTrue="1" operator="equal">
      <formula>0</formula>
    </cfRule>
    <cfRule type="cellIs" dxfId="130" priority="63" stopIfTrue="1" operator="equal">
      <formula>#N/A</formula>
    </cfRule>
  </conditionalFormatting>
  <conditionalFormatting sqref="D825">
    <cfRule type="cellIs" dxfId="129" priority="60" stopIfTrue="1" operator="equal">
      <formula>0</formula>
    </cfRule>
    <cfRule type="cellIs" dxfId="128" priority="61" stopIfTrue="1" operator="equal">
      <formula>#N/A</formula>
    </cfRule>
  </conditionalFormatting>
  <conditionalFormatting sqref="D826">
    <cfRule type="cellIs" dxfId="127" priority="58" stopIfTrue="1" operator="equal">
      <formula>0</formula>
    </cfRule>
    <cfRule type="cellIs" dxfId="126" priority="59" stopIfTrue="1" operator="equal">
      <formula>#N/A</formula>
    </cfRule>
  </conditionalFormatting>
  <conditionalFormatting sqref="D827">
    <cfRule type="cellIs" dxfId="125" priority="56" stopIfTrue="1" operator="equal">
      <formula>0</formula>
    </cfRule>
    <cfRule type="cellIs" dxfId="124" priority="57" stopIfTrue="1" operator="equal">
      <formula>#N/A</formula>
    </cfRule>
  </conditionalFormatting>
  <conditionalFormatting sqref="D828:D829">
    <cfRule type="cellIs" dxfId="123" priority="54" stopIfTrue="1" operator="equal">
      <formula>0</formula>
    </cfRule>
    <cfRule type="cellIs" dxfId="122" priority="55" stopIfTrue="1" operator="equal">
      <formula>#N/A</formula>
    </cfRule>
  </conditionalFormatting>
  <conditionalFormatting sqref="D830">
    <cfRule type="cellIs" dxfId="121" priority="52" stopIfTrue="1" operator="equal">
      <formula>0</formula>
    </cfRule>
    <cfRule type="cellIs" dxfId="120" priority="53" stopIfTrue="1" operator="equal">
      <formula>#N/A</formula>
    </cfRule>
  </conditionalFormatting>
  <conditionalFormatting sqref="D832">
    <cfRule type="cellIs" dxfId="119" priority="50" stopIfTrue="1" operator="equal">
      <formula>0</formula>
    </cfRule>
    <cfRule type="cellIs" dxfId="118" priority="51" stopIfTrue="1" operator="equal">
      <formula>#N/A</formula>
    </cfRule>
  </conditionalFormatting>
  <conditionalFormatting sqref="D831">
    <cfRule type="cellIs" dxfId="117" priority="48" stopIfTrue="1" operator="equal">
      <formula>0</formula>
    </cfRule>
    <cfRule type="cellIs" dxfId="116" priority="49" stopIfTrue="1" operator="equal">
      <formula>#N/A</formula>
    </cfRule>
  </conditionalFormatting>
  <conditionalFormatting sqref="D833:D834">
    <cfRule type="cellIs" dxfId="115" priority="42" stopIfTrue="1" operator="equal">
      <formula>0</formula>
    </cfRule>
    <cfRule type="cellIs" dxfId="114" priority="43" stopIfTrue="1" operator="equal">
      <formula>#N/A</formula>
    </cfRule>
  </conditionalFormatting>
  <conditionalFormatting sqref="D837">
    <cfRule type="cellIs" dxfId="113" priority="46" stopIfTrue="1" operator="equal">
      <formula>0</formula>
    </cfRule>
    <cfRule type="cellIs" dxfId="112" priority="47" stopIfTrue="1" operator="equal">
      <formula>#N/A</formula>
    </cfRule>
  </conditionalFormatting>
  <conditionalFormatting sqref="D835">
    <cfRule type="cellIs" dxfId="111" priority="40" stopIfTrue="1" operator="equal">
      <formula>0</formula>
    </cfRule>
    <cfRule type="cellIs" dxfId="110" priority="41" stopIfTrue="1" operator="equal">
      <formula>#N/A</formula>
    </cfRule>
  </conditionalFormatting>
  <conditionalFormatting sqref="D836">
    <cfRule type="cellIs" dxfId="109" priority="44" stopIfTrue="1" operator="equal">
      <formula>0</formula>
    </cfRule>
    <cfRule type="cellIs" dxfId="108" priority="45" stopIfTrue="1" operator="equal">
      <formula>#N/A</formula>
    </cfRule>
  </conditionalFormatting>
  <conditionalFormatting sqref="D839">
    <cfRule type="cellIs" dxfId="107" priority="38" stopIfTrue="1" operator="equal">
      <formula>0</formula>
    </cfRule>
    <cfRule type="cellIs" dxfId="106" priority="39" stopIfTrue="1" operator="equal">
      <formula>#N/A</formula>
    </cfRule>
  </conditionalFormatting>
  <conditionalFormatting sqref="D840">
    <cfRule type="cellIs" dxfId="105" priority="36" stopIfTrue="1" operator="equal">
      <formula>0</formula>
    </cfRule>
    <cfRule type="cellIs" dxfId="104" priority="37" stopIfTrue="1" operator="equal">
      <formula>#N/A</formula>
    </cfRule>
  </conditionalFormatting>
  <conditionalFormatting sqref="D841">
    <cfRule type="cellIs" dxfId="103" priority="34" stopIfTrue="1" operator="equal">
      <formula>0</formula>
    </cfRule>
    <cfRule type="cellIs" dxfId="102" priority="35" stopIfTrue="1" operator="equal">
      <formula>#N/A</formula>
    </cfRule>
  </conditionalFormatting>
  <conditionalFormatting sqref="D842">
    <cfRule type="cellIs" dxfId="101" priority="30" stopIfTrue="1" operator="equal">
      <formula>0</formula>
    </cfRule>
    <cfRule type="cellIs" dxfId="100" priority="31" stopIfTrue="1" operator="equal">
      <formula>#N/A</formula>
    </cfRule>
  </conditionalFormatting>
  <conditionalFormatting sqref="D844">
    <cfRule type="cellIs" dxfId="99" priority="32" stopIfTrue="1" operator="equal">
      <formula>0</formula>
    </cfRule>
    <cfRule type="cellIs" dxfId="98" priority="33" stopIfTrue="1" operator="equal">
      <formula>#N/A</formula>
    </cfRule>
  </conditionalFormatting>
  <conditionalFormatting sqref="D843">
    <cfRule type="cellIs" dxfId="97" priority="28" stopIfTrue="1" operator="equal">
      <formula>0</formula>
    </cfRule>
    <cfRule type="cellIs" dxfId="96" priority="29" stopIfTrue="1" operator="equal">
      <formula>#N/A</formula>
    </cfRule>
  </conditionalFormatting>
  <conditionalFormatting sqref="D845:D846">
    <cfRule type="cellIs" dxfId="95" priority="24" stopIfTrue="1" operator="equal">
      <formula>0</formula>
    </cfRule>
    <cfRule type="cellIs" dxfId="94" priority="25" stopIfTrue="1" operator="equal">
      <formula>#N/A</formula>
    </cfRule>
  </conditionalFormatting>
  <conditionalFormatting sqref="D848">
    <cfRule type="cellIs" dxfId="93" priority="26" stopIfTrue="1" operator="equal">
      <formula>0</formula>
    </cfRule>
    <cfRule type="cellIs" dxfId="92" priority="27" stopIfTrue="1" operator="equal">
      <formula>#N/A</formula>
    </cfRule>
  </conditionalFormatting>
  <conditionalFormatting sqref="D847">
    <cfRule type="cellIs" dxfId="91" priority="22" stopIfTrue="1" operator="equal">
      <formula>0</formula>
    </cfRule>
    <cfRule type="cellIs" dxfId="90" priority="23" stopIfTrue="1" operator="equal">
      <formula>#N/A</formula>
    </cfRule>
  </conditionalFormatting>
  <conditionalFormatting sqref="D849">
    <cfRule type="cellIs" dxfId="89" priority="20" stopIfTrue="1" operator="equal">
      <formula>0</formula>
    </cfRule>
    <cfRule type="cellIs" dxfId="88" priority="21" stopIfTrue="1" operator="equal">
      <formula>#N/A</formula>
    </cfRule>
  </conditionalFormatting>
  <conditionalFormatting sqref="D850">
    <cfRule type="cellIs" dxfId="87" priority="18" stopIfTrue="1" operator="equal">
      <formula>0</formula>
    </cfRule>
    <cfRule type="cellIs" dxfId="86" priority="19" stopIfTrue="1" operator="equal">
      <formula>#N/A</formula>
    </cfRule>
  </conditionalFormatting>
  <conditionalFormatting sqref="D851">
    <cfRule type="cellIs" dxfId="85" priority="16" stopIfTrue="1" operator="equal">
      <formula>0</formula>
    </cfRule>
    <cfRule type="cellIs" dxfId="84" priority="17" stopIfTrue="1" operator="equal">
      <formula>#N/A</formula>
    </cfRule>
  </conditionalFormatting>
  <conditionalFormatting sqref="D852">
    <cfRule type="cellIs" dxfId="83" priority="14" stopIfTrue="1" operator="equal">
      <formula>0</formula>
    </cfRule>
    <cfRule type="cellIs" dxfId="82" priority="15" stopIfTrue="1" operator="equal">
      <formula>#N/A</formula>
    </cfRule>
  </conditionalFormatting>
  <conditionalFormatting sqref="D853">
    <cfRule type="cellIs" dxfId="81" priority="12" stopIfTrue="1" operator="equal">
      <formula>0</formula>
    </cfRule>
    <cfRule type="cellIs" dxfId="80" priority="13" stopIfTrue="1" operator="equal">
      <formula>#N/A</formula>
    </cfRule>
  </conditionalFormatting>
  <conditionalFormatting sqref="D855">
    <cfRule type="cellIs" dxfId="79" priority="10" stopIfTrue="1" operator="equal">
      <formula>0</formula>
    </cfRule>
    <cfRule type="cellIs" dxfId="78" priority="11" stopIfTrue="1" operator="equal">
      <formula>#N/A</formula>
    </cfRule>
  </conditionalFormatting>
  <conditionalFormatting sqref="D854">
    <cfRule type="cellIs" dxfId="77" priority="8" stopIfTrue="1" operator="equal">
      <formula>0</formula>
    </cfRule>
    <cfRule type="cellIs" dxfId="76" priority="9" stopIfTrue="1" operator="equal">
      <formula>#N/A</formula>
    </cfRule>
  </conditionalFormatting>
  <conditionalFormatting sqref="D856">
    <cfRule type="cellIs" dxfId="75" priority="6" stopIfTrue="1" operator="equal">
      <formula>0</formula>
    </cfRule>
    <cfRule type="cellIs" dxfId="74" priority="7" stopIfTrue="1" operator="equal">
      <formula>#N/A</formula>
    </cfRule>
  </conditionalFormatting>
  <conditionalFormatting sqref="D857">
    <cfRule type="cellIs" dxfId="73" priority="4" stopIfTrue="1" operator="equal">
      <formula>0</formula>
    </cfRule>
    <cfRule type="cellIs" dxfId="72" priority="5" stopIfTrue="1" operator="equal">
      <formula>#N/A</formula>
    </cfRule>
  </conditionalFormatting>
  <conditionalFormatting sqref="F858:F859">
    <cfRule type="cellIs" dxfId="71" priority="2" stopIfTrue="1" operator="equal">
      <formula>0</formula>
    </cfRule>
    <cfRule type="cellIs" dxfId="70" priority="3" stopIfTrue="1" operator="equal">
      <formula>#N/A</formula>
    </cfRule>
  </conditionalFormatting>
  <conditionalFormatting sqref="B860">
    <cfRule type="duplicateValues" dxfId="69" priority="1"/>
  </conditionalFormatting>
  <conditionalFormatting sqref="B188:B857 B144:B186 B9:B10">
    <cfRule type="duplicateValues" dxfId="68" priority="2942"/>
  </conditionalFormatting>
  <conditionalFormatting sqref="B8:B878">
    <cfRule type="duplicateValues" dxfId="67" priority="2946"/>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505"/>
  <sheetViews>
    <sheetView showGridLines="0" showRowColHeaders="0" zoomScale="80" zoomScaleNormal="80" workbookViewId="0">
      <pane xSplit="16" ySplit="4" topLeftCell="Q5" activePane="bottomRight" state="frozen"/>
      <selection pane="topRight" activeCell="Q1" sqref="Q1"/>
      <selection pane="bottomLeft" activeCell="A5" sqref="A5"/>
      <selection pane="bottomRight" activeCell="C5" sqref="C5"/>
    </sheetView>
  </sheetViews>
  <sheetFormatPr defaultRowHeight="15.75" x14ac:dyDescent="0.2"/>
  <cols>
    <col min="1" max="1" width="4.125" style="245" customWidth="1"/>
    <col min="2" max="2" width="6.25" style="245" customWidth="1"/>
    <col min="3" max="3" width="10.875" style="253" customWidth="1"/>
    <col min="4" max="4" width="9.125" style="245" customWidth="1"/>
    <col min="5" max="5" width="93.625" style="254" customWidth="1"/>
    <col min="6" max="6" width="12.125" style="245" customWidth="1"/>
    <col min="7" max="7" width="11" style="235" hidden="1" customWidth="1"/>
    <col min="8" max="8" width="12.75" style="245" hidden="1" customWidth="1"/>
    <col min="9" max="9" width="15.875" style="255" customWidth="1"/>
    <col min="10" max="11" width="14.125" style="256" customWidth="1"/>
    <col min="12" max="12" width="16.125" style="255" customWidth="1"/>
    <col min="13" max="13" width="12.125" style="257" customWidth="1"/>
    <col min="14" max="14" width="16.75" style="255" customWidth="1"/>
    <col min="15" max="15" width="13.125" style="246" customWidth="1"/>
    <col min="16" max="16" width="10.25" style="245" customWidth="1"/>
    <col min="17" max="26" width="9" style="245"/>
    <col min="27" max="27" width="9" style="247"/>
    <col min="28" max="16384" width="9" style="245"/>
  </cols>
  <sheetData>
    <row r="1" spans="1:27" s="240" customFormat="1" ht="48" customHeight="1" x14ac:dyDescent="0.2">
      <c r="B1" s="438" t="s">
        <v>2115</v>
      </c>
      <c r="C1" s="436"/>
      <c r="D1" s="436"/>
      <c r="E1" s="436"/>
      <c r="F1" s="436"/>
      <c r="G1" s="436"/>
      <c r="H1" s="436"/>
      <c r="I1" s="436"/>
      <c r="J1" s="436"/>
      <c r="K1" s="436"/>
      <c r="L1" s="436"/>
      <c r="M1" s="436"/>
      <c r="N1" s="436"/>
      <c r="AA1" s="241"/>
    </row>
    <row r="2" spans="1:27" s="240" customFormat="1" ht="27.75" customHeight="1" x14ac:dyDescent="0.2">
      <c r="A2" s="242"/>
      <c r="B2" s="436"/>
      <c r="C2" s="436"/>
      <c r="D2" s="436"/>
      <c r="E2" s="436"/>
      <c r="F2" s="436"/>
      <c r="G2" s="436"/>
      <c r="H2" s="436"/>
      <c r="I2" s="436"/>
      <c r="J2" s="436"/>
      <c r="K2" s="436"/>
      <c r="L2" s="436"/>
      <c r="M2" s="436"/>
      <c r="N2" s="436"/>
      <c r="AA2" s="241"/>
    </row>
    <row r="3" spans="1:27" s="240" customFormat="1" ht="36" customHeight="1" x14ac:dyDescent="0.2">
      <c r="B3" s="437"/>
      <c r="C3" s="437"/>
      <c r="D3" s="437"/>
      <c r="E3" s="437"/>
      <c r="F3" s="437"/>
      <c r="G3" s="437"/>
      <c r="H3" s="437"/>
      <c r="I3" s="437"/>
      <c r="J3" s="437"/>
      <c r="K3" s="437"/>
      <c r="L3" s="437"/>
      <c r="M3" s="437"/>
      <c r="N3" s="437"/>
      <c r="AA3" s="241"/>
    </row>
    <row r="4" spans="1:27" s="243" customFormat="1" ht="33.75" customHeight="1" x14ac:dyDescent="0.2">
      <c r="B4" s="411" t="s">
        <v>2135</v>
      </c>
      <c r="C4" s="412" t="s">
        <v>2121</v>
      </c>
      <c r="D4" s="413" t="s">
        <v>31</v>
      </c>
      <c r="E4" s="412" t="s">
        <v>2122</v>
      </c>
      <c r="F4" s="412" t="s">
        <v>2114</v>
      </c>
      <c r="G4" s="412" t="s">
        <v>588</v>
      </c>
      <c r="H4" s="412" t="s">
        <v>32</v>
      </c>
      <c r="I4" s="414" t="s">
        <v>2125</v>
      </c>
      <c r="J4" s="415" t="s">
        <v>2136</v>
      </c>
      <c r="K4" s="415" t="s">
        <v>2137</v>
      </c>
      <c r="L4" s="414" t="s">
        <v>2138</v>
      </c>
      <c r="M4" s="412" t="s">
        <v>1896</v>
      </c>
      <c r="N4" s="416" t="s">
        <v>2139</v>
      </c>
      <c r="O4" s="409" t="s">
        <v>2167</v>
      </c>
      <c r="P4" s="410" t="s">
        <v>2168</v>
      </c>
      <c r="AA4" s="244"/>
    </row>
    <row r="5" spans="1:27" ht="15" x14ac:dyDescent="0.2">
      <c r="B5" s="417">
        <v>1</v>
      </c>
      <c r="C5" s="418">
        <v>187354</v>
      </c>
      <c r="D5" s="419" t="str">
        <f>IFERROR(VLOOKUP($C5,Full_data!$B$8:$J$932,2,FALSE),"")</f>
        <v>Reel</v>
      </c>
      <c r="E5" s="419" t="str">
        <f>IFERROR(VLOOKUP($C5,Full_data!$B$8:$J$932,3,FALSE),"")</f>
        <v>FOC Universal ZGGFR 1x24 E9 G.652.D Indoor/Outdoor 1000 mtr</v>
      </c>
      <c r="F5" s="420" t="str">
        <f>IFERROR(VLOOKUP($C5,Full_data!$B$8:$J$932,4,FALSE),"")</f>
        <v>Fiber</v>
      </c>
      <c r="G5" s="420" t="str">
        <f>VLOOKUP($C5,Full_data!$B$8:$J$932,5,FALSE)</f>
        <v>Fiber cable</v>
      </c>
      <c r="H5" s="420" t="str">
        <f>VLOOKUP($C5,Full_data!$B$8:$J$932,6,FALSE)</f>
        <v>OS2</v>
      </c>
      <c r="I5" s="421">
        <f>IFERROR(VLOOKUP($C5,Full_data!$B$8:$J$932,7,FALSE),"")</f>
        <v>3080.0000000000005</v>
      </c>
      <c r="J5" s="422">
        <f>IFERROR(VLOOKUP($C5,Full_data!$B$8:$J$932,8,FALSE),"")</f>
        <v>0.56000000000000005</v>
      </c>
      <c r="K5" s="423"/>
      <c r="L5" s="424">
        <f>IFERROR(IF(ISBLANK(K5),I5-I5*J5,I5-I5*K5),"")</f>
        <v>1355.2</v>
      </c>
      <c r="M5" s="425"/>
      <c r="N5" s="421">
        <f>IF(ISERROR(L5*M5),"",(L5*M5))</f>
        <v>0</v>
      </c>
      <c r="O5" s="421">
        <f>M5*IFERROR(VLOOKUP($C5,Logistics!$A$1:$O$534,10,FALSE),0)</f>
        <v>0</v>
      </c>
      <c r="P5" s="426">
        <f>M5*IFERROR(VLOOKUP($C5,Logistics!$A$1:$O$534,11,FALSE),0)</f>
        <v>0</v>
      </c>
      <c r="AA5" s="247">
        <f>IF(ISBLANK(K5),40%,100%)</f>
        <v>0.4</v>
      </c>
    </row>
    <row r="6" spans="1:27" ht="15" x14ac:dyDescent="0.2">
      <c r="B6" s="225">
        <v>2</v>
      </c>
      <c r="C6" s="259">
        <v>415222</v>
      </c>
      <c r="D6" s="227" t="str">
        <f>IFERROR(VLOOKUP($C6,Full_data!$B$8:$J$932,2,FALSE),"")</f>
        <v>PC</v>
      </c>
      <c r="E6" s="227" t="str">
        <f>IFERROR(VLOOKUP($C6,Full_data!$B$8:$J$932,3,FALSE),"")</f>
        <v xml:space="preserve">6x SCD adapter, blue polymer housing with ceramic sleeve and 12 SC pigtails 2m E09/125µm OS2 </v>
      </c>
      <c r="F6" s="226" t="str">
        <f>IFERROR(VLOOKUP($C6,Full_data!$B$8:$J$932,4,FALSE),"")</f>
        <v>Fiber</v>
      </c>
      <c r="G6" s="226" t="str">
        <f>VLOOKUP($C6,Full_data!$B$8:$J$932,5,FALSE)</f>
        <v>Patch Panel</v>
      </c>
      <c r="H6" s="226" t="str">
        <f>VLOOKUP($C6,Full_data!$B$8:$J$932,6,FALSE)</f>
        <v>OS2</v>
      </c>
      <c r="I6" s="237">
        <f>IFERROR(VLOOKUP($C6,Full_data!$B$8:$J$932,7,FALSE),"")</f>
        <v>238.35910431818169</v>
      </c>
      <c r="J6" s="355">
        <f>IFERROR(VLOOKUP($C6,Full_data!$B$8:$J$932,8,FALSE),"")</f>
        <v>0.56000000000000005</v>
      </c>
      <c r="K6" s="358"/>
      <c r="L6" s="229">
        <f>IFERROR(IF(ISBLANK(K6),I6-I6*J6,I6-I6*K6),"")</f>
        <v>104.87800589999992</v>
      </c>
      <c r="M6" s="352"/>
      <c r="N6" s="237">
        <f t="shared" ref="N6:N8" si="0">IF(ISERROR(L6*M6),"",(L6*M6))</f>
        <v>0</v>
      </c>
      <c r="O6" s="237">
        <f>M6*IFERROR(VLOOKUP($C6,Logistics!$A$1:$O$534,10,FALSE),0)</f>
        <v>0</v>
      </c>
      <c r="P6" s="239">
        <f>M6*IFERROR(VLOOKUP($C6,Logistics!$A$1:$O$534,11,FALSE),0)</f>
        <v>0</v>
      </c>
      <c r="AA6" s="247">
        <f t="shared" ref="AA6:AA69" si="1">IF(ISBLANK(K6),40%,100%)</f>
        <v>0.4</v>
      </c>
    </row>
    <row r="7" spans="1:27" ht="15" x14ac:dyDescent="0.2">
      <c r="B7" s="223">
        <v>3</v>
      </c>
      <c r="C7" s="258">
        <v>421313</v>
      </c>
      <c r="D7" s="228" t="str">
        <f>IFERROR(VLOOKUP($C7,Full_data!$B$8:$J$932,2,FALSE),"")</f>
        <v>PC</v>
      </c>
      <c r="E7" s="228" t="str">
        <f>IFERROR(VLOOKUP($C7,Full_data!$B$8:$J$932,3,FALSE),"")</f>
        <v>FO Duplex OS2 PC- LCD-SCD 03M</v>
      </c>
      <c r="F7" s="224" t="str">
        <f>IFERROR(VLOOKUP($C7,Full_data!$B$8:$J$932,4,FALSE),"")</f>
        <v>Fiber</v>
      </c>
      <c r="G7" s="224" t="str">
        <f>VLOOKUP($C7,Full_data!$B$8:$J$932,5,FALSE)</f>
        <v>F. Patch cord</v>
      </c>
      <c r="H7" s="224" t="str">
        <f>VLOOKUP($C7,Full_data!$B$8:$J$932,6,FALSE)</f>
        <v>OS2</v>
      </c>
      <c r="I7" s="236">
        <f>IFERROR(VLOOKUP($C7,Full_data!$B$8:$J$932,7,FALSE),"")</f>
        <v>30.039999999999992</v>
      </c>
      <c r="J7" s="354">
        <f>IFERROR(VLOOKUP($C7,Full_data!$B$8:$J$932,8,FALSE),"")</f>
        <v>0.56000000000000005</v>
      </c>
      <c r="K7" s="357"/>
      <c r="L7" s="230">
        <f t="shared" ref="L7:L35" si="2">IFERROR(IF(ISBLANK(K7),I7-I7*J7,I7-I7*K7),"")</f>
        <v>13.217599999999994</v>
      </c>
      <c r="M7" s="351"/>
      <c r="N7" s="236">
        <f t="shared" si="0"/>
        <v>0</v>
      </c>
      <c r="O7" s="236">
        <f>M7*IFERROR(VLOOKUP($C7,Logistics!$A$1:$O$534,10,FALSE),0)</f>
        <v>0</v>
      </c>
      <c r="P7" s="238">
        <f>M7*IFERROR(VLOOKUP($C7,Logistics!$A$1:$O$534,11,FALSE),0)</f>
        <v>0</v>
      </c>
      <c r="AA7" s="247">
        <f t="shared" si="1"/>
        <v>0.4</v>
      </c>
    </row>
    <row r="8" spans="1:27" ht="15" x14ac:dyDescent="0.2">
      <c r="B8" s="225">
        <v>4</v>
      </c>
      <c r="C8" s="259">
        <v>191454</v>
      </c>
      <c r="D8" s="227" t="str">
        <f>IFERROR(VLOOKUP($C8,Full_data!$B$8:$J$932,2,FALSE),"")</f>
        <v>Roll</v>
      </c>
      <c r="E8" s="227" t="str">
        <f>IFERROR(VLOOKUP($C8,Full_data!$B$8:$J$932,3,FALSE),"")</f>
        <v>Cat6A F/FTP 4P AWG23 LS0H, Orange 500 mtr</v>
      </c>
      <c r="F8" s="226" t="str">
        <f>IFERROR(VLOOKUP($C8,Full_data!$B$8:$J$932,4,FALSE),"")</f>
        <v xml:space="preserve">Copper </v>
      </c>
      <c r="G8" s="226" t="str">
        <f>VLOOKUP($C8,Full_data!$B$8:$J$932,5,FALSE)</f>
        <v>cable</v>
      </c>
      <c r="H8" s="226" t="str">
        <f>VLOOKUP($C8,Full_data!$B$8:$J$932,6,FALSE)</f>
        <v>CAT6A</v>
      </c>
      <c r="I8" s="237">
        <f>IFERROR(VLOOKUP($C8,Full_data!$B$8:$J$932,7,FALSE),"")</f>
        <v>610.11799200000007</v>
      </c>
      <c r="J8" s="355">
        <f>IFERROR(VLOOKUP($C8,Full_data!$B$8:$J$932,8,FALSE),"")</f>
        <v>0.56000000000000005</v>
      </c>
      <c r="K8" s="358"/>
      <c r="L8" s="229">
        <f t="shared" si="2"/>
        <v>268.45191648000002</v>
      </c>
      <c r="M8" s="352"/>
      <c r="N8" s="237">
        <f t="shared" si="0"/>
        <v>0</v>
      </c>
      <c r="O8" s="237">
        <f>M8*IFERROR(VLOOKUP($C8,Logistics!$A$1:$O$534,10,FALSE),0)</f>
        <v>0</v>
      </c>
      <c r="P8" s="239">
        <f>M8*IFERROR(VLOOKUP($C8,Logistics!$A$1:$O$534,11,FALSE),0)</f>
        <v>0</v>
      </c>
      <c r="AA8" s="247">
        <f t="shared" si="1"/>
        <v>0.4</v>
      </c>
    </row>
    <row r="9" spans="1:27" ht="15" x14ac:dyDescent="0.2">
      <c r="B9" s="223">
        <v>5</v>
      </c>
      <c r="C9" s="258">
        <v>418019</v>
      </c>
      <c r="D9" s="228" t="str">
        <f>IFERROR(VLOOKUP($C9,Full_data!$B$8:$J$932,2,FALSE),"")</f>
        <v>PC</v>
      </c>
      <c r="E9" s="228" t="str">
        <f>IFERROR(VLOOKUP($C9,Full_data!$B$8:$J$932,3,FALSE),"")</f>
        <v>PP 19‘‘/1U , for 24x RJ45 Keystone module, black</v>
      </c>
      <c r="F9" s="224" t="str">
        <f>IFERROR(VLOOKUP($C9,Full_data!$B$8:$J$932,4,FALSE),"")</f>
        <v xml:space="preserve">Copper </v>
      </c>
      <c r="G9" s="224" t="str">
        <f>VLOOKUP($C9,Full_data!$B$8:$J$932,5,FALSE)</f>
        <v>Patch Panel</v>
      </c>
      <c r="H9" s="224" t="str">
        <f>VLOOKUP($C9,Full_data!$B$8:$J$932,6,FALSE)</f>
        <v>CAT6A</v>
      </c>
      <c r="I9" s="236">
        <f>IFERROR(VLOOKUP($C9,Full_data!$B$8:$J$932,7,FALSE),"")</f>
        <v>29.056666666666658</v>
      </c>
      <c r="J9" s="354">
        <f>IFERROR(VLOOKUP($C9,Full_data!$B$8:$J$932,8,FALSE),"")</f>
        <v>0.56000000000000005</v>
      </c>
      <c r="K9" s="357"/>
      <c r="L9" s="230">
        <f t="shared" si="2"/>
        <v>12.784933333333328</v>
      </c>
      <c r="M9" s="351"/>
      <c r="N9" s="236">
        <f t="shared" ref="N9:N72" si="3">IF(ISERROR(L9*M9),"",(L9*M9))</f>
        <v>0</v>
      </c>
      <c r="O9" s="236">
        <f>M9*IFERROR(VLOOKUP($C9,Logistics!$A$1:$O$534,10,FALSE),0)</f>
        <v>0</v>
      </c>
      <c r="P9" s="238">
        <f>M9*IFERROR(VLOOKUP($C9,Logistics!$A$1:$O$534,11,FALSE),0)</f>
        <v>0</v>
      </c>
      <c r="AA9" s="247">
        <f t="shared" si="1"/>
        <v>0.4</v>
      </c>
    </row>
    <row r="10" spans="1:27" ht="15" x14ac:dyDescent="0.2">
      <c r="B10" s="225">
        <v>6</v>
      </c>
      <c r="C10" s="259">
        <v>653516</v>
      </c>
      <c r="D10" s="227" t="str">
        <f>IFERROR(VLOOKUP($C10,Full_data!$B$8:$J$932,2,FALSE),"")</f>
        <v>PC</v>
      </c>
      <c r="E10" s="227" t="str">
        <f>IFERROR(VLOOKUP($C10,Full_data!$B$8:$J$932,3,FALSE),"")</f>
        <v xml:space="preserve">Cat 6A,RJ45 PC, 5m,  shielded LSOH Grey </v>
      </c>
      <c r="F10" s="226" t="str">
        <f>IFERROR(VLOOKUP($C10,Full_data!$B$8:$J$932,4,FALSE),"")</f>
        <v xml:space="preserve">Copper </v>
      </c>
      <c r="G10" s="226" t="str">
        <f>VLOOKUP($C10,Full_data!$B$8:$J$932,5,FALSE)</f>
        <v>C. Patch cord</v>
      </c>
      <c r="H10" s="226" t="str">
        <f>VLOOKUP($C10,Full_data!$B$8:$J$932,6,FALSE)</f>
        <v>CAT6A</v>
      </c>
      <c r="I10" s="237">
        <f>IFERROR(VLOOKUP($C10,Full_data!$B$8:$J$932,7,FALSE),"")</f>
        <v>17.279999999999998</v>
      </c>
      <c r="J10" s="355">
        <f>IFERROR(VLOOKUP($C10,Full_data!$B$8:$J$932,8,FALSE),"")</f>
        <v>0.56000000000000005</v>
      </c>
      <c r="K10" s="358"/>
      <c r="L10" s="229">
        <f t="shared" si="2"/>
        <v>7.6031999999999975</v>
      </c>
      <c r="M10" s="352"/>
      <c r="N10" s="237">
        <f t="shared" si="3"/>
        <v>0</v>
      </c>
      <c r="O10" s="237">
        <f>M10*IFERROR(VLOOKUP($C10,Logistics!$A$1:$O$534,10,FALSE),0)</f>
        <v>0</v>
      </c>
      <c r="P10" s="239">
        <f>M10*IFERROR(VLOOKUP($C10,Logistics!$A$1:$O$534,11,FALSE),0)</f>
        <v>0</v>
      </c>
      <c r="AA10" s="247">
        <f t="shared" si="1"/>
        <v>0.4</v>
      </c>
    </row>
    <row r="11" spans="1:27" ht="15" x14ac:dyDescent="0.2">
      <c r="B11" s="223">
        <v>7</v>
      </c>
      <c r="C11" s="258"/>
      <c r="D11" s="228" t="str">
        <f>IFERROR(VLOOKUP($C11,Full_data!$B$8:$J$932,2,FALSE),"")</f>
        <v/>
      </c>
      <c r="E11" s="228" t="str">
        <f>IFERROR(VLOOKUP($C11,Full_data!$B$8:$J$932,3,FALSE),"")</f>
        <v/>
      </c>
      <c r="F11" s="224" t="str">
        <f>IFERROR(VLOOKUP($C11,Full_data!$B$8:$J$932,4,FALSE),"")</f>
        <v/>
      </c>
      <c r="G11" s="224" t="e">
        <f>VLOOKUP($C11,Full_data!$B$8:$J$932,5,FALSE)</f>
        <v>#N/A</v>
      </c>
      <c r="H11" s="224" t="e">
        <f>VLOOKUP($C11,Full_data!$B$8:$J$932,6,FALSE)</f>
        <v>#N/A</v>
      </c>
      <c r="I11" s="236" t="str">
        <f>IFERROR(VLOOKUP($C11,Full_data!$B$8:$J$932,7,FALSE),"")</f>
        <v/>
      </c>
      <c r="J11" s="354" t="str">
        <f>IFERROR(VLOOKUP($C11,Full_data!$B$8:$J$932,8,FALSE),"")</f>
        <v/>
      </c>
      <c r="K11" s="357"/>
      <c r="L11" s="230" t="str">
        <f t="shared" si="2"/>
        <v/>
      </c>
      <c r="M11" s="351"/>
      <c r="N11" s="236" t="str">
        <f t="shared" si="3"/>
        <v/>
      </c>
      <c r="O11" s="236">
        <f>M11*IFERROR(VLOOKUP($C11,Logistics!$A$1:$O$534,10,FALSE),0)</f>
        <v>0</v>
      </c>
      <c r="P11" s="238">
        <f>M11*IFERROR(VLOOKUP($C11,Logistics!$A$1:$O$534,11,FALSE),0)</f>
        <v>0</v>
      </c>
      <c r="AA11" s="247">
        <f t="shared" si="1"/>
        <v>0.4</v>
      </c>
    </row>
    <row r="12" spans="1:27" ht="15" x14ac:dyDescent="0.2">
      <c r="B12" s="225">
        <v>8</v>
      </c>
      <c r="C12" s="259"/>
      <c r="D12" s="227" t="str">
        <f>IFERROR(VLOOKUP($C12,Full_data!$B$8:$J$932,2,FALSE),"")</f>
        <v/>
      </c>
      <c r="E12" s="227" t="str">
        <f>IFERROR(VLOOKUP($C12,Full_data!$B$8:$J$932,3,FALSE),"")</f>
        <v/>
      </c>
      <c r="F12" s="226" t="str">
        <f>IFERROR(VLOOKUP($C12,Full_data!$B$8:$J$932,4,FALSE),"")</f>
        <v/>
      </c>
      <c r="G12" s="226" t="e">
        <f>VLOOKUP($C12,Full_data!$B$8:$J$932,5,FALSE)</f>
        <v>#N/A</v>
      </c>
      <c r="H12" s="226" t="e">
        <f>VLOOKUP($C12,Full_data!$B$8:$J$932,6,FALSE)</f>
        <v>#N/A</v>
      </c>
      <c r="I12" s="237" t="str">
        <f>IFERROR(VLOOKUP($C12,Full_data!$B$8:$J$932,7,FALSE),"")</f>
        <v/>
      </c>
      <c r="J12" s="355" t="str">
        <f>IFERROR(VLOOKUP($C12,Full_data!$B$8:$J$932,8,FALSE),"")</f>
        <v/>
      </c>
      <c r="K12" s="358"/>
      <c r="L12" s="229" t="str">
        <f t="shared" si="2"/>
        <v/>
      </c>
      <c r="M12" s="352"/>
      <c r="N12" s="237" t="str">
        <f t="shared" si="3"/>
        <v/>
      </c>
      <c r="O12" s="237">
        <f>M12*IFERROR(VLOOKUP($C12,Logistics!$A$1:$O$534,10,FALSE),0)</f>
        <v>0</v>
      </c>
      <c r="P12" s="239">
        <f>M12*IFERROR(VLOOKUP($C12,Logistics!$A$1:$O$534,11,FALSE),0)</f>
        <v>0</v>
      </c>
      <c r="AA12" s="247">
        <f t="shared" si="1"/>
        <v>0.4</v>
      </c>
    </row>
    <row r="13" spans="1:27" ht="15" x14ac:dyDescent="0.2">
      <c r="B13" s="223">
        <v>9</v>
      </c>
      <c r="C13" s="258"/>
      <c r="D13" s="228" t="str">
        <f>IFERROR(VLOOKUP($C13,Full_data!$B$8:$J$932,2,FALSE),"")</f>
        <v/>
      </c>
      <c r="E13" s="228" t="str">
        <f>IFERROR(VLOOKUP($C13,Full_data!$B$8:$J$932,3,FALSE),"")</f>
        <v/>
      </c>
      <c r="F13" s="224" t="str">
        <f>IFERROR(VLOOKUP($C13,Full_data!$B$8:$J$932,4,FALSE),"")</f>
        <v/>
      </c>
      <c r="G13" s="224" t="e">
        <f>VLOOKUP($C13,Full_data!$B$8:$J$932,5,FALSE)</f>
        <v>#N/A</v>
      </c>
      <c r="H13" s="224" t="e">
        <f>VLOOKUP($C13,Full_data!$B$8:$J$932,6,FALSE)</f>
        <v>#N/A</v>
      </c>
      <c r="I13" s="236" t="str">
        <f>IFERROR(VLOOKUP($C13,Full_data!$B$8:$J$932,7,FALSE),"")</f>
        <v/>
      </c>
      <c r="J13" s="354" t="str">
        <f>IFERROR(VLOOKUP($C13,Full_data!$B$8:$J$932,8,FALSE),"")</f>
        <v/>
      </c>
      <c r="K13" s="357"/>
      <c r="L13" s="230" t="str">
        <f t="shared" si="2"/>
        <v/>
      </c>
      <c r="M13" s="351"/>
      <c r="N13" s="236" t="str">
        <f t="shared" si="3"/>
        <v/>
      </c>
      <c r="O13" s="236">
        <f>M13*IFERROR(VLOOKUP($C13,Logistics!$A$1:$O$534,10,FALSE),0)</f>
        <v>0</v>
      </c>
      <c r="P13" s="238">
        <f>M13*IFERROR(VLOOKUP($C13,Logistics!$A$1:$O$534,11,FALSE),0)</f>
        <v>0</v>
      </c>
      <c r="AA13" s="247">
        <f t="shared" si="1"/>
        <v>0.4</v>
      </c>
    </row>
    <row r="14" spans="1:27" ht="15" x14ac:dyDescent="0.2">
      <c r="B14" s="225">
        <v>10</v>
      </c>
      <c r="C14" s="259"/>
      <c r="D14" s="227" t="str">
        <f>IFERROR(VLOOKUP($C14,Full_data!$B$8:$J$932,2,FALSE),"")</f>
        <v/>
      </c>
      <c r="E14" s="227" t="str">
        <f>IFERROR(VLOOKUP($C14,Full_data!$B$8:$J$932,3,FALSE),"")</f>
        <v/>
      </c>
      <c r="F14" s="226" t="str">
        <f>IFERROR(VLOOKUP($C14,Full_data!$B$8:$J$932,4,FALSE),"")</f>
        <v/>
      </c>
      <c r="G14" s="226" t="e">
        <f>VLOOKUP($C14,Full_data!$B$8:$J$932,5,FALSE)</f>
        <v>#N/A</v>
      </c>
      <c r="H14" s="226" t="e">
        <f>VLOOKUP($C14,Full_data!$B$8:$J$932,6,FALSE)</f>
        <v>#N/A</v>
      </c>
      <c r="I14" s="237" t="str">
        <f>IFERROR(VLOOKUP($C14,Full_data!$B$8:$J$932,7,FALSE),"")</f>
        <v/>
      </c>
      <c r="J14" s="355" t="str">
        <f>IFERROR(VLOOKUP($C14,Full_data!$B$8:$J$932,8,FALSE),"")</f>
        <v/>
      </c>
      <c r="K14" s="358"/>
      <c r="L14" s="229" t="str">
        <f t="shared" si="2"/>
        <v/>
      </c>
      <c r="M14" s="352"/>
      <c r="N14" s="237" t="str">
        <f t="shared" si="3"/>
        <v/>
      </c>
      <c r="O14" s="237">
        <f>M14*IFERROR(VLOOKUP($C14,Logistics!$A$1:$O$534,10,FALSE),0)</f>
        <v>0</v>
      </c>
      <c r="P14" s="239">
        <f>M14*IFERROR(VLOOKUP($C14,Logistics!$A$1:$O$534,11,FALSE),0)</f>
        <v>0</v>
      </c>
      <c r="AA14" s="247">
        <f t="shared" si="1"/>
        <v>0.4</v>
      </c>
    </row>
    <row r="15" spans="1:27" ht="15" x14ac:dyDescent="0.2">
      <c r="B15" s="223">
        <v>11</v>
      </c>
      <c r="C15" s="258"/>
      <c r="D15" s="228" t="str">
        <f>IFERROR(VLOOKUP($C15,Full_data!$B$8:$J$932,2,FALSE),"")</f>
        <v/>
      </c>
      <c r="E15" s="228" t="str">
        <f>IFERROR(VLOOKUP($C15,Full_data!$B$8:$J$932,3,FALSE),"")</f>
        <v/>
      </c>
      <c r="F15" s="224" t="str">
        <f>IFERROR(VLOOKUP($C15,Full_data!$B$8:$J$932,4,FALSE),"")</f>
        <v/>
      </c>
      <c r="G15" s="224" t="e">
        <f>VLOOKUP($C15,Full_data!$B$8:$J$932,5,FALSE)</f>
        <v>#N/A</v>
      </c>
      <c r="H15" s="224" t="e">
        <f>VLOOKUP($C15,Full_data!$B$8:$J$932,6,FALSE)</f>
        <v>#N/A</v>
      </c>
      <c r="I15" s="236" t="str">
        <f>IFERROR(VLOOKUP($C15,Full_data!$B$8:$J$932,7,FALSE),"")</f>
        <v/>
      </c>
      <c r="J15" s="354" t="str">
        <f>IFERROR(VLOOKUP($C15,Full_data!$B$8:$J$932,8,FALSE),"")</f>
        <v/>
      </c>
      <c r="K15" s="357"/>
      <c r="L15" s="230" t="str">
        <f t="shared" si="2"/>
        <v/>
      </c>
      <c r="M15" s="351"/>
      <c r="N15" s="236" t="str">
        <f t="shared" si="3"/>
        <v/>
      </c>
      <c r="O15" s="236">
        <f>M15*IFERROR(VLOOKUP($C15,Logistics!$A$1:$O$534,10,FALSE),0)</f>
        <v>0</v>
      </c>
      <c r="P15" s="238">
        <f>M15*IFERROR(VLOOKUP($C15,Logistics!$A$1:$O$534,11,FALSE),0)</f>
        <v>0</v>
      </c>
      <c r="AA15" s="247">
        <f t="shared" si="1"/>
        <v>0.4</v>
      </c>
    </row>
    <row r="16" spans="1:27" ht="15" x14ac:dyDescent="0.2">
      <c r="B16" s="225">
        <v>12</v>
      </c>
      <c r="C16" s="259"/>
      <c r="D16" s="227" t="str">
        <f>IFERROR(VLOOKUP($C16,Full_data!$B$8:$J$932,2,FALSE),"")</f>
        <v/>
      </c>
      <c r="E16" s="227" t="str">
        <f>IFERROR(VLOOKUP($C16,Full_data!$B$8:$J$932,3,FALSE),"")</f>
        <v/>
      </c>
      <c r="F16" s="226" t="str">
        <f>IFERROR(VLOOKUP($C16,Full_data!$B$8:$J$932,4,FALSE),"")</f>
        <v/>
      </c>
      <c r="G16" s="226" t="e">
        <f>VLOOKUP($C16,Full_data!$B$8:$J$932,5,FALSE)</f>
        <v>#N/A</v>
      </c>
      <c r="H16" s="226" t="e">
        <f>VLOOKUP($C16,Full_data!$B$8:$J$932,6,FALSE)</f>
        <v>#N/A</v>
      </c>
      <c r="I16" s="237" t="str">
        <f>IFERROR(VLOOKUP($C16,Full_data!$B$8:$J$932,7,FALSE),"")</f>
        <v/>
      </c>
      <c r="J16" s="355" t="str">
        <f>IFERROR(VLOOKUP($C16,Full_data!$B$8:$J$932,8,FALSE),"")</f>
        <v/>
      </c>
      <c r="K16" s="358"/>
      <c r="L16" s="229" t="str">
        <f t="shared" si="2"/>
        <v/>
      </c>
      <c r="M16" s="352"/>
      <c r="N16" s="237" t="str">
        <f t="shared" si="3"/>
        <v/>
      </c>
      <c r="O16" s="237">
        <f>M16*IFERROR(VLOOKUP($C16,Logistics!$A$1:$O$534,10,FALSE),0)</f>
        <v>0</v>
      </c>
      <c r="P16" s="239">
        <f>M16*IFERROR(VLOOKUP($C16,Logistics!$A$1:$O$534,11,FALSE),0)</f>
        <v>0</v>
      </c>
      <c r="AA16" s="247">
        <f t="shared" si="1"/>
        <v>0.4</v>
      </c>
    </row>
    <row r="17" spans="2:27" ht="15" x14ac:dyDescent="0.2">
      <c r="B17" s="223">
        <v>13</v>
      </c>
      <c r="C17" s="258"/>
      <c r="D17" s="228" t="str">
        <f>IFERROR(VLOOKUP($C17,Full_data!$B$8:$J$932,2,FALSE),"")</f>
        <v/>
      </c>
      <c r="E17" s="228" t="str">
        <f>IFERROR(VLOOKUP($C17,Full_data!$B$8:$J$932,3,FALSE),"")</f>
        <v/>
      </c>
      <c r="F17" s="224" t="str">
        <f>IFERROR(VLOOKUP($C17,Full_data!$B$8:$J$932,4,FALSE),"")</f>
        <v/>
      </c>
      <c r="G17" s="224" t="e">
        <f>VLOOKUP($C17,Full_data!$B$8:$J$932,5,FALSE)</f>
        <v>#N/A</v>
      </c>
      <c r="H17" s="224" t="e">
        <f>VLOOKUP($C17,Full_data!$B$8:$J$932,6,FALSE)</f>
        <v>#N/A</v>
      </c>
      <c r="I17" s="236" t="str">
        <f>IFERROR(VLOOKUP($C17,Full_data!$B$8:$J$932,7,FALSE),"")</f>
        <v/>
      </c>
      <c r="J17" s="354" t="str">
        <f>IFERROR(VLOOKUP($C17,Full_data!$B$8:$J$932,8,FALSE),"")</f>
        <v/>
      </c>
      <c r="K17" s="357"/>
      <c r="L17" s="230" t="str">
        <f t="shared" si="2"/>
        <v/>
      </c>
      <c r="M17" s="351"/>
      <c r="N17" s="236" t="str">
        <f t="shared" si="3"/>
        <v/>
      </c>
      <c r="O17" s="236">
        <f>M17*IFERROR(VLOOKUP($C17,Logistics!$A$1:$O$534,10,FALSE),0)</f>
        <v>0</v>
      </c>
      <c r="P17" s="238">
        <f>M17*IFERROR(VLOOKUP($C17,Logistics!$A$1:$O$534,11,FALSE),0)</f>
        <v>0</v>
      </c>
      <c r="AA17" s="247">
        <f t="shared" si="1"/>
        <v>0.4</v>
      </c>
    </row>
    <row r="18" spans="2:27" ht="15" x14ac:dyDescent="0.2">
      <c r="B18" s="225">
        <v>14</v>
      </c>
      <c r="C18" s="259"/>
      <c r="D18" s="227" t="str">
        <f>IFERROR(VLOOKUP($C18,Full_data!$B$8:$J$932,2,FALSE),"")</f>
        <v/>
      </c>
      <c r="E18" s="227" t="str">
        <f>IFERROR(VLOOKUP($C18,Full_data!$B$8:$J$932,3,FALSE),"")</f>
        <v/>
      </c>
      <c r="F18" s="226" t="str">
        <f>IFERROR(VLOOKUP($C18,Full_data!$B$8:$J$932,4,FALSE),"")</f>
        <v/>
      </c>
      <c r="G18" s="226" t="e">
        <f>VLOOKUP($C18,Full_data!$B$8:$J$932,5,FALSE)</f>
        <v>#N/A</v>
      </c>
      <c r="H18" s="226" t="e">
        <f>VLOOKUP($C18,Full_data!$B$8:$J$932,6,FALSE)</f>
        <v>#N/A</v>
      </c>
      <c r="I18" s="237" t="str">
        <f>IFERROR(VLOOKUP($C18,Full_data!$B$8:$J$932,7,FALSE),"")</f>
        <v/>
      </c>
      <c r="J18" s="355" t="str">
        <f>IFERROR(VLOOKUP($C18,Full_data!$B$8:$J$932,8,FALSE),"")</f>
        <v/>
      </c>
      <c r="K18" s="358"/>
      <c r="L18" s="229" t="str">
        <f t="shared" si="2"/>
        <v/>
      </c>
      <c r="M18" s="352"/>
      <c r="N18" s="237" t="str">
        <f t="shared" si="3"/>
        <v/>
      </c>
      <c r="O18" s="237">
        <f>M18*IFERROR(VLOOKUP($C18,Logistics!$A$1:$O$534,10,FALSE),0)</f>
        <v>0</v>
      </c>
      <c r="P18" s="239">
        <f>M18*IFERROR(VLOOKUP($C18,Logistics!$A$1:$O$534,11,FALSE),0)</f>
        <v>0</v>
      </c>
      <c r="AA18" s="247">
        <f t="shared" si="1"/>
        <v>0.4</v>
      </c>
    </row>
    <row r="19" spans="2:27" ht="15" x14ac:dyDescent="0.2">
      <c r="B19" s="223">
        <v>15</v>
      </c>
      <c r="C19" s="258"/>
      <c r="D19" s="228" t="str">
        <f>IFERROR(VLOOKUP($C19,Full_data!$B$8:$J$932,2,FALSE),"")</f>
        <v/>
      </c>
      <c r="E19" s="228" t="str">
        <f>IFERROR(VLOOKUP($C19,Full_data!$B$8:$J$932,3,FALSE),"")</f>
        <v/>
      </c>
      <c r="F19" s="224" t="str">
        <f>IFERROR(VLOOKUP($C19,Full_data!$B$8:$J$932,4,FALSE),"")</f>
        <v/>
      </c>
      <c r="G19" s="224" t="e">
        <f>VLOOKUP($C19,Full_data!$B$8:$J$932,5,FALSE)</f>
        <v>#N/A</v>
      </c>
      <c r="H19" s="224" t="e">
        <f>VLOOKUP($C19,Full_data!$B$8:$J$932,6,FALSE)</f>
        <v>#N/A</v>
      </c>
      <c r="I19" s="236" t="str">
        <f>IFERROR(VLOOKUP($C19,Full_data!$B$8:$J$932,7,FALSE),"")</f>
        <v/>
      </c>
      <c r="J19" s="354" t="str">
        <f>IFERROR(VLOOKUP($C19,Full_data!$B$8:$J$932,8,FALSE),"")</f>
        <v/>
      </c>
      <c r="K19" s="357"/>
      <c r="L19" s="230" t="str">
        <f t="shared" si="2"/>
        <v/>
      </c>
      <c r="M19" s="351"/>
      <c r="N19" s="236" t="str">
        <f t="shared" si="3"/>
        <v/>
      </c>
      <c r="O19" s="236">
        <f>M19*IFERROR(VLOOKUP($C19,Logistics!$A$1:$O$534,10,FALSE),0)</f>
        <v>0</v>
      </c>
      <c r="P19" s="238">
        <f>M19*IFERROR(VLOOKUP($C19,Logistics!$A$1:$O$534,11,FALSE),0)</f>
        <v>0</v>
      </c>
      <c r="AA19" s="247">
        <f t="shared" si="1"/>
        <v>0.4</v>
      </c>
    </row>
    <row r="20" spans="2:27" ht="15" x14ac:dyDescent="0.2">
      <c r="B20" s="225">
        <v>16</v>
      </c>
      <c r="C20" s="259"/>
      <c r="D20" s="227" t="str">
        <f>IFERROR(VLOOKUP($C20,Full_data!$B$8:$J$932,2,FALSE),"")</f>
        <v/>
      </c>
      <c r="E20" s="227" t="str">
        <f>IFERROR(VLOOKUP($C20,Full_data!$B$8:$J$932,3,FALSE),"")</f>
        <v/>
      </c>
      <c r="F20" s="226" t="str">
        <f>IFERROR(VLOOKUP($C20,Full_data!$B$8:$J$932,4,FALSE),"")</f>
        <v/>
      </c>
      <c r="G20" s="226" t="e">
        <f>VLOOKUP($C20,Full_data!$B$8:$J$932,5,FALSE)</f>
        <v>#N/A</v>
      </c>
      <c r="H20" s="226" t="e">
        <f>VLOOKUP($C20,Full_data!$B$8:$J$932,6,FALSE)</f>
        <v>#N/A</v>
      </c>
      <c r="I20" s="237" t="str">
        <f>IFERROR(VLOOKUP($C20,Full_data!$B$8:$J$932,7,FALSE),"")</f>
        <v/>
      </c>
      <c r="J20" s="355" t="str">
        <f>IFERROR(VLOOKUP($C20,Full_data!$B$8:$J$932,8,FALSE),"")</f>
        <v/>
      </c>
      <c r="K20" s="358"/>
      <c r="L20" s="229" t="str">
        <f t="shared" si="2"/>
        <v/>
      </c>
      <c r="M20" s="352"/>
      <c r="N20" s="237" t="str">
        <f t="shared" si="3"/>
        <v/>
      </c>
      <c r="O20" s="237">
        <f>M20*IFERROR(VLOOKUP($C20,Logistics!$A$1:$O$534,10,FALSE),0)</f>
        <v>0</v>
      </c>
      <c r="P20" s="239">
        <f>M20*IFERROR(VLOOKUP($C20,Logistics!$A$1:$O$534,11,FALSE),0)</f>
        <v>0</v>
      </c>
      <c r="AA20" s="247">
        <f t="shared" si="1"/>
        <v>0.4</v>
      </c>
    </row>
    <row r="21" spans="2:27" ht="15" x14ac:dyDescent="0.2">
      <c r="B21" s="223">
        <v>17</v>
      </c>
      <c r="C21" s="258"/>
      <c r="D21" s="228" t="str">
        <f>IFERROR(VLOOKUP($C21,Full_data!$B$8:$J$932,2,FALSE),"")</f>
        <v/>
      </c>
      <c r="E21" s="228" t="str">
        <f>IFERROR(VLOOKUP($C21,Full_data!$B$8:$J$932,3,FALSE),"")</f>
        <v/>
      </c>
      <c r="F21" s="224" t="str">
        <f>IFERROR(VLOOKUP($C21,Full_data!$B$8:$J$932,4,FALSE),"")</f>
        <v/>
      </c>
      <c r="G21" s="224" t="e">
        <f>VLOOKUP($C21,Full_data!$B$8:$J$932,5,FALSE)</f>
        <v>#N/A</v>
      </c>
      <c r="H21" s="224" t="e">
        <f>VLOOKUP($C21,Full_data!$B$8:$J$932,6,FALSE)</f>
        <v>#N/A</v>
      </c>
      <c r="I21" s="236" t="str">
        <f>IFERROR(VLOOKUP($C21,Full_data!$B$8:$J$932,7,FALSE),"")</f>
        <v/>
      </c>
      <c r="J21" s="354" t="str">
        <f>IFERROR(VLOOKUP($C21,Full_data!$B$8:$J$932,8,FALSE),"")</f>
        <v/>
      </c>
      <c r="K21" s="357"/>
      <c r="L21" s="230" t="str">
        <f t="shared" si="2"/>
        <v/>
      </c>
      <c r="M21" s="351"/>
      <c r="N21" s="236" t="str">
        <f t="shared" si="3"/>
        <v/>
      </c>
      <c r="O21" s="236">
        <f>M21*IFERROR(VLOOKUP($C21,Logistics!$A$1:$O$534,10,FALSE),0)</f>
        <v>0</v>
      </c>
      <c r="P21" s="238">
        <f>M21*IFERROR(VLOOKUP($C21,Logistics!$A$1:$O$534,11,FALSE),0)</f>
        <v>0</v>
      </c>
      <c r="AA21" s="247">
        <f t="shared" si="1"/>
        <v>0.4</v>
      </c>
    </row>
    <row r="22" spans="2:27" ht="15" x14ac:dyDescent="0.2">
      <c r="B22" s="225">
        <v>18</v>
      </c>
      <c r="C22" s="259"/>
      <c r="D22" s="227" t="str">
        <f>IFERROR(VLOOKUP($C22,Full_data!$B$8:$J$932,2,FALSE),"")</f>
        <v/>
      </c>
      <c r="E22" s="227" t="str">
        <f>IFERROR(VLOOKUP($C22,Full_data!$B$8:$J$932,3,FALSE),"")</f>
        <v/>
      </c>
      <c r="F22" s="226" t="str">
        <f>IFERROR(VLOOKUP($C22,Full_data!$B$8:$J$932,4,FALSE),"")</f>
        <v/>
      </c>
      <c r="G22" s="226" t="e">
        <f>VLOOKUP($C22,Full_data!$B$8:$J$932,5,FALSE)</f>
        <v>#N/A</v>
      </c>
      <c r="H22" s="226" t="e">
        <f>VLOOKUP($C22,Full_data!$B$8:$J$932,6,FALSE)</f>
        <v>#N/A</v>
      </c>
      <c r="I22" s="237" t="str">
        <f>IFERROR(VLOOKUP($C22,Full_data!$B$8:$J$932,7,FALSE),"")</f>
        <v/>
      </c>
      <c r="J22" s="355" t="str">
        <f>IFERROR(VLOOKUP($C22,Full_data!$B$8:$J$932,8,FALSE),"")</f>
        <v/>
      </c>
      <c r="K22" s="358"/>
      <c r="L22" s="229" t="str">
        <f t="shared" si="2"/>
        <v/>
      </c>
      <c r="M22" s="352"/>
      <c r="N22" s="237" t="str">
        <f t="shared" si="3"/>
        <v/>
      </c>
      <c r="O22" s="237">
        <f>M22*IFERROR(VLOOKUP($C22,Logistics!$A$1:$O$534,10,FALSE),0)</f>
        <v>0</v>
      </c>
      <c r="P22" s="239">
        <f>M22*IFERROR(VLOOKUP($C22,Logistics!$A$1:$O$534,11,FALSE),0)</f>
        <v>0</v>
      </c>
      <c r="AA22" s="247">
        <f t="shared" si="1"/>
        <v>0.4</v>
      </c>
    </row>
    <row r="23" spans="2:27" ht="15" x14ac:dyDescent="0.2">
      <c r="B23" s="223">
        <v>19</v>
      </c>
      <c r="C23" s="258"/>
      <c r="D23" s="228" t="str">
        <f>IFERROR(VLOOKUP($C23,Full_data!$B$8:$J$932,2,FALSE),"")</f>
        <v/>
      </c>
      <c r="E23" s="228" t="str">
        <f>IFERROR(VLOOKUP($C23,Full_data!$B$8:$J$932,3,FALSE),"")</f>
        <v/>
      </c>
      <c r="F23" s="224" t="str">
        <f>IFERROR(VLOOKUP($C23,Full_data!$B$8:$J$932,4,FALSE),"")</f>
        <v/>
      </c>
      <c r="G23" s="224" t="e">
        <f>VLOOKUP($C23,Full_data!$B$8:$J$932,5,FALSE)</f>
        <v>#N/A</v>
      </c>
      <c r="H23" s="224" t="e">
        <f>VLOOKUP($C23,Full_data!$B$8:$J$932,6,FALSE)</f>
        <v>#N/A</v>
      </c>
      <c r="I23" s="236" t="str">
        <f>IFERROR(VLOOKUP($C23,Full_data!$B$8:$J$932,7,FALSE),"")</f>
        <v/>
      </c>
      <c r="J23" s="354" t="str">
        <f>IFERROR(VLOOKUP($C23,Full_data!$B$8:$J$932,8,FALSE),"")</f>
        <v/>
      </c>
      <c r="K23" s="357"/>
      <c r="L23" s="230" t="str">
        <f t="shared" si="2"/>
        <v/>
      </c>
      <c r="M23" s="351"/>
      <c r="N23" s="236" t="str">
        <f t="shared" si="3"/>
        <v/>
      </c>
      <c r="O23" s="236">
        <f>M23*IFERROR(VLOOKUP($C23,Logistics!$A$1:$O$534,10,FALSE),0)</f>
        <v>0</v>
      </c>
      <c r="P23" s="238">
        <f>M23*IFERROR(VLOOKUP($C23,Logistics!$A$1:$O$534,11,FALSE),0)</f>
        <v>0</v>
      </c>
      <c r="AA23" s="247">
        <f t="shared" si="1"/>
        <v>0.4</v>
      </c>
    </row>
    <row r="24" spans="2:27" ht="15" x14ac:dyDescent="0.2">
      <c r="B24" s="225">
        <v>20</v>
      </c>
      <c r="C24" s="259"/>
      <c r="D24" s="227" t="str">
        <f>IFERROR(VLOOKUP($C24,Full_data!$B$8:$J$932,2,FALSE),"")</f>
        <v/>
      </c>
      <c r="E24" s="227" t="str">
        <f>IFERROR(VLOOKUP($C24,Full_data!$B$8:$J$932,3,FALSE),"")</f>
        <v/>
      </c>
      <c r="F24" s="226" t="str">
        <f>IFERROR(VLOOKUP($C24,Full_data!$B$8:$J$932,4,FALSE),"")</f>
        <v/>
      </c>
      <c r="G24" s="226" t="e">
        <f>VLOOKUP($C24,Full_data!$B$8:$J$932,5,FALSE)</f>
        <v>#N/A</v>
      </c>
      <c r="H24" s="226" t="e">
        <f>VLOOKUP($C24,Full_data!$B$8:$J$932,6,FALSE)</f>
        <v>#N/A</v>
      </c>
      <c r="I24" s="237" t="str">
        <f>IFERROR(VLOOKUP($C24,Full_data!$B$8:$J$932,7,FALSE),"")</f>
        <v/>
      </c>
      <c r="J24" s="355" t="str">
        <f>IFERROR(VLOOKUP($C24,Full_data!$B$8:$J$932,8,FALSE),"")</f>
        <v/>
      </c>
      <c r="K24" s="358"/>
      <c r="L24" s="229" t="str">
        <f t="shared" si="2"/>
        <v/>
      </c>
      <c r="M24" s="352"/>
      <c r="N24" s="237" t="str">
        <f t="shared" si="3"/>
        <v/>
      </c>
      <c r="O24" s="237">
        <f>M24*IFERROR(VLOOKUP($C24,Logistics!$A$1:$O$534,10,FALSE),0)</f>
        <v>0</v>
      </c>
      <c r="P24" s="239">
        <f>M24*IFERROR(VLOOKUP($C24,Logistics!$A$1:$O$534,11,FALSE),0)</f>
        <v>0</v>
      </c>
      <c r="AA24" s="247">
        <f t="shared" si="1"/>
        <v>0.4</v>
      </c>
    </row>
    <row r="25" spans="2:27" ht="15" x14ac:dyDescent="0.2">
      <c r="B25" s="223">
        <v>21</v>
      </c>
      <c r="C25" s="258"/>
      <c r="D25" s="228" t="str">
        <f>IFERROR(VLOOKUP($C25,Full_data!$B$8:$J$932,2,FALSE),"")</f>
        <v/>
      </c>
      <c r="E25" s="228" t="str">
        <f>IFERROR(VLOOKUP($C25,Full_data!$B$8:$J$932,3,FALSE),"")</f>
        <v/>
      </c>
      <c r="F25" s="224" t="str">
        <f>IFERROR(VLOOKUP($C25,Full_data!$B$8:$J$932,4,FALSE),"")</f>
        <v/>
      </c>
      <c r="G25" s="224" t="e">
        <f>VLOOKUP($C25,Full_data!$B$8:$J$932,5,FALSE)</f>
        <v>#N/A</v>
      </c>
      <c r="H25" s="224" t="e">
        <f>VLOOKUP($C25,Full_data!$B$8:$J$932,6,FALSE)</f>
        <v>#N/A</v>
      </c>
      <c r="I25" s="236" t="str">
        <f>IFERROR(VLOOKUP($C25,Full_data!$B$8:$J$932,7,FALSE),"")</f>
        <v/>
      </c>
      <c r="J25" s="354" t="str">
        <f>IFERROR(VLOOKUP($C25,Full_data!$B$8:$J$932,8,FALSE),"")</f>
        <v/>
      </c>
      <c r="K25" s="357"/>
      <c r="L25" s="230" t="str">
        <f t="shared" si="2"/>
        <v/>
      </c>
      <c r="M25" s="351"/>
      <c r="N25" s="236" t="str">
        <f t="shared" si="3"/>
        <v/>
      </c>
      <c r="O25" s="236">
        <f>M25*IFERROR(VLOOKUP($C25,Logistics!$A$1:$O$534,10,FALSE),0)</f>
        <v>0</v>
      </c>
      <c r="P25" s="238">
        <f>M25*IFERROR(VLOOKUP($C25,Logistics!$A$1:$O$534,11,FALSE),0)</f>
        <v>0</v>
      </c>
      <c r="AA25" s="247">
        <f t="shared" si="1"/>
        <v>0.4</v>
      </c>
    </row>
    <row r="26" spans="2:27" ht="15" x14ac:dyDescent="0.2">
      <c r="B26" s="225">
        <v>22</v>
      </c>
      <c r="C26" s="259"/>
      <c r="D26" s="227" t="str">
        <f>IFERROR(VLOOKUP($C26,Full_data!$B$8:$J$932,2,FALSE),"")</f>
        <v/>
      </c>
      <c r="E26" s="227" t="str">
        <f>IFERROR(VLOOKUP($C26,Full_data!$B$8:$J$932,3,FALSE),"")</f>
        <v/>
      </c>
      <c r="F26" s="226" t="str">
        <f>IFERROR(VLOOKUP($C26,Full_data!$B$8:$J$932,4,FALSE),"")</f>
        <v/>
      </c>
      <c r="G26" s="226" t="e">
        <f>VLOOKUP($C26,Full_data!$B$8:$J$932,5,FALSE)</f>
        <v>#N/A</v>
      </c>
      <c r="H26" s="226" t="e">
        <f>VLOOKUP($C26,Full_data!$B$8:$J$932,6,FALSE)</f>
        <v>#N/A</v>
      </c>
      <c r="I26" s="237" t="str">
        <f>IFERROR(VLOOKUP($C26,Full_data!$B$8:$J$932,7,FALSE),"")</f>
        <v/>
      </c>
      <c r="J26" s="355" t="str">
        <f>IFERROR(VLOOKUP($C26,Full_data!$B$8:$J$932,8,FALSE),"")</f>
        <v/>
      </c>
      <c r="K26" s="358"/>
      <c r="L26" s="229" t="str">
        <f t="shared" si="2"/>
        <v/>
      </c>
      <c r="M26" s="352"/>
      <c r="N26" s="237" t="str">
        <f t="shared" si="3"/>
        <v/>
      </c>
      <c r="O26" s="237">
        <f>M26*IFERROR(VLOOKUP($C26,Logistics!$A$1:$O$534,10,FALSE),0)</f>
        <v>0</v>
      </c>
      <c r="P26" s="239">
        <f>M26*IFERROR(VLOOKUP($C26,Logistics!$A$1:$O$534,11,FALSE),0)</f>
        <v>0</v>
      </c>
      <c r="AA26" s="247">
        <f t="shared" si="1"/>
        <v>0.4</v>
      </c>
    </row>
    <row r="27" spans="2:27" ht="15" x14ac:dyDescent="0.2">
      <c r="B27" s="223">
        <v>23</v>
      </c>
      <c r="C27" s="258"/>
      <c r="D27" s="228" t="str">
        <f>IFERROR(VLOOKUP($C27,Full_data!$B$8:$J$932,2,FALSE),"")</f>
        <v/>
      </c>
      <c r="E27" s="228" t="str">
        <f>IFERROR(VLOOKUP($C27,Full_data!$B$8:$J$932,3,FALSE),"")</f>
        <v/>
      </c>
      <c r="F27" s="224" t="str">
        <f>IFERROR(VLOOKUP($C27,Full_data!$B$8:$J$932,4,FALSE),"")</f>
        <v/>
      </c>
      <c r="G27" s="224" t="e">
        <f>VLOOKUP($C27,Full_data!$B$8:$J$932,5,FALSE)</f>
        <v>#N/A</v>
      </c>
      <c r="H27" s="224" t="e">
        <f>VLOOKUP($C27,Full_data!$B$8:$J$932,6,FALSE)</f>
        <v>#N/A</v>
      </c>
      <c r="I27" s="236" t="str">
        <f>IFERROR(VLOOKUP($C27,Full_data!$B$8:$J$932,7,FALSE),"")</f>
        <v/>
      </c>
      <c r="J27" s="354" t="str">
        <f>IFERROR(VLOOKUP($C27,Full_data!$B$8:$J$932,8,FALSE),"")</f>
        <v/>
      </c>
      <c r="K27" s="357"/>
      <c r="L27" s="230" t="str">
        <f t="shared" si="2"/>
        <v/>
      </c>
      <c r="M27" s="351"/>
      <c r="N27" s="236" t="str">
        <f t="shared" si="3"/>
        <v/>
      </c>
      <c r="O27" s="236">
        <f>M27*IFERROR(VLOOKUP($C27,Logistics!$A$1:$O$534,10,FALSE),0)</f>
        <v>0</v>
      </c>
      <c r="P27" s="238">
        <f>M27*IFERROR(VLOOKUP($C27,Logistics!$A$1:$O$534,11,FALSE),0)</f>
        <v>0</v>
      </c>
      <c r="AA27" s="247">
        <f t="shared" si="1"/>
        <v>0.4</v>
      </c>
    </row>
    <row r="28" spans="2:27" ht="15" x14ac:dyDescent="0.2">
      <c r="B28" s="225">
        <v>24</v>
      </c>
      <c r="C28" s="259"/>
      <c r="D28" s="227" t="str">
        <f>IFERROR(VLOOKUP($C28,Full_data!$B$8:$J$932,2,FALSE),"")</f>
        <v/>
      </c>
      <c r="E28" s="227" t="str">
        <f>IFERROR(VLOOKUP($C28,Full_data!$B$8:$J$932,3,FALSE),"")</f>
        <v/>
      </c>
      <c r="F28" s="226" t="str">
        <f>IFERROR(VLOOKUP($C28,Full_data!$B$8:$J$932,4,FALSE),"")</f>
        <v/>
      </c>
      <c r="G28" s="226" t="e">
        <f>VLOOKUP($C28,Full_data!$B$8:$J$932,5,FALSE)</f>
        <v>#N/A</v>
      </c>
      <c r="H28" s="226" t="e">
        <f>VLOOKUP($C28,Full_data!$B$8:$J$932,6,FALSE)</f>
        <v>#N/A</v>
      </c>
      <c r="I28" s="237" t="str">
        <f>IFERROR(VLOOKUP($C28,Full_data!$B$8:$J$932,7,FALSE),"")</f>
        <v/>
      </c>
      <c r="J28" s="355" t="str">
        <f>IFERROR(VLOOKUP($C28,Full_data!$B$8:$J$932,8,FALSE),"")</f>
        <v/>
      </c>
      <c r="K28" s="358"/>
      <c r="L28" s="229" t="str">
        <f t="shared" si="2"/>
        <v/>
      </c>
      <c r="M28" s="352"/>
      <c r="N28" s="237" t="str">
        <f t="shared" si="3"/>
        <v/>
      </c>
      <c r="O28" s="237">
        <f>M28*IFERROR(VLOOKUP($C28,Logistics!$A$1:$O$534,10,FALSE),0)</f>
        <v>0</v>
      </c>
      <c r="P28" s="239">
        <f>M28*IFERROR(VLOOKUP($C28,Logistics!$A$1:$O$534,11,FALSE),0)</f>
        <v>0</v>
      </c>
      <c r="AA28" s="247">
        <f t="shared" si="1"/>
        <v>0.4</v>
      </c>
    </row>
    <row r="29" spans="2:27" ht="15" x14ac:dyDescent="0.2">
      <c r="B29" s="223">
        <v>25</v>
      </c>
      <c r="C29" s="258"/>
      <c r="D29" s="228" t="str">
        <f>IFERROR(VLOOKUP($C29,Full_data!$B$8:$J$932,2,FALSE),"")</f>
        <v/>
      </c>
      <c r="E29" s="228" t="str">
        <f>IFERROR(VLOOKUP($C29,Full_data!$B$8:$J$932,3,FALSE),"")</f>
        <v/>
      </c>
      <c r="F29" s="224" t="str">
        <f>IFERROR(VLOOKUP($C29,Full_data!$B$8:$J$932,4,FALSE),"")</f>
        <v/>
      </c>
      <c r="G29" s="224" t="e">
        <f>VLOOKUP($C29,Full_data!$B$8:$J$932,5,FALSE)</f>
        <v>#N/A</v>
      </c>
      <c r="H29" s="224" t="e">
        <f>VLOOKUP($C29,Full_data!$B$8:$J$932,6,FALSE)</f>
        <v>#N/A</v>
      </c>
      <c r="I29" s="236" t="str">
        <f>IFERROR(VLOOKUP($C29,Full_data!$B$8:$J$932,7,FALSE),"")</f>
        <v/>
      </c>
      <c r="J29" s="354" t="str">
        <f>IFERROR(VLOOKUP($C29,Full_data!$B$8:$J$932,8,FALSE),"")</f>
        <v/>
      </c>
      <c r="K29" s="357"/>
      <c r="L29" s="230" t="str">
        <f t="shared" si="2"/>
        <v/>
      </c>
      <c r="M29" s="351"/>
      <c r="N29" s="236" t="str">
        <f t="shared" si="3"/>
        <v/>
      </c>
      <c r="O29" s="236">
        <f>M29*IFERROR(VLOOKUP($C29,Logistics!$A$1:$O$534,10,FALSE),0)</f>
        <v>0</v>
      </c>
      <c r="P29" s="238">
        <f>M29*IFERROR(VLOOKUP($C29,Logistics!$A$1:$O$534,11,FALSE),0)</f>
        <v>0</v>
      </c>
      <c r="AA29" s="247">
        <f t="shared" si="1"/>
        <v>0.4</v>
      </c>
    </row>
    <row r="30" spans="2:27" ht="15" x14ac:dyDescent="0.2">
      <c r="B30" s="225">
        <v>26</v>
      </c>
      <c r="C30" s="259"/>
      <c r="D30" s="227" t="str">
        <f>IFERROR(VLOOKUP($C30,Full_data!$B$8:$J$932,2,FALSE),"")</f>
        <v/>
      </c>
      <c r="E30" s="227" t="str">
        <f>IFERROR(VLOOKUP($C30,Full_data!$B$8:$J$932,3,FALSE),"")</f>
        <v/>
      </c>
      <c r="F30" s="226" t="str">
        <f>IFERROR(VLOOKUP($C30,Full_data!$B$8:$J$932,4,FALSE),"")</f>
        <v/>
      </c>
      <c r="G30" s="226" t="e">
        <f>VLOOKUP($C30,Full_data!$B$8:$J$932,5,FALSE)</f>
        <v>#N/A</v>
      </c>
      <c r="H30" s="226" t="e">
        <f>VLOOKUP($C30,Full_data!$B$8:$J$932,6,FALSE)</f>
        <v>#N/A</v>
      </c>
      <c r="I30" s="237" t="str">
        <f>IFERROR(VLOOKUP($C30,Full_data!$B$8:$J$932,7,FALSE),"")</f>
        <v/>
      </c>
      <c r="J30" s="355" t="str">
        <f>IFERROR(VLOOKUP($C30,Full_data!$B$8:$J$932,8,FALSE),"")</f>
        <v/>
      </c>
      <c r="K30" s="358"/>
      <c r="L30" s="229" t="str">
        <f t="shared" si="2"/>
        <v/>
      </c>
      <c r="M30" s="352"/>
      <c r="N30" s="237" t="str">
        <f t="shared" si="3"/>
        <v/>
      </c>
      <c r="O30" s="237">
        <f>M30*IFERROR(VLOOKUP($C30,Logistics!$A$1:$O$534,10,FALSE),0)</f>
        <v>0</v>
      </c>
      <c r="P30" s="239">
        <f>M30*IFERROR(VLOOKUP($C30,Logistics!$A$1:$O$534,11,FALSE),0)</f>
        <v>0</v>
      </c>
      <c r="AA30" s="247">
        <f t="shared" si="1"/>
        <v>0.4</v>
      </c>
    </row>
    <row r="31" spans="2:27" ht="15" x14ac:dyDescent="0.2">
      <c r="B31" s="223">
        <v>27</v>
      </c>
      <c r="C31" s="258"/>
      <c r="D31" s="228" t="str">
        <f>IFERROR(VLOOKUP($C31,Full_data!$B$8:$J$932,2,FALSE),"")</f>
        <v/>
      </c>
      <c r="E31" s="228" t="str">
        <f>IFERROR(VLOOKUP($C31,Full_data!$B$8:$J$932,3,FALSE),"")</f>
        <v/>
      </c>
      <c r="F31" s="224" t="str">
        <f>IFERROR(VLOOKUP($C31,Full_data!$B$8:$J$932,4,FALSE),"")</f>
        <v/>
      </c>
      <c r="G31" s="224" t="e">
        <f>VLOOKUP($C31,Full_data!$B$8:$J$932,5,FALSE)</f>
        <v>#N/A</v>
      </c>
      <c r="H31" s="224" t="e">
        <f>VLOOKUP($C31,Full_data!$B$8:$J$932,6,FALSE)</f>
        <v>#N/A</v>
      </c>
      <c r="I31" s="236" t="str">
        <f>IFERROR(VLOOKUP($C31,Full_data!$B$8:$J$932,7,FALSE),"")</f>
        <v/>
      </c>
      <c r="J31" s="354" t="str">
        <f>IFERROR(VLOOKUP($C31,Full_data!$B$8:$J$932,8,FALSE),"")</f>
        <v/>
      </c>
      <c r="K31" s="357"/>
      <c r="L31" s="230" t="str">
        <f t="shared" si="2"/>
        <v/>
      </c>
      <c r="M31" s="351"/>
      <c r="N31" s="236" t="str">
        <f t="shared" si="3"/>
        <v/>
      </c>
      <c r="O31" s="236">
        <f>M31*IFERROR(VLOOKUP($C31,Logistics!$A$1:$O$534,10,FALSE),0)</f>
        <v>0</v>
      </c>
      <c r="P31" s="238">
        <f>M31*IFERROR(VLOOKUP($C31,Logistics!$A$1:$O$534,11,FALSE),0)</f>
        <v>0</v>
      </c>
      <c r="AA31" s="247">
        <f t="shared" si="1"/>
        <v>0.4</v>
      </c>
    </row>
    <row r="32" spans="2:27" ht="15" x14ac:dyDescent="0.2">
      <c r="B32" s="225">
        <v>28</v>
      </c>
      <c r="C32" s="259"/>
      <c r="D32" s="227" t="str">
        <f>IFERROR(VLOOKUP($C32,Full_data!$B$8:$J$932,2,FALSE),"")</f>
        <v/>
      </c>
      <c r="E32" s="227" t="str">
        <f>IFERROR(VLOOKUP($C32,Full_data!$B$8:$J$932,3,FALSE),"")</f>
        <v/>
      </c>
      <c r="F32" s="226" t="str">
        <f>IFERROR(VLOOKUP($C32,Full_data!$B$8:$J$932,4,FALSE),"")</f>
        <v/>
      </c>
      <c r="G32" s="226" t="e">
        <f>VLOOKUP($C32,Full_data!$B$8:$J$932,5,FALSE)</f>
        <v>#N/A</v>
      </c>
      <c r="H32" s="226" t="e">
        <f>VLOOKUP($C32,Full_data!$B$8:$J$932,6,FALSE)</f>
        <v>#N/A</v>
      </c>
      <c r="I32" s="237" t="str">
        <f>IFERROR(VLOOKUP($C32,Full_data!$B$8:$J$932,7,FALSE),"")</f>
        <v/>
      </c>
      <c r="J32" s="355" t="str">
        <f>IFERROR(VLOOKUP($C32,Full_data!$B$8:$J$932,8,FALSE),"")</f>
        <v/>
      </c>
      <c r="K32" s="358"/>
      <c r="L32" s="229" t="str">
        <f t="shared" si="2"/>
        <v/>
      </c>
      <c r="M32" s="352"/>
      <c r="N32" s="237" t="str">
        <f t="shared" si="3"/>
        <v/>
      </c>
      <c r="O32" s="237">
        <f>M32*IFERROR(VLOOKUP($C32,Logistics!$A$1:$O$534,10,FALSE),0)</f>
        <v>0</v>
      </c>
      <c r="P32" s="239">
        <f>M32*IFERROR(VLOOKUP($C32,Logistics!$A$1:$O$534,11,FALSE),0)</f>
        <v>0</v>
      </c>
      <c r="AA32" s="247">
        <f t="shared" si="1"/>
        <v>0.4</v>
      </c>
    </row>
    <row r="33" spans="2:27" ht="15" x14ac:dyDescent="0.2">
      <c r="B33" s="223">
        <v>29</v>
      </c>
      <c r="C33" s="258"/>
      <c r="D33" s="228" t="str">
        <f>IFERROR(VLOOKUP($C33,Full_data!$B$8:$J$932,2,FALSE),"")</f>
        <v/>
      </c>
      <c r="E33" s="228" t="str">
        <f>IFERROR(VLOOKUP($C33,Full_data!$B$8:$J$932,3,FALSE),"")</f>
        <v/>
      </c>
      <c r="F33" s="224" t="str">
        <f>IFERROR(VLOOKUP($C33,Full_data!$B$8:$J$932,4,FALSE),"")</f>
        <v/>
      </c>
      <c r="G33" s="224" t="e">
        <f>VLOOKUP($C33,Full_data!$B$8:$J$932,5,FALSE)</f>
        <v>#N/A</v>
      </c>
      <c r="H33" s="224" t="e">
        <f>VLOOKUP($C33,Full_data!$B$8:$J$932,6,FALSE)</f>
        <v>#N/A</v>
      </c>
      <c r="I33" s="236" t="str">
        <f>IFERROR(VLOOKUP($C33,Full_data!$B$8:$J$932,7,FALSE),"")</f>
        <v/>
      </c>
      <c r="J33" s="354" t="str">
        <f>IFERROR(VLOOKUP($C33,Full_data!$B$8:$J$932,8,FALSE),"")</f>
        <v/>
      </c>
      <c r="K33" s="357"/>
      <c r="L33" s="230" t="str">
        <f t="shared" si="2"/>
        <v/>
      </c>
      <c r="M33" s="351"/>
      <c r="N33" s="236" t="str">
        <f t="shared" si="3"/>
        <v/>
      </c>
      <c r="O33" s="236">
        <f>M33*IFERROR(VLOOKUP($C33,Logistics!$A$1:$O$534,10,FALSE),0)</f>
        <v>0</v>
      </c>
      <c r="P33" s="238">
        <f>M33*IFERROR(VLOOKUP($C33,Logistics!$A$1:$O$534,11,FALSE),0)</f>
        <v>0</v>
      </c>
      <c r="AA33" s="247">
        <f t="shared" si="1"/>
        <v>0.4</v>
      </c>
    </row>
    <row r="34" spans="2:27" ht="15" x14ac:dyDescent="0.2">
      <c r="B34" s="225">
        <v>30</v>
      </c>
      <c r="C34" s="259"/>
      <c r="D34" s="227" t="str">
        <f>IFERROR(VLOOKUP($C34,Full_data!$B$8:$J$932,2,FALSE),"")</f>
        <v/>
      </c>
      <c r="E34" s="227" t="str">
        <f>IFERROR(VLOOKUP($C34,Full_data!$B$8:$J$932,3,FALSE),"")</f>
        <v/>
      </c>
      <c r="F34" s="226" t="str">
        <f>IFERROR(VLOOKUP($C34,Full_data!$B$8:$J$932,4,FALSE),"")</f>
        <v/>
      </c>
      <c r="G34" s="226" t="e">
        <f>VLOOKUP($C34,Full_data!$B$8:$J$932,5,FALSE)</f>
        <v>#N/A</v>
      </c>
      <c r="H34" s="226" t="e">
        <f>VLOOKUP($C34,Full_data!$B$8:$J$932,6,FALSE)</f>
        <v>#N/A</v>
      </c>
      <c r="I34" s="237" t="str">
        <f>IFERROR(VLOOKUP($C34,Full_data!$B$8:$J$932,7,FALSE),"")</f>
        <v/>
      </c>
      <c r="J34" s="355" t="str">
        <f>IFERROR(VLOOKUP($C34,Full_data!$B$8:$J$932,8,FALSE),"")</f>
        <v/>
      </c>
      <c r="K34" s="358"/>
      <c r="L34" s="229" t="str">
        <f t="shared" si="2"/>
        <v/>
      </c>
      <c r="M34" s="352"/>
      <c r="N34" s="237" t="str">
        <f t="shared" si="3"/>
        <v/>
      </c>
      <c r="O34" s="237">
        <f>M34*IFERROR(VLOOKUP($C34,Logistics!$A$1:$O$534,10,FALSE),0)</f>
        <v>0</v>
      </c>
      <c r="P34" s="239">
        <f>M34*IFERROR(VLOOKUP($C34,Logistics!$A$1:$O$534,11,FALSE),0)</f>
        <v>0</v>
      </c>
      <c r="AA34" s="247">
        <f t="shared" si="1"/>
        <v>0.4</v>
      </c>
    </row>
    <row r="35" spans="2:27" ht="15" x14ac:dyDescent="0.2">
      <c r="B35" s="223">
        <v>31</v>
      </c>
      <c r="C35" s="258"/>
      <c r="D35" s="228" t="str">
        <f>IFERROR(VLOOKUP($C35,Full_data!$B$8:$J$932,2,FALSE),"")</f>
        <v/>
      </c>
      <c r="E35" s="228" t="str">
        <f>IFERROR(VLOOKUP($C35,Full_data!$B$8:$J$932,3,FALSE),"")</f>
        <v/>
      </c>
      <c r="F35" s="224" t="str">
        <f>IFERROR(VLOOKUP($C35,Full_data!$B$8:$J$932,4,FALSE),"")</f>
        <v/>
      </c>
      <c r="G35" s="224" t="e">
        <f>VLOOKUP($C35,Full_data!$B$8:$J$932,5,FALSE)</f>
        <v>#N/A</v>
      </c>
      <c r="H35" s="224" t="e">
        <f>VLOOKUP($C35,Full_data!$B$8:$J$932,6,FALSE)</f>
        <v>#N/A</v>
      </c>
      <c r="I35" s="236" t="str">
        <f>IFERROR(VLOOKUP($C35,Full_data!$B$8:$J$932,7,FALSE),"")</f>
        <v/>
      </c>
      <c r="J35" s="354" t="str">
        <f>IFERROR(VLOOKUP($C35,Full_data!$B$8:$J$932,8,FALSE),"")</f>
        <v/>
      </c>
      <c r="K35" s="357"/>
      <c r="L35" s="230" t="str">
        <f t="shared" si="2"/>
        <v/>
      </c>
      <c r="M35" s="351"/>
      <c r="N35" s="236" t="str">
        <f t="shared" si="3"/>
        <v/>
      </c>
      <c r="O35" s="236">
        <f>M35*IFERROR(VLOOKUP($C35,Logistics!$A$1:$O$534,10,FALSE),0)</f>
        <v>0</v>
      </c>
      <c r="P35" s="238">
        <f>M35*IFERROR(VLOOKUP($C35,Logistics!$A$1:$O$534,11,FALSE),0)</f>
        <v>0</v>
      </c>
      <c r="AA35" s="247">
        <f t="shared" si="1"/>
        <v>0.4</v>
      </c>
    </row>
    <row r="36" spans="2:27" ht="15" x14ac:dyDescent="0.2">
      <c r="B36" s="225">
        <v>32</v>
      </c>
      <c r="C36" s="259"/>
      <c r="D36" s="227" t="str">
        <f>IFERROR(VLOOKUP($C36,Full_data!$B$8:$J$932,2,FALSE),"")</f>
        <v/>
      </c>
      <c r="E36" s="227" t="str">
        <f>IFERROR(VLOOKUP($C36,Full_data!$B$8:$J$932,3,FALSE),"")</f>
        <v/>
      </c>
      <c r="F36" s="226" t="str">
        <f>IFERROR(VLOOKUP($C36,Full_data!$B$8:$J$932,4,FALSE),"")</f>
        <v/>
      </c>
      <c r="G36" s="226" t="e">
        <f>VLOOKUP($C36,Full_data!$B$8:$J$932,5,FALSE)</f>
        <v>#N/A</v>
      </c>
      <c r="H36" s="226" t="e">
        <f>VLOOKUP($C36,Full_data!$B$8:$J$932,6,FALSE)</f>
        <v>#N/A</v>
      </c>
      <c r="I36" s="237" t="str">
        <f>IFERROR(VLOOKUP($C36,Full_data!$B$8:$J$932,7,FALSE),"")</f>
        <v/>
      </c>
      <c r="J36" s="355" t="str">
        <f>IFERROR(VLOOKUP($C36,Full_data!$B$8:$J$932,8,FALSE),"")</f>
        <v/>
      </c>
      <c r="K36" s="358"/>
      <c r="L36" s="229" t="str">
        <f t="shared" ref="L36:L99" si="4">IFERROR(IF(ISBLANK(K36),I36-I36*J36,I36-I36*K36),"")</f>
        <v/>
      </c>
      <c r="M36" s="352"/>
      <c r="N36" s="237" t="str">
        <f t="shared" si="3"/>
        <v/>
      </c>
      <c r="O36" s="237">
        <f>M36*IFERROR(VLOOKUP($C36,Logistics!$A$1:$O$534,10,FALSE),0)</f>
        <v>0</v>
      </c>
      <c r="P36" s="239">
        <f>M36*IFERROR(VLOOKUP($C36,Logistics!$A$1:$O$534,11,FALSE),0)</f>
        <v>0</v>
      </c>
      <c r="AA36" s="247">
        <f t="shared" si="1"/>
        <v>0.4</v>
      </c>
    </row>
    <row r="37" spans="2:27" ht="15" x14ac:dyDescent="0.2">
      <c r="B37" s="223">
        <v>33</v>
      </c>
      <c r="C37" s="258"/>
      <c r="D37" s="228" t="str">
        <f>IFERROR(VLOOKUP($C37,Full_data!$B$8:$J$932,2,FALSE),"")</f>
        <v/>
      </c>
      <c r="E37" s="228" t="str">
        <f>IFERROR(VLOOKUP($C37,Full_data!$B$8:$J$932,3,FALSE),"")</f>
        <v/>
      </c>
      <c r="F37" s="224" t="str">
        <f>IFERROR(VLOOKUP($C37,Full_data!$B$8:$J$932,4,FALSE),"")</f>
        <v/>
      </c>
      <c r="G37" s="224" t="e">
        <f>VLOOKUP($C37,Full_data!$B$8:$J$932,5,FALSE)</f>
        <v>#N/A</v>
      </c>
      <c r="H37" s="224" t="e">
        <f>VLOOKUP($C37,Full_data!$B$8:$J$932,6,FALSE)</f>
        <v>#N/A</v>
      </c>
      <c r="I37" s="236" t="str">
        <f>IFERROR(VLOOKUP($C37,Full_data!$B$8:$J$932,7,FALSE),"")</f>
        <v/>
      </c>
      <c r="J37" s="354" t="str">
        <f>IFERROR(VLOOKUP($C37,Full_data!$B$8:$J$932,8,FALSE),"")</f>
        <v/>
      </c>
      <c r="K37" s="357"/>
      <c r="L37" s="230" t="str">
        <f t="shared" si="4"/>
        <v/>
      </c>
      <c r="M37" s="351"/>
      <c r="N37" s="236" t="str">
        <f t="shared" si="3"/>
        <v/>
      </c>
      <c r="O37" s="236">
        <f>M37*IFERROR(VLOOKUP($C37,Logistics!$A$1:$O$534,10,FALSE),0)</f>
        <v>0</v>
      </c>
      <c r="P37" s="238">
        <f>M37*IFERROR(VLOOKUP($C37,Logistics!$A$1:$O$534,11,FALSE),0)</f>
        <v>0</v>
      </c>
      <c r="AA37" s="247">
        <f t="shared" si="1"/>
        <v>0.4</v>
      </c>
    </row>
    <row r="38" spans="2:27" ht="15" x14ac:dyDescent="0.2">
      <c r="B38" s="225">
        <v>34</v>
      </c>
      <c r="C38" s="259"/>
      <c r="D38" s="227" t="str">
        <f>IFERROR(VLOOKUP($C38,Full_data!$B$8:$J$932,2,FALSE),"")</f>
        <v/>
      </c>
      <c r="E38" s="227" t="str">
        <f>IFERROR(VLOOKUP($C38,Full_data!$B$8:$J$932,3,FALSE),"")</f>
        <v/>
      </c>
      <c r="F38" s="226" t="str">
        <f>IFERROR(VLOOKUP($C38,Full_data!$B$8:$J$932,4,FALSE),"")</f>
        <v/>
      </c>
      <c r="G38" s="226" t="e">
        <f>VLOOKUP($C38,Full_data!$B$8:$J$932,5,FALSE)</f>
        <v>#N/A</v>
      </c>
      <c r="H38" s="226" t="e">
        <f>VLOOKUP($C38,Full_data!$B$8:$J$932,6,FALSE)</f>
        <v>#N/A</v>
      </c>
      <c r="I38" s="237" t="str">
        <f>IFERROR(VLOOKUP($C38,Full_data!$B$8:$J$932,7,FALSE),"")</f>
        <v/>
      </c>
      <c r="J38" s="355" t="str">
        <f>IFERROR(VLOOKUP($C38,Full_data!$B$8:$J$932,8,FALSE),"")</f>
        <v/>
      </c>
      <c r="K38" s="358"/>
      <c r="L38" s="229" t="str">
        <f t="shared" si="4"/>
        <v/>
      </c>
      <c r="M38" s="352"/>
      <c r="N38" s="237" t="str">
        <f t="shared" si="3"/>
        <v/>
      </c>
      <c r="O38" s="237">
        <f>M38*IFERROR(VLOOKUP($C38,Logistics!$A$1:$O$534,10,FALSE),0)</f>
        <v>0</v>
      </c>
      <c r="P38" s="239">
        <f>M38*IFERROR(VLOOKUP($C38,Logistics!$A$1:$O$534,11,FALSE),0)</f>
        <v>0</v>
      </c>
      <c r="AA38" s="247">
        <f t="shared" si="1"/>
        <v>0.4</v>
      </c>
    </row>
    <row r="39" spans="2:27" ht="15" x14ac:dyDescent="0.2">
      <c r="B39" s="223">
        <v>35</v>
      </c>
      <c r="C39" s="258"/>
      <c r="D39" s="228" t="str">
        <f>IFERROR(VLOOKUP($C39,Full_data!$B$8:$J$932,2,FALSE),"")</f>
        <v/>
      </c>
      <c r="E39" s="228" t="str">
        <f>IFERROR(VLOOKUP($C39,Full_data!$B$8:$J$932,3,FALSE),"")</f>
        <v/>
      </c>
      <c r="F39" s="224" t="str">
        <f>IFERROR(VLOOKUP($C39,Full_data!$B$8:$J$932,4,FALSE),"")</f>
        <v/>
      </c>
      <c r="G39" s="224" t="e">
        <f>VLOOKUP($C39,Full_data!$B$8:$J$932,5,FALSE)</f>
        <v>#N/A</v>
      </c>
      <c r="H39" s="224" t="e">
        <f>VLOOKUP($C39,Full_data!$B$8:$J$932,6,FALSE)</f>
        <v>#N/A</v>
      </c>
      <c r="I39" s="236" t="str">
        <f>IFERROR(VLOOKUP($C39,Full_data!$B$8:$J$932,7,FALSE),"")</f>
        <v/>
      </c>
      <c r="J39" s="354" t="str">
        <f>IFERROR(VLOOKUP($C39,Full_data!$B$8:$J$932,8,FALSE),"")</f>
        <v/>
      </c>
      <c r="K39" s="357"/>
      <c r="L39" s="230" t="str">
        <f t="shared" si="4"/>
        <v/>
      </c>
      <c r="M39" s="351"/>
      <c r="N39" s="236" t="str">
        <f t="shared" si="3"/>
        <v/>
      </c>
      <c r="O39" s="236">
        <f>M39*IFERROR(VLOOKUP($C39,Logistics!$A$1:$O$534,10,FALSE),0)</f>
        <v>0</v>
      </c>
      <c r="P39" s="238">
        <f>M39*IFERROR(VLOOKUP($C39,Logistics!$A$1:$O$534,11,FALSE),0)</f>
        <v>0</v>
      </c>
      <c r="AA39" s="247">
        <f t="shared" si="1"/>
        <v>0.4</v>
      </c>
    </row>
    <row r="40" spans="2:27" ht="15" x14ac:dyDescent="0.2">
      <c r="B40" s="225">
        <v>36</v>
      </c>
      <c r="C40" s="259"/>
      <c r="D40" s="227" t="str">
        <f>IFERROR(VLOOKUP($C40,Full_data!$B$8:$J$932,2,FALSE),"")</f>
        <v/>
      </c>
      <c r="E40" s="227" t="str">
        <f>IFERROR(VLOOKUP($C40,Full_data!$B$8:$J$932,3,FALSE),"")</f>
        <v/>
      </c>
      <c r="F40" s="226" t="str">
        <f>IFERROR(VLOOKUP($C40,Full_data!$B$8:$J$932,4,FALSE),"")</f>
        <v/>
      </c>
      <c r="G40" s="226" t="e">
        <f>VLOOKUP($C40,Full_data!$B$8:$J$932,5,FALSE)</f>
        <v>#N/A</v>
      </c>
      <c r="H40" s="226" t="e">
        <f>VLOOKUP($C40,Full_data!$B$8:$J$932,6,FALSE)</f>
        <v>#N/A</v>
      </c>
      <c r="I40" s="237" t="str">
        <f>IFERROR(VLOOKUP($C40,Full_data!$B$8:$J$932,7,FALSE),"")</f>
        <v/>
      </c>
      <c r="J40" s="355" t="str">
        <f>IFERROR(VLOOKUP($C40,Full_data!$B$8:$J$932,8,FALSE),"")</f>
        <v/>
      </c>
      <c r="K40" s="358"/>
      <c r="L40" s="229" t="str">
        <f t="shared" si="4"/>
        <v/>
      </c>
      <c r="M40" s="352"/>
      <c r="N40" s="237" t="str">
        <f t="shared" si="3"/>
        <v/>
      </c>
      <c r="O40" s="237">
        <f>M40*IFERROR(VLOOKUP($C40,Logistics!$A$1:$O$534,10,FALSE),0)</f>
        <v>0</v>
      </c>
      <c r="P40" s="239">
        <f>M40*IFERROR(VLOOKUP($C40,Logistics!$A$1:$O$534,11,FALSE),0)</f>
        <v>0</v>
      </c>
      <c r="AA40" s="247">
        <f t="shared" si="1"/>
        <v>0.4</v>
      </c>
    </row>
    <row r="41" spans="2:27" ht="15" x14ac:dyDescent="0.2">
      <c r="B41" s="223">
        <v>37</v>
      </c>
      <c r="C41" s="258"/>
      <c r="D41" s="228" t="str">
        <f>IFERROR(VLOOKUP($C41,Full_data!$B$8:$J$932,2,FALSE),"")</f>
        <v/>
      </c>
      <c r="E41" s="228" t="str">
        <f>IFERROR(VLOOKUP($C41,Full_data!$B$8:$J$932,3,FALSE),"")</f>
        <v/>
      </c>
      <c r="F41" s="224" t="str">
        <f>IFERROR(VLOOKUP($C41,Full_data!$B$8:$J$932,4,FALSE),"")</f>
        <v/>
      </c>
      <c r="G41" s="224" t="e">
        <f>VLOOKUP($C41,Full_data!$B$8:$J$932,5,FALSE)</f>
        <v>#N/A</v>
      </c>
      <c r="H41" s="224" t="e">
        <f>VLOOKUP($C41,Full_data!$B$8:$J$932,6,FALSE)</f>
        <v>#N/A</v>
      </c>
      <c r="I41" s="236" t="str">
        <f>IFERROR(VLOOKUP($C41,Full_data!$B$8:$J$932,7,FALSE),"")</f>
        <v/>
      </c>
      <c r="J41" s="354" t="str">
        <f>IFERROR(VLOOKUP($C41,Full_data!$B$8:$J$932,8,FALSE),"")</f>
        <v/>
      </c>
      <c r="K41" s="357"/>
      <c r="L41" s="230" t="str">
        <f t="shared" si="4"/>
        <v/>
      </c>
      <c r="M41" s="351"/>
      <c r="N41" s="236" t="str">
        <f t="shared" si="3"/>
        <v/>
      </c>
      <c r="O41" s="236">
        <f>M41*IFERROR(VLOOKUP($C41,Logistics!$A$1:$O$534,10,FALSE),0)</f>
        <v>0</v>
      </c>
      <c r="P41" s="238">
        <f>M41*IFERROR(VLOOKUP($C41,Logistics!$A$1:$O$534,11,FALSE),0)</f>
        <v>0</v>
      </c>
      <c r="AA41" s="247">
        <f t="shared" si="1"/>
        <v>0.4</v>
      </c>
    </row>
    <row r="42" spans="2:27" ht="15" x14ac:dyDescent="0.2">
      <c r="B42" s="225">
        <v>38</v>
      </c>
      <c r="C42" s="259"/>
      <c r="D42" s="227" t="str">
        <f>IFERROR(VLOOKUP($C42,Full_data!$B$8:$J$932,2,FALSE),"")</f>
        <v/>
      </c>
      <c r="E42" s="227" t="str">
        <f>IFERROR(VLOOKUP($C42,Full_data!$B$8:$J$932,3,FALSE),"")</f>
        <v/>
      </c>
      <c r="F42" s="226" t="str">
        <f>IFERROR(VLOOKUP($C42,Full_data!$B$8:$J$932,4,FALSE),"")</f>
        <v/>
      </c>
      <c r="G42" s="226" t="e">
        <f>VLOOKUP($C42,Full_data!$B$8:$J$932,5,FALSE)</f>
        <v>#N/A</v>
      </c>
      <c r="H42" s="226" t="e">
        <f>VLOOKUP($C42,Full_data!$B$8:$J$932,6,FALSE)</f>
        <v>#N/A</v>
      </c>
      <c r="I42" s="237" t="str">
        <f>IFERROR(VLOOKUP($C42,Full_data!$B$8:$J$932,7,FALSE),"")</f>
        <v/>
      </c>
      <c r="J42" s="355" t="str">
        <f>IFERROR(VLOOKUP($C42,Full_data!$B$8:$J$932,8,FALSE),"")</f>
        <v/>
      </c>
      <c r="K42" s="358"/>
      <c r="L42" s="229" t="str">
        <f t="shared" si="4"/>
        <v/>
      </c>
      <c r="M42" s="352"/>
      <c r="N42" s="237" t="str">
        <f t="shared" si="3"/>
        <v/>
      </c>
      <c r="O42" s="237">
        <f>M42*IFERROR(VLOOKUP($C42,Logistics!$A$1:$O$534,10,FALSE),0)</f>
        <v>0</v>
      </c>
      <c r="P42" s="239">
        <f>M42*IFERROR(VLOOKUP($C42,Logistics!$A$1:$O$534,11,FALSE),0)</f>
        <v>0</v>
      </c>
      <c r="AA42" s="247">
        <f t="shared" si="1"/>
        <v>0.4</v>
      </c>
    </row>
    <row r="43" spans="2:27" ht="15" x14ac:dyDescent="0.2">
      <c r="B43" s="223">
        <v>39</v>
      </c>
      <c r="C43" s="258"/>
      <c r="D43" s="228" t="str">
        <f>IFERROR(VLOOKUP($C43,Full_data!$B$8:$J$932,2,FALSE),"")</f>
        <v/>
      </c>
      <c r="E43" s="228" t="str">
        <f>IFERROR(VLOOKUP($C43,Full_data!$B$8:$J$932,3,FALSE),"")</f>
        <v/>
      </c>
      <c r="F43" s="224" t="str">
        <f>IFERROR(VLOOKUP($C43,Full_data!$B$8:$J$932,4,FALSE),"")</f>
        <v/>
      </c>
      <c r="G43" s="224" t="e">
        <f>VLOOKUP($C43,Full_data!$B$8:$J$932,5,FALSE)</f>
        <v>#N/A</v>
      </c>
      <c r="H43" s="224" t="e">
        <f>VLOOKUP($C43,Full_data!$B$8:$J$932,6,FALSE)</f>
        <v>#N/A</v>
      </c>
      <c r="I43" s="236" t="str">
        <f>IFERROR(VLOOKUP($C43,Full_data!$B$8:$J$932,7,FALSE),"")</f>
        <v/>
      </c>
      <c r="J43" s="354" t="str">
        <f>IFERROR(VLOOKUP($C43,Full_data!$B$8:$J$932,8,FALSE),"")</f>
        <v/>
      </c>
      <c r="K43" s="357"/>
      <c r="L43" s="230" t="str">
        <f t="shared" si="4"/>
        <v/>
      </c>
      <c r="M43" s="351"/>
      <c r="N43" s="236" t="str">
        <f t="shared" si="3"/>
        <v/>
      </c>
      <c r="O43" s="236">
        <f>M43*IFERROR(VLOOKUP($C43,Logistics!$A$1:$O$534,10,FALSE),0)</f>
        <v>0</v>
      </c>
      <c r="P43" s="238">
        <f>M43*IFERROR(VLOOKUP($C43,Logistics!$A$1:$O$534,11,FALSE),0)</f>
        <v>0</v>
      </c>
      <c r="AA43" s="247">
        <f t="shared" si="1"/>
        <v>0.4</v>
      </c>
    </row>
    <row r="44" spans="2:27" ht="15" x14ac:dyDescent="0.2">
      <c r="B44" s="225">
        <v>40</v>
      </c>
      <c r="C44" s="259"/>
      <c r="D44" s="227" t="str">
        <f>IFERROR(VLOOKUP($C44,Full_data!$B$8:$J$932,2,FALSE),"")</f>
        <v/>
      </c>
      <c r="E44" s="227" t="str">
        <f>IFERROR(VLOOKUP($C44,Full_data!$B$8:$J$932,3,FALSE),"")</f>
        <v/>
      </c>
      <c r="F44" s="226" t="str">
        <f>IFERROR(VLOOKUP($C44,Full_data!$B$8:$J$932,4,FALSE),"")</f>
        <v/>
      </c>
      <c r="G44" s="226" t="e">
        <f>VLOOKUP($C44,Full_data!$B$8:$J$932,5,FALSE)</f>
        <v>#N/A</v>
      </c>
      <c r="H44" s="226" t="e">
        <f>VLOOKUP($C44,Full_data!$B$8:$J$932,6,FALSE)</f>
        <v>#N/A</v>
      </c>
      <c r="I44" s="237" t="str">
        <f>IFERROR(VLOOKUP($C44,Full_data!$B$8:$J$932,7,FALSE),"")</f>
        <v/>
      </c>
      <c r="J44" s="355" t="str">
        <f>IFERROR(VLOOKUP($C44,Full_data!$B$8:$J$932,8,FALSE),"")</f>
        <v/>
      </c>
      <c r="K44" s="358"/>
      <c r="L44" s="229" t="str">
        <f t="shared" si="4"/>
        <v/>
      </c>
      <c r="M44" s="352"/>
      <c r="N44" s="237" t="str">
        <f t="shared" si="3"/>
        <v/>
      </c>
      <c r="O44" s="237">
        <f>M44*IFERROR(VLOOKUP($C44,Logistics!$A$1:$O$534,10,FALSE),0)</f>
        <v>0</v>
      </c>
      <c r="P44" s="239">
        <f>M44*IFERROR(VLOOKUP($C44,Logistics!$A$1:$O$534,11,FALSE),0)</f>
        <v>0</v>
      </c>
      <c r="AA44" s="247">
        <f t="shared" si="1"/>
        <v>0.4</v>
      </c>
    </row>
    <row r="45" spans="2:27" ht="15" x14ac:dyDescent="0.2">
      <c r="B45" s="223">
        <v>41</v>
      </c>
      <c r="C45" s="258"/>
      <c r="D45" s="228" t="str">
        <f>IFERROR(VLOOKUP($C45,Full_data!$B$8:$J$932,2,FALSE),"")</f>
        <v/>
      </c>
      <c r="E45" s="228" t="str">
        <f>IFERROR(VLOOKUP($C45,Full_data!$B$8:$J$932,3,FALSE),"")</f>
        <v/>
      </c>
      <c r="F45" s="224" t="str">
        <f>IFERROR(VLOOKUP($C45,Full_data!$B$8:$J$932,4,FALSE),"")</f>
        <v/>
      </c>
      <c r="G45" s="224" t="e">
        <f>VLOOKUP($C45,Full_data!$B$8:$J$932,5,FALSE)</f>
        <v>#N/A</v>
      </c>
      <c r="H45" s="224" t="e">
        <f>VLOOKUP($C45,Full_data!$B$8:$J$932,6,FALSE)</f>
        <v>#N/A</v>
      </c>
      <c r="I45" s="236" t="str">
        <f>IFERROR(VLOOKUP($C45,Full_data!$B$8:$J$932,7,FALSE),"")</f>
        <v/>
      </c>
      <c r="J45" s="354" t="str">
        <f>IFERROR(VLOOKUP($C45,Full_data!$B$8:$J$932,8,FALSE),"")</f>
        <v/>
      </c>
      <c r="K45" s="357"/>
      <c r="L45" s="230" t="str">
        <f t="shared" si="4"/>
        <v/>
      </c>
      <c r="M45" s="351"/>
      <c r="N45" s="236" t="str">
        <f t="shared" si="3"/>
        <v/>
      </c>
      <c r="O45" s="236">
        <f>M45*IFERROR(VLOOKUP($C45,Logistics!$A$1:$O$534,10,FALSE),0)</f>
        <v>0</v>
      </c>
      <c r="P45" s="238">
        <f>M45*IFERROR(VLOOKUP($C45,Logistics!$A$1:$O$534,11,FALSE),0)</f>
        <v>0</v>
      </c>
      <c r="AA45" s="247">
        <f t="shared" si="1"/>
        <v>0.4</v>
      </c>
    </row>
    <row r="46" spans="2:27" ht="15" x14ac:dyDescent="0.2">
      <c r="B46" s="225">
        <v>42</v>
      </c>
      <c r="C46" s="259"/>
      <c r="D46" s="227" t="str">
        <f>IFERROR(VLOOKUP($C46,Full_data!$B$8:$J$932,2,FALSE),"")</f>
        <v/>
      </c>
      <c r="E46" s="227" t="str">
        <f>IFERROR(VLOOKUP($C46,Full_data!$B$8:$J$932,3,FALSE),"")</f>
        <v/>
      </c>
      <c r="F46" s="226" t="str">
        <f>IFERROR(VLOOKUP($C46,Full_data!$B$8:$J$932,4,FALSE),"")</f>
        <v/>
      </c>
      <c r="G46" s="226" t="e">
        <f>VLOOKUP($C46,Full_data!$B$8:$J$932,5,FALSE)</f>
        <v>#N/A</v>
      </c>
      <c r="H46" s="226" t="e">
        <f>VLOOKUP($C46,Full_data!$B$8:$J$932,6,FALSE)</f>
        <v>#N/A</v>
      </c>
      <c r="I46" s="237" t="str">
        <f>IFERROR(VLOOKUP($C46,Full_data!$B$8:$J$932,7,FALSE),"")</f>
        <v/>
      </c>
      <c r="J46" s="355" t="str">
        <f>IFERROR(VLOOKUP($C46,Full_data!$B$8:$J$932,8,FALSE),"")</f>
        <v/>
      </c>
      <c r="K46" s="358"/>
      <c r="L46" s="229" t="str">
        <f t="shared" si="4"/>
        <v/>
      </c>
      <c r="M46" s="352"/>
      <c r="N46" s="237" t="str">
        <f t="shared" si="3"/>
        <v/>
      </c>
      <c r="O46" s="237">
        <f>M46*IFERROR(VLOOKUP($C46,Logistics!$A$1:$O$534,10,FALSE),0)</f>
        <v>0</v>
      </c>
      <c r="P46" s="239">
        <f>M46*IFERROR(VLOOKUP($C46,Logistics!$A$1:$O$534,11,FALSE),0)</f>
        <v>0</v>
      </c>
      <c r="AA46" s="247">
        <f t="shared" si="1"/>
        <v>0.4</v>
      </c>
    </row>
    <row r="47" spans="2:27" ht="15" x14ac:dyDescent="0.2">
      <c r="B47" s="223">
        <v>43</v>
      </c>
      <c r="C47" s="258"/>
      <c r="D47" s="228" t="str">
        <f>IFERROR(VLOOKUP($C47,Full_data!$B$8:$J$932,2,FALSE),"")</f>
        <v/>
      </c>
      <c r="E47" s="228" t="str">
        <f>IFERROR(VLOOKUP($C47,Full_data!$B$8:$J$932,3,FALSE),"")</f>
        <v/>
      </c>
      <c r="F47" s="224" t="str">
        <f>IFERROR(VLOOKUP($C47,Full_data!$B$8:$J$932,4,FALSE),"")</f>
        <v/>
      </c>
      <c r="G47" s="224" t="e">
        <f>VLOOKUP($C47,Full_data!$B$8:$J$932,5,FALSE)</f>
        <v>#N/A</v>
      </c>
      <c r="H47" s="224" t="e">
        <f>VLOOKUP($C47,Full_data!$B$8:$J$932,6,FALSE)</f>
        <v>#N/A</v>
      </c>
      <c r="I47" s="236" t="str">
        <f>IFERROR(VLOOKUP($C47,Full_data!$B$8:$J$932,7,FALSE),"")</f>
        <v/>
      </c>
      <c r="J47" s="354" t="str">
        <f>IFERROR(VLOOKUP($C47,Full_data!$B$8:$J$932,8,FALSE),"")</f>
        <v/>
      </c>
      <c r="K47" s="357"/>
      <c r="L47" s="230" t="str">
        <f t="shared" si="4"/>
        <v/>
      </c>
      <c r="M47" s="351"/>
      <c r="N47" s="236" t="str">
        <f t="shared" si="3"/>
        <v/>
      </c>
      <c r="O47" s="236">
        <f>M47*IFERROR(VLOOKUP($C47,Logistics!$A$1:$O$534,10,FALSE),0)</f>
        <v>0</v>
      </c>
      <c r="P47" s="238">
        <f>M47*IFERROR(VLOOKUP($C47,Logistics!$A$1:$O$534,11,FALSE),0)</f>
        <v>0</v>
      </c>
      <c r="AA47" s="247">
        <f t="shared" si="1"/>
        <v>0.4</v>
      </c>
    </row>
    <row r="48" spans="2:27" ht="15" x14ac:dyDescent="0.2">
      <c r="B48" s="225">
        <v>44</v>
      </c>
      <c r="C48" s="259"/>
      <c r="D48" s="227" t="str">
        <f>IFERROR(VLOOKUP($C48,Full_data!$B$8:$J$932,2,FALSE),"")</f>
        <v/>
      </c>
      <c r="E48" s="227" t="str">
        <f>IFERROR(VLOOKUP($C48,Full_data!$B$8:$J$932,3,FALSE),"")</f>
        <v/>
      </c>
      <c r="F48" s="226" t="str">
        <f>IFERROR(VLOOKUP($C48,Full_data!$B$8:$J$932,4,FALSE),"")</f>
        <v/>
      </c>
      <c r="G48" s="226" t="e">
        <f>VLOOKUP($C48,Full_data!$B$8:$J$932,5,FALSE)</f>
        <v>#N/A</v>
      </c>
      <c r="H48" s="226" t="e">
        <f>VLOOKUP($C48,Full_data!$B$8:$J$932,6,FALSE)</f>
        <v>#N/A</v>
      </c>
      <c r="I48" s="237" t="str">
        <f>IFERROR(VLOOKUP($C48,Full_data!$B$8:$J$932,7,FALSE),"")</f>
        <v/>
      </c>
      <c r="J48" s="355" t="str">
        <f>IFERROR(VLOOKUP($C48,Full_data!$B$8:$J$932,8,FALSE),"")</f>
        <v/>
      </c>
      <c r="K48" s="358"/>
      <c r="L48" s="229" t="str">
        <f t="shared" si="4"/>
        <v/>
      </c>
      <c r="M48" s="352"/>
      <c r="N48" s="237" t="str">
        <f t="shared" si="3"/>
        <v/>
      </c>
      <c r="O48" s="237">
        <f>M48*IFERROR(VLOOKUP($C48,Logistics!$A$1:$O$534,10,FALSE),0)</f>
        <v>0</v>
      </c>
      <c r="P48" s="239">
        <f>M48*IFERROR(VLOOKUP($C48,Logistics!$A$1:$O$534,11,FALSE),0)</f>
        <v>0</v>
      </c>
      <c r="AA48" s="247">
        <f t="shared" si="1"/>
        <v>0.4</v>
      </c>
    </row>
    <row r="49" spans="2:27" ht="15" x14ac:dyDescent="0.2">
      <c r="B49" s="223">
        <v>45</v>
      </c>
      <c r="C49" s="258"/>
      <c r="D49" s="228" t="str">
        <f>IFERROR(VLOOKUP($C49,Full_data!$B$8:$J$932,2,FALSE),"")</f>
        <v/>
      </c>
      <c r="E49" s="228" t="str">
        <f>IFERROR(VLOOKUP($C49,Full_data!$B$8:$J$932,3,FALSE),"")</f>
        <v/>
      </c>
      <c r="F49" s="224" t="str">
        <f>IFERROR(VLOOKUP($C49,Full_data!$B$8:$J$932,4,FALSE),"")</f>
        <v/>
      </c>
      <c r="G49" s="224" t="e">
        <f>VLOOKUP($C49,Full_data!$B$8:$J$932,5,FALSE)</f>
        <v>#N/A</v>
      </c>
      <c r="H49" s="224" t="e">
        <f>VLOOKUP($C49,Full_data!$B$8:$J$932,6,FALSE)</f>
        <v>#N/A</v>
      </c>
      <c r="I49" s="236" t="str">
        <f>IFERROR(VLOOKUP($C49,Full_data!$B$8:$J$932,7,FALSE),"")</f>
        <v/>
      </c>
      <c r="J49" s="354" t="str">
        <f>IFERROR(VLOOKUP($C49,Full_data!$B$8:$J$932,8,FALSE),"")</f>
        <v/>
      </c>
      <c r="K49" s="357"/>
      <c r="L49" s="230" t="str">
        <f t="shared" si="4"/>
        <v/>
      </c>
      <c r="M49" s="351"/>
      <c r="N49" s="236" t="str">
        <f t="shared" si="3"/>
        <v/>
      </c>
      <c r="O49" s="236">
        <f>M49*IFERROR(VLOOKUP($C49,Logistics!$A$1:$O$534,10,FALSE),0)</f>
        <v>0</v>
      </c>
      <c r="P49" s="238">
        <f>M49*IFERROR(VLOOKUP($C49,Logistics!$A$1:$O$534,11,FALSE),0)</f>
        <v>0</v>
      </c>
      <c r="AA49" s="247">
        <f t="shared" si="1"/>
        <v>0.4</v>
      </c>
    </row>
    <row r="50" spans="2:27" ht="15" x14ac:dyDescent="0.2">
      <c r="B50" s="225">
        <v>46</v>
      </c>
      <c r="C50" s="259"/>
      <c r="D50" s="227" t="str">
        <f>IFERROR(VLOOKUP($C50,Full_data!$B$8:$J$932,2,FALSE),"")</f>
        <v/>
      </c>
      <c r="E50" s="227" t="str">
        <f>IFERROR(VLOOKUP($C50,Full_data!$B$8:$J$932,3,FALSE),"")</f>
        <v/>
      </c>
      <c r="F50" s="226" t="str">
        <f>IFERROR(VLOOKUP($C50,Full_data!$B$8:$J$932,4,FALSE),"")</f>
        <v/>
      </c>
      <c r="G50" s="226" t="e">
        <f>VLOOKUP($C50,Full_data!$B$8:$J$932,5,FALSE)</f>
        <v>#N/A</v>
      </c>
      <c r="H50" s="226" t="e">
        <f>VLOOKUP($C50,Full_data!$B$8:$J$932,6,FALSE)</f>
        <v>#N/A</v>
      </c>
      <c r="I50" s="237" t="str">
        <f>IFERROR(VLOOKUP($C50,Full_data!$B$8:$J$932,7,FALSE),"")</f>
        <v/>
      </c>
      <c r="J50" s="355" t="str">
        <f>IFERROR(VLOOKUP($C50,Full_data!$B$8:$J$932,8,FALSE),"")</f>
        <v/>
      </c>
      <c r="K50" s="358"/>
      <c r="L50" s="229" t="str">
        <f t="shared" si="4"/>
        <v/>
      </c>
      <c r="M50" s="352"/>
      <c r="N50" s="237" t="str">
        <f t="shared" si="3"/>
        <v/>
      </c>
      <c r="O50" s="237">
        <f>M50*IFERROR(VLOOKUP($C50,Logistics!$A$1:$O$534,10,FALSE),0)</f>
        <v>0</v>
      </c>
      <c r="P50" s="239">
        <f>M50*IFERROR(VLOOKUP($C50,Logistics!$A$1:$O$534,11,FALSE),0)</f>
        <v>0</v>
      </c>
      <c r="AA50" s="247">
        <f t="shared" si="1"/>
        <v>0.4</v>
      </c>
    </row>
    <row r="51" spans="2:27" ht="15" x14ac:dyDescent="0.2">
      <c r="B51" s="223">
        <v>47</v>
      </c>
      <c r="C51" s="258"/>
      <c r="D51" s="228" t="str">
        <f>IFERROR(VLOOKUP($C51,Full_data!$B$8:$J$932,2,FALSE),"")</f>
        <v/>
      </c>
      <c r="E51" s="228" t="str">
        <f>IFERROR(VLOOKUP($C51,Full_data!$B$8:$J$932,3,FALSE),"")</f>
        <v/>
      </c>
      <c r="F51" s="224" t="str">
        <f>IFERROR(VLOOKUP($C51,Full_data!$B$8:$J$932,4,FALSE),"")</f>
        <v/>
      </c>
      <c r="G51" s="224" t="e">
        <f>VLOOKUP($C51,Full_data!$B$8:$J$932,5,FALSE)</f>
        <v>#N/A</v>
      </c>
      <c r="H51" s="224" t="e">
        <f>VLOOKUP($C51,Full_data!$B$8:$J$932,6,FALSE)</f>
        <v>#N/A</v>
      </c>
      <c r="I51" s="236" t="str">
        <f>IFERROR(VLOOKUP($C51,Full_data!$B$8:$J$932,7,FALSE),"")</f>
        <v/>
      </c>
      <c r="J51" s="354" t="str">
        <f>IFERROR(VLOOKUP($C51,Full_data!$B$8:$J$932,8,FALSE),"")</f>
        <v/>
      </c>
      <c r="K51" s="357"/>
      <c r="L51" s="230" t="str">
        <f t="shared" si="4"/>
        <v/>
      </c>
      <c r="M51" s="351"/>
      <c r="N51" s="236" t="str">
        <f t="shared" si="3"/>
        <v/>
      </c>
      <c r="O51" s="236">
        <f>M51*IFERROR(VLOOKUP($C51,Logistics!$A$1:$O$534,10,FALSE),0)</f>
        <v>0</v>
      </c>
      <c r="P51" s="238">
        <f>M51*IFERROR(VLOOKUP($C51,Logistics!$A$1:$O$534,11,FALSE),0)</f>
        <v>0</v>
      </c>
      <c r="AA51" s="247">
        <f t="shared" si="1"/>
        <v>0.4</v>
      </c>
    </row>
    <row r="52" spans="2:27" ht="15" x14ac:dyDescent="0.2">
      <c r="B52" s="225">
        <v>48</v>
      </c>
      <c r="C52" s="259"/>
      <c r="D52" s="227" t="str">
        <f>IFERROR(VLOOKUP($C52,Full_data!$B$8:$J$932,2,FALSE),"")</f>
        <v/>
      </c>
      <c r="E52" s="227" t="str">
        <f>IFERROR(VLOOKUP($C52,Full_data!$B$8:$J$932,3,FALSE),"")</f>
        <v/>
      </c>
      <c r="F52" s="226" t="str">
        <f>IFERROR(VLOOKUP($C52,Full_data!$B$8:$J$932,4,FALSE),"")</f>
        <v/>
      </c>
      <c r="G52" s="226" t="e">
        <f>VLOOKUP($C52,Full_data!$B$8:$J$932,5,FALSE)</f>
        <v>#N/A</v>
      </c>
      <c r="H52" s="226" t="e">
        <f>VLOOKUP($C52,Full_data!$B$8:$J$932,6,FALSE)</f>
        <v>#N/A</v>
      </c>
      <c r="I52" s="237" t="str">
        <f>IFERROR(VLOOKUP($C52,Full_data!$B$8:$J$932,7,FALSE),"")</f>
        <v/>
      </c>
      <c r="J52" s="355" t="str">
        <f>IFERROR(VLOOKUP($C52,Full_data!$B$8:$J$932,8,FALSE),"")</f>
        <v/>
      </c>
      <c r="K52" s="358"/>
      <c r="L52" s="229" t="str">
        <f t="shared" si="4"/>
        <v/>
      </c>
      <c r="M52" s="352"/>
      <c r="N52" s="237" t="str">
        <f t="shared" si="3"/>
        <v/>
      </c>
      <c r="O52" s="237">
        <f>M52*IFERROR(VLOOKUP($C52,Logistics!$A$1:$O$534,10,FALSE),0)</f>
        <v>0</v>
      </c>
      <c r="P52" s="239">
        <f>M52*IFERROR(VLOOKUP($C52,Logistics!$A$1:$O$534,11,FALSE),0)</f>
        <v>0</v>
      </c>
      <c r="AA52" s="247">
        <f t="shared" si="1"/>
        <v>0.4</v>
      </c>
    </row>
    <row r="53" spans="2:27" ht="15" x14ac:dyDescent="0.2">
      <c r="B53" s="223">
        <v>49</v>
      </c>
      <c r="C53" s="258"/>
      <c r="D53" s="228" t="str">
        <f>IFERROR(VLOOKUP($C53,Full_data!$B$8:$J$932,2,FALSE),"")</f>
        <v/>
      </c>
      <c r="E53" s="228" t="str">
        <f>IFERROR(VLOOKUP($C53,Full_data!$B$8:$J$932,3,FALSE),"")</f>
        <v/>
      </c>
      <c r="F53" s="224" t="str">
        <f>IFERROR(VLOOKUP($C53,Full_data!$B$8:$J$932,4,FALSE),"")</f>
        <v/>
      </c>
      <c r="G53" s="224" t="e">
        <f>VLOOKUP($C53,Full_data!$B$8:$J$932,5,FALSE)</f>
        <v>#N/A</v>
      </c>
      <c r="H53" s="224" t="e">
        <f>VLOOKUP($C53,Full_data!$B$8:$J$932,6,FALSE)</f>
        <v>#N/A</v>
      </c>
      <c r="I53" s="236" t="str">
        <f>IFERROR(VLOOKUP($C53,Full_data!$B$8:$J$932,7,FALSE),"")</f>
        <v/>
      </c>
      <c r="J53" s="354" t="str">
        <f>IFERROR(VLOOKUP($C53,Full_data!$B$8:$J$932,8,FALSE),"")</f>
        <v/>
      </c>
      <c r="K53" s="357"/>
      <c r="L53" s="230" t="str">
        <f t="shared" si="4"/>
        <v/>
      </c>
      <c r="M53" s="351"/>
      <c r="N53" s="236" t="str">
        <f t="shared" si="3"/>
        <v/>
      </c>
      <c r="O53" s="236">
        <f>M53*IFERROR(VLOOKUP($C53,Logistics!$A$1:$O$534,10,FALSE),0)</f>
        <v>0</v>
      </c>
      <c r="P53" s="238">
        <f>M53*IFERROR(VLOOKUP($C53,Logistics!$A$1:$O$534,11,FALSE),0)</f>
        <v>0</v>
      </c>
      <c r="AA53" s="247">
        <f t="shared" si="1"/>
        <v>0.4</v>
      </c>
    </row>
    <row r="54" spans="2:27" ht="15" x14ac:dyDescent="0.2">
      <c r="B54" s="225">
        <v>50</v>
      </c>
      <c r="C54" s="259"/>
      <c r="D54" s="227" t="str">
        <f>IFERROR(VLOOKUP($C54,Full_data!$B$8:$J$932,2,FALSE),"")</f>
        <v/>
      </c>
      <c r="E54" s="227" t="str">
        <f>IFERROR(VLOOKUP($C54,Full_data!$B$8:$J$932,3,FALSE),"")</f>
        <v/>
      </c>
      <c r="F54" s="226" t="str">
        <f>IFERROR(VLOOKUP($C54,Full_data!$B$8:$J$932,4,FALSE),"")</f>
        <v/>
      </c>
      <c r="G54" s="226" t="e">
        <f>VLOOKUP($C54,Full_data!$B$8:$J$932,5,FALSE)</f>
        <v>#N/A</v>
      </c>
      <c r="H54" s="226" t="e">
        <f>VLOOKUP($C54,Full_data!$B$8:$J$932,6,FALSE)</f>
        <v>#N/A</v>
      </c>
      <c r="I54" s="237" t="str">
        <f>IFERROR(VLOOKUP($C54,Full_data!$B$8:$J$932,7,FALSE),"")</f>
        <v/>
      </c>
      <c r="J54" s="355" t="str">
        <f>IFERROR(VLOOKUP($C54,Full_data!$B$8:$J$932,8,FALSE),"")</f>
        <v/>
      </c>
      <c r="K54" s="358"/>
      <c r="L54" s="229" t="str">
        <f t="shared" si="4"/>
        <v/>
      </c>
      <c r="M54" s="352"/>
      <c r="N54" s="237" t="str">
        <f t="shared" si="3"/>
        <v/>
      </c>
      <c r="O54" s="237">
        <f>M54*IFERROR(VLOOKUP($C54,Logistics!$A$1:$O$534,10,FALSE),0)</f>
        <v>0</v>
      </c>
      <c r="P54" s="239">
        <f>M54*IFERROR(VLOOKUP($C54,Logistics!$A$1:$O$534,11,FALSE),0)</f>
        <v>0</v>
      </c>
      <c r="AA54" s="247">
        <f t="shared" si="1"/>
        <v>0.4</v>
      </c>
    </row>
    <row r="55" spans="2:27" ht="15" x14ac:dyDescent="0.2">
      <c r="B55" s="223">
        <v>51</v>
      </c>
      <c r="C55" s="258"/>
      <c r="D55" s="228" t="str">
        <f>IFERROR(VLOOKUP($C55,Full_data!$B$8:$J$932,2,FALSE),"")</f>
        <v/>
      </c>
      <c r="E55" s="228" t="str">
        <f>IFERROR(VLOOKUP($C55,Full_data!$B$8:$J$932,3,FALSE),"")</f>
        <v/>
      </c>
      <c r="F55" s="224" t="str">
        <f>IFERROR(VLOOKUP($C55,Full_data!$B$8:$J$932,4,FALSE),"")</f>
        <v/>
      </c>
      <c r="G55" s="224" t="e">
        <f>VLOOKUP($C55,Full_data!$B$8:$J$932,5,FALSE)</f>
        <v>#N/A</v>
      </c>
      <c r="H55" s="224" t="e">
        <f>VLOOKUP($C55,Full_data!$B$8:$J$932,6,FALSE)</f>
        <v>#N/A</v>
      </c>
      <c r="I55" s="236" t="str">
        <f>IFERROR(VLOOKUP($C55,Full_data!$B$8:$J$932,7,FALSE),"")</f>
        <v/>
      </c>
      <c r="J55" s="354" t="str">
        <f>IFERROR(VLOOKUP($C55,Full_data!$B$8:$J$932,8,FALSE),"")</f>
        <v/>
      </c>
      <c r="K55" s="357"/>
      <c r="L55" s="230" t="str">
        <f t="shared" si="4"/>
        <v/>
      </c>
      <c r="M55" s="351"/>
      <c r="N55" s="236" t="str">
        <f t="shared" si="3"/>
        <v/>
      </c>
      <c r="O55" s="236">
        <f>M55*IFERROR(VLOOKUP($C55,Logistics!$A$1:$O$534,10,FALSE),0)</f>
        <v>0</v>
      </c>
      <c r="P55" s="238">
        <f>M55*IFERROR(VLOOKUP($C55,Logistics!$A$1:$O$534,11,FALSE),0)</f>
        <v>0</v>
      </c>
      <c r="AA55" s="247">
        <f t="shared" si="1"/>
        <v>0.4</v>
      </c>
    </row>
    <row r="56" spans="2:27" ht="15" x14ac:dyDescent="0.2">
      <c r="B56" s="225">
        <v>52</v>
      </c>
      <c r="C56" s="259"/>
      <c r="D56" s="227" t="str">
        <f>IFERROR(VLOOKUP($C56,Full_data!$B$8:$J$932,2,FALSE),"")</f>
        <v/>
      </c>
      <c r="E56" s="227" t="str">
        <f>IFERROR(VLOOKUP($C56,Full_data!$B$8:$J$932,3,FALSE),"")</f>
        <v/>
      </c>
      <c r="F56" s="226" t="str">
        <f>IFERROR(VLOOKUP($C56,Full_data!$B$8:$J$932,4,FALSE),"")</f>
        <v/>
      </c>
      <c r="G56" s="226" t="e">
        <f>VLOOKUP($C56,Full_data!$B$8:$J$932,5,FALSE)</f>
        <v>#N/A</v>
      </c>
      <c r="H56" s="226" t="e">
        <f>VLOOKUP($C56,Full_data!$B$8:$J$932,6,FALSE)</f>
        <v>#N/A</v>
      </c>
      <c r="I56" s="237" t="str">
        <f>IFERROR(VLOOKUP($C56,Full_data!$B$8:$J$932,7,FALSE),"")</f>
        <v/>
      </c>
      <c r="J56" s="355" t="str">
        <f>IFERROR(VLOOKUP($C56,Full_data!$B$8:$J$932,8,FALSE),"")</f>
        <v/>
      </c>
      <c r="K56" s="358"/>
      <c r="L56" s="229" t="str">
        <f t="shared" si="4"/>
        <v/>
      </c>
      <c r="M56" s="352"/>
      <c r="N56" s="237" t="str">
        <f t="shared" si="3"/>
        <v/>
      </c>
      <c r="O56" s="237">
        <f>M56*IFERROR(VLOOKUP($C56,Logistics!$A$1:$O$534,10,FALSE),0)</f>
        <v>0</v>
      </c>
      <c r="P56" s="239">
        <f>M56*IFERROR(VLOOKUP($C56,Logistics!$A$1:$O$534,11,FALSE),0)</f>
        <v>0</v>
      </c>
      <c r="AA56" s="247">
        <f t="shared" si="1"/>
        <v>0.4</v>
      </c>
    </row>
    <row r="57" spans="2:27" ht="15" x14ac:dyDescent="0.2">
      <c r="B57" s="223">
        <v>53</v>
      </c>
      <c r="C57" s="258"/>
      <c r="D57" s="228" t="str">
        <f>IFERROR(VLOOKUP($C57,Full_data!$B$8:$J$932,2,FALSE),"")</f>
        <v/>
      </c>
      <c r="E57" s="228" t="str">
        <f>IFERROR(VLOOKUP($C57,Full_data!$B$8:$J$932,3,FALSE),"")</f>
        <v/>
      </c>
      <c r="F57" s="224" t="str">
        <f>IFERROR(VLOOKUP($C57,Full_data!$B$8:$J$932,4,FALSE),"")</f>
        <v/>
      </c>
      <c r="G57" s="224" t="e">
        <f>VLOOKUP($C57,Full_data!$B$8:$J$932,5,FALSE)</f>
        <v>#N/A</v>
      </c>
      <c r="H57" s="224" t="e">
        <f>VLOOKUP($C57,Full_data!$B$8:$J$932,6,FALSE)</f>
        <v>#N/A</v>
      </c>
      <c r="I57" s="236" t="str">
        <f>IFERROR(VLOOKUP($C57,Full_data!$B$8:$J$932,7,FALSE),"")</f>
        <v/>
      </c>
      <c r="J57" s="354" t="str">
        <f>IFERROR(VLOOKUP($C57,Full_data!$B$8:$J$932,8,FALSE),"")</f>
        <v/>
      </c>
      <c r="K57" s="357"/>
      <c r="L57" s="230" t="str">
        <f t="shared" si="4"/>
        <v/>
      </c>
      <c r="M57" s="351"/>
      <c r="N57" s="236" t="str">
        <f t="shared" si="3"/>
        <v/>
      </c>
      <c r="O57" s="236">
        <f>M57*IFERROR(VLOOKUP($C57,Logistics!$A$1:$O$534,10,FALSE),0)</f>
        <v>0</v>
      </c>
      <c r="P57" s="238">
        <f>M57*IFERROR(VLOOKUP($C57,Logistics!$A$1:$O$534,11,FALSE),0)</f>
        <v>0</v>
      </c>
      <c r="AA57" s="247">
        <f t="shared" si="1"/>
        <v>0.4</v>
      </c>
    </row>
    <row r="58" spans="2:27" ht="15" x14ac:dyDescent="0.2">
      <c r="B58" s="225">
        <v>54</v>
      </c>
      <c r="C58" s="259"/>
      <c r="D58" s="227" t="str">
        <f>IFERROR(VLOOKUP($C58,Full_data!$B$8:$J$932,2,FALSE),"")</f>
        <v/>
      </c>
      <c r="E58" s="227" t="str">
        <f>IFERROR(VLOOKUP($C58,Full_data!$B$8:$J$932,3,FALSE),"")</f>
        <v/>
      </c>
      <c r="F58" s="226" t="str">
        <f>IFERROR(VLOOKUP($C58,Full_data!$B$8:$J$932,4,FALSE),"")</f>
        <v/>
      </c>
      <c r="G58" s="226" t="e">
        <f>VLOOKUP($C58,Full_data!$B$8:$J$932,5,FALSE)</f>
        <v>#N/A</v>
      </c>
      <c r="H58" s="226" t="e">
        <f>VLOOKUP($C58,Full_data!$B$8:$J$932,6,FALSE)</f>
        <v>#N/A</v>
      </c>
      <c r="I58" s="237" t="str">
        <f>IFERROR(VLOOKUP($C58,Full_data!$B$8:$J$932,7,FALSE),"")</f>
        <v/>
      </c>
      <c r="J58" s="355" t="str">
        <f>IFERROR(VLOOKUP($C58,Full_data!$B$8:$J$932,8,FALSE),"")</f>
        <v/>
      </c>
      <c r="K58" s="358"/>
      <c r="L58" s="229" t="str">
        <f t="shared" si="4"/>
        <v/>
      </c>
      <c r="M58" s="352"/>
      <c r="N58" s="237" t="str">
        <f t="shared" si="3"/>
        <v/>
      </c>
      <c r="O58" s="237">
        <f>M58*IFERROR(VLOOKUP($C58,Logistics!$A$1:$O$534,10,FALSE),0)</f>
        <v>0</v>
      </c>
      <c r="P58" s="239">
        <f>M58*IFERROR(VLOOKUP($C58,Logistics!$A$1:$O$534,11,FALSE),0)</f>
        <v>0</v>
      </c>
      <c r="AA58" s="247">
        <f t="shared" si="1"/>
        <v>0.4</v>
      </c>
    </row>
    <row r="59" spans="2:27" ht="15" x14ac:dyDescent="0.2">
      <c r="B59" s="223">
        <v>55</v>
      </c>
      <c r="C59" s="258"/>
      <c r="D59" s="228" t="str">
        <f>IFERROR(VLOOKUP($C59,Full_data!$B$8:$J$932,2,FALSE),"")</f>
        <v/>
      </c>
      <c r="E59" s="228" t="str">
        <f>IFERROR(VLOOKUP($C59,Full_data!$B$8:$J$932,3,FALSE),"")</f>
        <v/>
      </c>
      <c r="F59" s="224" t="str">
        <f>IFERROR(VLOOKUP($C59,Full_data!$B$8:$J$932,4,FALSE),"")</f>
        <v/>
      </c>
      <c r="G59" s="224" t="e">
        <f>VLOOKUP($C59,Full_data!$B$8:$J$932,5,FALSE)</f>
        <v>#N/A</v>
      </c>
      <c r="H59" s="224" t="e">
        <f>VLOOKUP($C59,Full_data!$B$8:$J$932,6,FALSE)</f>
        <v>#N/A</v>
      </c>
      <c r="I59" s="236" t="str">
        <f>IFERROR(VLOOKUP($C59,Full_data!$B$8:$J$932,7,FALSE),"")</f>
        <v/>
      </c>
      <c r="J59" s="354" t="str">
        <f>IFERROR(VLOOKUP($C59,Full_data!$B$8:$J$932,8,FALSE),"")</f>
        <v/>
      </c>
      <c r="K59" s="357"/>
      <c r="L59" s="230" t="str">
        <f t="shared" si="4"/>
        <v/>
      </c>
      <c r="M59" s="351"/>
      <c r="N59" s="236" t="str">
        <f t="shared" si="3"/>
        <v/>
      </c>
      <c r="O59" s="236">
        <f>M59*IFERROR(VLOOKUP($C59,Logistics!$A$1:$O$534,10,FALSE),0)</f>
        <v>0</v>
      </c>
      <c r="P59" s="238">
        <f>M59*IFERROR(VLOOKUP($C59,Logistics!$A$1:$O$534,11,FALSE),0)</f>
        <v>0</v>
      </c>
      <c r="AA59" s="247">
        <f t="shared" si="1"/>
        <v>0.4</v>
      </c>
    </row>
    <row r="60" spans="2:27" ht="15" x14ac:dyDescent="0.2">
      <c r="B60" s="225">
        <v>56</v>
      </c>
      <c r="C60" s="259"/>
      <c r="D60" s="227" t="str">
        <f>IFERROR(VLOOKUP($C60,Full_data!$B$8:$J$932,2,FALSE),"")</f>
        <v/>
      </c>
      <c r="E60" s="227" t="str">
        <f>IFERROR(VLOOKUP($C60,Full_data!$B$8:$J$932,3,FALSE),"")</f>
        <v/>
      </c>
      <c r="F60" s="226" t="str">
        <f>IFERROR(VLOOKUP($C60,Full_data!$B$8:$J$932,4,FALSE),"")</f>
        <v/>
      </c>
      <c r="G60" s="226" t="e">
        <f>VLOOKUP($C60,Full_data!$B$8:$J$932,5,FALSE)</f>
        <v>#N/A</v>
      </c>
      <c r="H60" s="226" t="e">
        <f>VLOOKUP($C60,Full_data!$B$8:$J$932,6,FALSE)</f>
        <v>#N/A</v>
      </c>
      <c r="I60" s="237" t="str">
        <f>IFERROR(VLOOKUP($C60,Full_data!$B$8:$J$932,7,FALSE),"")</f>
        <v/>
      </c>
      <c r="J60" s="355" t="str">
        <f>IFERROR(VLOOKUP($C60,Full_data!$B$8:$J$932,8,FALSE),"")</f>
        <v/>
      </c>
      <c r="K60" s="358"/>
      <c r="L60" s="229" t="str">
        <f t="shared" si="4"/>
        <v/>
      </c>
      <c r="M60" s="352"/>
      <c r="N60" s="237" t="str">
        <f t="shared" si="3"/>
        <v/>
      </c>
      <c r="O60" s="237">
        <f>M60*IFERROR(VLOOKUP($C60,Logistics!$A$1:$O$534,10,FALSE),0)</f>
        <v>0</v>
      </c>
      <c r="P60" s="239">
        <f>M60*IFERROR(VLOOKUP($C60,Logistics!$A$1:$O$534,11,FALSE),0)</f>
        <v>0</v>
      </c>
      <c r="AA60" s="247">
        <f t="shared" si="1"/>
        <v>0.4</v>
      </c>
    </row>
    <row r="61" spans="2:27" ht="15" x14ac:dyDescent="0.2">
      <c r="B61" s="223">
        <v>57</v>
      </c>
      <c r="C61" s="258"/>
      <c r="D61" s="228" t="str">
        <f>IFERROR(VLOOKUP($C61,Full_data!$B$8:$J$932,2,FALSE),"")</f>
        <v/>
      </c>
      <c r="E61" s="228" t="str">
        <f>IFERROR(VLOOKUP($C61,Full_data!$B$8:$J$932,3,FALSE),"")</f>
        <v/>
      </c>
      <c r="F61" s="224" t="str">
        <f>IFERROR(VLOOKUP($C61,Full_data!$B$8:$J$932,4,FALSE),"")</f>
        <v/>
      </c>
      <c r="G61" s="224" t="e">
        <f>VLOOKUP($C61,Full_data!$B$8:$J$932,5,FALSE)</f>
        <v>#N/A</v>
      </c>
      <c r="H61" s="224" t="e">
        <f>VLOOKUP($C61,Full_data!$B$8:$J$932,6,FALSE)</f>
        <v>#N/A</v>
      </c>
      <c r="I61" s="236" t="str">
        <f>IFERROR(VLOOKUP($C61,Full_data!$B$8:$J$932,7,FALSE),"")</f>
        <v/>
      </c>
      <c r="J61" s="354" t="str">
        <f>IFERROR(VLOOKUP($C61,Full_data!$B$8:$J$932,8,FALSE),"")</f>
        <v/>
      </c>
      <c r="K61" s="357"/>
      <c r="L61" s="230" t="str">
        <f t="shared" si="4"/>
        <v/>
      </c>
      <c r="M61" s="351"/>
      <c r="N61" s="236" t="str">
        <f t="shared" si="3"/>
        <v/>
      </c>
      <c r="O61" s="236">
        <f>M61*IFERROR(VLOOKUP($C61,Logistics!$A$1:$O$534,10,FALSE),0)</f>
        <v>0</v>
      </c>
      <c r="P61" s="238">
        <f>M61*IFERROR(VLOOKUP($C61,Logistics!$A$1:$O$534,11,FALSE),0)</f>
        <v>0</v>
      </c>
      <c r="AA61" s="247">
        <f t="shared" si="1"/>
        <v>0.4</v>
      </c>
    </row>
    <row r="62" spans="2:27" ht="15" x14ac:dyDescent="0.2">
      <c r="B62" s="225">
        <v>58</v>
      </c>
      <c r="C62" s="259"/>
      <c r="D62" s="227" t="str">
        <f>IFERROR(VLOOKUP($C62,Full_data!$B$8:$J$932,2,FALSE),"")</f>
        <v/>
      </c>
      <c r="E62" s="227" t="str">
        <f>IFERROR(VLOOKUP($C62,Full_data!$B$8:$J$932,3,FALSE),"")</f>
        <v/>
      </c>
      <c r="F62" s="226" t="str">
        <f>IFERROR(VLOOKUP($C62,Full_data!$B$8:$J$932,4,FALSE),"")</f>
        <v/>
      </c>
      <c r="G62" s="226" t="e">
        <f>VLOOKUP($C62,Full_data!$B$8:$J$932,5,FALSE)</f>
        <v>#N/A</v>
      </c>
      <c r="H62" s="226" t="e">
        <f>VLOOKUP($C62,Full_data!$B$8:$J$932,6,FALSE)</f>
        <v>#N/A</v>
      </c>
      <c r="I62" s="237" t="str">
        <f>IFERROR(VLOOKUP($C62,Full_data!$B$8:$J$932,7,FALSE),"")</f>
        <v/>
      </c>
      <c r="J62" s="355" t="str">
        <f>IFERROR(VLOOKUP($C62,Full_data!$B$8:$J$932,8,FALSE),"")</f>
        <v/>
      </c>
      <c r="K62" s="358"/>
      <c r="L62" s="229" t="str">
        <f t="shared" si="4"/>
        <v/>
      </c>
      <c r="M62" s="352"/>
      <c r="N62" s="237" t="str">
        <f t="shared" si="3"/>
        <v/>
      </c>
      <c r="O62" s="237">
        <f>M62*IFERROR(VLOOKUP($C62,Logistics!$A$1:$O$534,10,FALSE),0)</f>
        <v>0</v>
      </c>
      <c r="P62" s="239">
        <f>M62*IFERROR(VLOOKUP($C62,Logistics!$A$1:$O$534,11,FALSE),0)</f>
        <v>0</v>
      </c>
      <c r="AA62" s="247">
        <f t="shared" si="1"/>
        <v>0.4</v>
      </c>
    </row>
    <row r="63" spans="2:27" ht="15" x14ac:dyDescent="0.2">
      <c r="B63" s="223">
        <v>59</v>
      </c>
      <c r="C63" s="258"/>
      <c r="D63" s="228" t="str">
        <f>IFERROR(VLOOKUP($C63,Full_data!$B$8:$J$932,2,FALSE),"")</f>
        <v/>
      </c>
      <c r="E63" s="228" t="str">
        <f>IFERROR(VLOOKUP($C63,Full_data!$B$8:$J$932,3,FALSE),"")</f>
        <v/>
      </c>
      <c r="F63" s="224" t="str">
        <f>IFERROR(VLOOKUP($C63,Full_data!$B$8:$J$932,4,FALSE),"")</f>
        <v/>
      </c>
      <c r="G63" s="224" t="e">
        <f>VLOOKUP($C63,Full_data!$B$8:$J$932,5,FALSE)</f>
        <v>#N/A</v>
      </c>
      <c r="H63" s="224" t="e">
        <f>VLOOKUP($C63,Full_data!$B$8:$J$932,6,FALSE)</f>
        <v>#N/A</v>
      </c>
      <c r="I63" s="236" t="str">
        <f>IFERROR(VLOOKUP($C63,Full_data!$B$8:$J$932,7,FALSE),"")</f>
        <v/>
      </c>
      <c r="J63" s="354" t="str">
        <f>IFERROR(VLOOKUP($C63,Full_data!$B$8:$J$932,8,FALSE),"")</f>
        <v/>
      </c>
      <c r="K63" s="357"/>
      <c r="L63" s="230" t="str">
        <f t="shared" si="4"/>
        <v/>
      </c>
      <c r="M63" s="351"/>
      <c r="N63" s="236" t="str">
        <f t="shared" si="3"/>
        <v/>
      </c>
      <c r="O63" s="236">
        <f>M63*IFERROR(VLOOKUP($C63,Logistics!$A$1:$O$534,10,FALSE),0)</f>
        <v>0</v>
      </c>
      <c r="P63" s="238">
        <f>M63*IFERROR(VLOOKUP($C63,Logistics!$A$1:$O$534,11,FALSE),0)</f>
        <v>0</v>
      </c>
      <c r="AA63" s="247">
        <f t="shared" si="1"/>
        <v>0.4</v>
      </c>
    </row>
    <row r="64" spans="2:27" ht="15" x14ac:dyDescent="0.2">
      <c r="B64" s="225">
        <v>60</v>
      </c>
      <c r="C64" s="259"/>
      <c r="D64" s="227" t="str">
        <f>IFERROR(VLOOKUP($C64,Full_data!$B$8:$J$932,2,FALSE),"")</f>
        <v/>
      </c>
      <c r="E64" s="227" t="str">
        <f>IFERROR(VLOOKUP($C64,Full_data!$B$8:$J$932,3,FALSE),"")</f>
        <v/>
      </c>
      <c r="F64" s="226" t="str">
        <f>IFERROR(VLOOKUP($C64,Full_data!$B$8:$J$932,4,FALSE),"")</f>
        <v/>
      </c>
      <c r="G64" s="226" t="e">
        <f>VLOOKUP($C64,Full_data!$B$8:$J$932,5,FALSE)</f>
        <v>#N/A</v>
      </c>
      <c r="H64" s="226" t="e">
        <f>VLOOKUP($C64,Full_data!$B$8:$J$932,6,FALSE)</f>
        <v>#N/A</v>
      </c>
      <c r="I64" s="237" t="str">
        <f>IFERROR(VLOOKUP($C64,Full_data!$B$8:$J$932,7,FALSE),"")</f>
        <v/>
      </c>
      <c r="J64" s="355" t="str">
        <f>IFERROR(VLOOKUP($C64,Full_data!$B$8:$J$932,8,FALSE),"")</f>
        <v/>
      </c>
      <c r="K64" s="358"/>
      <c r="L64" s="229" t="str">
        <f t="shared" si="4"/>
        <v/>
      </c>
      <c r="M64" s="352"/>
      <c r="N64" s="237" t="str">
        <f t="shared" si="3"/>
        <v/>
      </c>
      <c r="O64" s="237">
        <f>M64*IFERROR(VLOOKUP($C64,Logistics!$A$1:$O$534,10,FALSE),0)</f>
        <v>0</v>
      </c>
      <c r="P64" s="239">
        <f>M64*IFERROR(VLOOKUP($C64,Logistics!$A$1:$O$534,11,FALSE),0)</f>
        <v>0</v>
      </c>
      <c r="AA64" s="247">
        <f t="shared" si="1"/>
        <v>0.4</v>
      </c>
    </row>
    <row r="65" spans="2:27" ht="15" x14ac:dyDescent="0.2">
      <c r="B65" s="223">
        <v>61</v>
      </c>
      <c r="C65" s="258"/>
      <c r="D65" s="228" t="str">
        <f>IFERROR(VLOOKUP($C65,Full_data!$B$8:$J$932,2,FALSE),"")</f>
        <v/>
      </c>
      <c r="E65" s="228" t="str">
        <f>IFERROR(VLOOKUP($C65,Full_data!$B$8:$J$932,3,FALSE),"")</f>
        <v/>
      </c>
      <c r="F65" s="224" t="str">
        <f>IFERROR(VLOOKUP($C65,Full_data!$B$8:$J$932,4,FALSE),"")</f>
        <v/>
      </c>
      <c r="G65" s="224" t="e">
        <f>VLOOKUP($C65,Full_data!$B$8:$J$932,5,FALSE)</f>
        <v>#N/A</v>
      </c>
      <c r="H65" s="224" t="e">
        <f>VLOOKUP($C65,Full_data!$B$8:$J$932,6,FALSE)</f>
        <v>#N/A</v>
      </c>
      <c r="I65" s="236" t="str">
        <f>IFERROR(VLOOKUP($C65,Full_data!$B$8:$J$932,7,FALSE),"")</f>
        <v/>
      </c>
      <c r="J65" s="354" t="str">
        <f>IFERROR(VLOOKUP($C65,Full_data!$B$8:$J$932,8,FALSE),"")</f>
        <v/>
      </c>
      <c r="K65" s="357"/>
      <c r="L65" s="230" t="str">
        <f t="shared" si="4"/>
        <v/>
      </c>
      <c r="M65" s="351"/>
      <c r="N65" s="236" t="str">
        <f t="shared" si="3"/>
        <v/>
      </c>
      <c r="O65" s="236">
        <f>M65*IFERROR(VLOOKUP($C65,Logistics!$A$1:$O$534,10,FALSE),0)</f>
        <v>0</v>
      </c>
      <c r="P65" s="238">
        <f>M65*IFERROR(VLOOKUP($C65,Logistics!$A$1:$O$534,11,FALSE),0)</f>
        <v>0</v>
      </c>
      <c r="AA65" s="247">
        <f t="shared" si="1"/>
        <v>0.4</v>
      </c>
    </row>
    <row r="66" spans="2:27" ht="15" x14ac:dyDescent="0.2">
      <c r="B66" s="225">
        <v>62</v>
      </c>
      <c r="C66" s="259"/>
      <c r="D66" s="227" t="str">
        <f>IFERROR(VLOOKUP($C66,Full_data!$B$8:$J$932,2,FALSE),"")</f>
        <v/>
      </c>
      <c r="E66" s="227" t="str">
        <f>IFERROR(VLOOKUP($C66,Full_data!$B$8:$J$932,3,FALSE),"")</f>
        <v/>
      </c>
      <c r="F66" s="226" t="str">
        <f>IFERROR(VLOOKUP($C66,Full_data!$B$8:$J$932,4,FALSE),"")</f>
        <v/>
      </c>
      <c r="G66" s="226" t="e">
        <f>VLOOKUP($C66,Full_data!$B$8:$J$932,5,FALSE)</f>
        <v>#N/A</v>
      </c>
      <c r="H66" s="226" t="e">
        <f>VLOOKUP($C66,Full_data!$B$8:$J$932,6,FALSE)</f>
        <v>#N/A</v>
      </c>
      <c r="I66" s="237" t="str">
        <f>IFERROR(VLOOKUP($C66,Full_data!$B$8:$J$932,7,FALSE),"")</f>
        <v/>
      </c>
      <c r="J66" s="355" t="str">
        <f>IFERROR(VLOOKUP($C66,Full_data!$B$8:$J$932,8,FALSE),"")</f>
        <v/>
      </c>
      <c r="K66" s="358"/>
      <c r="L66" s="229" t="str">
        <f t="shared" si="4"/>
        <v/>
      </c>
      <c r="M66" s="352"/>
      <c r="N66" s="237" t="str">
        <f t="shared" si="3"/>
        <v/>
      </c>
      <c r="O66" s="237">
        <f>M66*IFERROR(VLOOKUP($C66,Logistics!$A$1:$O$534,10,FALSE),0)</f>
        <v>0</v>
      </c>
      <c r="P66" s="239">
        <f>M66*IFERROR(VLOOKUP($C66,Logistics!$A$1:$O$534,11,FALSE),0)</f>
        <v>0</v>
      </c>
      <c r="AA66" s="247">
        <f t="shared" si="1"/>
        <v>0.4</v>
      </c>
    </row>
    <row r="67" spans="2:27" ht="15" x14ac:dyDescent="0.2">
      <c r="B67" s="223">
        <v>63</v>
      </c>
      <c r="C67" s="258"/>
      <c r="D67" s="228" t="str">
        <f>IFERROR(VLOOKUP($C67,Full_data!$B$8:$J$932,2,FALSE),"")</f>
        <v/>
      </c>
      <c r="E67" s="228" t="str">
        <f>IFERROR(VLOOKUP($C67,Full_data!$B$8:$J$932,3,FALSE),"")</f>
        <v/>
      </c>
      <c r="F67" s="224" t="str">
        <f>IFERROR(VLOOKUP($C67,Full_data!$B$8:$J$932,4,FALSE),"")</f>
        <v/>
      </c>
      <c r="G67" s="224" t="e">
        <f>VLOOKUP($C67,Full_data!$B$8:$J$932,5,FALSE)</f>
        <v>#N/A</v>
      </c>
      <c r="H67" s="224" t="e">
        <f>VLOOKUP($C67,Full_data!$B$8:$J$932,6,FALSE)</f>
        <v>#N/A</v>
      </c>
      <c r="I67" s="236" t="str">
        <f>IFERROR(VLOOKUP($C67,Full_data!$B$8:$J$932,7,FALSE),"")</f>
        <v/>
      </c>
      <c r="J67" s="354" t="str">
        <f>IFERROR(VLOOKUP($C67,Full_data!$B$8:$J$932,8,FALSE),"")</f>
        <v/>
      </c>
      <c r="K67" s="357"/>
      <c r="L67" s="230" t="str">
        <f t="shared" si="4"/>
        <v/>
      </c>
      <c r="M67" s="351"/>
      <c r="N67" s="236" t="str">
        <f t="shared" si="3"/>
        <v/>
      </c>
      <c r="O67" s="236">
        <f>M67*IFERROR(VLOOKUP($C67,Logistics!$A$1:$O$534,10,FALSE),0)</f>
        <v>0</v>
      </c>
      <c r="P67" s="238">
        <f>M67*IFERROR(VLOOKUP($C67,Logistics!$A$1:$O$534,11,FALSE),0)</f>
        <v>0</v>
      </c>
      <c r="AA67" s="247">
        <f t="shared" si="1"/>
        <v>0.4</v>
      </c>
    </row>
    <row r="68" spans="2:27" ht="15" x14ac:dyDescent="0.2">
      <c r="B68" s="225">
        <v>64</v>
      </c>
      <c r="C68" s="259"/>
      <c r="D68" s="227" t="str">
        <f>IFERROR(VLOOKUP($C68,Full_data!$B$8:$J$932,2,FALSE),"")</f>
        <v/>
      </c>
      <c r="E68" s="227" t="str">
        <f>IFERROR(VLOOKUP($C68,Full_data!$B$8:$J$932,3,FALSE),"")</f>
        <v/>
      </c>
      <c r="F68" s="226" t="str">
        <f>IFERROR(VLOOKUP($C68,Full_data!$B$8:$J$932,4,FALSE),"")</f>
        <v/>
      </c>
      <c r="G68" s="226" t="e">
        <f>VLOOKUP($C68,Full_data!$B$8:$J$932,5,FALSE)</f>
        <v>#N/A</v>
      </c>
      <c r="H68" s="226" t="e">
        <f>VLOOKUP($C68,Full_data!$B$8:$J$932,6,FALSE)</f>
        <v>#N/A</v>
      </c>
      <c r="I68" s="237" t="str">
        <f>IFERROR(VLOOKUP($C68,Full_data!$B$8:$J$932,7,FALSE),"")</f>
        <v/>
      </c>
      <c r="J68" s="355" t="str">
        <f>IFERROR(VLOOKUP($C68,Full_data!$B$8:$J$932,8,FALSE),"")</f>
        <v/>
      </c>
      <c r="K68" s="358"/>
      <c r="L68" s="229" t="str">
        <f t="shared" si="4"/>
        <v/>
      </c>
      <c r="M68" s="352"/>
      <c r="N68" s="237" t="str">
        <f t="shared" si="3"/>
        <v/>
      </c>
      <c r="O68" s="237">
        <f>M68*IFERROR(VLOOKUP($C68,Logistics!$A$1:$O$534,10,FALSE),0)</f>
        <v>0</v>
      </c>
      <c r="P68" s="239">
        <f>M68*IFERROR(VLOOKUP($C68,Logistics!$A$1:$O$534,11,FALSE),0)</f>
        <v>0</v>
      </c>
      <c r="AA68" s="247">
        <f t="shared" si="1"/>
        <v>0.4</v>
      </c>
    </row>
    <row r="69" spans="2:27" ht="15" x14ac:dyDescent="0.2">
      <c r="B69" s="223">
        <v>65</v>
      </c>
      <c r="C69" s="258"/>
      <c r="D69" s="228" t="str">
        <f>IFERROR(VLOOKUP($C69,Full_data!$B$8:$J$932,2,FALSE),"")</f>
        <v/>
      </c>
      <c r="E69" s="228" t="str">
        <f>IFERROR(VLOOKUP($C69,Full_data!$B$8:$J$932,3,FALSE),"")</f>
        <v/>
      </c>
      <c r="F69" s="224" t="str">
        <f>IFERROR(VLOOKUP($C69,Full_data!$B$8:$J$932,4,FALSE),"")</f>
        <v/>
      </c>
      <c r="G69" s="224" t="e">
        <f>VLOOKUP($C69,Full_data!$B$8:$J$932,5,FALSE)</f>
        <v>#N/A</v>
      </c>
      <c r="H69" s="224" t="e">
        <f>VLOOKUP($C69,Full_data!$B$8:$J$932,6,FALSE)</f>
        <v>#N/A</v>
      </c>
      <c r="I69" s="236" t="str">
        <f>IFERROR(VLOOKUP($C69,Full_data!$B$8:$J$932,7,FALSE),"")</f>
        <v/>
      </c>
      <c r="J69" s="354" t="str">
        <f>IFERROR(VLOOKUP($C69,Full_data!$B$8:$J$932,8,FALSE),"")</f>
        <v/>
      </c>
      <c r="K69" s="357"/>
      <c r="L69" s="230" t="str">
        <f t="shared" si="4"/>
        <v/>
      </c>
      <c r="M69" s="351"/>
      <c r="N69" s="236" t="str">
        <f t="shared" si="3"/>
        <v/>
      </c>
      <c r="O69" s="236">
        <f>M69*IFERROR(VLOOKUP($C69,Logistics!$A$1:$O$534,10,FALSE),0)</f>
        <v>0</v>
      </c>
      <c r="P69" s="238">
        <f>M69*IFERROR(VLOOKUP($C69,Logistics!$A$1:$O$534,11,FALSE),0)</f>
        <v>0</v>
      </c>
      <c r="AA69" s="247">
        <f t="shared" si="1"/>
        <v>0.4</v>
      </c>
    </row>
    <row r="70" spans="2:27" ht="15" x14ac:dyDescent="0.2">
      <c r="B70" s="225">
        <v>66</v>
      </c>
      <c r="C70" s="259"/>
      <c r="D70" s="227" t="str">
        <f>IFERROR(VLOOKUP($C70,Full_data!$B$8:$J$932,2,FALSE),"")</f>
        <v/>
      </c>
      <c r="E70" s="227" t="str">
        <f>IFERROR(VLOOKUP($C70,Full_data!$B$8:$J$932,3,FALSE),"")</f>
        <v/>
      </c>
      <c r="F70" s="226" t="str">
        <f>IFERROR(VLOOKUP($C70,Full_data!$B$8:$J$932,4,FALSE),"")</f>
        <v/>
      </c>
      <c r="G70" s="226" t="e">
        <f>VLOOKUP($C70,Full_data!$B$8:$J$932,5,FALSE)</f>
        <v>#N/A</v>
      </c>
      <c r="H70" s="226" t="e">
        <f>VLOOKUP($C70,Full_data!$B$8:$J$932,6,FALSE)</f>
        <v>#N/A</v>
      </c>
      <c r="I70" s="237" t="str">
        <f>IFERROR(VLOOKUP($C70,Full_data!$B$8:$J$932,7,FALSE),"")</f>
        <v/>
      </c>
      <c r="J70" s="355" t="str">
        <f>IFERROR(VLOOKUP($C70,Full_data!$B$8:$J$932,8,FALSE),"")</f>
        <v/>
      </c>
      <c r="K70" s="358"/>
      <c r="L70" s="229" t="str">
        <f t="shared" si="4"/>
        <v/>
      </c>
      <c r="M70" s="352"/>
      <c r="N70" s="237" t="str">
        <f t="shared" si="3"/>
        <v/>
      </c>
      <c r="O70" s="237">
        <f>M70*IFERROR(VLOOKUP($C70,Logistics!$A$1:$O$534,10,FALSE),0)</f>
        <v>0</v>
      </c>
      <c r="P70" s="239">
        <f>M70*IFERROR(VLOOKUP($C70,Logistics!$A$1:$O$534,11,FALSE),0)</f>
        <v>0</v>
      </c>
      <c r="AA70" s="247">
        <f t="shared" ref="AA70:AA133" si="5">IF(ISBLANK(K70),40%,100%)</f>
        <v>0.4</v>
      </c>
    </row>
    <row r="71" spans="2:27" ht="15" x14ac:dyDescent="0.2">
      <c r="B71" s="223">
        <v>67</v>
      </c>
      <c r="C71" s="258"/>
      <c r="D71" s="228" t="str">
        <f>IFERROR(VLOOKUP($C71,Full_data!$B$8:$J$932,2,FALSE),"")</f>
        <v/>
      </c>
      <c r="E71" s="228" t="str">
        <f>IFERROR(VLOOKUP($C71,Full_data!$B$8:$J$932,3,FALSE),"")</f>
        <v/>
      </c>
      <c r="F71" s="224" t="str">
        <f>IFERROR(VLOOKUP($C71,Full_data!$B$8:$J$932,4,FALSE),"")</f>
        <v/>
      </c>
      <c r="G71" s="224" t="e">
        <f>VLOOKUP($C71,Full_data!$B$8:$J$932,5,FALSE)</f>
        <v>#N/A</v>
      </c>
      <c r="H71" s="224" t="e">
        <f>VLOOKUP($C71,Full_data!$B$8:$J$932,6,FALSE)</f>
        <v>#N/A</v>
      </c>
      <c r="I71" s="236" t="str">
        <f>IFERROR(VLOOKUP($C71,Full_data!$B$8:$J$932,7,FALSE),"")</f>
        <v/>
      </c>
      <c r="J71" s="354" t="str">
        <f>IFERROR(VLOOKUP($C71,Full_data!$B$8:$J$932,8,FALSE),"")</f>
        <v/>
      </c>
      <c r="K71" s="357"/>
      <c r="L71" s="230" t="str">
        <f t="shared" si="4"/>
        <v/>
      </c>
      <c r="M71" s="351"/>
      <c r="N71" s="236" t="str">
        <f t="shared" si="3"/>
        <v/>
      </c>
      <c r="O71" s="236">
        <f>M71*IFERROR(VLOOKUP($C71,Logistics!$A$1:$O$534,10,FALSE),0)</f>
        <v>0</v>
      </c>
      <c r="P71" s="238">
        <f>M71*IFERROR(VLOOKUP($C71,Logistics!$A$1:$O$534,11,FALSE),0)</f>
        <v>0</v>
      </c>
      <c r="AA71" s="247">
        <f t="shared" si="5"/>
        <v>0.4</v>
      </c>
    </row>
    <row r="72" spans="2:27" ht="15" x14ac:dyDescent="0.2">
      <c r="B72" s="225">
        <v>68</v>
      </c>
      <c r="C72" s="259"/>
      <c r="D72" s="227" t="str">
        <f>IFERROR(VLOOKUP($C72,Full_data!$B$8:$J$932,2,FALSE),"")</f>
        <v/>
      </c>
      <c r="E72" s="227" t="str">
        <f>IFERROR(VLOOKUP($C72,Full_data!$B$8:$J$932,3,FALSE),"")</f>
        <v/>
      </c>
      <c r="F72" s="226" t="str">
        <f>IFERROR(VLOOKUP($C72,Full_data!$B$8:$J$932,4,FALSE),"")</f>
        <v/>
      </c>
      <c r="G72" s="226" t="e">
        <f>VLOOKUP($C72,Full_data!$B$8:$J$932,5,FALSE)</f>
        <v>#N/A</v>
      </c>
      <c r="H72" s="226" t="e">
        <f>VLOOKUP($C72,Full_data!$B$8:$J$932,6,FALSE)</f>
        <v>#N/A</v>
      </c>
      <c r="I72" s="237" t="str">
        <f>IFERROR(VLOOKUP($C72,Full_data!$B$8:$J$932,7,FALSE),"")</f>
        <v/>
      </c>
      <c r="J72" s="355" t="str">
        <f>IFERROR(VLOOKUP($C72,Full_data!$B$8:$J$932,8,FALSE),"")</f>
        <v/>
      </c>
      <c r="K72" s="358"/>
      <c r="L72" s="229" t="str">
        <f t="shared" si="4"/>
        <v/>
      </c>
      <c r="M72" s="352"/>
      <c r="N72" s="237" t="str">
        <f t="shared" si="3"/>
        <v/>
      </c>
      <c r="O72" s="237">
        <f>M72*IFERROR(VLOOKUP($C72,Logistics!$A$1:$O$534,10,FALSE),0)</f>
        <v>0</v>
      </c>
      <c r="P72" s="239">
        <f>M72*IFERROR(VLOOKUP($C72,Logistics!$A$1:$O$534,11,FALSE),0)</f>
        <v>0</v>
      </c>
      <c r="AA72" s="247">
        <f t="shared" si="5"/>
        <v>0.4</v>
      </c>
    </row>
    <row r="73" spans="2:27" ht="15" x14ac:dyDescent="0.2">
      <c r="B73" s="223">
        <v>69</v>
      </c>
      <c r="C73" s="258"/>
      <c r="D73" s="228" t="str">
        <f>IFERROR(VLOOKUP($C73,Full_data!$B$8:$J$932,2,FALSE),"")</f>
        <v/>
      </c>
      <c r="E73" s="228" t="str">
        <f>IFERROR(VLOOKUP($C73,Full_data!$B$8:$J$932,3,FALSE),"")</f>
        <v/>
      </c>
      <c r="F73" s="224" t="str">
        <f>IFERROR(VLOOKUP($C73,Full_data!$B$8:$J$932,4,FALSE),"")</f>
        <v/>
      </c>
      <c r="G73" s="224" t="e">
        <f>VLOOKUP($C73,Full_data!$B$8:$J$932,5,FALSE)</f>
        <v>#N/A</v>
      </c>
      <c r="H73" s="224" t="e">
        <f>VLOOKUP($C73,Full_data!$B$8:$J$932,6,FALSE)</f>
        <v>#N/A</v>
      </c>
      <c r="I73" s="236" t="str">
        <f>IFERROR(VLOOKUP($C73,Full_data!$B$8:$J$932,7,FALSE),"")</f>
        <v/>
      </c>
      <c r="J73" s="354" t="str">
        <f>IFERROR(VLOOKUP($C73,Full_data!$B$8:$J$932,8,FALSE),"")</f>
        <v/>
      </c>
      <c r="K73" s="357"/>
      <c r="L73" s="230" t="str">
        <f t="shared" si="4"/>
        <v/>
      </c>
      <c r="M73" s="351"/>
      <c r="N73" s="236" t="str">
        <f t="shared" ref="N73:N136" si="6">IF(ISERROR(L73*M73),"",(L73*M73))</f>
        <v/>
      </c>
      <c r="O73" s="236">
        <f>M73*IFERROR(VLOOKUP($C73,Logistics!$A$1:$O$534,10,FALSE),0)</f>
        <v>0</v>
      </c>
      <c r="P73" s="238">
        <f>M73*IFERROR(VLOOKUP($C73,Logistics!$A$1:$O$534,11,FALSE),0)</f>
        <v>0</v>
      </c>
      <c r="AA73" s="247">
        <f t="shared" si="5"/>
        <v>0.4</v>
      </c>
    </row>
    <row r="74" spans="2:27" ht="15" x14ac:dyDescent="0.2">
      <c r="B74" s="225">
        <v>70</v>
      </c>
      <c r="C74" s="259"/>
      <c r="D74" s="227" t="str">
        <f>IFERROR(VLOOKUP($C74,Full_data!$B$8:$J$932,2,FALSE),"")</f>
        <v/>
      </c>
      <c r="E74" s="227" t="str">
        <f>IFERROR(VLOOKUP($C74,Full_data!$B$8:$J$932,3,FALSE),"")</f>
        <v/>
      </c>
      <c r="F74" s="226" t="str">
        <f>IFERROR(VLOOKUP($C74,Full_data!$B$8:$J$932,4,FALSE),"")</f>
        <v/>
      </c>
      <c r="G74" s="226" t="e">
        <f>VLOOKUP($C74,Full_data!$B$8:$J$932,5,FALSE)</f>
        <v>#N/A</v>
      </c>
      <c r="H74" s="226" t="e">
        <f>VLOOKUP($C74,Full_data!$B$8:$J$932,6,FALSE)</f>
        <v>#N/A</v>
      </c>
      <c r="I74" s="237" t="str">
        <f>IFERROR(VLOOKUP($C74,Full_data!$B$8:$J$932,7,FALSE),"")</f>
        <v/>
      </c>
      <c r="J74" s="355" t="str">
        <f>IFERROR(VLOOKUP($C74,Full_data!$B$8:$J$932,8,FALSE),"")</f>
        <v/>
      </c>
      <c r="K74" s="358"/>
      <c r="L74" s="229" t="str">
        <f t="shared" si="4"/>
        <v/>
      </c>
      <c r="M74" s="352"/>
      <c r="N74" s="237" t="str">
        <f t="shared" si="6"/>
        <v/>
      </c>
      <c r="O74" s="237">
        <f>M74*IFERROR(VLOOKUP($C74,Logistics!$A$1:$O$534,10,FALSE),0)</f>
        <v>0</v>
      </c>
      <c r="P74" s="239">
        <f>M74*IFERROR(VLOOKUP($C74,Logistics!$A$1:$O$534,11,FALSE),0)</f>
        <v>0</v>
      </c>
      <c r="AA74" s="247">
        <f t="shared" si="5"/>
        <v>0.4</v>
      </c>
    </row>
    <row r="75" spans="2:27" ht="15" x14ac:dyDescent="0.2">
      <c r="B75" s="223">
        <v>71</v>
      </c>
      <c r="C75" s="258"/>
      <c r="D75" s="228" t="str">
        <f>IFERROR(VLOOKUP($C75,Full_data!$B$8:$J$932,2,FALSE),"")</f>
        <v/>
      </c>
      <c r="E75" s="228" t="str">
        <f>IFERROR(VLOOKUP($C75,Full_data!$B$8:$J$932,3,FALSE),"")</f>
        <v/>
      </c>
      <c r="F75" s="224" t="str">
        <f>IFERROR(VLOOKUP($C75,Full_data!$B$8:$J$932,4,FALSE),"")</f>
        <v/>
      </c>
      <c r="G75" s="224" t="e">
        <f>VLOOKUP($C75,Full_data!$B$8:$J$932,5,FALSE)</f>
        <v>#N/A</v>
      </c>
      <c r="H75" s="224" t="e">
        <f>VLOOKUP($C75,Full_data!$B$8:$J$932,6,FALSE)</f>
        <v>#N/A</v>
      </c>
      <c r="I75" s="236" t="str">
        <f>IFERROR(VLOOKUP($C75,Full_data!$B$8:$J$932,7,FALSE),"")</f>
        <v/>
      </c>
      <c r="J75" s="354" t="str">
        <f>IFERROR(VLOOKUP($C75,Full_data!$B$8:$J$932,8,FALSE),"")</f>
        <v/>
      </c>
      <c r="K75" s="357"/>
      <c r="L75" s="230" t="str">
        <f t="shared" si="4"/>
        <v/>
      </c>
      <c r="M75" s="351"/>
      <c r="N75" s="236" t="str">
        <f t="shared" si="6"/>
        <v/>
      </c>
      <c r="O75" s="236">
        <f>M75*IFERROR(VLOOKUP($C75,Logistics!$A$1:$O$534,10,FALSE),0)</f>
        <v>0</v>
      </c>
      <c r="P75" s="238">
        <f>M75*IFERROR(VLOOKUP($C75,Logistics!$A$1:$O$534,11,FALSE),0)</f>
        <v>0</v>
      </c>
      <c r="AA75" s="247">
        <f t="shared" si="5"/>
        <v>0.4</v>
      </c>
    </row>
    <row r="76" spans="2:27" ht="15" x14ac:dyDescent="0.2">
      <c r="B76" s="225">
        <v>72</v>
      </c>
      <c r="C76" s="259"/>
      <c r="D76" s="227" t="str">
        <f>IFERROR(VLOOKUP($C76,Full_data!$B$8:$J$932,2,FALSE),"")</f>
        <v/>
      </c>
      <c r="E76" s="227" t="str">
        <f>IFERROR(VLOOKUP($C76,Full_data!$B$8:$J$932,3,FALSE),"")</f>
        <v/>
      </c>
      <c r="F76" s="226" t="str">
        <f>IFERROR(VLOOKUP($C76,Full_data!$B$8:$J$932,4,FALSE),"")</f>
        <v/>
      </c>
      <c r="G76" s="226" t="e">
        <f>VLOOKUP($C76,Full_data!$B$8:$J$932,5,FALSE)</f>
        <v>#N/A</v>
      </c>
      <c r="H76" s="226" t="e">
        <f>VLOOKUP($C76,Full_data!$B$8:$J$932,6,FALSE)</f>
        <v>#N/A</v>
      </c>
      <c r="I76" s="237" t="str">
        <f>IFERROR(VLOOKUP($C76,Full_data!$B$8:$J$932,7,FALSE),"")</f>
        <v/>
      </c>
      <c r="J76" s="355" t="str">
        <f>IFERROR(VLOOKUP($C76,Full_data!$B$8:$J$932,8,FALSE),"")</f>
        <v/>
      </c>
      <c r="K76" s="358"/>
      <c r="L76" s="229" t="str">
        <f t="shared" si="4"/>
        <v/>
      </c>
      <c r="M76" s="352"/>
      <c r="N76" s="237" t="str">
        <f t="shared" si="6"/>
        <v/>
      </c>
      <c r="O76" s="237">
        <f>M76*IFERROR(VLOOKUP($C76,Logistics!$A$1:$O$534,10,FALSE),0)</f>
        <v>0</v>
      </c>
      <c r="P76" s="239">
        <f>M76*IFERROR(VLOOKUP($C76,Logistics!$A$1:$O$534,11,FALSE),0)</f>
        <v>0</v>
      </c>
      <c r="AA76" s="247">
        <f t="shared" si="5"/>
        <v>0.4</v>
      </c>
    </row>
    <row r="77" spans="2:27" ht="15" x14ac:dyDescent="0.2">
      <c r="B77" s="223">
        <v>73</v>
      </c>
      <c r="C77" s="258"/>
      <c r="D77" s="228" t="str">
        <f>IFERROR(VLOOKUP($C77,Full_data!$B$8:$J$932,2,FALSE),"")</f>
        <v/>
      </c>
      <c r="E77" s="228" t="str">
        <f>IFERROR(VLOOKUP($C77,Full_data!$B$8:$J$932,3,FALSE),"")</f>
        <v/>
      </c>
      <c r="F77" s="224" t="str">
        <f>IFERROR(VLOOKUP($C77,Full_data!$B$8:$J$932,4,FALSE),"")</f>
        <v/>
      </c>
      <c r="G77" s="224" t="e">
        <f>VLOOKUP($C77,Full_data!$B$8:$J$932,5,FALSE)</f>
        <v>#N/A</v>
      </c>
      <c r="H77" s="224" t="e">
        <f>VLOOKUP($C77,Full_data!$B$8:$J$932,6,FALSE)</f>
        <v>#N/A</v>
      </c>
      <c r="I77" s="236" t="str">
        <f>IFERROR(VLOOKUP($C77,Full_data!$B$8:$J$932,7,FALSE),"")</f>
        <v/>
      </c>
      <c r="J77" s="354" t="str">
        <f>IFERROR(VLOOKUP($C77,Full_data!$B$8:$J$932,8,FALSE),"")</f>
        <v/>
      </c>
      <c r="K77" s="357"/>
      <c r="L77" s="230" t="str">
        <f t="shared" si="4"/>
        <v/>
      </c>
      <c r="M77" s="351"/>
      <c r="N77" s="236" t="str">
        <f t="shared" si="6"/>
        <v/>
      </c>
      <c r="O77" s="236">
        <f>M77*IFERROR(VLOOKUP($C77,Logistics!$A$1:$O$534,10,FALSE),0)</f>
        <v>0</v>
      </c>
      <c r="P77" s="238">
        <f>M77*IFERROR(VLOOKUP($C77,Logistics!$A$1:$O$534,11,FALSE),0)</f>
        <v>0</v>
      </c>
      <c r="AA77" s="247">
        <f t="shared" si="5"/>
        <v>0.4</v>
      </c>
    </row>
    <row r="78" spans="2:27" ht="15" x14ac:dyDescent="0.2">
      <c r="B78" s="225">
        <v>74</v>
      </c>
      <c r="C78" s="259"/>
      <c r="D78" s="227" t="str">
        <f>IFERROR(VLOOKUP($C78,Full_data!$B$8:$J$932,2,FALSE),"")</f>
        <v/>
      </c>
      <c r="E78" s="227" t="str">
        <f>IFERROR(VLOOKUP($C78,Full_data!$B$8:$J$932,3,FALSE),"")</f>
        <v/>
      </c>
      <c r="F78" s="226" t="str">
        <f>IFERROR(VLOOKUP($C78,Full_data!$B$8:$J$932,4,FALSE),"")</f>
        <v/>
      </c>
      <c r="G78" s="226" t="e">
        <f>VLOOKUP($C78,Full_data!$B$8:$J$932,5,FALSE)</f>
        <v>#N/A</v>
      </c>
      <c r="H78" s="226" t="e">
        <f>VLOOKUP($C78,Full_data!$B$8:$J$932,6,FALSE)</f>
        <v>#N/A</v>
      </c>
      <c r="I78" s="237" t="str">
        <f>IFERROR(VLOOKUP($C78,Full_data!$B$8:$J$932,7,FALSE),"")</f>
        <v/>
      </c>
      <c r="J78" s="355" t="str">
        <f>IFERROR(VLOOKUP($C78,Full_data!$B$8:$J$932,8,FALSE),"")</f>
        <v/>
      </c>
      <c r="K78" s="358"/>
      <c r="L78" s="229" t="str">
        <f t="shared" si="4"/>
        <v/>
      </c>
      <c r="M78" s="352"/>
      <c r="N78" s="237" t="str">
        <f t="shared" si="6"/>
        <v/>
      </c>
      <c r="O78" s="237">
        <f>M78*IFERROR(VLOOKUP($C78,Logistics!$A$1:$O$534,10,FALSE),0)</f>
        <v>0</v>
      </c>
      <c r="P78" s="239">
        <f>M78*IFERROR(VLOOKUP($C78,Logistics!$A$1:$O$534,11,FALSE),0)</f>
        <v>0</v>
      </c>
      <c r="AA78" s="247">
        <f t="shared" si="5"/>
        <v>0.4</v>
      </c>
    </row>
    <row r="79" spans="2:27" ht="15" x14ac:dyDescent="0.2">
      <c r="B79" s="223">
        <v>75</v>
      </c>
      <c r="C79" s="258"/>
      <c r="D79" s="228" t="str">
        <f>IFERROR(VLOOKUP($C79,Full_data!$B$8:$J$932,2,FALSE),"")</f>
        <v/>
      </c>
      <c r="E79" s="228" t="str">
        <f>IFERROR(VLOOKUP($C79,Full_data!$B$8:$J$932,3,FALSE),"")</f>
        <v/>
      </c>
      <c r="F79" s="224" t="str">
        <f>IFERROR(VLOOKUP($C79,Full_data!$B$8:$J$932,4,FALSE),"")</f>
        <v/>
      </c>
      <c r="G79" s="224" t="e">
        <f>VLOOKUP($C79,Full_data!$B$8:$J$932,5,FALSE)</f>
        <v>#N/A</v>
      </c>
      <c r="H79" s="224" t="e">
        <f>VLOOKUP($C79,Full_data!$B$8:$J$932,6,FALSE)</f>
        <v>#N/A</v>
      </c>
      <c r="I79" s="236" t="str">
        <f>IFERROR(VLOOKUP($C79,Full_data!$B$8:$J$932,7,FALSE),"")</f>
        <v/>
      </c>
      <c r="J79" s="354" t="str">
        <f>IFERROR(VLOOKUP($C79,Full_data!$B$8:$J$932,8,FALSE),"")</f>
        <v/>
      </c>
      <c r="K79" s="357"/>
      <c r="L79" s="230" t="str">
        <f t="shared" si="4"/>
        <v/>
      </c>
      <c r="M79" s="351"/>
      <c r="N79" s="236" t="str">
        <f t="shared" si="6"/>
        <v/>
      </c>
      <c r="O79" s="236">
        <f>M79*IFERROR(VLOOKUP($C79,Logistics!$A$1:$O$534,10,FALSE),0)</f>
        <v>0</v>
      </c>
      <c r="P79" s="238">
        <f>M79*IFERROR(VLOOKUP($C79,Logistics!$A$1:$O$534,11,FALSE),0)</f>
        <v>0</v>
      </c>
      <c r="AA79" s="247">
        <f t="shared" si="5"/>
        <v>0.4</v>
      </c>
    </row>
    <row r="80" spans="2:27" ht="15" x14ac:dyDescent="0.2">
      <c r="B80" s="225">
        <v>76</v>
      </c>
      <c r="C80" s="259"/>
      <c r="D80" s="227" t="str">
        <f>IFERROR(VLOOKUP($C80,Full_data!$B$8:$J$932,2,FALSE),"")</f>
        <v/>
      </c>
      <c r="E80" s="227" t="str">
        <f>IFERROR(VLOOKUP($C80,Full_data!$B$8:$J$932,3,FALSE),"")</f>
        <v/>
      </c>
      <c r="F80" s="226" t="str">
        <f>IFERROR(VLOOKUP($C80,Full_data!$B$8:$J$932,4,FALSE),"")</f>
        <v/>
      </c>
      <c r="G80" s="226" t="e">
        <f>VLOOKUP($C80,Full_data!$B$8:$J$932,5,FALSE)</f>
        <v>#N/A</v>
      </c>
      <c r="H80" s="226" t="e">
        <f>VLOOKUP($C80,Full_data!$B$8:$J$932,6,FALSE)</f>
        <v>#N/A</v>
      </c>
      <c r="I80" s="237" t="str">
        <f>IFERROR(VLOOKUP($C80,Full_data!$B$8:$J$932,7,FALSE),"")</f>
        <v/>
      </c>
      <c r="J80" s="355" t="str">
        <f>IFERROR(VLOOKUP($C80,Full_data!$B$8:$J$932,8,FALSE),"")</f>
        <v/>
      </c>
      <c r="K80" s="358"/>
      <c r="L80" s="229" t="str">
        <f t="shared" si="4"/>
        <v/>
      </c>
      <c r="M80" s="352"/>
      <c r="N80" s="237" t="str">
        <f t="shared" si="6"/>
        <v/>
      </c>
      <c r="O80" s="237">
        <f>M80*IFERROR(VLOOKUP($C80,Logistics!$A$1:$O$534,10,FALSE),0)</f>
        <v>0</v>
      </c>
      <c r="P80" s="239">
        <f>M80*IFERROR(VLOOKUP($C80,Logistics!$A$1:$O$534,11,FALSE),0)</f>
        <v>0</v>
      </c>
      <c r="AA80" s="247">
        <f t="shared" si="5"/>
        <v>0.4</v>
      </c>
    </row>
    <row r="81" spans="2:27" ht="15" x14ac:dyDescent="0.2">
      <c r="B81" s="223">
        <v>77</v>
      </c>
      <c r="C81" s="258"/>
      <c r="D81" s="228" t="str">
        <f>IFERROR(VLOOKUP($C81,Full_data!$B$8:$J$932,2,FALSE),"")</f>
        <v/>
      </c>
      <c r="E81" s="228" t="str">
        <f>IFERROR(VLOOKUP($C81,Full_data!$B$8:$J$932,3,FALSE),"")</f>
        <v/>
      </c>
      <c r="F81" s="224" t="str">
        <f>IFERROR(VLOOKUP($C81,Full_data!$B$8:$J$932,4,FALSE),"")</f>
        <v/>
      </c>
      <c r="G81" s="224" t="e">
        <f>VLOOKUP($C81,Full_data!$B$8:$J$932,5,FALSE)</f>
        <v>#N/A</v>
      </c>
      <c r="H81" s="224" t="e">
        <f>VLOOKUP($C81,Full_data!$B$8:$J$932,6,FALSE)</f>
        <v>#N/A</v>
      </c>
      <c r="I81" s="236" t="str">
        <f>IFERROR(VLOOKUP($C81,Full_data!$B$8:$J$932,7,FALSE),"")</f>
        <v/>
      </c>
      <c r="J81" s="354" t="str">
        <f>IFERROR(VLOOKUP($C81,Full_data!$B$8:$J$932,8,FALSE),"")</f>
        <v/>
      </c>
      <c r="K81" s="357"/>
      <c r="L81" s="230" t="str">
        <f t="shared" si="4"/>
        <v/>
      </c>
      <c r="M81" s="351"/>
      <c r="N81" s="236" t="str">
        <f t="shared" si="6"/>
        <v/>
      </c>
      <c r="O81" s="236">
        <f>M81*IFERROR(VLOOKUP($C81,Logistics!$A$1:$O$534,10,FALSE),0)</f>
        <v>0</v>
      </c>
      <c r="P81" s="238">
        <f>M81*IFERROR(VLOOKUP($C81,Logistics!$A$1:$O$534,11,FALSE),0)</f>
        <v>0</v>
      </c>
      <c r="AA81" s="247">
        <f t="shared" si="5"/>
        <v>0.4</v>
      </c>
    </row>
    <row r="82" spans="2:27" ht="15" x14ac:dyDescent="0.2">
      <c r="B82" s="225">
        <v>78</v>
      </c>
      <c r="C82" s="259"/>
      <c r="D82" s="227" t="str">
        <f>IFERROR(VLOOKUP($C82,Full_data!$B$8:$J$932,2,FALSE),"")</f>
        <v/>
      </c>
      <c r="E82" s="227" t="str">
        <f>IFERROR(VLOOKUP($C82,Full_data!$B$8:$J$932,3,FALSE),"")</f>
        <v/>
      </c>
      <c r="F82" s="226" t="str">
        <f>IFERROR(VLOOKUP($C82,Full_data!$B$8:$J$932,4,FALSE),"")</f>
        <v/>
      </c>
      <c r="G82" s="226" t="e">
        <f>VLOOKUP($C82,Full_data!$B$8:$J$932,5,FALSE)</f>
        <v>#N/A</v>
      </c>
      <c r="H82" s="226" t="e">
        <f>VLOOKUP($C82,Full_data!$B$8:$J$932,6,FALSE)</f>
        <v>#N/A</v>
      </c>
      <c r="I82" s="237" t="str">
        <f>IFERROR(VLOOKUP($C82,Full_data!$B$8:$J$932,7,FALSE),"")</f>
        <v/>
      </c>
      <c r="J82" s="355" t="str">
        <f>IFERROR(VLOOKUP($C82,Full_data!$B$8:$J$932,8,FALSE),"")</f>
        <v/>
      </c>
      <c r="K82" s="358"/>
      <c r="L82" s="229" t="str">
        <f t="shared" si="4"/>
        <v/>
      </c>
      <c r="M82" s="352"/>
      <c r="N82" s="237" t="str">
        <f t="shared" si="6"/>
        <v/>
      </c>
      <c r="O82" s="237">
        <f>M82*IFERROR(VLOOKUP($C82,Logistics!$A$1:$O$534,10,FALSE),0)</f>
        <v>0</v>
      </c>
      <c r="P82" s="239">
        <f>M82*IFERROR(VLOOKUP($C82,Logistics!$A$1:$O$534,11,FALSE),0)</f>
        <v>0</v>
      </c>
      <c r="AA82" s="247">
        <f t="shared" si="5"/>
        <v>0.4</v>
      </c>
    </row>
    <row r="83" spans="2:27" ht="15" x14ac:dyDescent="0.2">
      <c r="B83" s="223">
        <v>79</v>
      </c>
      <c r="C83" s="258"/>
      <c r="D83" s="228" t="str">
        <f>IFERROR(VLOOKUP($C83,Full_data!$B$8:$J$932,2,FALSE),"")</f>
        <v/>
      </c>
      <c r="E83" s="228" t="str">
        <f>IFERROR(VLOOKUP($C83,Full_data!$B$8:$J$932,3,FALSE),"")</f>
        <v/>
      </c>
      <c r="F83" s="224" t="str">
        <f>IFERROR(VLOOKUP($C83,Full_data!$B$8:$J$932,4,FALSE),"")</f>
        <v/>
      </c>
      <c r="G83" s="224" t="e">
        <f>VLOOKUP($C83,Full_data!$B$8:$J$932,5,FALSE)</f>
        <v>#N/A</v>
      </c>
      <c r="H83" s="224" t="e">
        <f>VLOOKUP($C83,Full_data!$B$8:$J$932,6,FALSE)</f>
        <v>#N/A</v>
      </c>
      <c r="I83" s="236" t="str">
        <f>IFERROR(VLOOKUP($C83,Full_data!$B$8:$J$932,7,FALSE),"")</f>
        <v/>
      </c>
      <c r="J83" s="354" t="str">
        <f>IFERROR(VLOOKUP($C83,Full_data!$B$8:$J$932,8,FALSE),"")</f>
        <v/>
      </c>
      <c r="K83" s="357"/>
      <c r="L83" s="230" t="str">
        <f t="shared" si="4"/>
        <v/>
      </c>
      <c r="M83" s="351"/>
      <c r="N83" s="236" t="str">
        <f t="shared" si="6"/>
        <v/>
      </c>
      <c r="O83" s="236">
        <f>M83*IFERROR(VLOOKUP($C83,Logistics!$A$1:$O$534,10,FALSE),0)</f>
        <v>0</v>
      </c>
      <c r="P83" s="238">
        <f>M83*IFERROR(VLOOKUP($C83,Logistics!$A$1:$O$534,11,FALSE),0)</f>
        <v>0</v>
      </c>
      <c r="AA83" s="247">
        <f t="shared" si="5"/>
        <v>0.4</v>
      </c>
    </row>
    <row r="84" spans="2:27" ht="15" x14ac:dyDescent="0.2">
      <c r="B84" s="225">
        <v>80</v>
      </c>
      <c r="C84" s="259"/>
      <c r="D84" s="227" t="str">
        <f>IFERROR(VLOOKUP($C84,Full_data!$B$8:$J$932,2,FALSE),"")</f>
        <v/>
      </c>
      <c r="E84" s="227" t="str">
        <f>IFERROR(VLOOKUP($C84,Full_data!$B$8:$J$932,3,FALSE),"")</f>
        <v/>
      </c>
      <c r="F84" s="226" t="str">
        <f>IFERROR(VLOOKUP($C84,Full_data!$B$8:$J$932,4,FALSE),"")</f>
        <v/>
      </c>
      <c r="G84" s="226" t="e">
        <f>VLOOKUP($C84,Full_data!$B$8:$J$932,5,FALSE)</f>
        <v>#N/A</v>
      </c>
      <c r="H84" s="226" t="e">
        <f>VLOOKUP($C84,Full_data!$B$8:$J$932,6,FALSE)</f>
        <v>#N/A</v>
      </c>
      <c r="I84" s="237" t="str">
        <f>IFERROR(VLOOKUP($C84,Full_data!$B$8:$J$932,7,FALSE),"")</f>
        <v/>
      </c>
      <c r="J84" s="355" t="str">
        <f>IFERROR(VLOOKUP($C84,Full_data!$B$8:$J$932,8,FALSE),"")</f>
        <v/>
      </c>
      <c r="K84" s="358"/>
      <c r="L84" s="229" t="str">
        <f t="shared" si="4"/>
        <v/>
      </c>
      <c r="M84" s="352"/>
      <c r="N84" s="237" t="str">
        <f t="shared" si="6"/>
        <v/>
      </c>
      <c r="O84" s="237">
        <f>M84*IFERROR(VLOOKUP($C84,Logistics!$A$1:$O$534,10,FALSE),0)</f>
        <v>0</v>
      </c>
      <c r="P84" s="239">
        <f>M84*IFERROR(VLOOKUP($C84,Logistics!$A$1:$O$534,11,FALSE),0)</f>
        <v>0</v>
      </c>
      <c r="AA84" s="247">
        <f t="shared" si="5"/>
        <v>0.4</v>
      </c>
    </row>
    <row r="85" spans="2:27" ht="15" x14ac:dyDescent="0.2">
      <c r="B85" s="223">
        <v>81</v>
      </c>
      <c r="C85" s="258"/>
      <c r="D85" s="228" t="str">
        <f>IFERROR(VLOOKUP($C85,Full_data!$B$8:$J$932,2,FALSE),"")</f>
        <v/>
      </c>
      <c r="E85" s="228" t="str">
        <f>IFERROR(VLOOKUP($C85,Full_data!$B$8:$J$932,3,FALSE),"")</f>
        <v/>
      </c>
      <c r="F85" s="224" t="str">
        <f>IFERROR(VLOOKUP($C85,Full_data!$B$8:$J$932,4,FALSE),"")</f>
        <v/>
      </c>
      <c r="G85" s="224" t="e">
        <f>VLOOKUP($C85,Full_data!$B$8:$J$932,5,FALSE)</f>
        <v>#N/A</v>
      </c>
      <c r="H85" s="224" t="e">
        <f>VLOOKUP($C85,Full_data!$B$8:$J$932,6,FALSE)</f>
        <v>#N/A</v>
      </c>
      <c r="I85" s="236" t="str">
        <f>IFERROR(VLOOKUP($C85,Full_data!$B$8:$J$932,7,FALSE),"")</f>
        <v/>
      </c>
      <c r="J85" s="354" t="str">
        <f>IFERROR(VLOOKUP($C85,Full_data!$B$8:$J$932,8,FALSE),"")</f>
        <v/>
      </c>
      <c r="K85" s="357"/>
      <c r="L85" s="230" t="str">
        <f t="shared" si="4"/>
        <v/>
      </c>
      <c r="M85" s="351"/>
      <c r="N85" s="236" t="str">
        <f t="shared" si="6"/>
        <v/>
      </c>
      <c r="O85" s="236">
        <f>M85*IFERROR(VLOOKUP($C85,Logistics!$A$1:$O$534,10,FALSE),0)</f>
        <v>0</v>
      </c>
      <c r="P85" s="238">
        <f>M85*IFERROR(VLOOKUP($C85,Logistics!$A$1:$O$534,11,FALSE),0)</f>
        <v>0</v>
      </c>
      <c r="AA85" s="247">
        <f t="shared" si="5"/>
        <v>0.4</v>
      </c>
    </row>
    <row r="86" spans="2:27" ht="15" x14ac:dyDescent="0.2">
      <c r="B86" s="225">
        <v>82</v>
      </c>
      <c r="C86" s="259"/>
      <c r="D86" s="227" t="str">
        <f>IFERROR(VLOOKUP($C86,Full_data!$B$8:$J$932,2,FALSE),"")</f>
        <v/>
      </c>
      <c r="E86" s="227" t="str">
        <f>IFERROR(VLOOKUP($C86,Full_data!$B$8:$J$932,3,FALSE),"")</f>
        <v/>
      </c>
      <c r="F86" s="226" t="str">
        <f>IFERROR(VLOOKUP($C86,Full_data!$B$8:$J$932,4,FALSE),"")</f>
        <v/>
      </c>
      <c r="G86" s="226" t="e">
        <f>VLOOKUP($C86,Full_data!$B$8:$J$932,5,FALSE)</f>
        <v>#N/A</v>
      </c>
      <c r="H86" s="226" t="e">
        <f>VLOOKUP($C86,Full_data!$B$8:$J$932,6,FALSE)</f>
        <v>#N/A</v>
      </c>
      <c r="I86" s="237" t="str">
        <f>IFERROR(VLOOKUP($C86,Full_data!$B$8:$J$932,7,FALSE),"")</f>
        <v/>
      </c>
      <c r="J86" s="355" t="str">
        <f>IFERROR(VLOOKUP($C86,Full_data!$B$8:$J$932,8,FALSE),"")</f>
        <v/>
      </c>
      <c r="K86" s="358"/>
      <c r="L86" s="229" t="str">
        <f t="shared" si="4"/>
        <v/>
      </c>
      <c r="M86" s="352"/>
      <c r="N86" s="237" t="str">
        <f t="shared" si="6"/>
        <v/>
      </c>
      <c r="O86" s="237">
        <f>M86*IFERROR(VLOOKUP($C86,Logistics!$A$1:$O$534,10,FALSE),0)</f>
        <v>0</v>
      </c>
      <c r="P86" s="239">
        <f>M86*IFERROR(VLOOKUP($C86,Logistics!$A$1:$O$534,11,FALSE),0)</f>
        <v>0</v>
      </c>
      <c r="AA86" s="247">
        <f t="shared" si="5"/>
        <v>0.4</v>
      </c>
    </row>
    <row r="87" spans="2:27" ht="15" x14ac:dyDescent="0.2">
      <c r="B87" s="223">
        <v>83</v>
      </c>
      <c r="C87" s="258"/>
      <c r="D87" s="228" t="str">
        <f>IFERROR(VLOOKUP($C87,Full_data!$B$8:$J$932,2,FALSE),"")</f>
        <v/>
      </c>
      <c r="E87" s="228" t="str">
        <f>IFERROR(VLOOKUP($C87,Full_data!$B$8:$J$932,3,FALSE),"")</f>
        <v/>
      </c>
      <c r="F87" s="224" t="str">
        <f>IFERROR(VLOOKUP($C87,Full_data!$B$8:$J$932,4,FALSE),"")</f>
        <v/>
      </c>
      <c r="G87" s="224" t="e">
        <f>VLOOKUP($C87,Full_data!$B$8:$J$932,5,FALSE)</f>
        <v>#N/A</v>
      </c>
      <c r="H87" s="224" t="e">
        <f>VLOOKUP($C87,Full_data!$B$8:$J$932,6,FALSE)</f>
        <v>#N/A</v>
      </c>
      <c r="I87" s="236" t="str">
        <f>IFERROR(VLOOKUP($C87,Full_data!$B$8:$J$932,7,FALSE),"")</f>
        <v/>
      </c>
      <c r="J87" s="354" t="str">
        <f>IFERROR(VLOOKUP($C87,Full_data!$B$8:$J$932,8,FALSE),"")</f>
        <v/>
      </c>
      <c r="K87" s="357"/>
      <c r="L87" s="230" t="str">
        <f t="shared" si="4"/>
        <v/>
      </c>
      <c r="M87" s="351"/>
      <c r="N87" s="236" t="str">
        <f t="shared" si="6"/>
        <v/>
      </c>
      <c r="O87" s="236">
        <f>M87*IFERROR(VLOOKUP($C87,Logistics!$A$1:$O$534,10,FALSE),0)</f>
        <v>0</v>
      </c>
      <c r="P87" s="238">
        <f>M87*IFERROR(VLOOKUP($C87,Logistics!$A$1:$O$534,11,FALSE),0)</f>
        <v>0</v>
      </c>
      <c r="AA87" s="247">
        <f t="shared" si="5"/>
        <v>0.4</v>
      </c>
    </row>
    <row r="88" spans="2:27" ht="15" x14ac:dyDescent="0.2">
      <c r="B88" s="225">
        <v>84</v>
      </c>
      <c r="C88" s="259"/>
      <c r="D88" s="227" t="str">
        <f>IFERROR(VLOOKUP($C88,Full_data!$B$8:$J$932,2,FALSE),"")</f>
        <v/>
      </c>
      <c r="E88" s="227" t="str">
        <f>IFERROR(VLOOKUP($C88,Full_data!$B$8:$J$932,3,FALSE),"")</f>
        <v/>
      </c>
      <c r="F88" s="226" t="str">
        <f>IFERROR(VLOOKUP($C88,Full_data!$B$8:$J$932,4,FALSE),"")</f>
        <v/>
      </c>
      <c r="G88" s="226" t="e">
        <f>VLOOKUP($C88,Full_data!$B$8:$J$932,5,FALSE)</f>
        <v>#N/A</v>
      </c>
      <c r="H88" s="226" t="e">
        <f>VLOOKUP($C88,Full_data!$B$8:$J$932,6,FALSE)</f>
        <v>#N/A</v>
      </c>
      <c r="I88" s="237" t="str">
        <f>IFERROR(VLOOKUP($C88,Full_data!$B$8:$J$932,7,FALSE),"")</f>
        <v/>
      </c>
      <c r="J88" s="355" t="str">
        <f>IFERROR(VLOOKUP($C88,Full_data!$B$8:$J$932,8,FALSE),"")</f>
        <v/>
      </c>
      <c r="K88" s="358"/>
      <c r="L88" s="229" t="str">
        <f t="shared" si="4"/>
        <v/>
      </c>
      <c r="M88" s="352"/>
      <c r="N88" s="237" t="str">
        <f t="shared" si="6"/>
        <v/>
      </c>
      <c r="O88" s="237">
        <f>M88*IFERROR(VLOOKUP($C88,Logistics!$A$1:$O$534,10,FALSE),0)</f>
        <v>0</v>
      </c>
      <c r="P88" s="239">
        <f>M88*IFERROR(VLOOKUP($C88,Logistics!$A$1:$O$534,11,FALSE),0)</f>
        <v>0</v>
      </c>
      <c r="AA88" s="247">
        <f t="shared" si="5"/>
        <v>0.4</v>
      </c>
    </row>
    <row r="89" spans="2:27" ht="15" x14ac:dyDescent="0.2">
      <c r="B89" s="223">
        <v>85</v>
      </c>
      <c r="C89" s="258"/>
      <c r="D89" s="228" t="str">
        <f>IFERROR(VLOOKUP($C89,Full_data!$B$8:$J$932,2,FALSE),"")</f>
        <v/>
      </c>
      <c r="E89" s="228" t="str">
        <f>IFERROR(VLOOKUP($C89,Full_data!$B$8:$J$932,3,FALSE),"")</f>
        <v/>
      </c>
      <c r="F89" s="224" t="str">
        <f>IFERROR(VLOOKUP($C89,Full_data!$B$8:$J$932,4,FALSE),"")</f>
        <v/>
      </c>
      <c r="G89" s="224" t="e">
        <f>VLOOKUP($C89,Full_data!$B$8:$J$932,5,FALSE)</f>
        <v>#N/A</v>
      </c>
      <c r="H89" s="224" t="e">
        <f>VLOOKUP($C89,Full_data!$B$8:$J$932,6,FALSE)</f>
        <v>#N/A</v>
      </c>
      <c r="I89" s="236" t="str">
        <f>IFERROR(VLOOKUP($C89,Full_data!$B$8:$J$932,7,FALSE),"")</f>
        <v/>
      </c>
      <c r="J89" s="354" t="str">
        <f>IFERROR(VLOOKUP($C89,Full_data!$B$8:$J$932,8,FALSE),"")</f>
        <v/>
      </c>
      <c r="K89" s="357"/>
      <c r="L89" s="230" t="str">
        <f t="shared" si="4"/>
        <v/>
      </c>
      <c r="M89" s="351"/>
      <c r="N89" s="236" t="str">
        <f t="shared" si="6"/>
        <v/>
      </c>
      <c r="O89" s="236">
        <f>M89*IFERROR(VLOOKUP($C89,Logistics!$A$1:$O$534,10,FALSE),0)</f>
        <v>0</v>
      </c>
      <c r="P89" s="238">
        <f>M89*IFERROR(VLOOKUP($C89,Logistics!$A$1:$O$534,11,FALSE),0)</f>
        <v>0</v>
      </c>
      <c r="AA89" s="247">
        <f t="shared" si="5"/>
        <v>0.4</v>
      </c>
    </row>
    <row r="90" spans="2:27" ht="15" x14ac:dyDescent="0.2">
      <c r="B90" s="225">
        <v>86</v>
      </c>
      <c r="C90" s="259"/>
      <c r="D90" s="227" t="str">
        <f>IFERROR(VLOOKUP($C90,Full_data!$B$8:$J$932,2,FALSE),"")</f>
        <v/>
      </c>
      <c r="E90" s="227" t="str">
        <f>IFERROR(VLOOKUP($C90,Full_data!$B$8:$J$932,3,FALSE),"")</f>
        <v/>
      </c>
      <c r="F90" s="226" t="str">
        <f>IFERROR(VLOOKUP($C90,Full_data!$B$8:$J$932,4,FALSE),"")</f>
        <v/>
      </c>
      <c r="G90" s="226" t="e">
        <f>VLOOKUP($C90,Full_data!$B$8:$J$932,5,FALSE)</f>
        <v>#N/A</v>
      </c>
      <c r="H90" s="226" t="e">
        <f>VLOOKUP($C90,Full_data!$B$8:$J$932,6,FALSE)</f>
        <v>#N/A</v>
      </c>
      <c r="I90" s="237" t="str">
        <f>IFERROR(VLOOKUP($C90,Full_data!$B$8:$J$932,7,FALSE),"")</f>
        <v/>
      </c>
      <c r="J90" s="355" t="str">
        <f>IFERROR(VLOOKUP($C90,Full_data!$B$8:$J$932,8,FALSE),"")</f>
        <v/>
      </c>
      <c r="K90" s="358"/>
      <c r="L90" s="229" t="str">
        <f t="shared" si="4"/>
        <v/>
      </c>
      <c r="M90" s="352"/>
      <c r="N90" s="237" t="str">
        <f t="shared" si="6"/>
        <v/>
      </c>
      <c r="O90" s="237">
        <f>M90*IFERROR(VLOOKUP($C90,Logistics!$A$1:$O$534,10,FALSE),0)</f>
        <v>0</v>
      </c>
      <c r="P90" s="239">
        <f>M90*IFERROR(VLOOKUP($C90,Logistics!$A$1:$O$534,11,FALSE),0)</f>
        <v>0</v>
      </c>
      <c r="AA90" s="247">
        <f t="shared" si="5"/>
        <v>0.4</v>
      </c>
    </row>
    <row r="91" spans="2:27" ht="15" x14ac:dyDescent="0.2">
      <c r="B91" s="223">
        <v>87</v>
      </c>
      <c r="C91" s="258"/>
      <c r="D91" s="228" t="str">
        <f>IFERROR(VLOOKUP($C91,Full_data!$B$8:$J$932,2,FALSE),"")</f>
        <v/>
      </c>
      <c r="E91" s="228" t="str">
        <f>IFERROR(VLOOKUP($C91,Full_data!$B$8:$J$932,3,FALSE),"")</f>
        <v/>
      </c>
      <c r="F91" s="224" t="str">
        <f>IFERROR(VLOOKUP($C91,Full_data!$B$8:$J$932,4,FALSE),"")</f>
        <v/>
      </c>
      <c r="G91" s="224" t="e">
        <f>VLOOKUP($C91,Full_data!$B$8:$J$932,5,FALSE)</f>
        <v>#N/A</v>
      </c>
      <c r="H91" s="224" t="e">
        <f>VLOOKUP($C91,Full_data!$B$8:$J$932,6,FALSE)</f>
        <v>#N/A</v>
      </c>
      <c r="I91" s="236" t="str">
        <f>IFERROR(VLOOKUP($C91,Full_data!$B$8:$J$932,7,FALSE),"")</f>
        <v/>
      </c>
      <c r="J91" s="354" t="str">
        <f>IFERROR(VLOOKUP($C91,Full_data!$B$8:$J$932,8,FALSE),"")</f>
        <v/>
      </c>
      <c r="K91" s="357"/>
      <c r="L91" s="230" t="str">
        <f t="shared" si="4"/>
        <v/>
      </c>
      <c r="M91" s="351"/>
      <c r="N91" s="236" t="str">
        <f t="shared" si="6"/>
        <v/>
      </c>
      <c r="O91" s="236">
        <f>M91*IFERROR(VLOOKUP($C91,Logistics!$A$1:$O$534,10,FALSE),0)</f>
        <v>0</v>
      </c>
      <c r="P91" s="238">
        <f>M91*IFERROR(VLOOKUP($C91,Logistics!$A$1:$O$534,11,FALSE),0)</f>
        <v>0</v>
      </c>
      <c r="AA91" s="247">
        <f t="shared" si="5"/>
        <v>0.4</v>
      </c>
    </row>
    <row r="92" spans="2:27" ht="15" x14ac:dyDescent="0.2">
      <c r="B92" s="225">
        <v>88</v>
      </c>
      <c r="C92" s="259"/>
      <c r="D92" s="227" t="str">
        <f>IFERROR(VLOOKUP($C92,Full_data!$B$8:$J$932,2,FALSE),"")</f>
        <v/>
      </c>
      <c r="E92" s="227" t="str">
        <f>IFERROR(VLOOKUP($C92,Full_data!$B$8:$J$932,3,FALSE),"")</f>
        <v/>
      </c>
      <c r="F92" s="226" t="str">
        <f>IFERROR(VLOOKUP($C92,Full_data!$B$8:$J$932,4,FALSE),"")</f>
        <v/>
      </c>
      <c r="G92" s="226" t="e">
        <f>VLOOKUP($C92,Full_data!$B$8:$J$932,5,FALSE)</f>
        <v>#N/A</v>
      </c>
      <c r="H92" s="226" t="e">
        <f>VLOOKUP($C92,Full_data!$B$8:$J$932,6,FALSE)</f>
        <v>#N/A</v>
      </c>
      <c r="I92" s="237" t="str">
        <f>IFERROR(VLOOKUP($C92,Full_data!$B$8:$J$932,7,FALSE),"")</f>
        <v/>
      </c>
      <c r="J92" s="355" t="str">
        <f>IFERROR(VLOOKUP($C92,Full_data!$B$8:$J$932,8,FALSE),"")</f>
        <v/>
      </c>
      <c r="K92" s="358"/>
      <c r="L92" s="229" t="str">
        <f t="shared" si="4"/>
        <v/>
      </c>
      <c r="M92" s="352"/>
      <c r="N92" s="237" t="str">
        <f t="shared" si="6"/>
        <v/>
      </c>
      <c r="O92" s="237">
        <f>M92*IFERROR(VLOOKUP($C92,Logistics!$A$1:$O$534,10,FALSE),0)</f>
        <v>0</v>
      </c>
      <c r="P92" s="239">
        <f>M92*IFERROR(VLOOKUP($C92,Logistics!$A$1:$O$534,11,FALSE),0)</f>
        <v>0</v>
      </c>
      <c r="AA92" s="247">
        <f t="shared" si="5"/>
        <v>0.4</v>
      </c>
    </row>
    <row r="93" spans="2:27" ht="15" x14ac:dyDescent="0.2">
      <c r="B93" s="223">
        <v>89</v>
      </c>
      <c r="C93" s="258"/>
      <c r="D93" s="228" t="str">
        <f>IFERROR(VLOOKUP($C93,Full_data!$B$8:$J$932,2,FALSE),"")</f>
        <v/>
      </c>
      <c r="E93" s="228" t="str">
        <f>IFERROR(VLOOKUP($C93,Full_data!$B$8:$J$932,3,FALSE),"")</f>
        <v/>
      </c>
      <c r="F93" s="224" t="str">
        <f>IFERROR(VLOOKUP($C93,Full_data!$B$8:$J$932,4,FALSE),"")</f>
        <v/>
      </c>
      <c r="G93" s="224" t="e">
        <f>VLOOKUP($C93,Full_data!$B$8:$J$932,5,FALSE)</f>
        <v>#N/A</v>
      </c>
      <c r="H93" s="224" t="e">
        <f>VLOOKUP($C93,Full_data!$B$8:$J$932,6,FALSE)</f>
        <v>#N/A</v>
      </c>
      <c r="I93" s="236" t="str">
        <f>IFERROR(VLOOKUP($C93,Full_data!$B$8:$J$932,7,FALSE),"")</f>
        <v/>
      </c>
      <c r="J93" s="354" t="str">
        <f>IFERROR(VLOOKUP($C93,Full_data!$B$8:$J$932,8,FALSE),"")</f>
        <v/>
      </c>
      <c r="K93" s="357"/>
      <c r="L93" s="230" t="str">
        <f t="shared" si="4"/>
        <v/>
      </c>
      <c r="M93" s="351"/>
      <c r="N93" s="236" t="str">
        <f t="shared" si="6"/>
        <v/>
      </c>
      <c r="O93" s="236">
        <f>M93*IFERROR(VLOOKUP($C93,Logistics!$A$1:$O$534,10,FALSE),0)</f>
        <v>0</v>
      </c>
      <c r="P93" s="238">
        <f>M93*IFERROR(VLOOKUP($C93,Logistics!$A$1:$O$534,11,FALSE),0)</f>
        <v>0</v>
      </c>
      <c r="AA93" s="247">
        <f t="shared" si="5"/>
        <v>0.4</v>
      </c>
    </row>
    <row r="94" spans="2:27" ht="15" x14ac:dyDescent="0.2">
      <c r="B94" s="225">
        <v>90</v>
      </c>
      <c r="C94" s="259"/>
      <c r="D94" s="227" t="str">
        <f>IFERROR(VLOOKUP($C94,Full_data!$B$8:$J$932,2,FALSE),"")</f>
        <v/>
      </c>
      <c r="E94" s="227" t="str">
        <f>IFERROR(VLOOKUP($C94,Full_data!$B$8:$J$932,3,FALSE),"")</f>
        <v/>
      </c>
      <c r="F94" s="226" t="str">
        <f>IFERROR(VLOOKUP($C94,Full_data!$B$8:$J$932,4,FALSE),"")</f>
        <v/>
      </c>
      <c r="G94" s="226" t="e">
        <f>VLOOKUP($C94,Full_data!$B$8:$J$932,5,FALSE)</f>
        <v>#N/A</v>
      </c>
      <c r="H94" s="226" t="e">
        <f>VLOOKUP($C94,Full_data!$B$8:$J$932,6,FALSE)</f>
        <v>#N/A</v>
      </c>
      <c r="I94" s="237" t="str">
        <f>IFERROR(VLOOKUP($C94,Full_data!$B$8:$J$932,7,FALSE),"")</f>
        <v/>
      </c>
      <c r="J94" s="355" t="str">
        <f>IFERROR(VLOOKUP($C94,Full_data!$B$8:$J$932,8,FALSE),"")</f>
        <v/>
      </c>
      <c r="K94" s="358"/>
      <c r="L94" s="229" t="str">
        <f t="shared" si="4"/>
        <v/>
      </c>
      <c r="M94" s="352"/>
      <c r="N94" s="237" t="str">
        <f t="shared" si="6"/>
        <v/>
      </c>
      <c r="O94" s="237">
        <f>M94*IFERROR(VLOOKUP($C94,Logistics!$A$1:$O$534,10,FALSE),0)</f>
        <v>0</v>
      </c>
      <c r="P94" s="239">
        <f>M94*IFERROR(VLOOKUP($C94,Logistics!$A$1:$O$534,11,FALSE),0)</f>
        <v>0</v>
      </c>
      <c r="AA94" s="247">
        <f t="shared" si="5"/>
        <v>0.4</v>
      </c>
    </row>
    <row r="95" spans="2:27" ht="15" x14ac:dyDescent="0.2">
      <c r="B95" s="223">
        <v>91</v>
      </c>
      <c r="C95" s="258"/>
      <c r="D95" s="228" t="str">
        <f>IFERROR(VLOOKUP($C95,Full_data!$B$8:$J$932,2,FALSE),"")</f>
        <v/>
      </c>
      <c r="E95" s="228" t="str">
        <f>IFERROR(VLOOKUP($C95,Full_data!$B$8:$J$932,3,FALSE),"")</f>
        <v/>
      </c>
      <c r="F95" s="224" t="str">
        <f>IFERROR(VLOOKUP($C95,Full_data!$B$8:$J$932,4,FALSE),"")</f>
        <v/>
      </c>
      <c r="G95" s="224" t="e">
        <f>VLOOKUP($C95,Full_data!$B$8:$J$932,5,FALSE)</f>
        <v>#N/A</v>
      </c>
      <c r="H95" s="224" t="e">
        <f>VLOOKUP($C95,Full_data!$B$8:$J$932,6,FALSE)</f>
        <v>#N/A</v>
      </c>
      <c r="I95" s="236" t="str">
        <f>IFERROR(VLOOKUP($C95,Full_data!$B$8:$J$932,7,FALSE),"")</f>
        <v/>
      </c>
      <c r="J95" s="354" t="str">
        <f>IFERROR(VLOOKUP($C95,Full_data!$B$8:$J$932,8,FALSE),"")</f>
        <v/>
      </c>
      <c r="K95" s="357"/>
      <c r="L95" s="230" t="str">
        <f t="shared" si="4"/>
        <v/>
      </c>
      <c r="M95" s="351"/>
      <c r="N95" s="236" t="str">
        <f t="shared" si="6"/>
        <v/>
      </c>
      <c r="O95" s="236">
        <f>M95*IFERROR(VLOOKUP($C95,Logistics!$A$1:$O$534,10,FALSE),0)</f>
        <v>0</v>
      </c>
      <c r="P95" s="238">
        <f>M95*IFERROR(VLOOKUP($C95,Logistics!$A$1:$O$534,11,FALSE),0)</f>
        <v>0</v>
      </c>
      <c r="AA95" s="247">
        <f t="shared" si="5"/>
        <v>0.4</v>
      </c>
    </row>
    <row r="96" spans="2:27" ht="15" x14ac:dyDescent="0.2">
      <c r="B96" s="225">
        <v>92</v>
      </c>
      <c r="C96" s="259"/>
      <c r="D96" s="227" t="str">
        <f>IFERROR(VLOOKUP($C96,Full_data!$B$8:$J$932,2,FALSE),"")</f>
        <v/>
      </c>
      <c r="E96" s="227" t="str">
        <f>IFERROR(VLOOKUP($C96,Full_data!$B$8:$J$932,3,FALSE),"")</f>
        <v/>
      </c>
      <c r="F96" s="226" t="str">
        <f>IFERROR(VLOOKUP($C96,Full_data!$B$8:$J$932,4,FALSE),"")</f>
        <v/>
      </c>
      <c r="G96" s="226" t="e">
        <f>VLOOKUP($C96,Full_data!$B$8:$J$932,5,FALSE)</f>
        <v>#N/A</v>
      </c>
      <c r="H96" s="226" t="e">
        <f>VLOOKUP($C96,Full_data!$B$8:$J$932,6,FALSE)</f>
        <v>#N/A</v>
      </c>
      <c r="I96" s="237" t="str">
        <f>IFERROR(VLOOKUP($C96,Full_data!$B$8:$J$932,7,FALSE),"")</f>
        <v/>
      </c>
      <c r="J96" s="355" t="str">
        <f>IFERROR(VLOOKUP($C96,Full_data!$B$8:$J$932,8,FALSE),"")</f>
        <v/>
      </c>
      <c r="K96" s="358"/>
      <c r="L96" s="229" t="str">
        <f t="shared" si="4"/>
        <v/>
      </c>
      <c r="M96" s="352"/>
      <c r="N96" s="237" t="str">
        <f t="shared" si="6"/>
        <v/>
      </c>
      <c r="O96" s="237">
        <f>M96*IFERROR(VLOOKUP($C96,Logistics!$A$1:$O$534,10,FALSE),0)</f>
        <v>0</v>
      </c>
      <c r="P96" s="239">
        <f>M96*IFERROR(VLOOKUP($C96,Logistics!$A$1:$O$534,11,FALSE),0)</f>
        <v>0</v>
      </c>
      <c r="AA96" s="247">
        <f t="shared" si="5"/>
        <v>0.4</v>
      </c>
    </row>
    <row r="97" spans="2:27" ht="15" x14ac:dyDescent="0.2">
      <c r="B97" s="223">
        <v>93</v>
      </c>
      <c r="C97" s="258"/>
      <c r="D97" s="228" t="str">
        <f>IFERROR(VLOOKUP($C97,Full_data!$B$8:$J$932,2,FALSE),"")</f>
        <v/>
      </c>
      <c r="E97" s="228" t="str">
        <f>IFERROR(VLOOKUP($C97,Full_data!$B$8:$J$932,3,FALSE),"")</f>
        <v/>
      </c>
      <c r="F97" s="224" t="str">
        <f>IFERROR(VLOOKUP($C97,Full_data!$B$8:$J$932,4,FALSE),"")</f>
        <v/>
      </c>
      <c r="G97" s="224" t="e">
        <f>VLOOKUP($C97,Full_data!$B$8:$J$932,5,FALSE)</f>
        <v>#N/A</v>
      </c>
      <c r="H97" s="224" t="e">
        <f>VLOOKUP($C97,Full_data!$B$8:$J$932,6,FALSE)</f>
        <v>#N/A</v>
      </c>
      <c r="I97" s="236" t="str">
        <f>IFERROR(VLOOKUP($C97,Full_data!$B$8:$J$932,7,FALSE),"")</f>
        <v/>
      </c>
      <c r="J97" s="354" t="str">
        <f>IFERROR(VLOOKUP($C97,Full_data!$B$8:$J$932,8,FALSE),"")</f>
        <v/>
      </c>
      <c r="K97" s="357"/>
      <c r="L97" s="230" t="str">
        <f t="shared" si="4"/>
        <v/>
      </c>
      <c r="M97" s="351"/>
      <c r="N97" s="236" t="str">
        <f t="shared" si="6"/>
        <v/>
      </c>
      <c r="O97" s="236">
        <f>M97*IFERROR(VLOOKUP($C97,Logistics!$A$1:$O$534,10,FALSE),0)</f>
        <v>0</v>
      </c>
      <c r="P97" s="238">
        <f>M97*IFERROR(VLOOKUP($C97,Logistics!$A$1:$O$534,11,FALSE),0)</f>
        <v>0</v>
      </c>
      <c r="AA97" s="247">
        <f t="shared" si="5"/>
        <v>0.4</v>
      </c>
    </row>
    <row r="98" spans="2:27" ht="15" x14ac:dyDescent="0.2">
      <c r="B98" s="225">
        <v>94</v>
      </c>
      <c r="C98" s="259"/>
      <c r="D98" s="227" t="str">
        <f>IFERROR(VLOOKUP($C98,Full_data!$B$8:$J$932,2,FALSE),"")</f>
        <v/>
      </c>
      <c r="E98" s="227" t="str">
        <f>IFERROR(VLOOKUP($C98,Full_data!$B$8:$J$932,3,FALSE),"")</f>
        <v/>
      </c>
      <c r="F98" s="226" t="str">
        <f>IFERROR(VLOOKUP($C98,Full_data!$B$8:$J$932,4,FALSE),"")</f>
        <v/>
      </c>
      <c r="G98" s="226" t="e">
        <f>VLOOKUP($C98,Full_data!$B$8:$J$932,5,FALSE)</f>
        <v>#N/A</v>
      </c>
      <c r="H98" s="226" t="e">
        <f>VLOOKUP($C98,Full_data!$B$8:$J$932,6,FALSE)</f>
        <v>#N/A</v>
      </c>
      <c r="I98" s="237" t="str">
        <f>IFERROR(VLOOKUP($C98,Full_data!$B$8:$J$932,7,FALSE),"")</f>
        <v/>
      </c>
      <c r="J98" s="355" t="str">
        <f>IFERROR(VLOOKUP($C98,Full_data!$B$8:$J$932,8,FALSE),"")</f>
        <v/>
      </c>
      <c r="K98" s="358"/>
      <c r="L98" s="229" t="str">
        <f t="shared" si="4"/>
        <v/>
      </c>
      <c r="M98" s="352"/>
      <c r="N98" s="237" t="str">
        <f t="shared" si="6"/>
        <v/>
      </c>
      <c r="O98" s="237">
        <f>M98*IFERROR(VLOOKUP($C98,Logistics!$A$1:$O$534,10,FALSE),0)</f>
        <v>0</v>
      </c>
      <c r="P98" s="239">
        <f>M98*IFERROR(VLOOKUP($C98,Logistics!$A$1:$O$534,11,FALSE),0)</f>
        <v>0</v>
      </c>
      <c r="AA98" s="247">
        <f t="shared" si="5"/>
        <v>0.4</v>
      </c>
    </row>
    <row r="99" spans="2:27" ht="15" x14ac:dyDescent="0.2">
      <c r="B99" s="223">
        <v>95</v>
      </c>
      <c r="C99" s="258"/>
      <c r="D99" s="228" t="str">
        <f>IFERROR(VLOOKUP($C99,Full_data!$B$8:$J$932,2,FALSE),"")</f>
        <v/>
      </c>
      <c r="E99" s="228" t="str">
        <f>IFERROR(VLOOKUP($C99,Full_data!$B$8:$J$932,3,FALSE),"")</f>
        <v/>
      </c>
      <c r="F99" s="224" t="str">
        <f>IFERROR(VLOOKUP($C99,Full_data!$B$8:$J$932,4,FALSE),"")</f>
        <v/>
      </c>
      <c r="G99" s="224" t="e">
        <f>VLOOKUP($C99,Full_data!$B$8:$J$932,5,FALSE)</f>
        <v>#N/A</v>
      </c>
      <c r="H99" s="224" t="e">
        <f>VLOOKUP($C99,Full_data!$B$8:$J$932,6,FALSE)</f>
        <v>#N/A</v>
      </c>
      <c r="I99" s="236" t="str">
        <f>IFERROR(VLOOKUP($C99,Full_data!$B$8:$J$932,7,FALSE),"")</f>
        <v/>
      </c>
      <c r="J99" s="354" t="str">
        <f>IFERROR(VLOOKUP($C99,Full_data!$B$8:$J$932,8,FALSE),"")</f>
        <v/>
      </c>
      <c r="K99" s="357"/>
      <c r="L99" s="230" t="str">
        <f t="shared" si="4"/>
        <v/>
      </c>
      <c r="M99" s="351"/>
      <c r="N99" s="236" t="str">
        <f t="shared" si="6"/>
        <v/>
      </c>
      <c r="O99" s="236">
        <f>M99*IFERROR(VLOOKUP($C99,Logistics!$A$1:$O$534,10,FALSE),0)</f>
        <v>0</v>
      </c>
      <c r="P99" s="238">
        <f>M99*IFERROR(VLOOKUP($C99,Logistics!$A$1:$O$534,11,FALSE),0)</f>
        <v>0</v>
      </c>
      <c r="AA99" s="247">
        <f t="shared" si="5"/>
        <v>0.4</v>
      </c>
    </row>
    <row r="100" spans="2:27" ht="15" x14ac:dyDescent="0.2">
      <c r="B100" s="225">
        <v>96</v>
      </c>
      <c r="C100" s="259"/>
      <c r="D100" s="227" t="str">
        <f>IFERROR(VLOOKUP($C100,Full_data!$B$8:$J$932,2,FALSE),"")</f>
        <v/>
      </c>
      <c r="E100" s="227" t="str">
        <f>IFERROR(VLOOKUP($C100,Full_data!$B$8:$J$932,3,FALSE),"")</f>
        <v/>
      </c>
      <c r="F100" s="226" t="str">
        <f>IFERROR(VLOOKUP($C100,Full_data!$B$8:$J$932,4,FALSE),"")</f>
        <v/>
      </c>
      <c r="G100" s="226" t="e">
        <f>VLOOKUP($C100,Full_data!$B$8:$J$932,5,FALSE)</f>
        <v>#N/A</v>
      </c>
      <c r="H100" s="226" t="e">
        <f>VLOOKUP($C100,Full_data!$B$8:$J$932,6,FALSE)</f>
        <v>#N/A</v>
      </c>
      <c r="I100" s="237" t="str">
        <f>IFERROR(VLOOKUP($C100,Full_data!$B$8:$J$932,7,FALSE),"")</f>
        <v/>
      </c>
      <c r="J100" s="355" t="str">
        <f>IFERROR(VLOOKUP($C100,Full_data!$B$8:$J$932,8,FALSE),"")</f>
        <v/>
      </c>
      <c r="K100" s="358"/>
      <c r="L100" s="229" t="str">
        <f t="shared" ref="L100:L163" si="7">IFERROR(IF(ISBLANK(K100),I100-I100*J100,I100-I100*K100),"")</f>
        <v/>
      </c>
      <c r="M100" s="352"/>
      <c r="N100" s="237" t="str">
        <f t="shared" si="6"/>
        <v/>
      </c>
      <c r="O100" s="237">
        <f>M100*IFERROR(VLOOKUP($C100,Logistics!$A$1:$O$534,10,FALSE),0)</f>
        <v>0</v>
      </c>
      <c r="P100" s="239">
        <f>M100*IFERROR(VLOOKUP($C100,Logistics!$A$1:$O$534,11,FALSE),0)</f>
        <v>0</v>
      </c>
      <c r="AA100" s="247">
        <f t="shared" si="5"/>
        <v>0.4</v>
      </c>
    </row>
    <row r="101" spans="2:27" ht="15" x14ac:dyDescent="0.2">
      <c r="B101" s="223">
        <v>97</v>
      </c>
      <c r="C101" s="258"/>
      <c r="D101" s="228" t="str">
        <f>IFERROR(VLOOKUP($C101,Full_data!$B$8:$J$932,2,FALSE),"")</f>
        <v/>
      </c>
      <c r="E101" s="228" t="str">
        <f>IFERROR(VLOOKUP($C101,Full_data!$B$8:$J$932,3,FALSE),"")</f>
        <v/>
      </c>
      <c r="F101" s="224" t="str">
        <f>IFERROR(VLOOKUP($C101,Full_data!$B$8:$J$932,4,FALSE),"")</f>
        <v/>
      </c>
      <c r="G101" s="224" t="e">
        <f>VLOOKUP($C101,Full_data!$B$8:$J$932,5,FALSE)</f>
        <v>#N/A</v>
      </c>
      <c r="H101" s="224" t="e">
        <f>VLOOKUP($C101,Full_data!$B$8:$J$932,6,FALSE)</f>
        <v>#N/A</v>
      </c>
      <c r="I101" s="236" t="str">
        <f>IFERROR(VLOOKUP($C101,Full_data!$B$8:$J$932,7,FALSE),"")</f>
        <v/>
      </c>
      <c r="J101" s="354" t="str">
        <f>IFERROR(VLOOKUP($C101,Full_data!$B$8:$J$932,8,FALSE),"")</f>
        <v/>
      </c>
      <c r="K101" s="357"/>
      <c r="L101" s="230" t="str">
        <f t="shared" si="7"/>
        <v/>
      </c>
      <c r="M101" s="351"/>
      <c r="N101" s="236" t="str">
        <f t="shared" si="6"/>
        <v/>
      </c>
      <c r="O101" s="236">
        <f>M101*IFERROR(VLOOKUP($C101,Logistics!$A$1:$O$534,10,FALSE),0)</f>
        <v>0</v>
      </c>
      <c r="P101" s="238">
        <f>M101*IFERROR(VLOOKUP($C101,Logistics!$A$1:$O$534,11,FALSE),0)</f>
        <v>0</v>
      </c>
      <c r="AA101" s="247">
        <f t="shared" si="5"/>
        <v>0.4</v>
      </c>
    </row>
    <row r="102" spans="2:27" ht="15" x14ac:dyDescent="0.2">
      <c r="B102" s="225">
        <v>98</v>
      </c>
      <c r="C102" s="259"/>
      <c r="D102" s="227" t="str">
        <f>IFERROR(VLOOKUP($C102,Full_data!$B$8:$J$932,2,FALSE),"")</f>
        <v/>
      </c>
      <c r="E102" s="227" t="str">
        <f>IFERROR(VLOOKUP($C102,Full_data!$B$8:$J$932,3,FALSE),"")</f>
        <v/>
      </c>
      <c r="F102" s="226" t="str">
        <f>IFERROR(VLOOKUP($C102,Full_data!$B$8:$J$932,4,FALSE),"")</f>
        <v/>
      </c>
      <c r="G102" s="226" t="e">
        <f>VLOOKUP($C102,Full_data!$B$8:$J$932,5,FALSE)</f>
        <v>#N/A</v>
      </c>
      <c r="H102" s="226" t="e">
        <f>VLOOKUP($C102,Full_data!$B$8:$J$932,6,FALSE)</f>
        <v>#N/A</v>
      </c>
      <c r="I102" s="237" t="str">
        <f>IFERROR(VLOOKUP($C102,Full_data!$B$8:$J$932,7,FALSE),"")</f>
        <v/>
      </c>
      <c r="J102" s="355" t="str">
        <f>IFERROR(VLOOKUP($C102,Full_data!$B$8:$J$932,8,FALSE),"")</f>
        <v/>
      </c>
      <c r="K102" s="358"/>
      <c r="L102" s="229" t="str">
        <f t="shared" si="7"/>
        <v/>
      </c>
      <c r="M102" s="352"/>
      <c r="N102" s="237" t="str">
        <f t="shared" si="6"/>
        <v/>
      </c>
      <c r="O102" s="237">
        <f>M102*IFERROR(VLOOKUP($C102,Logistics!$A$1:$O$534,10,FALSE),0)</f>
        <v>0</v>
      </c>
      <c r="P102" s="239">
        <f>M102*IFERROR(VLOOKUP($C102,Logistics!$A$1:$O$534,11,FALSE),0)</f>
        <v>0</v>
      </c>
      <c r="AA102" s="247">
        <f t="shared" si="5"/>
        <v>0.4</v>
      </c>
    </row>
    <row r="103" spans="2:27" ht="15" x14ac:dyDescent="0.2">
      <c r="B103" s="223">
        <v>99</v>
      </c>
      <c r="C103" s="258"/>
      <c r="D103" s="228" t="str">
        <f>IFERROR(VLOOKUP($C103,Full_data!$B$8:$J$932,2,FALSE),"")</f>
        <v/>
      </c>
      <c r="E103" s="228" t="str">
        <f>IFERROR(VLOOKUP($C103,Full_data!$B$8:$J$932,3,FALSE),"")</f>
        <v/>
      </c>
      <c r="F103" s="224" t="str">
        <f>IFERROR(VLOOKUP($C103,Full_data!$B$8:$J$932,4,FALSE),"")</f>
        <v/>
      </c>
      <c r="G103" s="224" t="e">
        <f>VLOOKUP($C103,Full_data!$B$8:$J$932,5,FALSE)</f>
        <v>#N/A</v>
      </c>
      <c r="H103" s="224" t="e">
        <f>VLOOKUP($C103,Full_data!$B$8:$J$932,6,FALSE)</f>
        <v>#N/A</v>
      </c>
      <c r="I103" s="236" t="str">
        <f>IFERROR(VLOOKUP($C103,Full_data!$B$8:$J$932,7,FALSE),"")</f>
        <v/>
      </c>
      <c r="J103" s="354" t="str">
        <f>IFERROR(VLOOKUP($C103,Full_data!$B$8:$J$932,8,FALSE),"")</f>
        <v/>
      </c>
      <c r="K103" s="357"/>
      <c r="L103" s="230" t="str">
        <f t="shared" si="7"/>
        <v/>
      </c>
      <c r="M103" s="351"/>
      <c r="N103" s="236" t="str">
        <f t="shared" si="6"/>
        <v/>
      </c>
      <c r="O103" s="236">
        <f>M103*IFERROR(VLOOKUP($C103,Logistics!$A$1:$O$534,10,FALSE),0)</f>
        <v>0</v>
      </c>
      <c r="P103" s="238">
        <f>M103*IFERROR(VLOOKUP($C103,Logistics!$A$1:$O$534,11,FALSE),0)</f>
        <v>0</v>
      </c>
      <c r="AA103" s="247">
        <f t="shared" si="5"/>
        <v>0.4</v>
      </c>
    </row>
    <row r="104" spans="2:27" ht="15" x14ac:dyDescent="0.2">
      <c r="B104" s="225">
        <v>100</v>
      </c>
      <c r="C104" s="259"/>
      <c r="D104" s="227" t="str">
        <f>IFERROR(VLOOKUP($C104,Full_data!$B$8:$J$932,2,FALSE),"")</f>
        <v/>
      </c>
      <c r="E104" s="227" t="str">
        <f>IFERROR(VLOOKUP($C104,Full_data!$B$8:$J$932,3,FALSE),"")</f>
        <v/>
      </c>
      <c r="F104" s="226" t="str">
        <f>IFERROR(VLOOKUP($C104,Full_data!$B$8:$J$932,4,FALSE),"")</f>
        <v/>
      </c>
      <c r="G104" s="226" t="e">
        <f>VLOOKUP($C104,Full_data!$B$8:$J$932,5,FALSE)</f>
        <v>#N/A</v>
      </c>
      <c r="H104" s="226" t="e">
        <f>VLOOKUP($C104,Full_data!$B$8:$J$932,6,FALSE)</f>
        <v>#N/A</v>
      </c>
      <c r="I104" s="237" t="str">
        <f>IFERROR(VLOOKUP($C104,Full_data!$B$8:$J$932,7,FALSE),"")</f>
        <v/>
      </c>
      <c r="J104" s="355" t="str">
        <f>IFERROR(VLOOKUP($C104,Full_data!$B$8:$J$932,8,FALSE),"")</f>
        <v/>
      </c>
      <c r="K104" s="358"/>
      <c r="L104" s="229" t="str">
        <f t="shared" si="7"/>
        <v/>
      </c>
      <c r="M104" s="352"/>
      <c r="N104" s="237" t="str">
        <f t="shared" si="6"/>
        <v/>
      </c>
      <c r="O104" s="237">
        <f>M104*IFERROR(VLOOKUP($C104,Logistics!$A$1:$O$534,10,FALSE),0)</f>
        <v>0</v>
      </c>
      <c r="P104" s="239">
        <f>M104*IFERROR(VLOOKUP($C104,Logistics!$A$1:$O$534,11,FALSE),0)</f>
        <v>0</v>
      </c>
      <c r="AA104" s="247">
        <f t="shared" si="5"/>
        <v>0.4</v>
      </c>
    </row>
    <row r="105" spans="2:27" ht="15" x14ac:dyDescent="0.2">
      <c r="B105" s="223">
        <v>101</v>
      </c>
      <c r="C105" s="258"/>
      <c r="D105" s="228" t="str">
        <f>IFERROR(VLOOKUP($C105,Full_data!$B$8:$J$932,2,FALSE),"")</f>
        <v/>
      </c>
      <c r="E105" s="228" t="str">
        <f>IFERROR(VLOOKUP($C105,Full_data!$B$8:$J$932,3,FALSE),"")</f>
        <v/>
      </c>
      <c r="F105" s="224" t="str">
        <f>IFERROR(VLOOKUP($C105,Full_data!$B$8:$J$932,4,FALSE),"")</f>
        <v/>
      </c>
      <c r="G105" s="224" t="e">
        <f>VLOOKUP($C105,Full_data!$B$8:$J$932,5,FALSE)</f>
        <v>#N/A</v>
      </c>
      <c r="H105" s="224" t="e">
        <f>VLOOKUP($C105,Full_data!$B$8:$J$932,6,FALSE)</f>
        <v>#N/A</v>
      </c>
      <c r="I105" s="236" t="str">
        <f>IFERROR(VLOOKUP($C105,Full_data!$B$8:$J$932,7,FALSE),"")</f>
        <v/>
      </c>
      <c r="J105" s="354" t="str">
        <f>IFERROR(VLOOKUP($C105,Full_data!$B$8:$J$932,8,FALSE),"")</f>
        <v/>
      </c>
      <c r="K105" s="357"/>
      <c r="L105" s="230" t="str">
        <f t="shared" si="7"/>
        <v/>
      </c>
      <c r="M105" s="351"/>
      <c r="N105" s="236" t="str">
        <f t="shared" si="6"/>
        <v/>
      </c>
      <c r="O105" s="236">
        <f>M105*IFERROR(VLOOKUP($C105,Logistics!$A$1:$O$534,10,FALSE),0)</f>
        <v>0</v>
      </c>
      <c r="P105" s="238">
        <f>M105*IFERROR(VLOOKUP($C105,Logistics!$A$1:$O$534,11,FALSE),0)</f>
        <v>0</v>
      </c>
      <c r="AA105" s="247">
        <f t="shared" si="5"/>
        <v>0.4</v>
      </c>
    </row>
    <row r="106" spans="2:27" ht="15" x14ac:dyDescent="0.2">
      <c r="B106" s="225">
        <v>102</v>
      </c>
      <c r="C106" s="259"/>
      <c r="D106" s="227" t="str">
        <f>IFERROR(VLOOKUP($C106,Full_data!$B$8:$J$932,2,FALSE),"")</f>
        <v/>
      </c>
      <c r="E106" s="227" t="str">
        <f>IFERROR(VLOOKUP($C106,Full_data!$B$8:$J$932,3,FALSE),"")</f>
        <v/>
      </c>
      <c r="F106" s="226" t="str">
        <f>IFERROR(VLOOKUP($C106,Full_data!$B$8:$J$932,4,FALSE),"")</f>
        <v/>
      </c>
      <c r="G106" s="226" t="e">
        <f>VLOOKUP($C106,Full_data!$B$8:$J$932,5,FALSE)</f>
        <v>#N/A</v>
      </c>
      <c r="H106" s="226" t="e">
        <f>VLOOKUP($C106,Full_data!$B$8:$J$932,6,FALSE)</f>
        <v>#N/A</v>
      </c>
      <c r="I106" s="237" t="str">
        <f>IFERROR(VLOOKUP($C106,Full_data!$B$8:$J$932,7,FALSE),"")</f>
        <v/>
      </c>
      <c r="J106" s="355" t="str">
        <f>IFERROR(VLOOKUP($C106,Full_data!$B$8:$J$932,8,FALSE),"")</f>
        <v/>
      </c>
      <c r="K106" s="358"/>
      <c r="L106" s="229" t="str">
        <f t="shared" si="7"/>
        <v/>
      </c>
      <c r="M106" s="352"/>
      <c r="N106" s="237" t="str">
        <f t="shared" si="6"/>
        <v/>
      </c>
      <c r="O106" s="237">
        <f>M106*IFERROR(VLOOKUP($C106,Logistics!$A$1:$O$534,10,FALSE),0)</f>
        <v>0</v>
      </c>
      <c r="P106" s="239">
        <f>M106*IFERROR(VLOOKUP($C106,Logistics!$A$1:$O$534,11,FALSE),0)</f>
        <v>0</v>
      </c>
      <c r="AA106" s="247">
        <f t="shared" si="5"/>
        <v>0.4</v>
      </c>
    </row>
    <row r="107" spans="2:27" ht="15" x14ac:dyDescent="0.2">
      <c r="B107" s="223">
        <v>103</v>
      </c>
      <c r="C107" s="258"/>
      <c r="D107" s="228" t="str">
        <f>IFERROR(VLOOKUP($C107,Full_data!$B$8:$J$932,2,FALSE),"")</f>
        <v/>
      </c>
      <c r="E107" s="228" t="str">
        <f>IFERROR(VLOOKUP($C107,Full_data!$B$8:$J$932,3,FALSE),"")</f>
        <v/>
      </c>
      <c r="F107" s="224" t="str">
        <f>IFERROR(VLOOKUP($C107,Full_data!$B$8:$J$932,4,FALSE),"")</f>
        <v/>
      </c>
      <c r="G107" s="224" t="e">
        <f>VLOOKUP($C107,Full_data!$B$8:$J$932,5,FALSE)</f>
        <v>#N/A</v>
      </c>
      <c r="H107" s="224" t="e">
        <f>VLOOKUP($C107,Full_data!$B$8:$J$932,6,FALSE)</f>
        <v>#N/A</v>
      </c>
      <c r="I107" s="236" t="str">
        <f>IFERROR(VLOOKUP($C107,Full_data!$B$8:$J$932,7,FALSE),"")</f>
        <v/>
      </c>
      <c r="J107" s="354" t="str">
        <f>IFERROR(VLOOKUP($C107,Full_data!$B$8:$J$932,8,FALSE),"")</f>
        <v/>
      </c>
      <c r="K107" s="357"/>
      <c r="L107" s="230" t="str">
        <f t="shared" si="7"/>
        <v/>
      </c>
      <c r="M107" s="351"/>
      <c r="N107" s="236" t="str">
        <f t="shared" si="6"/>
        <v/>
      </c>
      <c r="O107" s="236">
        <f>M107*IFERROR(VLOOKUP($C107,Logistics!$A$1:$O$534,10,FALSE),0)</f>
        <v>0</v>
      </c>
      <c r="P107" s="238">
        <f>M107*IFERROR(VLOOKUP($C107,Logistics!$A$1:$O$534,11,FALSE),0)</f>
        <v>0</v>
      </c>
      <c r="AA107" s="247">
        <f t="shared" si="5"/>
        <v>0.4</v>
      </c>
    </row>
    <row r="108" spans="2:27" ht="15" x14ac:dyDescent="0.2">
      <c r="B108" s="225">
        <v>104</v>
      </c>
      <c r="C108" s="259"/>
      <c r="D108" s="227" t="str">
        <f>IFERROR(VLOOKUP($C108,Full_data!$B$8:$J$932,2,FALSE),"")</f>
        <v/>
      </c>
      <c r="E108" s="227" t="str">
        <f>IFERROR(VLOOKUP($C108,Full_data!$B$8:$J$932,3,FALSE),"")</f>
        <v/>
      </c>
      <c r="F108" s="226" t="str">
        <f>IFERROR(VLOOKUP($C108,Full_data!$B$8:$J$932,4,FALSE),"")</f>
        <v/>
      </c>
      <c r="G108" s="226" t="e">
        <f>VLOOKUP($C108,Full_data!$B$8:$J$932,5,FALSE)</f>
        <v>#N/A</v>
      </c>
      <c r="H108" s="226" t="e">
        <f>VLOOKUP($C108,Full_data!$B$8:$J$932,6,FALSE)</f>
        <v>#N/A</v>
      </c>
      <c r="I108" s="237" t="str">
        <f>IFERROR(VLOOKUP($C108,Full_data!$B$8:$J$932,7,FALSE),"")</f>
        <v/>
      </c>
      <c r="J108" s="355" t="str">
        <f>IFERROR(VLOOKUP($C108,Full_data!$B$8:$J$932,8,FALSE),"")</f>
        <v/>
      </c>
      <c r="K108" s="358"/>
      <c r="L108" s="229" t="str">
        <f t="shared" si="7"/>
        <v/>
      </c>
      <c r="M108" s="352"/>
      <c r="N108" s="237" t="str">
        <f t="shared" si="6"/>
        <v/>
      </c>
      <c r="O108" s="237">
        <f>M108*IFERROR(VLOOKUP($C108,Logistics!$A$1:$O$534,10,FALSE),0)</f>
        <v>0</v>
      </c>
      <c r="P108" s="239">
        <f>M108*IFERROR(VLOOKUP($C108,Logistics!$A$1:$O$534,11,FALSE),0)</f>
        <v>0</v>
      </c>
      <c r="AA108" s="247">
        <f t="shared" si="5"/>
        <v>0.4</v>
      </c>
    </row>
    <row r="109" spans="2:27" ht="15" x14ac:dyDescent="0.2">
      <c r="B109" s="223">
        <v>105</v>
      </c>
      <c r="C109" s="258"/>
      <c r="D109" s="228" t="str">
        <f>IFERROR(VLOOKUP($C109,Full_data!$B$8:$J$932,2,FALSE),"")</f>
        <v/>
      </c>
      <c r="E109" s="228" t="str">
        <f>IFERROR(VLOOKUP($C109,Full_data!$B$8:$J$932,3,FALSE),"")</f>
        <v/>
      </c>
      <c r="F109" s="224" t="str">
        <f>IFERROR(VLOOKUP($C109,Full_data!$B$8:$J$932,4,FALSE),"")</f>
        <v/>
      </c>
      <c r="G109" s="224" t="e">
        <f>VLOOKUP($C109,Full_data!$B$8:$J$932,5,FALSE)</f>
        <v>#N/A</v>
      </c>
      <c r="H109" s="224" t="e">
        <f>VLOOKUP($C109,Full_data!$B$8:$J$932,6,FALSE)</f>
        <v>#N/A</v>
      </c>
      <c r="I109" s="236" t="str">
        <f>IFERROR(VLOOKUP($C109,Full_data!$B$8:$J$932,7,FALSE),"")</f>
        <v/>
      </c>
      <c r="J109" s="354" t="str">
        <f>IFERROR(VLOOKUP($C109,Full_data!$B$8:$J$932,8,FALSE),"")</f>
        <v/>
      </c>
      <c r="K109" s="357"/>
      <c r="L109" s="230" t="str">
        <f t="shared" si="7"/>
        <v/>
      </c>
      <c r="M109" s="351"/>
      <c r="N109" s="236" t="str">
        <f t="shared" si="6"/>
        <v/>
      </c>
      <c r="O109" s="236">
        <f>M109*IFERROR(VLOOKUP($C109,Logistics!$A$1:$O$534,10,FALSE),0)</f>
        <v>0</v>
      </c>
      <c r="P109" s="238">
        <f>M109*IFERROR(VLOOKUP($C109,Logistics!$A$1:$O$534,11,FALSE),0)</f>
        <v>0</v>
      </c>
      <c r="AA109" s="247">
        <f t="shared" si="5"/>
        <v>0.4</v>
      </c>
    </row>
    <row r="110" spans="2:27" ht="15" x14ac:dyDescent="0.2">
      <c r="B110" s="225">
        <v>106</v>
      </c>
      <c r="C110" s="259"/>
      <c r="D110" s="227" t="str">
        <f>IFERROR(VLOOKUP($C110,Full_data!$B$8:$J$932,2,FALSE),"")</f>
        <v/>
      </c>
      <c r="E110" s="227" t="str">
        <f>IFERROR(VLOOKUP($C110,Full_data!$B$8:$J$932,3,FALSE),"")</f>
        <v/>
      </c>
      <c r="F110" s="226" t="str">
        <f>IFERROR(VLOOKUP($C110,Full_data!$B$8:$J$932,4,FALSE),"")</f>
        <v/>
      </c>
      <c r="G110" s="226" t="e">
        <f>VLOOKUP($C110,Full_data!$B$8:$J$932,5,FALSE)</f>
        <v>#N/A</v>
      </c>
      <c r="H110" s="226" t="e">
        <f>VLOOKUP($C110,Full_data!$B$8:$J$932,6,FALSE)</f>
        <v>#N/A</v>
      </c>
      <c r="I110" s="237" t="str">
        <f>IFERROR(VLOOKUP($C110,Full_data!$B$8:$J$932,7,FALSE),"")</f>
        <v/>
      </c>
      <c r="J110" s="355" t="str">
        <f>IFERROR(VLOOKUP($C110,Full_data!$B$8:$J$932,8,FALSE),"")</f>
        <v/>
      </c>
      <c r="K110" s="358"/>
      <c r="L110" s="229" t="str">
        <f t="shared" si="7"/>
        <v/>
      </c>
      <c r="M110" s="352"/>
      <c r="N110" s="237" t="str">
        <f t="shared" si="6"/>
        <v/>
      </c>
      <c r="O110" s="237">
        <f>M110*IFERROR(VLOOKUP($C110,Logistics!$A$1:$O$534,10,FALSE),0)</f>
        <v>0</v>
      </c>
      <c r="P110" s="239">
        <f>M110*IFERROR(VLOOKUP($C110,Logistics!$A$1:$O$534,11,FALSE),0)</f>
        <v>0</v>
      </c>
      <c r="AA110" s="247">
        <f t="shared" si="5"/>
        <v>0.4</v>
      </c>
    </row>
    <row r="111" spans="2:27" ht="15" x14ac:dyDescent="0.2">
      <c r="B111" s="223">
        <v>107</v>
      </c>
      <c r="C111" s="258"/>
      <c r="D111" s="228" t="str">
        <f>IFERROR(VLOOKUP($C111,Full_data!$B$8:$J$932,2,FALSE),"")</f>
        <v/>
      </c>
      <c r="E111" s="228" t="str">
        <f>IFERROR(VLOOKUP($C111,Full_data!$B$8:$J$932,3,FALSE),"")</f>
        <v/>
      </c>
      <c r="F111" s="224" t="str">
        <f>IFERROR(VLOOKUP($C111,Full_data!$B$8:$J$932,4,FALSE),"")</f>
        <v/>
      </c>
      <c r="G111" s="224" t="e">
        <f>VLOOKUP($C111,Full_data!$B$8:$J$932,5,FALSE)</f>
        <v>#N/A</v>
      </c>
      <c r="H111" s="224" t="e">
        <f>VLOOKUP($C111,Full_data!$B$8:$J$932,6,FALSE)</f>
        <v>#N/A</v>
      </c>
      <c r="I111" s="236" t="str">
        <f>IFERROR(VLOOKUP($C111,Full_data!$B$8:$J$932,7,FALSE),"")</f>
        <v/>
      </c>
      <c r="J111" s="354" t="str">
        <f>IFERROR(VLOOKUP($C111,Full_data!$B$8:$J$932,8,FALSE),"")</f>
        <v/>
      </c>
      <c r="K111" s="357"/>
      <c r="L111" s="230" t="str">
        <f t="shared" si="7"/>
        <v/>
      </c>
      <c r="M111" s="351"/>
      <c r="N111" s="236" t="str">
        <f t="shared" si="6"/>
        <v/>
      </c>
      <c r="O111" s="236">
        <f>M111*IFERROR(VLOOKUP($C111,Logistics!$A$1:$O$534,10,FALSE),0)</f>
        <v>0</v>
      </c>
      <c r="P111" s="238">
        <f>M111*IFERROR(VLOOKUP($C111,Logistics!$A$1:$O$534,11,FALSE),0)</f>
        <v>0</v>
      </c>
      <c r="AA111" s="247">
        <f t="shared" si="5"/>
        <v>0.4</v>
      </c>
    </row>
    <row r="112" spans="2:27" ht="15" x14ac:dyDescent="0.2">
      <c r="B112" s="225">
        <v>108</v>
      </c>
      <c r="C112" s="259"/>
      <c r="D112" s="227" t="str">
        <f>IFERROR(VLOOKUP($C112,Full_data!$B$8:$J$932,2,FALSE),"")</f>
        <v/>
      </c>
      <c r="E112" s="227" t="str">
        <f>IFERROR(VLOOKUP($C112,Full_data!$B$8:$J$932,3,FALSE),"")</f>
        <v/>
      </c>
      <c r="F112" s="226" t="str">
        <f>IFERROR(VLOOKUP($C112,Full_data!$B$8:$J$932,4,FALSE),"")</f>
        <v/>
      </c>
      <c r="G112" s="226" t="e">
        <f>VLOOKUP($C112,Full_data!$B$8:$J$932,5,FALSE)</f>
        <v>#N/A</v>
      </c>
      <c r="H112" s="226" t="e">
        <f>VLOOKUP($C112,Full_data!$B$8:$J$932,6,FALSE)</f>
        <v>#N/A</v>
      </c>
      <c r="I112" s="237" t="str">
        <f>IFERROR(VLOOKUP($C112,Full_data!$B$8:$J$932,7,FALSE),"")</f>
        <v/>
      </c>
      <c r="J112" s="355" t="str">
        <f>IFERROR(VLOOKUP($C112,Full_data!$B$8:$J$932,8,FALSE),"")</f>
        <v/>
      </c>
      <c r="K112" s="358"/>
      <c r="L112" s="229" t="str">
        <f t="shared" si="7"/>
        <v/>
      </c>
      <c r="M112" s="352"/>
      <c r="N112" s="237" t="str">
        <f t="shared" si="6"/>
        <v/>
      </c>
      <c r="O112" s="237">
        <f>M112*IFERROR(VLOOKUP($C112,Logistics!$A$1:$O$534,10,FALSE),0)</f>
        <v>0</v>
      </c>
      <c r="P112" s="239">
        <f>M112*IFERROR(VLOOKUP($C112,Logistics!$A$1:$O$534,11,FALSE),0)</f>
        <v>0</v>
      </c>
      <c r="AA112" s="247">
        <f t="shared" si="5"/>
        <v>0.4</v>
      </c>
    </row>
    <row r="113" spans="2:27" ht="15" x14ac:dyDescent="0.2">
      <c r="B113" s="223">
        <v>109</v>
      </c>
      <c r="C113" s="258"/>
      <c r="D113" s="228" t="str">
        <f>IFERROR(VLOOKUP($C113,Full_data!$B$8:$J$932,2,FALSE),"")</f>
        <v/>
      </c>
      <c r="E113" s="228" t="str">
        <f>IFERROR(VLOOKUP($C113,Full_data!$B$8:$J$932,3,FALSE),"")</f>
        <v/>
      </c>
      <c r="F113" s="224" t="str">
        <f>IFERROR(VLOOKUP($C113,Full_data!$B$8:$J$932,4,FALSE),"")</f>
        <v/>
      </c>
      <c r="G113" s="224" t="e">
        <f>VLOOKUP($C113,Full_data!$B$8:$J$932,5,FALSE)</f>
        <v>#N/A</v>
      </c>
      <c r="H113" s="224" t="e">
        <f>VLOOKUP($C113,Full_data!$B$8:$J$932,6,FALSE)</f>
        <v>#N/A</v>
      </c>
      <c r="I113" s="236" t="str">
        <f>IFERROR(VLOOKUP($C113,Full_data!$B$8:$J$932,7,FALSE),"")</f>
        <v/>
      </c>
      <c r="J113" s="354" t="str">
        <f>IFERROR(VLOOKUP($C113,Full_data!$B$8:$J$932,8,FALSE),"")</f>
        <v/>
      </c>
      <c r="K113" s="357"/>
      <c r="L113" s="230" t="str">
        <f t="shared" si="7"/>
        <v/>
      </c>
      <c r="M113" s="351"/>
      <c r="N113" s="236" t="str">
        <f t="shared" si="6"/>
        <v/>
      </c>
      <c r="O113" s="236">
        <f>M113*IFERROR(VLOOKUP($C113,Logistics!$A$1:$O$534,10,FALSE),0)</f>
        <v>0</v>
      </c>
      <c r="P113" s="238">
        <f>M113*IFERROR(VLOOKUP($C113,Logistics!$A$1:$O$534,11,FALSE),0)</f>
        <v>0</v>
      </c>
      <c r="AA113" s="247">
        <f t="shared" si="5"/>
        <v>0.4</v>
      </c>
    </row>
    <row r="114" spans="2:27" ht="15" x14ac:dyDescent="0.2">
      <c r="B114" s="225">
        <v>110</v>
      </c>
      <c r="C114" s="259"/>
      <c r="D114" s="227" t="str">
        <f>IFERROR(VLOOKUP($C114,Full_data!$B$8:$J$932,2,FALSE),"")</f>
        <v/>
      </c>
      <c r="E114" s="227" t="str">
        <f>IFERROR(VLOOKUP($C114,Full_data!$B$8:$J$932,3,FALSE),"")</f>
        <v/>
      </c>
      <c r="F114" s="226" t="str">
        <f>IFERROR(VLOOKUP($C114,Full_data!$B$8:$J$932,4,FALSE),"")</f>
        <v/>
      </c>
      <c r="G114" s="226" t="e">
        <f>VLOOKUP($C114,Full_data!$B$8:$J$932,5,FALSE)</f>
        <v>#N/A</v>
      </c>
      <c r="H114" s="226" t="e">
        <f>VLOOKUP($C114,Full_data!$B$8:$J$932,6,FALSE)</f>
        <v>#N/A</v>
      </c>
      <c r="I114" s="237" t="str">
        <f>IFERROR(VLOOKUP($C114,Full_data!$B$8:$J$932,7,FALSE),"")</f>
        <v/>
      </c>
      <c r="J114" s="355" t="str">
        <f>IFERROR(VLOOKUP($C114,Full_data!$B$8:$J$932,8,FALSE),"")</f>
        <v/>
      </c>
      <c r="K114" s="358"/>
      <c r="L114" s="229" t="str">
        <f t="shared" si="7"/>
        <v/>
      </c>
      <c r="M114" s="352"/>
      <c r="N114" s="237" t="str">
        <f t="shared" si="6"/>
        <v/>
      </c>
      <c r="O114" s="237">
        <f>M114*IFERROR(VLOOKUP($C114,Logistics!$A$1:$O$534,10,FALSE),0)</f>
        <v>0</v>
      </c>
      <c r="P114" s="239">
        <f>M114*IFERROR(VLOOKUP($C114,Logistics!$A$1:$O$534,11,FALSE),0)</f>
        <v>0</v>
      </c>
      <c r="AA114" s="247">
        <f t="shared" si="5"/>
        <v>0.4</v>
      </c>
    </row>
    <row r="115" spans="2:27" ht="15" x14ac:dyDescent="0.2">
      <c r="B115" s="223">
        <v>111</v>
      </c>
      <c r="C115" s="258"/>
      <c r="D115" s="228" t="str">
        <f>IFERROR(VLOOKUP($C115,Full_data!$B$8:$J$932,2,FALSE),"")</f>
        <v/>
      </c>
      <c r="E115" s="228" t="str">
        <f>IFERROR(VLOOKUP($C115,Full_data!$B$8:$J$932,3,FALSE),"")</f>
        <v/>
      </c>
      <c r="F115" s="224" t="str">
        <f>IFERROR(VLOOKUP($C115,Full_data!$B$8:$J$932,4,FALSE),"")</f>
        <v/>
      </c>
      <c r="G115" s="224" t="e">
        <f>VLOOKUP($C115,Full_data!$B$8:$J$932,5,FALSE)</f>
        <v>#N/A</v>
      </c>
      <c r="H115" s="224" t="e">
        <f>VLOOKUP($C115,Full_data!$B$8:$J$932,6,FALSE)</f>
        <v>#N/A</v>
      </c>
      <c r="I115" s="236" t="str">
        <f>IFERROR(VLOOKUP($C115,Full_data!$B$8:$J$932,7,FALSE),"")</f>
        <v/>
      </c>
      <c r="J115" s="354" t="str">
        <f>IFERROR(VLOOKUP($C115,Full_data!$B$8:$J$932,8,FALSE),"")</f>
        <v/>
      </c>
      <c r="K115" s="357"/>
      <c r="L115" s="230" t="str">
        <f t="shared" si="7"/>
        <v/>
      </c>
      <c r="M115" s="351"/>
      <c r="N115" s="236" t="str">
        <f t="shared" si="6"/>
        <v/>
      </c>
      <c r="O115" s="236">
        <f>M115*IFERROR(VLOOKUP($C115,Logistics!$A$1:$O$534,10,FALSE),0)</f>
        <v>0</v>
      </c>
      <c r="P115" s="238">
        <f>M115*IFERROR(VLOOKUP($C115,Logistics!$A$1:$O$534,11,FALSE),0)</f>
        <v>0</v>
      </c>
      <c r="AA115" s="247">
        <f t="shared" si="5"/>
        <v>0.4</v>
      </c>
    </row>
    <row r="116" spans="2:27" ht="15" x14ac:dyDescent="0.2">
      <c r="B116" s="225">
        <v>112</v>
      </c>
      <c r="C116" s="259"/>
      <c r="D116" s="227" t="str">
        <f>IFERROR(VLOOKUP($C116,Full_data!$B$8:$J$932,2,FALSE),"")</f>
        <v/>
      </c>
      <c r="E116" s="227" t="str">
        <f>IFERROR(VLOOKUP($C116,Full_data!$B$8:$J$932,3,FALSE),"")</f>
        <v/>
      </c>
      <c r="F116" s="226" t="str">
        <f>IFERROR(VLOOKUP($C116,Full_data!$B$8:$J$932,4,FALSE),"")</f>
        <v/>
      </c>
      <c r="G116" s="226" t="e">
        <f>VLOOKUP($C116,Full_data!$B$8:$J$932,5,FALSE)</f>
        <v>#N/A</v>
      </c>
      <c r="H116" s="226" t="e">
        <f>VLOOKUP($C116,Full_data!$B$8:$J$932,6,FALSE)</f>
        <v>#N/A</v>
      </c>
      <c r="I116" s="237" t="str">
        <f>IFERROR(VLOOKUP($C116,Full_data!$B$8:$J$932,7,FALSE),"")</f>
        <v/>
      </c>
      <c r="J116" s="355" t="str">
        <f>IFERROR(VLOOKUP($C116,Full_data!$B$8:$J$932,8,FALSE),"")</f>
        <v/>
      </c>
      <c r="K116" s="358"/>
      <c r="L116" s="229" t="str">
        <f t="shared" si="7"/>
        <v/>
      </c>
      <c r="M116" s="352"/>
      <c r="N116" s="237" t="str">
        <f t="shared" si="6"/>
        <v/>
      </c>
      <c r="O116" s="237">
        <f>M116*IFERROR(VLOOKUP($C116,Logistics!$A$1:$O$534,10,FALSE),0)</f>
        <v>0</v>
      </c>
      <c r="P116" s="239">
        <f>M116*IFERROR(VLOOKUP($C116,Logistics!$A$1:$O$534,11,FALSE),0)</f>
        <v>0</v>
      </c>
      <c r="AA116" s="247">
        <f t="shared" si="5"/>
        <v>0.4</v>
      </c>
    </row>
    <row r="117" spans="2:27" ht="15" x14ac:dyDescent="0.2">
      <c r="B117" s="223">
        <v>113</v>
      </c>
      <c r="C117" s="258"/>
      <c r="D117" s="228" t="str">
        <f>IFERROR(VLOOKUP($C117,Full_data!$B$8:$J$932,2,FALSE),"")</f>
        <v/>
      </c>
      <c r="E117" s="228" t="str">
        <f>IFERROR(VLOOKUP($C117,Full_data!$B$8:$J$932,3,FALSE),"")</f>
        <v/>
      </c>
      <c r="F117" s="224" t="str">
        <f>IFERROR(VLOOKUP($C117,Full_data!$B$8:$J$932,4,FALSE),"")</f>
        <v/>
      </c>
      <c r="G117" s="224" t="e">
        <f>VLOOKUP($C117,Full_data!$B$8:$J$932,5,FALSE)</f>
        <v>#N/A</v>
      </c>
      <c r="H117" s="224" t="e">
        <f>VLOOKUP($C117,Full_data!$B$8:$J$932,6,FALSE)</f>
        <v>#N/A</v>
      </c>
      <c r="I117" s="236" t="str">
        <f>IFERROR(VLOOKUP($C117,Full_data!$B$8:$J$932,7,FALSE),"")</f>
        <v/>
      </c>
      <c r="J117" s="354" t="str">
        <f>IFERROR(VLOOKUP($C117,Full_data!$B$8:$J$932,8,FALSE),"")</f>
        <v/>
      </c>
      <c r="K117" s="357"/>
      <c r="L117" s="230" t="str">
        <f t="shared" si="7"/>
        <v/>
      </c>
      <c r="M117" s="351"/>
      <c r="N117" s="236" t="str">
        <f t="shared" si="6"/>
        <v/>
      </c>
      <c r="O117" s="236">
        <f>M117*IFERROR(VLOOKUP($C117,Logistics!$A$1:$O$534,10,FALSE),0)</f>
        <v>0</v>
      </c>
      <c r="P117" s="238">
        <f>M117*IFERROR(VLOOKUP($C117,Logistics!$A$1:$O$534,11,FALSE),0)</f>
        <v>0</v>
      </c>
      <c r="AA117" s="247">
        <f t="shared" si="5"/>
        <v>0.4</v>
      </c>
    </row>
    <row r="118" spans="2:27" ht="15" x14ac:dyDescent="0.2">
      <c r="B118" s="225">
        <v>114</v>
      </c>
      <c r="C118" s="259"/>
      <c r="D118" s="227" t="str">
        <f>IFERROR(VLOOKUP($C118,Full_data!$B$8:$J$932,2,FALSE),"")</f>
        <v/>
      </c>
      <c r="E118" s="227" t="str">
        <f>IFERROR(VLOOKUP($C118,Full_data!$B$8:$J$932,3,FALSE),"")</f>
        <v/>
      </c>
      <c r="F118" s="226" t="str">
        <f>IFERROR(VLOOKUP($C118,Full_data!$B$8:$J$932,4,FALSE),"")</f>
        <v/>
      </c>
      <c r="G118" s="226" t="e">
        <f>VLOOKUP($C118,Full_data!$B$8:$J$932,5,FALSE)</f>
        <v>#N/A</v>
      </c>
      <c r="H118" s="226" t="e">
        <f>VLOOKUP($C118,Full_data!$B$8:$J$932,6,FALSE)</f>
        <v>#N/A</v>
      </c>
      <c r="I118" s="237" t="str">
        <f>IFERROR(VLOOKUP($C118,Full_data!$B$8:$J$932,7,FALSE),"")</f>
        <v/>
      </c>
      <c r="J118" s="355" t="str">
        <f>IFERROR(VLOOKUP($C118,Full_data!$B$8:$J$932,8,FALSE),"")</f>
        <v/>
      </c>
      <c r="K118" s="358"/>
      <c r="L118" s="229" t="str">
        <f t="shared" si="7"/>
        <v/>
      </c>
      <c r="M118" s="352"/>
      <c r="N118" s="237" t="str">
        <f t="shared" si="6"/>
        <v/>
      </c>
      <c r="O118" s="237">
        <f>M118*IFERROR(VLOOKUP($C118,Logistics!$A$1:$O$534,10,FALSE),0)</f>
        <v>0</v>
      </c>
      <c r="P118" s="239">
        <f>M118*IFERROR(VLOOKUP($C118,Logistics!$A$1:$O$534,11,FALSE),0)</f>
        <v>0</v>
      </c>
      <c r="AA118" s="247">
        <f t="shared" si="5"/>
        <v>0.4</v>
      </c>
    </row>
    <row r="119" spans="2:27" ht="15" x14ac:dyDescent="0.2">
      <c r="B119" s="223">
        <v>115</v>
      </c>
      <c r="C119" s="258"/>
      <c r="D119" s="228" t="str">
        <f>IFERROR(VLOOKUP($C119,Full_data!$B$8:$J$932,2,FALSE),"")</f>
        <v/>
      </c>
      <c r="E119" s="228" t="str">
        <f>IFERROR(VLOOKUP($C119,Full_data!$B$8:$J$932,3,FALSE),"")</f>
        <v/>
      </c>
      <c r="F119" s="224" t="str">
        <f>IFERROR(VLOOKUP($C119,Full_data!$B$8:$J$932,4,FALSE),"")</f>
        <v/>
      </c>
      <c r="G119" s="224" t="e">
        <f>VLOOKUP($C119,Full_data!$B$8:$J$932,5,FALSE)</f>
        <v>#N/A</v>
      </c>
      <c r="H119" s="224" t="e">
        <f>VLOOKUP($C119,Full_data!$B$8:$J$932,6,FALSE)</f>
        <v>#N/A</v>
      </c>
      <c r="I119" s="236" t="str">
        <f>IFERROR(VLOOKUP($C119,Full_data!$B$8:$J$932,7,FALSE),"")</f>
        <v/>
      </c>
      <c r="J119" s="354" t="str">
        <f>IFERROR(VLOOKUP($C119,Full_data!$B$8:$J$932,8,FALSE),"")</f>
        <v/>
      </c>
      <c r="K119" s="357"/>
      <c r="L119" s="230" t="str">
        <f t="shared" si="7"/>
        <v/>
      </c>
      <c r="M119" s="351"/>
      <c r="N119" s="236" t="str">
        <f t="shared" si="6"/>
        <v/>
      </c>
      <c r="O119" s="236">
        <f>M119*IFERROR(VLOOKUP($C119,Logistics!$A$1:$O$534,10,FALSE),0)</f>
        <v>0</v>
      </c>
      <c r="P119" s="238">
        <f>M119*IFERROR(VLOOKUP($C119,Logistics!$A$1:$O$534,11,FALSE),0)</f>
        <v>0</v>
      </c>
      <c r="AA119" s="247">
        <f t="shared" si="5"/>
        <v>0.4</v>
      </c>
    </row>
    <row r="120" spans="2:27" ht="15" x14ac:dyDescent="0.2">
      <c r="B120" s="225">
        <v>116</v>
      </c>
      <c r="C120" s="259"/>
      <c r="D120" s="227" t="str">
        <f>IFERROR(VLOOKUP($C120,Full_data!$B$8:$J$932,2,FALSE),"")</f>
        <v/>
      </c>
      <c r="E120" s="227" t="str">
        <f>IFERROR(VLOOKUP($C120,Full_data!$B$8:$J$932,3,FALSE),"")</f>
        <v/>
      </c>
      <c r="F120" s="226" t="str">
        <f>IFERROR(VLOOKUP($C120,Full_data!$B$8:$J$932,4,FALSE),"")</f>
        <v/>
      </c>
      <c r="G120" s="226" t="e">
        <f>VLOOKUP($C120,Full_data!$B$8:$J$932,5,FALSE)</f>
        <v>#N/A</v>
      </c>
      <c r="H120" s="226" t="e">
        <f>VLOOKUP($C120,Full_data!$B$8:$J$932,6,FALSE)</f>
        <v>#N/A</v>
      </c>
      <c r="I120" s="237" t="str">
        <f>IFERROR(VLOOKUP($C120,Full_data!$B$8:$J$932,7,FALSE),"")</f>
        <v/>
      </c>
      <c r="J120" s="355" t="str">
        <f>IFERROR(VLOOKUP($C120,Full_data!$B$8:$J$932,8,FALSE),"")</f>
        <v/>
      </c>
      <c r="K120" s="358"/>
      <c r="L120" s="229" t="str">
        <f t="shared" si="7"/>
        <v/>
      </c>
      <c r="M120" s="352"/>
      <c r="N120" s="237" t="str">
        <f t="shared" si="6"/>
        <v/>
      </c>
      <c r="O120" s="237">
        <f>M120*IFERROR(VLOOKUP($C120,Logistics!$A$1:$O$534,10,FALSE),0)</f>
        <v>0</v>
      </c>
      <c r="P120" s="239">
        <f>M120*IFERROR(VLOOKUP($C120,Logistics!$A$1:$O$534,11,FALSE),0)</f>
        <v>0</v>
      </c>
      <c r="AA120" s="247">
        <f t="shared" si="5"/>
        <v>0.4</v>
      </c>
    </row>
    <row r="121" spans="2:27" ht="15" x14ac:dyDescent="0.2">
      <c r="B121" s="223">
        <v>117</v>
      </c>
      <c r="C121" s="258"/>
      <c r="D121" s="228" t="str">
        <f>IFERROR(VLOOKUP($C121,Full_data!$B$8:$J$932,2,FALSE),"")</f>
        <v/>
      </c>
      <c r="E121" s="228" t="str">
        <f>IFERROR(VLOOKUP($C121,Full_data!$B$8:$J$932,3,FALSE),"")</f>
        <v/>
      </c>
      <c r="F121" s="224" t="str">
        <f>IFERROR(VLOOKUP($C121,Full_data!$B$8:$J$932,4,FALSE),"")</f>
        <v/>
      </c>
      <c r="G121" s="224" t="e">
        <f>VLOOKUP($C121,Full_data!$B$8:$J$932,5,FALSE)</f>
        <v>#N/A</v>
      </c>
      <c r="H121" s="224" t="e">
        <f>VLOOKUP($C121,Full_data!$B$8:$J$932,6,FALSE)</f>
        <v>#N/A</v>
      </c>
      <c r="I121" s="236" t="str">
        <f>IFERROR(VLOOKUP($C121,Full_data!$B$8:$J$932,7,FALSE),"")</f>
        <v/>
      </c>
      <c r="J121" s="354" t="str">
        <f>IFERROR(VLOOKUP($C121,Full_data!$B$8:$J$932,8,FALSE),"")</f>
        <v/>
      </c>
      <c r="K121" s="357"/>
      <c r="L121" s="230" t="str">
        <f t="shared" si="7"/>
        <v/>
      </c>
      <c r="M121" s="351"/>
      <c r="N121" s="236" t="str">
        <f t="shared" si="6"/>
        <v/>
      </c>
      <c r="O121" s="236">
        <f>M121*IFERROR(VLOOKUP($C121,Logistics!$A$1:$O$534,10,FALSE),0)</f>
        <v>0</v>
      </c>
      <c r="P121" s="238">
        <f>M121*IFERROR(VLOOKUP($C121,Logistics!$A$1:$O$534,11,FALSE),0)</f>
        <v>0</v>
      </c>
      <c r="AA121" s="247">
        <f t="shared" si="5"/>
        <v>0.4</v>
      </c>
    </row>
    <row r="122" spans="2:27" ht="15" x14ac:dyDescent="0.2">
      <c r="B122" s="225">
        <v>118</v>
      </c>
      <c r="C122" s="259"/>
      <c r="D122" s="227" t="str">
        <f>IFERROR(VLOOKUP($C122,Full_data!$B$8:$J$932,2,FALSE),"")</f>
        <v/>
      </c>
      <c r="E122" s="227" t="str">
        <f>IFERROR(VLOOKUP($C122,Full_data!$B$8:$J$932,3,FALSE),"")</f>
        <v/>
      </c>
      <c r="F122" s="226" t="str">
        <f>IFERROR(VLOOKUP($C122,Full_data!$B$8:$J$932,4,FALSE),"")</f>
        <v/>
      </c>
      <c r="G122" s="226" t="e">
        <f>VLOOKUP($C122,Full_data!$B$8:$J$932,5,FALSE)</f>
        <v>#N/A</v>
      </c>
      <c r="H122" s="226" t="e">
        <f>VLOOKUP($C122,Full_data!$B$8:$J$932,6,FALSE)</f>
        <v>#N/A</v>
      </c>
      <c r="I122" s="237" t="str">
        <f>IFERROR(VLOOKUP($C122,Full_data!$B$8:$J$932,7,FALSE),"")</f>
        <v/>
      </c>
      <c r="J122" s="355" t="str">
        <f>IFERROR(VLOOKUP($C122,Full_data!$B$8:$J$932,8,FALSE),"")</f>
        <v/>
      </c>
      <c r="K122" s="358"/>
      <c r="L122" s="229" t="str">
        <f t="shared" si="7"/>
        <v/>
      </c>
      <c r="M122" s="352"/>
      <c r="N122" s="237" t="str">
        <f t="shared" si="6"/>
        <v/>
      </c>
      <c r="O122" s="237">
        <f>M122*IFERROR(VLOOKUP($C122,Logistics!$A$1:$O$534,10,FALSE),0)</f>
        <v>0</v>
      </c>
      <c r="P122" s="239">
        <f>M122*IFERROR(VLOOKUP($C122,Logistics!$A$1:$O$534,11,FALSE),0)</f>
        <v>0</v>
      </c>
      <c r="AA122" s="247">
        <f t="shared" si="5"/>
        <v>0.4</v>
      </c>
    </row>
    <row r="123" spans="2:27" ht="15" x14ac:dyDescent="0.2">
      <c r="B123" s="223">
        <v>119</v>
      </c>
      <c r="C123" s="258"/>
      <c r="D123" s="228" t="str">
        <f>IFERROR(VLOOKUP($C123,Full_data!$B$8:$J$932,2,FALSE),"")</f>
        <v/>
      </c>
      <c r="E123" s="228" t="str">
        <f>IFERROR(VLOOKUP($C123,Full_data!$B$8:$J$932,3,FALSE),"")</f>
        <v/>
      </c>
      <c r="F123" s="224" t="str">
        <f>IFERROR(VLOOKUP($C123,Full_data!$B$8:$J$932,4,FALSE),"")</f>
        <v/>
      </c>
      <c r="G123" s="224" t="e">
        <f>VLOOKUP($C123,Full_data!$B$8:$J$932,5,FALSE)</f>
        <v>#N/A</v>
      </c>
      <c r="H123" s="224" t="e">
        <f>VLOOKUP($C123,Full_data!$B$8:$J$932,6,FALSE)</f>
        <v>#N/A</v>
      </c>
      <c r="I123" s="236" t="str">
        <f>IFERROR(VLOOKUP($C123,Full_data!$B$8:$J$932,7,FALSE),"")</f>
        <v/>
      </c>
      <c r="J123" s="354" t="str">
        <f>IFERROR(VLOOKUP($C123,Full_data!$B$8:$J$932,8,FALSE),"")</f>
        <v/>
      </c>
      <c r="K123" s="357"/>
      <c r="L123" s="230" t="str">
        <f t="shared" si="7"/>
        <v/>
      </c>
      <c r="M123" s="351"/>
      <c r="N123" s="236" t="str">
        <f t="shared" si="6"/>
        <v/>
      </c>
      <c r="O123" s="236">
        <f>M123*IFERROR(VLOOKUP($C123,Logistics!$A$1:$O$534,10,FALSE),0)</f>
        <v>0</v>
      </c>
      <c r="P123" s="238">
        <f>M123*IFERROR(VLOOKUP($C123,Logistics!$A$1:$O$534,11,FALSE),0)</f>
        <v>0</v>
      </c>
      <c r="AA123" s="247">
        <f t="shared" si="5"/>
        <v>0.4</v>
      </c>
    </row>
    <row r="124" spans="2:27" ht="15" x14ac:dyDescent="0.2">
      <c r="B124" s="225">
        <v>120</v>
      </c>
      <c r="C124" s="259"/>
      <c r="D124" s="227" t="str">
        <f>IFERROR(VLOOKUP($C124,Full_data!$B$8:$J$932,2,FALSE),"")</f>
        <v/>
      </c>
      <c r="E124" s="227" t="str">
        <f>IFERROR(VLOOKUP($C124,Full_data!$B$8:$J$932,3,FALSE),"")</f>
        <v/>
      </c>
      <c r="F124" s="226" t="str">
        <f>IFERROR(VLOOKUP($C124,Full_data!$B$8:$J$932,4,FALSE),"")</f>
        <v/>
      </c>
      <c r="G124" s="226" t="e">
        <f>VLOOKUP($C124,Full_data!$B$8:$J$932,5,FALSE)</f>
        <v>#N/A</v>
      </c>
      <c r="H124" s="226" t="e">
        <f>VLOOKUP($C124,Full_data!$B$8:$J$932,6,FALSE)</f>
        <v>#N/A</v>
      </c>
      <c r="I124" s="237" t="str">
        <f>IFERROR(VLOOKUP($C124,Full_data!$B$8:$J$932,7,FALSE),"")</f>
        <v/>
      </c>
      <c r="J124" s="355" t="str">
        <f>IFERROR(VLOOKUP($C124,Full_data!$B$8:$J$932,8,FALSE),"")</f>
        <v/>
      </c>
      <c r="K124" s="358"/>
      <c r="L124" s="229" t="str">
        <f t="shared" si="7"/>
        <v/>
      </c>
      <c r="M124" s="352"/>
      <c r="N124" s="237" t="str">
        <f t="shared" si="6"/>
        <v/>
      </c>
      <c r="O124" s="237">
        <f>M124*IFERROR(VLOOKUP($C124,Logistics!$A$1:$O$534,10,FALSE),0)</f>
        <v>0</v>
      </c>
      <c r="P124" s="239">
        <f>M124*IFERROR(VLOOKUP($C124,Logistics!$A$1:$O$534,11,FALSE),0)</f>
        <v>0</v>
      </c>
      <c r="AA124" s="247">
        <f t="shared" si="5"/>
        <v>0.4</v>
      </c>
    </row>
    <row r="125" spans="2:27" ht="15" x14ac:dyDescent="0.2">
      <c r="B125" s="223">
        <v>121</v>
      </c>
      <c r="C125" s="258"/>
      <c r="D125" s="228" t="str">
        <f>IFERROR(VLOOKUP($C125,Full_data!$B$8:$J$932,2,FALSE),"")</f>
        <v/>
      </c>
      <c r="E125" s="228" t="str">
        <f>IFERROR(VLOOKUP($C125,Full_data!$B$8:$J$932,3,FALSE),"")</f>
        <v/>
      </c>
      <c r="F125" s="224" t="str">
        <f>IFERROR(VLOOKUP($C125,Full_data!$B$8:$J$932,4,FALSE),"")</f>
        <v/>
      </c>
      <c r="G125" s="224" t="e">
        <f>VLOOKUP($C125,Full_data!$B$8:$J$932,5,FALSE)</f>
        <v>#N/A</v>
      </c>
      <c r="H125" s="224" t="e">
        <f>VLOOKUP($C125,Full_data!$B$8:$J$932,6,FALSE)</f>
        <v>#N/A</v>
      </c>
      <c r="I125" s="236" t="str">
        <f>IFERROR(VLOOKUP($C125,Full_data!$B$8:$J$932,7,FALSE),"")</f>
        <v/>
      </c>
      <c r="J125" s="354" t="str">
        <f>IFERROR(VLOOKUP($C125,Full_data!$B$8:$J$932,8,FALSE),"")</f>
        <v/>
      </c>
      <c r="K125" s="357"/>
      <c r="L125" s="230" t="str">
        <f t="shared" si="7"/>
        <v/>
      </c>
      <c r="M125" s="351"/>
      <c r="N125" s="236" t="str">
        <f t="shared" si="6"/>
        <v/>
      </c>
      <c r="O125" s="236">
        <f>M125*IFERROR(VLOOKUP($C125,Logistics!$A$1:$O$534,10,FALSE),0)</f>
        <v>0</v>
      </c>
      <c r="P125" s="238">
        <f>M125*IFERROR(VLOOKUP($C125,Logistics!$A$1:$O$534,11,FALSE),0)</f>
        <v>0</v>
      </c>
      <c r="AA125" s="247">
        <f t="shared" si="5"/>
        <v>0.4</v>
      </c>
    </row>
    <row r="126" spans="2:27" ht="15" x14ac:dyDescent="0.2">
      <c r="B126" s="225">
        <v>122</v>
      </c>
      <c r="C126" s="259"/>
      <c r="D126" s="227" t="str">
        <f>IFERROR(VLOOKUP($C126,Full_data!$B$8:$J$932,2,FALSE),"")</f>
        <v/>
      </c>
      <c r="E126" s="227" t="str">
        <f>IFERROR(VLOOKUP($C126,Full_data!$B$8:$J$932,3,FALSE),"")</f>
        <v/>
      </c>
      <c r="F126" s="226" t="str">
        <f>IFERROR(VLOOKUP($C126,Full_data!$B$8:$J$932,4,FALSE),"")</f>
        <v/>
      </c>
      <c r="G126" s="226" t="e">
        <f>VLOOKUP($C126,Full_data!$B$8:$J$932,5,FALSE)</f>
        <v>#N/A</v>
      </c>
      <c r="H126" s="226" t="e">
        <f>VLOOKUP($C126,Full_data!$B$8:$J$932,6,FALSE)</f>
        <v>#N/A</v>
      </c>
      <c r="I126" s="237" t="str">
        <f>IFERROR(VLOOKUP($C126,Full_data!$B$8:$J$932,7,FALSE),"")</f>
        <v/>
      </c>
      <c r="J126" s="355" t="str">
        <f>IFERROR(VLOOKUP($C126,Full_data!$B$8:$J$932,8,FALSE),"")</f>
        <v/>
      </c>
      <c r="K126" s="358"/>
      <c r="L126" s="229" t="str">
        <f t="shared" si="7"/>
        <v/>
      </c>
      <c r="M126" s="352"/>
      <c r="N126" s="237" t="str">
        <f t="shared" si="6"/>
        <v/>
      </c>
      <c r="O126" s="237">
        <f>M126*IFERROR(VLOOKUP($C126,Logistics!$A$1:$O$534,10,FALSE),0)</f>
        <v>0</v>
      </c>
      <c r="P126" s="239">
        <f>M126*IFERROR(VLOOKUP($C126,Logistics!$A$1:$O$534,11,FALSE),0)</f>
        <v>0</v>
      </c>
      <c r="AA126" s="247">
        <f t="shared" si="5"/>
        <v>0.4</v>
      </c>
    </row>
    <row r="127" spans="2:27" ht="15" x14ac:dyDescent="0.2">
      <c r="B127" s="223">
        <v>123</v>
      </c>
      <c r="C127" s="258"/>
      <c r="D127" s="228" t="str">
        <f>IFERROR(VLOOKUP($C127,Full_data!$B$8:$J$932,2,FALSE),"")</f>
        <v/>
      </c>
      <c r="E127" s="228" t="str">
        <f>IFERROR(VLOOKUP($C127,Full_data!$B$8:$J$932,3,FALSE),"")</f>
        <v/>
      </c>
      <c r="F127" s="224" t="str">
        <f>IFERROR(VLOOKUP($C127,Full_data!$B$8:$J$932,4,FALSE),"")</f>
        <v/>
      </c>
      <c r="G127" s="224" t="e">
        <f>VLOOKUP($C127,Full_data!$B$8:$J$932,5,FALSE)</f>
        <v>#N/A</v>
      </c>
      <c r="H127" s="224" t="e">
        <f>VLOOKUP($C127,Full_data!$B$8:$J$932,6,FALSE)</f>
        <v>#N/A</v>
      </c>
      <c r="I127" s="236" t="str">
        <f>IFERROR(VLOOKUP($C127,Full_data!$B$8:$J$932,7,FALSE),"")</f>
        <v/>
      </c>
      <c r="J127" s="354" t="str">
        <f>IFERROR(VLOOKUP($C127,Full_data!$B$8:$J$932,8,FALSE),"")</f>
        <v/>
      </c>
      <c r="K127" s="357"/>
      <c r="L127" s="230" t="str">
        <f t="shared" si="7"/>
        <v/>
      </c>
      <c r="M127" s="351"/>
      <c r="N127" s="236" t="str">
        <f t="shared" si="6"/>
        <v/>
      </c>
      <c r="O127" s="236">
        <f>M127*IFERROR(VLOOKUP($C127,Logistics!$A$1:$O$534,10,FALSE),0)</f>
        <v>0</v>
      </c>
      <c r="P127" s="238">
        <f>M127*IFERROR(VLOOKUP($C127,Logistics!$A$1:$O$534,11,FALSE),0)</f>
        <v>0</v>
      </c>
      <c r="AA127" s="247">
        <f t="shared" si="5"/>
        <v>0.4</v>
      </c>
    </row>
    <row r="128" spans="2:27" ht="15" x14ac:dyDescent="0.2">
      <c r="B128" s="225">
        <v>124</v>
      </c>
      <c r="C128" s="259"/>
      <c r="D128" s="227" t="str">
        <f>IFERROR(VLOOKUP($C128,Full_data!$B$8:$J$932,2,FALSE),"")</f>
        <v/>
      </c>
      <c r="E128" s="227" t="str">
        <f>IFERROR(VLOOKUP($C128,Full_data!$B$8:$J$932,3,FALSE),"")</f>
        <v/>
      </c>
      <c r="F128" s="226" t="str">
        <f>IFERROR(VLOOKUP($C128,Full_data!$B$8:$J$932,4,FALSE),"")</f>
        <v/>
      </c>
      <c r="G128" s="226" t="e">
        <f>VLOOKUP($C128,Full_data!$B$8:$J$932,5,FALSE)</f>
        <v>#N/A</v>
      </c>
      <c r="H128" s="226" t="e">
        <f>VLOOKUP($C128,Full_data!$B$8:$J$932,6,FALSE)</f>
        <v>#N/A</v>
      </c>
      <c r="I128" s="237" t="str">
        <f>IFERROR(VLOOKUP($C128,Full_data!$B$8:$J$932,7,FALSE),"")</f>
        <v/>
      </c>
      <c r="J128" s="355" t="str">
        <f>IFERROR(VLOOKUP($C128,Full_data!$B$8:$J$932,8,FALSE),"")</f>
        <v/>
      </c>
      <c r="K128" s="358"/>
      <c r="L128" s="229" t="str">
        <f t="shared" si="7"/>
        <v/>
      </c>
      <c r="M128" s="352"/>
      <c r="N128" s="237" t="str">
        <f t="shared" si="6"/>
        <v/>
      </c>
      <c r="O128" s="237">
        <f>M128*IFERROR(VLOOKUP($C128,Logistics!$A$1:$O$534,10,FALSE),0)</f>
        <v>0</v>
      </c>
      <c r="P128" s="239">
        <f>M128*IFERROR(VLOOKUP($C128,Logistics!$A$1:$O$534,11,FALSE),0)</f>
        <v>0</v>
      </c>
      <c r="AA128" s="247">
        <f t="shared" si="5"/>
        <v>0.4</v>
      </c>
    </row>
    <row r="129" spans="2:27" ht="15" x14ac:dyDescent="0.2">
      <c r="B129" s="223">
        <v>125</v>
      </c>
      <c r="C129" s="258"/>
      <c r="D129" s="228" t="str">
        <f>IFERROR(VLOOKUP($C129,Full_data!$B$8:$J$932,2,FALSE),"")</f>
        <v/>
      </c>
      <c r="E129" s="228" t="str">
        <f>IFERROR(VLOOKUP($C129,Full_data!$B$8:$J$932,3,FALSE),"")</f>
        <v/>
      </c>
      <c r="F129" s="224" t="str">
        <f>IFERROR(VLOOKUP($C129,Full_data!$B$8:$J$932,4,FALSE),"")</f>
        <v/>
      </c>
      <c r="G129" s="224" t="e">
        <f>VLOOKUP($C129,Full_data!$B$8:$J$932,5,FALSE)</f>
        <v>#N/A</v>
      </c>
      <c r="H129" s="224" t="e">
        <f>VLOOKUP($C129,Full_data!$B$8:$J$932,6,FALSE)</f>
        <v>#N/A</v>
      </c>
      <c r="I129" s="236" t="str">
        <f>IFERROR(VLOOKUP($C129,Full_data!$B$8:$J$932,7,FALSE),"")</f>
        <v/>
      </c>
      <c r="J129" s="354" t="str">
        <f>IFERROR(VLOOKUP($C129,Full_data!$B$8:$J$932,8,FALSE),"")</f>
        <v/>
      </c>
      <c r="K129" s="357"/>
      <c r="L129" s="230" t="str">
        <f t="shared" si="7"/>
        <v/>
      </c>
      <c r="M129" s="351"/>
      <c r="N129" s="236" t="str">
        <f t="shared" si="6"/>
        <v/>
      </c>
      <c r="O129" s="236">
        <f>M129*IFERROR(VLOOKUP($C129,Logistics!$A$1:$O$534,10,FALSE),0)</f>
        <v>0</v>
      </c>
      <c r="P129" s="238">
        <f>M129*IFERROR(VLOOKUP($C129,Logistics!$A$1:$O$534,11,FALSE),0)</f>
        <v>0</v>
      </c>
      <c r="AA129" s="247">
        <f t="shared" si="5"/>
        <v>0.4</v>
      </c>
    </row>
    <row r="130" spans="2:27" ht="15" x14ac:dyDescent="0.2">
      <c r="B130" s="225">
        <v>126</v>
      </c>
      <c r="C130" s="259"/>
      <c r="D130" s="227" t="str">
        <f>IFERROR(VLOOKUP($C130,Full_data!$B$8:$J$932,2,FALSE),"")</f>
        <v/>
      </c>
      <c r="E130" s="227" t="str">
        <f>IFERROR(VLOOKUP($C130,Full_data!$B$8:$J$932,3,FALSE),"")</f>
        <v/>
      </c>
      <c r="F130" s="226" t="str">
        <f>IFERROR(VLOOKUP($C130,Full_data!$B$8:$J$932,4,FALSE),"")</f>
        <v/>
      </c>
      <c r="G130" s="226" t="e">
        <f>VLOOKUP($C130,Full_data!$B$8:$J$932,5,FALSE)</f>
        <v>#N/A</v>
      </c>
      <c r="H130" s="226" t="e">
        <f>VLOOKUP($C130,Full_data!$B$8:$J$932,6,FALSE)</f>
        <v>#N/A</v>
      </c>
      <c r="I130" s="237" t="str">
        <f>IFERROR(VLOOKUP($C130,Full_data!$B$8:$J$932,7,FALSE),"")</f>
        <v/>
      </c>
      <c r="J130" s="355" t="str">
        <f>IFERROR(VLOOKUP($C130,Full_data!$B$8:$J$932,8,FALSE),"")</f>
        <v/>
      </c>
      <c r="K130" s="358"/>
      <c r="L130" s="229" t="str">
        <f t="shared" si="7"/>
        <v/>
      </c>
      <c r="M130" s="352"/>
      <c r="N130" s="237" t="str">
        <f t="shared" si="6"/>
        <v/>
      </c>
      <c r="O130" s="237">
        <f>M130*IFERROR(VLOOKUP($C130,Logistics!$A$1:$O$534,10,FALSE),0)</f>
        <v>0</v>
      </c>
      <c r="P130" s="239">
        <f>M130*IFERROR(VLOOKUP($C130,Logistics!$A$1:$O$534,11,FALSE),0)</f>
        <v>0</v>
      </c>
      <c r="AA130" s="247">
        <f t="shared" si="5"/>
        <v>0.4</v>
      </c>
    </row>
    <row r="131" spans="2:27" ht="15" x14ac:dyDescent="0.2">
      <c r="B131" s="223">
        <v>127</v>
      </c>
      <c r="C131" s="258"/>
      <c r="D131" s="228" t="str">
        <f>IFERROR(VLOOKUP($C131,Full_data!$B$8:$J$932,2,FALSE),"")</f>
        <v/>
      </c>
      <c r="E131" s="228" t="str">
        <f>IFERROR(VLOOKUP($C131,Full_data!$B$8:$J$932,3,FALSE),"")</f>
        <v/>
      </c>
      <c r="F131" s="224" t="str">
        <f>IFERROR(VLOOKUP($C131,Full_data!$B$8:$J$932,4,FALSE),"")</f>
        <v/>
      </c>
      <c r="G131" s="224" t="e">
        <f>VLOOKUP($C131,Full_data!$B$8:$J$932,5,FALSE)</f>
        <v>#N/A</v>
      </c>
      <c r="H131" s="224" t="e">
        <f>VLOOKUP($C131,Full_data!$B$8:$J$932,6,FALSE)</f>
        <v>#N/A</v>
      </c>
      <c r="I131" s="236" t="str">
        <f>IFERROR(VLOOKUP($C131,Full_data!$B$8:$J$932,7,FALSE),"")</f>
        <v/>
      </c>
      <c r="J131" s="354" t="str">
        <f>IFERROR(VLOOKUP($C131,Full_data!$B$8:$J$932,8,FALSE),"")</f>
        <v/>
      </c>
      <c r="K131" s="357"/>
      <c r="L131" s="230" t="str">
        <f t="shared" si="7"/>
        <v/>
      </c>
      <c r="M131" s="351"/>
      <c r="N131" s="236" t="str">
        <f t="shared" si="6"/>
        <v/>
      </c>
      <c r="O131" s="236">
        <f>M131*IFERROR(VLOOKUP($C131,Logistics!$A$1:$O$534,10,FALSE),0)</f>
        <v>0</v>
      </c>
      <c r="P131" s="238">
        <f>M131*IFERROR(VLOOKUP($C131,Logistics!$A$1:$O$534,11,FALSE),0)</f>
        <v>0</v>
      </c>
      <c r="AA131" s="247">
        <f t="shared" si="5"/>
        <v>0.4</v>
      </c>
    </row>
    <row r="132" spans="2:27" ht="15" x14ac:dyDescent="0.2">
      <c r="B132" s="225">
        <v>128</v>
      </c>
      <c r="C132" s="259"/>
      <c r="D132" s="227" t="str">
        <f>IFERROR(VLOOKUP($C132,Full_data!$B$8:$J$932,2,FALSE),"")</f>
        <v/>
      </c>
      <c r="E132" s="227" t="str">
        <f>IFERROR(VLOOKUP($C132,Full_data!$B$8:$J$932,3,FALSE),"")</f>
        <v/>
      </c>
      <c r="F132" s="226" t="str">
        <f>IFERROR(VLOOKUP($C132,Full_data!$B$8:$J$932,4,FALSE),"")</f>
        <v/>
      </c>
      <c r="G132" s="226" t="e">
        <f>VLOOKUP($C132,Full_data!$B$8:$J$932,5,FALSE)</f>
        <v>#N/A</v>
      </c>
      <c r="H132" s="226" t="e">
        <f>VLOOKUP($C132,Full_data!$B$8:$J$932,6,FALSE)</f>
        <v>#N/A</v>
      </c>
      <c r="I132" s="237" t="str">
        <f>IFERROR(VLOOKUP($C132,Full_data!$B$8:$J$932,7,FALSE),"")</f>
        <v/>
      </c>
      <c r="J132" s="355" t="str">
        <f>IFERROR(VLOOKUP($C132,Full_data!$B$8:$J$932,8,FALSE),"")</f>
        <v/>
      </c>
      <c r="K132" s="358"/>
      <c r="L132" s="229" t="str">
        <f t="shared" si="7"/>
        <v/>
      </c>
      <c r="M132" s="352"/>
      <c r="N132" s="237" t="str">
        <f t="shared" si="6"/>
        <v/>
      </c>
      <c r="O132" s="237">
        <f>M132*IFERROR(VLOOKUP($C132,Logistics!$A$1:$O$534,10,FALSE),0)</f>
        <v>0</v>
      </c>
      <c r="P132" s="239">
        <f>M132*IFERROR(VLOOKUP($C132,Logistics!$A$1:$O$534,11,FALSE),0)</f>
        <v>0</v>
      </c>
      <c r="AA132" s="247">
        <f t="shared" si="5"/>
        <v>0.4</v>
      </c>
    </row>
    <row r="133" spans="2:27" ht="15" x14ac:dyDescent="0.2">
      <c r="B133" s="223">
        <v>129</v>
      </c>
      <c r="C133" s="258"/>
      <c r="D133" s="228" t="str">
        <f>IFERROR(VLOOKUP($C133,Full_data!$B$8:$J$932,2,FALSE),"")</f>
        <v/>
      </c>
      <c r="E133" s="228" t="str">
        <f>IFERROR(VLOOKUP($C133,Full_data!$B$8:$J$932,3,FALSE),"")</f>
        <v/>
      </c>
      <c r="F133" s="224" t="str">
        <f>IFERROR(VLOOKUP($C133,Full_data!$B$8:$J$932,4,FALSE),"")</f>
        <v/>
      </c>
      <c r="G133" s="224" t="e">
        <f>VLOOKUP($C133,Full_data!$B$8:$J$932,5,FALSE)</f>
        <v>#N/A</v>
      </c>
      <c r="H133" s="224" t="e">
        <f>VLOOKUP($C133,Full_data!$B$8:$J$932,6,FALSE)</f>
        <v>#N/A</v>
      </c>
      <c r="I133" s="236" t="str">
        <f>IFERROR(VLOOKUP($C133,Full_data!$B$8:$J$932,7,FALSE),"")</f>
        <v/>
      </c>
      <c r="J133" s="354" t="str">
        <f>IFERROR(VLOOKUP($C133,Full_data!$B$8:$J$932,8,FALSE),"")</f>
        <v/>
      </c>
      <c r="K133" s="357"/>
      <c r="L133" s="230" t="str">
        <f t="shared" si="7"/>
        <v/>
      </c>
      <c r="M133" s="351"/>
      <c r="N133" s="236" t="str">
        <f t="shared" si="6"/>
        <v/>
      </c>
      <c r="O133" s="236">
        <f>M133*IFERROR(VLOOKUP($C133,Logistics!$A$1:$O$534,10,FALSE),0)</f>
        <v>0</v>
      </c>
      <c r="P133" s="238">
        <f>M133*IFERROR(VLOOKUP($C133,Logistics!$A$1:$O$534,11,FALSE),0)</f>
        <v>0</v>
      </c>
      <c r="AA133" s="247">
        <f t="shared" si="5"/>
        <v>0.4</v>
      </c>
    </row>
    <row r="134" spans="2:27" ht="15" x14ac:dyDescent="0.2">
      <c r="B134" s="225">
        <v>130</v>
      </c>
      <c r="C134" s="259"/>
      <c r="D134" s="227" t="str">
        <f>IFERROR(VLOOKUP($C134,Full_data!$B$8:$J$932,2,FALSE),"")</f>
        <v/>
      </c>
      <c r="E134" s="227" t="str">
        <f>IFERROR(VLOOKUP($C134,Full_data!$B$8:$J$932,3,FALSE),"")</f>
        <v/>
      </c>
      <c r="F134" s="226" t="str">
        <f>IFERROR(VLOOKUP($C134,Full_data!$B$8:$J$932,4,FALSE),"")</f>
        <v/>
      </c>
      <c r="G134" s="226" t="e">
        <f>VLOOKUP($C134,Full_data!$B$8:$J$932,5,FALSE)</f>
        <v>#N/A</v>
      </c>
      <c r="H134" s="226" t="e">
        <f>VLOOKUP($C134,Full_data!$B$8:$J$932,6,FALSE)</f>
        <v>#N/A</v>
      </c>
      <c r="I134" s="237" t="str">
        <f>IFERROR(VLOOKUP($C134,Full_data!$B$8:$J$932,7,FALSE),"")</f>
        <v/>
      </c>
      <c r="J134" s="355" t="str">
        <f>IFERROR(VLOOKUP($C134,Full_data!$B$8:$J$932,8,FALSE),"")</f>
        <v/>
      </c>
      <c r="K134" s="358"/>
      <c r="L134" s="229" t="str">
        <f t="shared" si="7"/>
        <v/>
      </c>
      <c r="M134" s="352"/>
      <c r="N134" s="237" t="str">
        <f t="shared" si="6"/>
        <v/>
      </c>
      <c r="O134" s="237">
        <f>M134*IFERROR(VLOOKUP($C134,Logistics!$A$1:$O$534,10,FALSE),0)</f>
        <v>0</v>
      </c>
      <c r="P134" s="239">
        <f>M134*IFERROR(VLOOKUP($C134,Logistics!$A$1:$O$534,11,FALSE),0)</f>
        <v>0</v>
      </c>
      <c r="AA134" s="247">
        <f t="shared" ref="AA134:AA197" si="8">IF(ISBLANK(K134),40%,100%)</f>
        <v>0.4</v>
      </c>
    </row>
    <row r="135" spans="2:27" ht="15" x14ac:dyDescent="0.2">
      <c r="B135" s="223">
        <v>131</v>
      </c>
      <c r="C135" s="258"/>
      <c r="D135" s="228" t="str">
        <f>IFERROR(VLOOKUP($C135,Full_data!$B$8:$J$932,2,FALSE),"")</f>
        <v/>
      </c>
      <c r="E135" s="228" t="str">
        <f>IFERROR(VLOOKUP($C135,Full_data!$B$8:$J$932,3,FALSE),"")</f>
        <v/>
      </c>
      <c r="F135" s="224" t="str">
        <f>IFERROR(VLOOKUP($C135,Full_data!$B$8:$J$932,4,FALSE),"")</f>
        <v/>
      </c>
      <c r="G135" s="224" t="e">
        <f>VLOOKUP($C135,Full_data!$B$8:$J$932,5,FALSE)</f>
        <v>#N/A</v>
      </c>
      <c r="H135" s="224" t="e">
        <f>VLOOKUP($C135,Full_data!$B$8:$J$932,6,FALSE)</f>
        <v>#N/A</v>
      </c>
      <c r="I135" s="236" t="str">
        <f>IFERROR(VLOOKUP($C135,Full_data!$B$8:$J$932,7,FALSE),"")</f>
        <v/>
      </c>
      <c r="J135" s="354" t="str">
        <f>IFERROR(VLOOKUP($C135,Full_data!$B$8:$J$932,8,FALSE),"")</f>
        <v/>
      </c>
      <c r="K135" s="357"/>
      <c r="L135" s="230" t="str">
        <f t="shared" si="7"/>
        <v/>
      </c>
      <c r="M135" s="351"/>
      <c r="N135" s="236" t="str">
        <f t="shared" si="6"/>
        <v/>
      </c>
      <c r="O135" s="236">
        <f>M135*IFERROR(VLOOKUP($C135,Logistics!$A$1:$O$534,10,FALSE),0)</f>
        <v>0</v>
      </c>
      <c r="P135" s="238">
        <f>M135*IFERROR(VLOOKUP($C135,Logistics!$A$1:$O$534,11,FALSE),0)</f>
        <v>0</v>
      </c>
      <c r="AA135" s="247">
        <f t="shared" si="8"/>
        <v>0.4</v>
      </c>
    </row>
    <row r="136" spans="2:27" ht="15" x14ac:dyDescent="0.2">
      <c r="B136" s="225">
        <v>132</v>
      </c>
      <c r="C136" s="259"/>
      <c r="D136" s="227" t="str">
        <f>IFERROR(VLOOKUP($C136,Full_data!$B$8:$J$932,2,FALSE),"")</f>
        <v/>
      </c>
      <c r="E136" s="227" t="str">
        <f>IFERROR(VLOOKUP($C136,Full_data!$B$8:$J$932,3,FALSE),"")</f>
        <v/>
      </c>
      <c r="F136" s="226" t="str">
        <f>IFERROR(VLOOKUP($C136,Full_data!$B$8:$J$932,4,FALSE),"")</f>
        <v/>
      </c>
      <c r="G136" s="226" t="e">
        <f>VLOOKUP($C136,Full_data!$B$8:$J$932,5,FALSE)</f>
        <v>#N/A</v>
      </c>
      <c r="H136" s="226" t="e">
        <f>VLOOKUP($C136,Full_data!$B$8:$J$932,6,FALSE)</f>
        <v>#N/A</v>
      </c>
      <c r="I136" s="237" t="str">
        <f>IFERROR(VLOOKUP($C136,Full_data!$B$8:$J$932,7,FALSE),"")</f>
        <v/>
      </c>
      <c r="J136" s="355" t="str">
        <f>IFERROR(VLOOKUP($C136,Full_data!$B$8:$J$932,8,FALSE),"")</f>
        <v/>
      </c>
      <c r="K136" s="358"/>
      <c r="L136" s="229" t="str">
        <f t="shared" si="7"/>
        <v/>
      </c>
      <c r="M136" s="352"/>
      <c r="N136" s="237" t="str">
        <f t="shared" si="6"/>
        <v/>
      </c>
      <c r="O136" s="237">
        <f>M136*IFERROR(VLOOKUP($C136,Logistics!$A$1:$O$534,10,FALSE),0)</f>
        <v>0</v>
      </c>
      <c r="P136" s="239">
        <f>M136*IFERROR(VLOOKUP($C136,Logistics!$A$1:$O$534,11,FALSE),0)</f>
        <v>0</v>
      </c>
      <c r="AA136" s="247">
        <f t="shared" si="8"/>
        <v>0.4</v>
      </c>
    </row>
    <row r="137" spans="2:27" ht="15" x14ac:dyDescent="0.2">
      <c r="B137" s="223">
        <v>133</v>
      </c>
      <c r="C137" s="258"/>
      <c r="D137" s="228" t="str">
        <f>IFERROR(VLOOKUP($C137,Full_data!$B$8:$J$932,2,FALSE),"")</f>
        <v/>
      </c>
      <c r="E137" s="228" t="str">
        <f>IFERROR(VLOOKUP($C137,Full_data!$B$8:$J$932,3,FALSE),"")</f>
        <v/>
      </c>
      <c r="F137" s="224" t="str">
        <f>IFERROR(VLOOKUP($C137,Full_data!$B$8:$J$932,4,FALSE),"")</f>
        <v/>
      </c>
      <c r="G137" s="224" t="e">
        <f>VLOOKUP($C137,Full_data!$B$8:$J$932,5,FALSE)</f>
        <v>#N/A</v>
      </c>
      <c r="H137" s="224" t="e">
        <f>VLOOKUP($C137,Full_data!$B$8:$J$932,6,FALSE)</f>
        <v>#N/A</v>
      </c>
      <c r="I137" s="236" t="str">
        <f>IFERROR(VLOOKUP($C137,Full_data!$B$8:$J$932,7,FALSE),"")</f>
        <v/>
      </c>
      <c r="J137" s="354" t="str">
        <f>IFERROR(VLOOKUP($C137,Full_data!$B$8:$J$932,8,FALSE),"")</f>
        <v/>
      </c>
      <c r="K137" s="357"/>
      <c r="L137" s="230" t="str">
        <f t="shared" si="7"/>
        <v/>
      </c>
      <c r="M137" s="351"/>
      <c r="N137" s="236" t="str">
        <f t="shared" ref="N137:N200" si="9">IF(ISERROR(L137*M137),"",(L137*M137))</f>
        <v/>
      </c>
      <c r="O137" s="236">
        <f>M137*IFERROR(VLOOKUP($C137,Logistics!$A$1:$O$534,10,FALSE),0)</f>
        <v>0</v>
      </c>
      <c r="P137" s="238">
        <f>M137*IFERROR(VLOOKUP($C137,Logistics!$A$1:$O$534,11,FALSE),0)</f>
        <v>0</v>
      </c>
      <c r="AA137" s="247">
        <f t="shared" si="8"/>
        <v>0.4</v>
      </c>
    </row>
    <row r="138" spans="2:27" ht="15" x14ac:dyDescent="0.2">
      <c r="B138" s="225">
        <v>134</v>
      </c>
      <c r="C138" s="259"/>
      <c r="D138" s="227" t="str">
        <f>IFERROR(VLOOKUP($C138,Full_data!$B$8:$J$932,2,FALSE),"")</f>
        <v/>
      </c>
      <c r="E138" s="227" t="str">
        <f>IFERROR(VLOOKUP($C138,Full_data!$B$8:$J$932,3,FALSE),"")</f>
        <v/>
      </c>
      <c r="F138" s="226" t="str">
        <f>IFERROR(VLOOKUP($C138,Full_data!$B$8:$J$932,4,FALSE),"")</f>
        <v/>
      </c>
      <c r="G138" s="226" t="e">
        <f>VLOOKUP($C138,Full_data!$B$8:$J$932,5,FALSE)</f>
        <v>#N/A</v>
      </c>
      <c r="H138" s="226" t="e">
        <f>VLOOKUP($C138,Full_data!$B$8:$J$932,6,FALSE)</f>
        <v>#N/A</v>
      </c>
      <c r="I138" s="237" t="str">
        <f>IFERROR(VLOOKUP($C138,Full_data!$B$8:$J$932,7,FALSE),"")</f>
        <v/>
      </c>
      <c r="J138" s="355" t="str">
        <f>IFERROR(VLOOKUP($C138,Full_data!$B$8:$J$932,8,FALSE),"")</f>
        <v/>
      </c>
      <c r="K138" s="358"/>
      <c r="L138" s="229" t="str">
        <f t="shared" si="7"/>
        <v/>
      </c>
      <c r="M138" s="352"/>
      <c r="N138" s="237" t="str">
        <f t="shared" si="9"/>
        <v/>
      </c>
      <c r="O138" s="237">
        <f>M138*IFERROR(VLOOKUP($C138,Logistics!$A$1:$O$534,10,FALSE),0)</f>
        <v>0</v>
      </c>
      <c r="P138" s="239">
        <f>M138*IFERROR(VLOOKUP($C138,Logistics!$A$1:$O$534,11,FALSE),0)</f>
        <v>0</v>
      </c>
      <c r="AA138" s="247">
        <f t="shared" si="8"/>
        <v>0.4</v>
      </c>
    </row>
    <row r="139" spans="2:27" ht="15" x14ac:dyDescent="0.2">
      <c r="B139" s="223">
        <v>135</v>
      </c>
      <c r="C139" s="258"/>
      <c r="D139" s="228" t="str">
        <f>IFERROR(VLOOKUP($C139,Full_data!$B$8:$J$932,2,FALSE),"")</f>
        <v/>
      </c>
      <c r="E139" s="228" t="str">
        <f>IFERROR(VLOOKUP($C139,Full_data!$B$8:$J$932,3,FALSE),"")</f>
        <v/>
      </c>
      <c r="F139" s="224" t="str">
        <f>IFERROR(VLOOKUP($C139,Full_data!$B$8:$J$932,4,FALSE),"")</f>
        <v/>
      </c>
      <c r="G139" s="224" t="e">
        <f>VLOOKUP($C139,Full_data!$B$8:$J$932,5,FALSE)</f>
        <v>#N/A</v>
      </c>
      <c r="H139" s="224" t="e">
        <f>VLOOKUP($C139,Full_data!$B$8:$J$932,6,FALSE)</f>
        <v>#N/A</v>
      </c>
      <c r="I139" s="236" t="str">
        <f>IFERROR(VLOOKUP($C139,Full_data!$B$8:$J$932,7,FALSE),"")</f>
        <v/>
      </c>
      <c r="J139" s="354" t="str">
        <f>IFERROR(VLOOKUP($C139,Full_data!$B$8:$J$932,8,FALSE),"")</f>
        <v/>
      </c>
      <c r="K139" s="357"/>
      <c r="L139" s="230" t="str">
        <f t="shared" si="7"/>
        <v/>
      </c>
      <c r="M139" s="351"/>
      <c r="N139" s="236" t="str">
        <f t="shared" si="9"/>
        <v/>
      </c>
      <c r="O139" s="236">
        <f>M139*IFERROR(VLOOKUP($C139,Logistics!$A$1:$O$534,10,FALSE),0)</f>
        <v>0</v>
      </c>
      <c r="P139" s="238">
        <f>M139*IFERROR(VLOOKUP($C139,Logistics!$A$1:$O$534,11,FALSE),0)</f>
        <v>0</v>
      </c>
      <c r="AA139" s="247">
        <f t="shared" si="8"/>
        <v>0.4</v>
      </c>
    </row>
    <row r="140" spans="2:27" ht="15" x14ac:dyDescent="0.2">
      <c r="B140" s="225">
        <v>136</v>
      </c>
      <c r="C140" s="259"/>
      <c r="D140" s="227" t="str">
        <f>IFERROR(VLOOKUP($C140,Full_data!$B$8:$J$932,2,FALSE),"")</f>
        <v/>
      </c>
      <c r="E140" s="227" t="str">
        <f>IFERROR(VLOOKUP($C140,Full_data!$B$8:$J$932,3,FALSE),"")</f>
        <v/>
      </c>
      <c r="F140" s="226" t="str">
        <f>IFERROR(VLOOKUP($C140,Full_data!$B$8:$J$932,4,FALSE),"")</f>
        <v/>
      </c>
      <c r="G140" s="226" t="e">
        <f>VLOOKUP($C140,Full_data!$B$8:$J$932,5,FALSE)</f>
        <v>#N/A</v>
      </c>
      <c r="H140" s="226" t="e">
        <f>VLOOKUP($C140,Full_data!$B$8:$J$932,6,FALSE)</f>
        <v>#N/A</v>
      </c>
      <c r="I140" s="237" t="str">
        <f>IFERROR(VLOOKUP($C140,Full_data!$B$8:$J$932,7,FALSE),"")</f>
        <v/>
      </c>
      <c r="J140" s="355" t="str">
        <f>IFERROR(VLOOKUP($C140,Full_data!$B$8:$J$932,8,FALSE),"")</f>
        <v/>
      </c>
      <c r="K140" s="358"/>
      <c r="L140" s="229" t="str">
        <f t="shared" si="7"/>
        <v/>
      </c>
      <c r="M140" s="352"/>
      <c r="N140" s="237" t="str">
        <f t="shared" si="9"/>
        <v/>
      </c>
      <c r="O140" s="237">
        <f>M140*IFERROR(VLOOKUP($C140,Logistics!$A$1:$O$534,10,FALSE),0)</f>
        <v>0</v>
      </c>
      <c r="P140" s="239">
        <f>M140*IFERROR(VLOOKUP($C140,Logistics!$A$1:$O$534,11,FALSE),0)</f>
        <v>0</v>
      </c>
      <c r="AA140" s="247">
        <f t="shared" si="8"/>
        <v>0.4</v>
      </c>
    </row>
    <row r="141" spans="2:27" ht="15" x14ac:dyDescent="0.2">
      <c r="B141" s="223">
        <v>137</v>
      </c>
      <c r="C141" s="258"/>
      <c r="D141" s="228" t="str">
        <f>IFERROR(VLOOKUP($C141,Full_data!$B$8:$J$932,2,FALSE),"")</f>
        <v/>
      </c>
      <c r="E141" s="228" t="str">
        <f>IFERROR(VLOOKUP($C141,Full_data!$B$8:$J$932,3,FALSE),"")</f>
        <v/>
      </c>
      <c r="F141" s="224" t="str">
        <f>IFERROR(VLOOKUP($C141,Full_data!$B$8:$J$932,4,FALSE),"")</f>
        <v/>
      </c>
      <c r="G141" s="224" t="e">
        <f>VLOOKUP($C141,Full_data!$B$8:$J$932,5,FALSE)</f>
        <v>#N/A</v>
      </c>
      <c r="H141" s="224" t="e">
        <f>VLOOKUP($C141,Full_data!$B$8:$J$932,6,FALSE)</f>
        <v>#N/A</v>
      </c>
      <c r="I141" s="236" t="str">
        <f>IFERROR(VLOOKUP($C141,Full_data!$B$8:$J$932,7,FALSE),"")</f>
        <v/>
      </c>
      <c r="J141" s="354" t="str">
        <f>IFERROR(VLOOKUP($C141,Full_data!$B$8:$J$932,8,FALSE),"")</f>
        <v/>
      </c>
      <c r="K141" s="357"/>
      <c r="L141" s="230" t="str">
        <f t="shared" si="7"/>
        <v/>
      </c>
      <c r="M141" s="351"/>
      <c r="N141" s="236" t="str">
        <f t="shared" si="9"/>
        <v/>
      </c>
      <c r="O141" s="236">
        <f>M141*IFERROR(VLOOKUP($C141,Logistics!$A$1:$O$534,10,FALSE),0)</f>
        <v>0</v>
      </c>
      <c r="P141" s="238">
        <f>M141*IFERROR(VLOOKUP($C141,Logistics!$A$1:$O$534,11,FALSE),0)</f>
        <v>0</v>
      </c>
      <c r="AA141" s="247">
        <f t="shared" si="8"/>
        <v>0.4</v>
      </c>
    </row>
    <row r="142" spans="2:27" ht="15" x14ac:dyDescent="0.2">
      <c r="B142" s="225">
        <v>138</v>
      </c>
      <c r="C142" s="259"/>
      <c r="D142" s="227" t="str">
        <f>IFERROR(VLOOKUP($C142,Full_data!$B$8:$J$932,2,FALSE),"")</f>
        <v/>
      </c>
      <c r="E142" s="227" t="str">
        <f>IFERROR(VLOOKUP($C142,Full_data!$B$8:$J$932,3,FALSE),"")</f>
        <v/>
      </c>
      <c r="F142" s="226" t="str">
        <f>IFERROR(VLOOKUP($C142,Full_data!$B$8:$J$932,4,FALSE),"")</f>
        <v/>
      </c>
      <c r="G142" s="226" t="e">
        <f>VLOOKUP($C142,Full_data!$B$8:$J$932,5,FALSE)</f>
        <v>#N/A</v>
      </c>
      <c r="H142" s="226" t="e">
        <f>VLOOKUP($C142,Full_data!$B$8:$J$932,6,FALSE)</f>
        <v>#N/A</v>
      </c>
      <c r="I142" s="237" t="str">
        <f>IFERROR(VLOOKUP($C142,Full_data!$B$8:$J$932,7,FALSE),"")</f>
        <v/>
      </c>
      <c r="J142" s="355" t="str">
        <f>IFERROR(VLOOKUP($C142,Full_data!$B$8:$J$932,8,FALSE),"")</f>
        <v/>
      </c>
      <c r="K142" s="358"/>
      <c r="L142" s="229" t="str">
        <f t="shared" si="7"/>
        <v/>
      </c>
      <c r="M142" s="352"/>
      <c r="N142" s="237" t="str">
        <f t="shared" si="9"/>
        <v/>
      </c>
      <c r="O142" s="237">
        <f>M142*IFERROR(VLOOKUP($C142,Logistics!$A$1:$O$534,10,FALSE),0)</f>
        <v>0</v>
      </c>
      <c r="P142" s="239">
        <f>M142*IFERROR(VLOOKUP($C142,Logistics!$A$1:$O$534,11,FALSE),0)</f>
        <v>0</v>
      </c>
      <c r="AA142" s="247">
        <f t="shared" si="8"/>
        <v>0.4</v>
      </c>
    </row>
    <row r="143" spans="2:27" ht="15" x14ac:dyDescent="0.2">
      <c r="B143" s="223">
        <v>139</v>
      </c>
      <c r="C143" s="258"/>
      <c r="D143" s="228" t="str">
        <f>IFERROR(VLOOKUP($C143,Full_data!$B$8:$J$932,2,FALSE),"")</f>
        <v/>
      </c>
      <c r="E143" s="228" t="str">
        <f>IFERROR(VLOOKUP($C143,Full_data!$B$8:$J$932,3,FALSE),"")</f>
        <v/>
      </c>
      <c r="F143" s="224" t="str">
        <f>IFERROR(VLOOKUP($C143,Full_data!$B$8:$J$932,4,FALSE),"")</f>
        <v/>
      </c>
      <c r="G143" s="224" t="e">
        <f>VLOOKUP($C143,Full_data!$B$8:$J$932,5,FALSE)</f>
        <v>#N/A</v>
      </c>
      <c r="H143" s="224" t="e">
        <f>VLOOKUP($C143,Full_data!$B$8:$J$932,6,FALSE)</f>
        <v>#N/A</v>
      </c>
      <c r="I143" s="236" t="str">
        <f>IFERROR(VLOOKUP($C143,Full_data!$B$8:$J$932,7,FALSE),"")</f>
        <v/>
      </c>
      <c r="J143" s="354" t="str">
        <f>IFERROR(VLOOKUP($C143,Full_data!$B$8:$J$932,8,FALSE),"")</f>
        <v/>
      </c>
      <c r="K143" s="357"/>
      <c r="L143" s="230" t="str">
        <f t="shared" si="7"/>
        <v/>
      </c>
      <c r="M143" s="351"/>
      <c r="N143" s="236" t="str">
        <f t="shared" si="9"/>
        <v/>
      </c>
      <c r="O143" s="236">
        <f>M143*IFERROR(VLOOKUP($C143,Logistics!$A$1:$O$534,10,FALSE),0)</f>
        <v>0</v>
      </c>
      <c r="P143" s="238">
        <f>M143*IFERROR(VLOOKUP($C143,Logistics!$A$1:$O$534,11,FALSE),0)</f>
        <v>0</v>
      </c>
      <c r="AA143" s="247">
        <f t="shared" si="8"/>
        <v>0.4</v>
      </c>
    </row>
    <row r="144" spans="2:27" ht="15" x14ac:dyDescent="0.2">
      <c r="B144" s="225">
        <v>140</v>
      </c>
      <c r="C144" s="259"/>
      <c r="D144" s="227" t="str">
        <f>IFERROR(VLOOKUP($C144,Full_data!$B$8:$J$932,2,FALSE),"")</f>
        <v/>
      </c>
      <c r="E144" s="227" t="str">
        <f>IFERROR(VLOOKUP($C144,Full_data!$B$8:$J$932,3,FALSE),"")</f>
        <v/>
      </c>
      <c r="F144" s="226" t="str">
        <f>IFERROR(VLOOKUP($C144,Full_data!$B$8:$J$932,4,FALSE),"")</f>
        <v/>
      </c>
      <c r="G144" s="226" t="e">
        <f>VLOOKUP($C144,Full_data!$B$8:$J$932,5,FALSE)</f>
        <v>#N/A</v>
      </c>
      <c r="H144" s="226" t="e">
        <f>VLOOKUP($C144,Full_data!$B$8:$J$932,6,FALSE)</f>
        <v>#N/A</v>
      </c>
      <c r="I144" s="237" t="str">
        <f>IFERROR(VLOOKUP($C144,Full_data!$B$8:$J$932,7,FALSE),"")</f>
        <v/>
      </c>
      <c r="J144" s="355" t="str">
        <f>IFERROR(VLOOKUP($C144,Full_data!$B$8:$J$932,8,FALSE),"")</f>
        <v/>
      </c>
      <c r="K144" s="358"/>
      <c r="L144" s="229" t="str">
        <f t="shared" si="7"/>
        <v/>
      </c>
      <c r="M144" s="352"/>
      <c r="N144" s="237" t="str">
        <f t="shared" si="9"/>
        <v/>
      </c>
      <c r="O144" s="237">
        <f>M144*IFERROR(VLOOKUP($C144,Logistics!$A$1:$O$534,10,FALSE),0)</f>
        <v>0</v>
      </c>
      <c r="P144" s="239">
        <f>M144*IFERROR(VLOOKUP($C144,Logistics!$A$1:$O$534,11,FALSE),0)</f>
        <v>0</v>
      </c>
      <c r="AA144" s="247">
        <f t="shared" si="8"/>
        <v>0.4</v>
      </c>
    </row>
    <row r="145" spans="2:27" ht="15" x14ac:dyDescent="0.2">
      <c r="B145" s="223">
        <v>141</v>
      </c>
      <c r="C145" s="258"/>
      <c r="D145" s="228" t="str">
        <f>IFERROR(VLOOKUP($C145,Full_data!$B$8:$J$932,2,FALSE),"")</f>
        <v/>
      </c>
      <c r="E145" s="228" t="str">
        <f>IFERROR(VLOOKUP($C145,Full_data!$B$8:$J$932,3,FALSE),"")</f>
        <v/>
      </c>
      <c r="F145" s="224" t="str">
        <f>IFERROR(VLOOKUP($C145,Full_data!$B$8:$J$932,4,FALSE),"")</f>
        <v/>
      </c>
      <c r="G145" s="224" t="e">
        <f>VLOOKUP($C145,Full_data!$B$8:$J$932,5,FALSE)</f>
        <v>#N/A</v>
      </c>
      <c r="H145" s="224" t="e">
        <f>VLOOKUP($C145,Full_data!$B$8:$J$932,6,FALSE)</f>
        <v>#N/A</v>
      </c>
      <c r="I145" s="236" t="str">
        <f>IFERROR(VLOOKUP($C145,Full_data!$B$8:$J$932,7,FALSE),"")</f>
        <v/>
      </c>
      <c r="J145" s="354" t="str">
        <f>IFERROR(VLOOKUP($C145,Full_data!$B$8:$J$932,8,FALSE),"")</f>
        <v/>
      </c>
      <c r="K145" s="357"/>
      <c r="L145" s="230" t="str">
        <f t="shared" si="7"/>
        <v/>
      </c>
      <c r="M145" s="351"/>
      <c r="N145" s="236" t="str">
        <f t="shared" si="9"/>
        <v/>
      </c>
      <c r="O145" s="236">
        <f>M145*IFERROR(VLOOKUP($C145,Logistics!$A$1:$O$534,10,FALSE),0)</f>
        <v>0</v>
      </c>
      <c r="P145" s="238">
        <f>M145*IFERROR(VLOOKUP($C145,Logistics!$A$1:$O$534,11,FALSE),0)</f>
        <v>0</v>
      </c>
      <c r="AA145" s="247">
        <f t="shared" si="8"/>
        <v>0.4</v>
      </c>
    </row>
    <row r="146" spans="2:27" ht="15" x14ac:dyDescent="0.2">
      <c r="B146" s="225">
        <v>142</v>
      </c>
      <c r="C146" s="259"/>
      <c r="D146" s="227" t="str">
        <f>IFERROR(VLOOKUP($C146,Full_data!$B$8:$J$932,2,FALSE),"")</f>
        <v/>
      </c>
      <c r="E146" s="227" t="str">
        <f>IFERROR(VLOOKUP($C146,Full_data!$B$8:$J$932,3,FALSE),"")</f>
        <v/>
      </c>
      <c r="F146" s="226" t="str">
        <f>IFERROR(VLOOKUP($C146,Full_data!$B$8:$J$932,4,FALSE),"")</f>
        <v/>
      </c>
      <c r="G146" s="226" t="e">
        <f>VLOOKUP($C146,Full_data!$B$8:$J$932,5,FALSE)</f>
        <v>#N/A</v>
      </c>
      <c r="H146" s="226" t="e">
        <f>VLOOKUP($C146,Full_data!$B$8:$J$932,6,FALSE)</f>
        <v>#N/A</v>
      </c>
      <c r="I146" s="237" t="str">
        <f>IFERROR(VLOOKUP($C146,Full_data!$B$8:$J$932,7,FALSE),"")</f>
        <v/>
      </c>
      <c r="J146" s="355" t="str">
        <f>IFERROR(VLOOKUP($C146,Full_data!$B$8:$J$932,8,FALSE),"")</f>
        <v/>
      </c>
      <c r="K146" s="358"/>
      <c r="L146" s="229" t="str">
        <f t="shared" si="7"/>
        <v/>
      </c>
      <c r="M146" s="352"/>
      <c r="N146" s="237" t="str">
        <f t="shared" si="9"/>
        <v/>
      </c>
      <c r="O146" s="237">
        <f>M146*IFERROR(VLOOKUP($C146,Logistics!$A$1:$O$534,10,FALSE),0)</f>
        <v>0</v>
      </c>
      <c r="P146" s="239">
        <f>M146*IFERROR(VLOOKUP($C146,Logistics!$A$1:$O$534,11,FALSE),0)</f>
        <v>0</v>
      </c>
      <c r="AA146" s="247">
        <f t="shared" si="8"/>
        <v>0.4</v>
      </c>
    </row>
    <row r="147" spans="2:27" ht="15" x14ac:dyDescent="0.2">
      <c r="B147" s="223">
        <v>143</v>
      </c>
      <c r="C147" s="258"/>
      <c r="D147" s="228" t="str">
        <f>IFERROR(VLOOKUP($C147,Full_data!$B$8:$J$932,2,FALSE),"")</f>
        <v/>
      </c>
      <c r="E147" s="228" t="str">
        <f>IFERROR(VLOOKUP($C147,Full_data!$B$8:$J$932,3,FALSE),"")</f>
        <v/>
      </c>
      <c r="F147" s="224" t="str">
        <f>IFERROR(VLOOKUP($C147,Full_data!$B$8:$J$932,4,FALSE),"")</f>
        <v/>
      </c>
      <c r="G147" s="224" t="e">
        <f>VLOOKUP($C147,Full_data!$B$8:$J$932,5,FALSE)</f>
        <v>#N/A</v>
      </c>
      <c r="H147" s="224" t="e">
        <f>VLOOKUP($C147,Full_data!$B$8:$J$932,6,FALSE)</f>
        <v>#N/A</v>
      </c>
      <c r="I147" s="236" t="str">
        <f>IFERROR(VLOOKUP($C147,Full_data!$B$8:$J$932,7,FALSE),"")</f>
        <v/>
      </c>
      <c r="J147" s="354" t="str">
        <f>IFERROR(VLOOKUP($C147,Full_data!$B$8:$J$932,8,FALSE),"")</f>
        <v/>
      </c>
      <c r="K147" s="357"/>
      <c r="L147" s="230" t="str">
        <f t="shared" si="7"/>
        <v/>
      </c>
      <c r="M147" s="351"/>
      <c r="N147" s="236" t="str">
        <f t="shared" si="9"/>
        <v/>
      </c>
      <c r="O147" s="236">
        <f>M147*IFERROR(VLOOKUP($C147,Logistics!$A$1:$O$534,10,FALSE),0)</f>
        <v>0</v>
      </c>
      <c r="P147" s="238">
        <f>M147*IFERROR(VLOOKUP($C147,Logistics!$A$1:$O$534,11,FALSE),0)</f>
        <v>0</v>
      </c>
      <c r="AA147" s="247">
        <f t="shared" si="8"/>
        <v>0.4</v>
      </c>
    </row>
    <row r="148" spans="2:27" ht="15" x14ac:dyDescent="0.2">
      <c r="B148" s="225">
        <v>144</v>
      </c>
      <c r="C148" s="259"/>
      <c r="D148" s="227" t="str">
        <f>IFERROR(VLOOKUP($C148,Full_data!$B$8:$J$932,2,FALSE),"")</f>
        <v/>
      </c>
      <c r="E148" s="227" t="str">
        <f>IFERROR(VLOOKUP($C148,Full_data!$B$8:$J$932,3,FALSE),"")</f>
        <v/>
      </c>
      <c r="F148" s="226" t="str">
        <f>IFERROR(VLOOKUP($C148,Full_data!$B$8:$J$932,4,FALSE),"")</f>
        <v/>
      </c>
      <c r="G148" s="226" t="e">
        <f>VLOOKUP($C148,Full_data!$B$8:$J$932,5,FALSE)</f>
        <v>#N/A</v>
      </c>
      <c r="H148" s="226" t="e">
        <f>VLOOKUP($C148,Full_data!$B$8:$J$932,6,FALSE)</f>
        <v>#N/A</v>
      </c>
      <c r="I148" s="237" t="str">
        <f>IFERROR(VLOOKUP($C148,Full_data!$B$8:$J$932,7,FALSE),"")</f>
        <v/>
      </c>
      <c r="J148" s="355" t="str">
        <f>IFERROR(VLOOKUP($C148,Full_data!$B$8:$J$932,8,FALSE),"")</f>
        <v/>
      </c>
      <c r="K148" s="358"/>
      <c r="L148" s="229" t="str">
        <f t="shared" si="7"/>
        <v/>
      </c>
      <c r="M148" s="352"/>
      <c r="N148" s="237" t="str">
        <f t="shared" si="9"/>
        <v/>
      </c>
      <c r="O148" s="237">
        <f>M148*IFERROR(VLOOKUP($C148,Logistics!$A$1:$O$534,10,FALSE),0)</f>
        <v>0</v>
      </c>
      <c r="P148" s="239">
        <f>M148*IFERROR(VLOOKUP($C148,Logistics!$A$1:$O$534,11,FALSE),0)</f>
        <v>0</v>
      </c>
      <c r="AA148" s="247">
        <f t="shared" si="8"/>
        <v>0.4</v>
      </c>
    </row>
    <row r="149" spans="2:27" ht="15" x14ac:dyDescent="0.2">
      <c r="B149" s="223">
        <v>145</v>
      </c>
      <c r="C149" s="258"/>
      <c r="D149" s="228" t="str">
        <f>IFERROR(VLOOKUP($C149,Full_data!$B$8:$J$932,2,FALSE),"")</f>
        <v/>
      </c>
      <c r="E149" s="228" t="str">
        <f>IFERROR(VLOOKUP($C149,Full_data!$B$8:$J$932,3,FALSE),"")</f>
        <v/>
      </c>
      <c r="F149" s="224" t="str">
        <f>IFERROR(VLOOKUP($C149,Full_data!$B$8:$J$932,4,FALSE),"")</f>
        <v/>
      </c>
      <c r="G149" s="224" t="e">
        <f>VLOOKUP($C149,Full_data!$B$8:$J$932,5,FALSE)</f>
        <v>#N/A</v>
      </c>
      <c r="H149" s="224" t="e">
        <f>VLOOKUP($C149,Full_data!$B$8:$J$932,6,FALSE)</f>
        <v>#N/A</v>
      </c>
      <c r="I149" s="236" t="str">
        <f>IFERROR(VLOOKUP($C149,Full_data!$B$8:$J$932,7,FALSE),"")</f>
        <v/>
      </c>
      <c r="J149" s="354" t="str">
        <f>IFERROR(VLOOKUP($C149,Full_data!$B$8:$J$932,8,FALSE),"")</f>
        <v/>
      </c>
      <c r="K149" s="357"/>
      <c r="L149" s="230" t="str">
        <f t="shared" si="7"/>
        <v/>
      </c>
      <c r="M149" s="351"/>
      <c r="N149" s="236" t="str">
        <f t="shared" si="9"/>
        <v/>
      </c>
      <c r="O149" s="236">
        <f>M149*IFERROR(VLOOKUP($C149,Logistics!$A$1:$O$534,10,FALSE),0)</f>
        <v>0</v>
      </c>
      <c r="P149" s="238">
        <f>M149*IFERROR(VLOOKUP($C149,Logistics!$A$1:$O$534,11,FALSE),0)</f>
        <v>0</v>
      </c>
      <c r="AA149" s="247">
        <f t="shared" si="8"/>
        <v>0.4</v>
      </c>
    </row>
    <row r="150" spans="2:27" ht="15" x14ac:dyDescent="0.2">
      <c r="B150" s="225">
        <v>146</v>
      </c>
      <c r="C150" s="259"/>
      <c r="D150" s="227" t="str">
        <f>IFERROR(VLOOKUP($C150,Full_data!$B$8:$J$932,2,FALSE),"")</f>
        <v/>
      </c>
      <c r="E150" s="227" t="str">
        <f>IFERROR(VLOOKUP($C150,Full_data!$B$8:$J$932,3,FALSE),"")</f>
        <v/>
      </c>
      <c r="F150" s="226" t="str">
        <f>IFERROR(VLOOKUP($C150,Full_data!$B$8:$J$932,4,FALSE),"")</f>
        <v/>
      </c>
      <c r="G150" s="226" t="e">
        <f>VLOOKUP($C150,Full_data!$B$8:$J$932,5,FALSE)</f>
        <v>#N/A</v>
      </c>
      <c r="H150" s="226" t="e">
        <f>VLOOKUP($C150,Full_data!$B$8:$J$932,6,FALSE)</f>
        <v>#N/A</v>
      </c>
      <c r="I150" s="237" t="str">
        <f>IFERROR(VLOOKUP($C150,Full_data!$B$8:$J$932,7,FALSE),"")</f>
        <v/>
      </c>
      <c r="J150" s="355" t="str">
        <f>IFERROR(VLOOKUP($C150,Full_data!$B$8:$J$932,8,FALSE),"")</f>
        <v/>
      </c>
      <c r="K150" s="358"/>
      <c r="L150" s="229" t="str">
        <f t="shared" si="7"/>
        <v/>
      </c>
      <c r="M150" s="352"/>
      <c r="N150" s="237" t="str">
        <f t="shared" si="9"/>
        <v/>
      </c>
      <c r="O150" s="237">
        <f>M150*IFERROR(VLOOKUP($C150,Logistics!$A$1:$O$534,10,FALSE),0)</f>
        <v>0</v>
      </c>
      <c r="P150" s="239">
        <f>M150*IFERROR(VLOOKUP($C150,Logistics!$A$1:$O$534,11,FALSE),0)</f>
        <v>0</v>
      </c>
      <c r="AA150" s="247">
        <f t="shared" si="8"/>
        <v>0.4</v>
      </c>
    </row>
    <row r="151" spans="2:27" ht="15" x14ac:dyDescent="0.2">
      <c r="B151" s="223">
        <v>147</v>
      </c>
      <c r="C151" s="258"/>
      <c r="D151" s="228" t="str">
        <f>IFERROR(VLOOKUP($C151,Full_data!$B$8:$J$932,2,FALSE),"")</f>
        <v/>
      </c>
      <c r="E151" s="228" t="str">
        <f>IFERROR(VLOOKUP($C151,Full_data!$B$8:$J$932,3,FALSE),"")</f>
        <v/>
      </c>
      <c r="F151" s="224" t="str">
        <f>IFERROR(VLOOKUP($C151,Full_data!$B$8:$J$932,4,FALSE),"")</f>
        <v/>
      </c>
      <c r="G151" s="224" t="e">
        <f>VLOOKUP($C151,Full_data!$B$8:$J$932,5,FALSE)</f>
        <v>#N/A</v>
      </c>
      <c r="H151" s="224" t="e">
        <f>VLOOKUP($C151,Full_data!$B$8:$J$932,6,FALSE)</f>
        <v>#N/A</v>
      </c>
      <c r="I151" s="236" t="str">
        <f>IFERROR(VLOOKUP($C151,Full_data!$B$8:$J$932,7,FALSE),"")</f>
        <v/>
      </c>
      <c r="J151" s="354" t="str">
        <f>IFERROR(VLOOKUP($C151,Full_data!$B$8:$J$932,8,FALSE),"")</f>
        <v/>
      </c>
      <c r="K151" s="357"/>
      <c r="L151" s="230" t="str">
        <f t="shared" si="7"/>
        <v/>
      </c>
      <c r="M151" s="351"/>
      <c r="N151" s="236" t="str">
        <f t="shared" si="9"/>
        <v/>
      </c>
      <c r="O151" s="236">
        <f>M151*IFERROR(VLOOKUP($C151,Logistics!$A$1:$O$534,10,FALSE),0)</f>
        <v>0</v>
      </c>
      <c r="P151" s="238">
        <f>M151*IFERROR(VLOOKUP($C151,Logistics!$A$1:$O$534,11,FALSE),0)</f>
        <v>0</v>
      </c>
      <c r="AA151" s="247">
        <f t="shared" si="8"/>
        <v>0.4</v>
      </c>
    </row>
    <row r="152" spans="2:27" ht="15" x14ac:dyDescent="0.2">
      <c r="B152" s="225">
        <v>148</v>
      </c>
      <c r="C152" s="259"/>
      <c r="D152" s="227" t="str">
        <f>IFERROR(VLOOKUP($C152,Full_data!$B$8:$J$932,2,FALSE),"")</f>
        <v/>
      </c>
      <c r="E152" s="227" t="str">
        <f>IFERROR(VLOOKUP($C152,Full_data!$B$8:$J$932,3,FALSE),"")</f>
        <v/>
      </c>
      <c r="F152" s="226" t="str">
        <f>IFERROR(VLOOKUP($C152,Full_data!$B$8:$J$932,4,FALSE),"")</f>
        <v/>
      </c>
      <c r="G152" s="226" t="e">
        <f>VLOOKUP($C152,Full_data!$B$8:$J$932,5,FALSE)</f>
        <v>#N/A</v>
      </c>
      <c r="H152" s="226" t="e">
        <f>VLOOKUP($C152,Full_data!$B$8:$J$932,6,FALSE)</f>
        <v>#N/A</v>
      </c>
      <c r="I152" s="237" t="str">
        <f>IFERROR(VLOOKUP($C152,Full_data!$B$8:$J$932,7,FALSE),"")</f>
        <v/>
      </c>
      <c r="J152" s="355" t="str">
        <f>IFERROR(VLOOKUP($C152,Full_data!$B$8:$J$932,8,FALSE),"")</f>
        <v/>
      </c>
      <c r="K152" s="358"/>
      <c r="L152" s="229" t="str">
        <f t="shared" si="7"/>
        <v/>
      </c>
      <c r="M152" s="352"/>
      <c r="N152" s="237" t="str">
        <f t="shared" si="9"/>
        <v/>
      </c>
      <c r="O152" s="237">
        <f>M152*IFERROR(VLOOKUP($C152,Logistics!$A$1:$O$534,10,FALSE),0)</f>
        <v>0</v>
      </c>
      <c r="P152" s="239">
        <f>M152*IFERROR(VLOOKUP($C152,Logistics!$A$1:$O$534,11,FALSE),0)</f>
        <v>0</v>
      </c>
      <c r="AA152" s="247">
        <f t="shared" si="8"/>
        <v>0.4</v>
      </c>
    </row>
    <row r="153" spans="2:27" ht="15" x14ac:dyDescent="0.2">
      <c r="B153" s="223">
        <v>149</v>
      </c>
      <c r="C153" s="258"/>
      <c r="D153" s="228" t="str">
        <f>IFERROR(VLOOKUP($C153,Full_data!$B$8:$J$932,2,FALSE),"")</f>
        <v/>
      </c>
      <c r="E153" s="228" t="str">
        <f>IFERROR(VLOOKUP($C153,Full_data!$B$8:$J$932,3,FALSE),"")</f>
        <v/>
      </c>
      <c r="F153" s="224" t="str">
        <f>IFERROR(VLOOKUP($C153,Full_data!$B$8:$J$932,4,FALSE),"")</f>
        <v/>
      </c>
      <c r="G153" s="224" t="e">
        <f>VLOOKUP($C153,Full_data!$B$8:$J$932,5,FALSE)</f>
        <v>#N/A</v>
      </c>
      <c r="H153" s="224" t="e">
        <f>VLOOKUP($C153,Full_data!$B$8:$J$932,6,FALSE)</f>
        <v>#N/A</v>
      </c>
      <c r="I153" s="236" t="str">
        <f>IFERROR(VLOOKUP($C153,Full_data!$B$8:$J$932,7,FALSE),"")</f>
        <v/>
      </c>
      <c r="J153" s="354" t="str">
        <f>IFERROR(VLOOKUP($C153,Full_data!$B$8:$J$932,8,FALSE),"")</f>
        <v/>
      </c>
      <c r="K153" s="357"/>
      <c r="L153" s="230" t="str">
        <f t="shared" si="7"/>
        <v/>
      </c>
      <c r="M153" s="351"/>
      <c r="N153" s="236" t="str">
        <f t="shared" si="9"/>
        <v/>
      </c>
      <c r="O153" s="236">
        <f>M153*IFERROR(VLOOKUP($C153,Logistics!$A$1:$O$534,10,FALSE),0)</f>
        <v>0</v>
      </c>
      <c r="P153" s="238">
        <f>M153*IFERROR(VLOOKUP($C153,Logistics!$A$1:$O$534,11,FALSE),0)</f>
        <v>0</v>
      </c>
      <c r="AA153" s="247">
        <f t="shared" si="8"/>
        <v>0.4</v>
      </c>
    </row>
    <row r="154" spans="2:27" ht="15" x14ac:dyDescent="0.2">
      <c r="B154" s="225">
        <v>150</v>
      </c>
      <c r="C154" s="259"/>
      <c r="D154" s="227" t="str">
        <f>IFERROR(VLOOKUP($C154,Full_data!$B$8:$J$932,2,FALSE),"")</f>
        <v/>
      </c>
      <c r="E154" s="227" t="str">
        <f>IFERROR(VLOOKUP($C154,Full_data!$B$8:$J$932,3,FALSE),"")</f>
        <v/>
      </c>
      <c r="F154" s="226" t="str">
        <f>IFERROR(VLOOKUP($C154,Full_data!$B$8:$J$932,4,FALSE),"")</f>
        <v/>
      </c>
      <c r="G154" s="226" t="e">
        <f>VLOOKUP($C154,Full_data!$B$8:$J$932,5,FALSE)</f>
        <v>#N/A</v>
      </c>
      <c r="H154" s="226" t="e">
        <f>VLOOKUP($C154,Full_data!$B$8:$J$932,6,FALSE)</f>
        <v>#N/A</v>
      </c>
      <c r="I154" s="237" t="str">
        <f>IFERROR(VLOOKUP($C154,Full_data!$B$8:$J$932,7,FALSE),"")</f>
        <v/>
      </c>
      <c r="J154" s="355" t="str">
        <f>IFERROR(VLOOKUP($C154,Full_data!$B$8:$J$932,8,FALSE),"")</f>
        <v/>
      </c>
      <c r="K154" s="358"/>
      <c r="L154" s="229" t="str">
        <f t="shared" si="7"/>
        <v/>
      </c>
      <c r="M154" s="352"/>
      <c r="N154" s="237" t="str">
        <f t="shared" si="9"/>
        <v/>
      </c>
      <c r="O154" s="237">
        <f>M154*IFERROR(VLOOKUP($C154,Logistics!$A$1:$O$534,10,FALSE),0)</f>
        <v>0</v>
      </c>
      <c r="P154" s="239">
        <f>M154*IFERROR(VLOOKUP($C154,Logistics!$A$1:$O$534,11,FALSE),0)</f>
        <v>0</v>
      </c>
      <c r="AA154" s="247">
        <f t="shared" si="8"/>
        <v>0.4</v>
      </c>
    </row>
    <row r="155" spans="2:27" ht="15" x14ac:dyDescent="0.2">
      <c r="B155" s="223">
        <v>151</v>
      </c>
      <c r="C155" s="258"/>
      <c r="D155" s="228" t="str">
        <f>IFERROR(VLOOKUP($C155,Full_data!$B$8:$J$932,2,FALSE),"")</f>
        <v/>
      </c>
      <c r="E155" s="228" t="str">
        <f>IFERROR(VLOOKUP($C155,Full_data!$B$8:$J$932,3,FALSE),"")</f>
        <v/>
      </c>
      <c r="F155" s="224" t="str">
        <f>IFERROR(VLOOKUP($C155,Full_data!$B$8:$J$932,4,FALSE),"")</f>
        <v/>
      </c>
      <c r="G155" s="224" t="e">
        <f>VLOOKUP($C155,Full_data!$B$8:$J$932,5,FALSE)</f>
        <v>#N/A</v>
      </c>
      <c r="H155" s="224" t="e">
        <f>VLOOKUP($C155,Full_data!$B$8:$J$932,6,FALSE)</f>
        <v>#N/A</v>
      </c>
      <c r="I155" s="236" t="str">
        <f>IFERROR(VLOOKUP($C155,Full_data!$B$8:$J$932,7,FALSE),"")</f>
        <v/>
      </c>
      <c r="J155" s="354" t="str">
        <f>IFERROR(VLOOKUP($C155,Full_data!$B$8:$J$932,8,FALSE),"")</f>
        <v/>
      </c>
      <c r="K155" s="357"/>
      <c r="L155" s="230" t="str">
        <f t="shared" si="7"/>
        <v/>
      </c>
      <c r="M155" s="351"/>
      <c r="N155" s="236" t="str">
        <f t="shared" si="9"/>
        <v/>
      </c>
      <c r="O155" s="236">
        <f>M155*IFERROR(VLOOKUP($C155,Logistics!$A$1:$O$534,10,FALSE),0)</f>
        <v>0</v>
      </c>
      <c r="P155" s="238">
        <f>M155*IFERROR(VLOOKUP($C155,Logistics!$A$1:$O$534,11,FALSE),0)</f>
        <v>0</v>
      </c>
      <c r="AA155" s="247">
        <f t="shared" si="8"/>
        <v>0.4</v>
      </c>
    </row>
    <row r="156" spans="2:27" ht="15" x14ac:dyDescent="0.2">
      <c r="B156" s="225">
        <v>152</v>
      </c>
      <c r="C156" s="259"/>
      <c r="D156" s="227" t="str">
        <f>IFERROR(VLOOKUP($C156,Full_data!$B$8:$J$932,2,FALSE),"")</f>
        <v/>
      </c>
      <c r="E156" s="227" t="str">
        <f>IFERROR(VLOOKUP($C156,Full_data!$B$8:$J$932,3,FALSE),"")</f>
        <v/>
      </c>
      <c r="F156" s="226" t="str">
        <f>IFERROR(VLOOKUP($C156,Full_data!$B$8:$J$932,4,FALSE),"")</f>
        <v/>
      </c>
      <c r="G156" s="226" t="e">
        <f>VLOOKUP($C156,Full_data!$B$8:$J$932,5,FALSE)</f>
        <v>#N/A</v>
      </c>
      <c r="H156" s="226" t="e">
        <f>VLOOKUP($C156,Full_data!$B$8:$J$932,6,FALSE)</f>
        <v>#N/A</v>
      </c>
      <c r="I156" s="237" t="str">
        <f>IFERROR(VLOOKUP($C156,Full_data!$B$8:$J$932,7,FALSE),"")</f>
        <v/>
      </c>
      <c r="J156" s="355" t="str">
        <f>IFERROR(VLOOKUP($C156,Full_data!$B$8:$J$932,8,FALSE),"")</f>
        <v/>
      </c>
      <c r="K156" s="358"/>
      <c r="L156" s="229" t="str">
        <f t="shared" si="7"/>
        <v/>
      </c>
      <c r="M156" s="352"/>
      <c r="N156" s="237" t="str">
        <f t="shared" si="9"/>
        <v/>
      </c>
      <c r="O156" s="237">
        <f>M156*IFERROR(VLOOKUP($C156,Logistics!$A$1:$O$534,10,FALSE),0)</f>
        <v>0</v>
      </c>
      <c r="P156" s="239">
        <f>M156*IFERROR(VLOOKUP($C156,Logistics!$A$1:$O$534,11,FALSE),0)</f>
        <v>0</v>
      </c>
      <c r="AA156" s="247">
        <f t="shared" si="8"/>
        <v>0.4</v>
      </c>
    </row>
    <row r="157" spans="2:27" ht="15" x14ac:dyDescent="0.2">
      <c r="B157" s="223">
        <v>153</v>
      </c>
      <c r="C157" s="258"/>
      <c r="D157" s="228" t="str">
        <f>IFERROR(VLOOKUP($C157,Full_data!$B$8:$J$932,2,FALSE),"")</f>
        <v/>
      </c>
      <c r="E157" s="228" t="str">
        <f>IFERROR(VLOOKUP($C157,Full_data!$B$8:$J$932,3,FALSE),"")</f>
        <v/>
      </c>
      <c r="F157" s="224" t="str">
        <f>IFERROR(VLOOKUP($C157,Full_data!$B$8:$J$932,4,FALSE),"")</f>
        <v/>
      </c>
      <c r="G157" s="224" t="e">
        <f>VLOOKUP($C157,Full_data!$B$8:$J$932,5,FALSE)</f>
        <v>#N/A</v>
      </c>
      <c r="H157" s="224" t="e">
        <f>VLOOKUP($C157,Full_data!$B$8:$J$932,6,FALSE)</f>
        <v>#N/A</v>
      </c>
      <c r="I157" s="236" t="str">
        <f>IFERROR(VLOOKUP($C157,Full_data!$B$8:$J$932,7,FALSE),"")</f>
        <v/>
      </c>
      <c r="J157" s="354" t="str">
        <f>IFERROR(VLOOKUP($C157,Full_data!$B$8:$J$932,8,FALSE),"")</f>
        <v/>
      </c>
      <c r="K157" s="357"/>
      <c r="L157" s="230" t="str">
        <f t="shared" si="7"/>
        <v/>
      </c>
      <c r="M157" s="351"/>
      <c r="N157" s="236" t="str">
        <f t="shared" si="9"/>
        <v/>
      </c>
      <c r="O157" s="236">
        <f>M157*IFERROR(VLOOKUP($C157,Logistics!$A$1:$O$534,10,FALSE),0)</f>
        <v>0</v>
      </c>
      <c r="P157" s="238">
        <f>M157*IFERROR(VLOOKUP($C157,Logistics!$A$1:$O$534,11,FALSE),0)</f>
        <v>0</v>
      </c>
      <c r="AA157" s="247">
        <f t="shared" si="8"/>
        <v>0.4</v>
      </c>
    </row>
    <row r="158" spans="2:27" ht="15" x14ac:dyDescent="0.2">
      <c r="B158" s="225">
        <v>154</v>
      </c>
      <c r="C158" s="259"/>
      <c r="D158" s="227" t="str">
        <f>IFERROR(VLOOKUP($C158,Full_data!$B$8:$J$932,2,FALSE),"")</f>
        <v/>
      </c>
      <c r="E158" s="227" t="str">
        <f>IFERROR(VLOOKUP($C158,Full_data!$B$8:$J$932,3,FALSE),"")</f>
        <v/>
      </c>
      <c r="F158" s="226" t="str">
        <f>IFERROR(VLOOKUP($C158,Full_data!$B$8:$J$932,4,FALSE),"")</f>
        <v/>
      </c>
      <c r="G158" s="226" t="e">
        <f>VLOOKUP($C158,Full_data!$B$8:$J$932,5,FALSE)</f>
        <v>#N/A</v>
      </c>
      <c r="H158" s="226" t="e">
        <f>VLOOKUP($C158,Full_data!$B$8:$J$932,6,FALSE)</f>
        <v>#N/A</v>
      </c>
      <c r="I158" s="237" t="str">
        <f>IFERROR(VLOOKUP($C158,Full_data!$B$8:$J$932,7,FALSE),"")</f>
        <v/>
      </c>
      <c r="J158" s="355" t="str">
        <f>IFERROR(VLOOKUP($C158,Full_data!$B$8:$J$932,8,FALSE),"")</f>
        <v/>
      </c>
      <c r="K158" s="358"/>
      <c r="L158" s="229" t="str">
        <f t="shared" si="7"/>
        <v/>
      </c>
      <c r="M158" s="352"/>
      <c r="N158" s="237" t="str">
        <f t="shared" si="9"/>
        <v/>
      </c>
      <c r="O158" s="237">
        <f>M158*IFERROR(VLOOKUP($C158,Logistics!$A$1:$O$534,10,FALSE),0)</f>
        <v>0</v>
      </c>
      <c r="P158" s="239">
        <f>M158*IFERROR(VLOOKUP($C158,Logistics!$A$1:$O$534,11,FALSE),0)</f>
        <v>0</v>
      </c>
      <c r="AA158" s="247">
        <f t="shared" si="8"/>
        <v>0.4</v>
      </c>
    </row>
    <row r="159" spans="2:27" ht="15" x14ac:dyDescent="0.2">
      <c r="B159" s="223">
        <v>155</v>
      </c>
      <c r="C159" s="258"/>
      <c r="D159" s="228" t="str">
        <f>IFERROR(VLOOKUP($C159,Full_data!$B$8:$J$932,2,FALSE),"")</f>
        <v/>
      </c>
      <c r="E159" s="228" t="str">
        <f>IFERROR(VLOOKUP($C159,Full_data!$B$8:$J$932,3,FALSE),"")</f>
        <v/>
      </c>
      <c r="F159" s="224" t="str">
        <f>IFERROR(VLOOKUP($C159,Full_data!$B$8:$J$932,4,FALSE),"")</f>
        <v/>
      </c>
      <c r="G159" s="224" t="e">
        <f>VLOOKUP($C159,Full_data!$B$8:$J$932,5,FALSE)</f>
        <v>#N/A</v>
      </c>
      <c r="H159" s="224" t="e">
        <f>VLOOKUP($C159,Full_data!$B$8:$J$932,6,FALSE)</f>
        <v>#N/A</v>
      </c>
      <c r="I159" s="236" t="str">
        <f>IFERROR(VLOOKUP($C159,Full_data!$B$8:$J$932,7,FALSE),"")</f>
        <v/>
      </c>
      <c r="J159" s="354" t="str">
        <f>IFERROR(VLOOKUP($C159,Full_data!$B$8:$J$932,8,FALSE),"")</f>
        <v/>
      </c>
      <c r="K159" s="357"/>
      <c r="L159" s="230" t="str">
        <f t="shared" si="7"/>
        <v/>
      </c>
      <c r="M159" s="351"/>
      <c r="N159" s="236" t="str">
        <f t="shared" si="9"/>
        <v/>
      </c>
      <c r="O159" s="236">
        <f>M159*IFERROR(VLOOKUP($C159,Logistics!$A$1:$O$534,10,FALSE),0)</f>
        <v>0</v>
      </c>
      <c r="P159" s="238">
        <f>M159*IFERROR(VLOOKUP($C159,Logistics!$A$1:$O$534,11,FALSE),0)</f>
        <v>0</v>
      </c>
      <c r="AA159" s="247">
        <f t="shared" si="8"/>
        <v>0.4</v>
      </c>
    </row>
    <row r="160" spans="2:27" ht="15" x14ac:dyDescent="0.2">
      <c r="B160" s="225">
        <v>156</v>
      </c>
      <c r="C160" s="259"/>
      <c r="D160" s="227" t="str">
        <f>IFERROR(VLOOKUP($C160,Full_data!$B$8:$J$932,2,FALSE),"")</f>
        <v/>
      </c>
      <c r="E160" s="227" t="str">
        <f>IFERROR(VLOOKUP($C160,Full_data!$B$8:$J$932,3,FALSE),"")</f>
        <v/>
      </c>
      <c r="F160" s="226" t="str">
        <f>IFERROR(VLOOKUP($C160,Full_data!$B$8:$J$932,4,FALSE),"")</f>
        <v/>
      </c>
      <c r="G160" s="226" t="e">
        <f>VLOOKUP($C160,Full_data!$B$8:$J$932,5,FALSE)</f>
        <v>#N/A</v>
      </c>
      <c r="H160" s="226" t="e">
        <f>VLOOKUP($C160,Full_data!$B$8:$J$932,6,FALSE)</f>
        <v>#N/A</v>
      </c>
      <c r="I160" s="237" t="str">
        <f>IFERROR(VLOOKUP($C160,Full_data!$B$8:$J$932,7,FALSE),"")</f>
        <v/>
      </c>
      <c r="J160" s="355" t="str">
        <f>IFERROR(VLOOKUP($C160,Full_data!$B$8:$J$932,8,FALSE),"")</f>
        <v/>
      </c>
      <c r="K160" s="358"/>
      <c r="L160" s="229" t="str">
        <f t="shared" si="7"/>
        <v/>
      </c>
      <c r="M160" s="352"/>
      <c r="N160" s="237" t="str">
        <f t="shared" si="9"/>
        <v/>
      </c>
      <c r="O160" s="237">
        <f>M160*IFERROR(VLOOKUP($C160,Logistics!$A$1:$O$534,10,FALSE),0)</f>
        <v>0</v>
      </c>
      <c r="P160" s="239">
        <f>M160*IFERROR(VLOOKUP($C160,Logistics!$A$1:$O$534,11,FALSE),0)</f>
        <v>0</v>
      </c>
      <c r="AA160" s="247">
        <f t="shared" si="8"/>
        <v>0.4</v>
      </c>
    </row>
    <row r="161" spans="2:27" ht="15" x14ac:dyDescent="0.2">
      <c r="B161" s="223">
        <v>157</v>
      </c>
      <c r="C161" s="258"/>
      <c r="D161" s="228" t="str">
        <f>IFERROR(VLOOKUP($C161,Full_data!$B$8:$J$932,2,FALSE),"")</f>
        <v/>
      </c>
      <c r="E161" s="228" t="str">
        <f>IFERROR(VLOOKUP($C161,Full_data!$B$8:$J$932,3,FALSE),"")</f>
        <v/>
      </c>
      <c r="F161" s="224" t="str">
        <f>IFERROR(VLOOKUP($C161,Full_data!$B$8:$J$932,4,FALSE),"")</f>
        <v/>
      </c>
      <c r="G161" s="224" t="e">
        <f>VLOOKUP($C161,Full_data!$B$8:$J$932,5,FALSE)</f>
        <v>#N/A</v>
      </c>
      <c r="H161" s="224" t="e">
        <f>VLOOKUP($C161,Full_data!$B$8:$J$932,6,FALSE)</f>
        <v>#N/A</v>
      </c>
      <c r="I161" s="236" t="str">
        <f>IFERROR(VLOOKUP($C161,Full_data!$B$8:$J$932,7,FALSE),"")</f>
        <v/>
      </c>
      <c r="J161" s="354" t="str">
        <f>IFERROR(VLOOKUP($C161,Full_data!$B$8:$J$932,8,FALSE),"")</f>
        <v/>
      </c>
      <c r="K161" s="357"/>
      <c r="L161" s="230" t="str">
        <f t="shared" si="7"/>
        <v/>
      </c>
      <c r="M161" s="351"/>
      <c r="N161" s="236" t="str">
        <f t="shared" si="9"/>
        <v/>
      </c>
      <c r="O161" s="236">
        <f>M161*IFERROR(VLOOKUP($C161,Logistics!$A$1:$O$534,10,FALSE),0)</f>
        <v>0</v>
      </c>
      <c r="P161" s="238">
        <f>M161*IFERROR(VLOOKUP($C161,Logistics!$A$1:$O$534,11,FALSE),0)</f>
        <v>0</v>
      </c>
      <c r="AA161" s="247">
        <f t="shared" si="8"/>
        <v>0.4</v>
      </c>
    </row>
    <row r="162" spans="2:27" ht="15" x14ac:dyDescent="0.2">
      <c r="B162" s="225">
        <v>158</v>
      </c>
      <c r="C162" s="259"/>
      <c r="D162" s="227" t="str">
        <f>IFERROR(VLOOKUP($C162,Full_data!$B$8:$J$932,2,FALSE),"")</f>
        <v/>
      </c>
      <c r="E162" s="227" t="str">
        <f>IFERROR(VLOOKUP($C162,Full_data!$B$8:$J$932,3,FALSE),"")</f>
        <v/>
      </c>
      <c r="F162" s="226" t="str">
        <f>IFERROR(VLOOKUP($C162,Full_data!$B$8:$J$932,4,FALSE),"")</f>
        <v/>
      </c>
      <c r="G162" s="226" t="e">
        <f>VLOOKUP($C162,Full_data!$B$8:$J$932,5,FALSE)</f>
        <v>#N/A</v>
      </c>
      <c r="H162" s="226" t="e">
        <f>VLOOKUP($C162,Full_data!$B$8:$J$932,6,FALSE)</f>
        <v>#N/A</v>
      </c>
      <c r="I162" s="237" t="str">
        <f>IFERROR(VLOOKUP($C162,Full_data!$B$8:$J$932,7,FALSE),"")</f>
        <v/>
      </c>
      <c r="J162" s="355" t="str">
        <f>IFERROR(VLOOKUP($C162,Full_data!$B$8:$J$932,8,FALSE),"")</f>
        <v/>
      </c>
      <c r="K162" s="358"/>
      <c r="L162" s="229" t="str">
        <f t="shared" si="7"/>
        <v/>
      </c>
      <c r="M162" s="352"/>
      <c r="N162" s="237" t="str">
        <f t="shared" si="9"/>
        <v/>
      </c>
      <c r="O162" s="237">
        <f>M162*IFERROR(VLOOKUP($C162,Logistics!$A$1:$O$534,10,FALSE),0)</f>
        <v>0</v>
      </c>
      <c r="P162" s="239">
        <f>M162*IFERROR(VLOOKUP($C162,Logistics!$A$1:$O$534,11,FALSE),0)</f>
        <v>0</v>
      </c>
      <c r="AA162" s="247">
        <f t="shared" si="8"/>
        <v>0.4</v>
      </c>
    </row>
    <row r="163" spans="2:27" ht="15" x14ac:dyDescent="0.2">
      <c r="B163" s="223">
        <v>159</v>
      </c>
      <c r="C163" s="258"/>
      <c r="D163" s="228" t="str">
        <f>IFERROR(VLOOKUP($C163,Full_data!$B$8:$J$932,2,FALSE),"")</f>
        <v/>
      </c>
      <c r="E163" s="228" t="str">
        <f>IFERROR(VLOOKUP($C163,Full_data!$B$8:$J$932,3,FALSE),"")</f>
        <v/>
      </c>
      <c r="F163" s="224" t="str">
        <f>IFERROR(VLOOKUP($C163,Full_data!$B$8:$J$932,4,FALSE),"")</f>
        <v/>
      </c>
      <c r="G163" s="224" t="e">
        <f>VLOOKUP($C163,Full_data!$B$8:$J$932,5,FALSE)</f>
        <v>#N/A</v>
      </c>
      <c r="H163" s="224" t="e">
        <f>VLOOKUP($C163,Full_data!$B$8:$J$932,6,FALSE)</f>
        <v>#N/A</v>
      </c>
      <c r="I163" s="236" t="str">
        <f>IFERROR(VLOOKUP($C163,Full_data!$B$8:$J$932,7,FALSE),"")</f>
        <v/>
      </c>
      <c r="J163" s="354" t="str">
        <f>IFERROR(VLOOKUP($C163,Full_data!$B$8:$J$932,8,FALSE),"")</f>
        <v/>
      </c>
      <c r="K163" s="357"/>
      <c r="L163" s="230" t="str">
        <f t="shared" si="7"/>
        <v/>
      </c>
      <c r="M163" s="351"/>
      <c r="N163" s="236" t="str">
        <f t="shared" si="9"/>
        <v/>
      </c>
      <c r="O163" s="236">
        <f>M163*IFERROR(VLOOKUP($C163,Logistics!$A$1:$O$534,10,FALSE),0)</f>
        <v>0</v>
      </c>
      <c r="P163" s="238">
        <f>M163*IFERROR(VLOOKUP($C163,Logistics!$A$1:$O$534,11,FALSE),0)</f>
        <v>0</v>
      </c>
      <c r="AA163" s="247">
        <f t="shared" si="8"/>
        <v>0.4</v>
      </c>
    </row>
    <row r="164" spans="2:27" ht="15" x14ac:dyDescent="0.2">
      <c r="B164" s="225">
        <v>160</v>
      </c>
      <c r="C164" s="259"/>
      <c r="D164" s="227" t="str">
        <f>IFERROR(VLOOKUP($C164,Full_data!$B$8:$J$932,2,FALSE),"")</f>
        <v/>
      </c>
      <c r="E164" s="227" t="str">
        <f>IFERROR(VLOOKUP($C164,Full_data!$B$8:$J$932,3,FALSE),"")</f>
        <v/>
      </c>
      <c r="F164" s="226" t="str">
        <f>IFERROR(VLOOKUP($C164,Full_data!$B$8:$J$932,4,FALSE),"")</f>
        <v/>
      </c>
      <c r="G164" s="226" t="e">
        <f>VLOOKUP($C164,Full_data!$B$8:$J$932,5,FALSE)</f>
        <v>#N/A</v>
      </c>
      <c r="H164" s="226" t="e">
        <f>VLOOKUP($C164,Full_data!$B$8:$J$932,6,FALSE)</f>
        <v>#N/A</v>
      </c>
      <c r="I164" s="237" t="str">
        <f>IFERROR(VLOOKUP($C164,Full_data!$B$8:$J$932,7,FALSE),"")</f>
        <v/>
      </c>
      <c r="J164" s="355" t="str">
        <f>IFERROR(VLOOKUP($C164,Full_data!$B$8:$J$932,8,FALSE),"")</f>
        <v/>
      </c>
      <c r="K164" s="358"/>
      <c r="L164" s="229" t="str">
        <f t="shared" ref="L164:L227" si="10">IFERROR(IF(ISBLANK(K164),I164-I164*J164,I164-I164*K164),"")</f>
        <v/>
      </c>
      <c r="M164" s="352"/>
      <c r="N164" s="237" t="str">
        <f t="shared" si="9"/>
        <v/>
      </c>
      <c r="O164" s="237">
        <f>M164*IFERROR(VLOOKUP($C164,Logistics!$A$1:$O$534,10,FALSE),0)</f>
        <v>0</v>
      </c>
      <c r="P164" s="239">
        <f>M164*IFERROR(VLOOKUP($C164,Logistics!$A$1:$O$534,11,FALSE),0)</f>
        <v>0</v>
      </c>
      <c r="AA164" s="247">
        <f t="shared" si="8"/>
        <v>0.4</v>
      </c>
    </row>
    <row r="165" spans="2:27" ht="15" x14ac:dyDescent="0.2">
      <c r="B165" s="223">
        <v>161</v>
      </c>
      <c r="C165" s="258"/>
      <c r="D165" s="228" t="str">
        <f>IFERROR(VLOOKUP($C165,Full_data!$B$8:$J$932,2,FALSE),"")</f>
        <v/>
      </c>
      <c r="E165" s="228" t="str">
        <f>IFERROR(VLOOKUP($C165,Full_data!$B$8:$J$932,3,FALSE),"")</f>
        <v/>
      </c>
      <c r="F165" s="224" t="str">
        <f>IFERROR(VLOOKUP($C165,Full_data!$B$8:$J$932,4,FALSE),"")</f>
        <v/>
      </c>
      <c r="G165" s="224" t="e">
        <f>VLOOKUP($C165,Full_data!$B$8:$J$932,5,FALSE)</f>
        <v>#N/A</v>
      </c>
      <c r="H165" s="224" t="e">
        <f>VLOOKUP($C165,Full_data!$B$8:$J$932,6,FALSE)</f>
        <v>#N/A</v>
      </c>
      <c r="I165" s="236" t="str">
        <f>IFERROR(VLOOKUP($C165,Full_data!$B$8:$J$932,7,FALSE),"")</f>
        <v/>
      </c>
      <c r="J165" s="354" t="str">
        <f>IFERROR(VLOOKUP($C165,Full_data!$B$8:$J$932,8,FALSE),"")</f>
        <v/>
      </c>
      <c r="K165" s="357"/>
      <c r="L165" s="230" t="str">
        <f t="shared" si="10"/>
        <v/>
      </c>
      <c r="M165" s="351"/>
      <c r="N165" s="236" t="str">
        <f t="shared" si="9"/>
        <v/>
      </c>
      <c r="O165" s="236">
        <f>M165*IFERROR(VLOOKUP($C165,Logistics!$A$1:$O$534,10,FALSE),0)</f>
        <v>0</v>
      </c>
      <c r="P165" s="238">
        <f>M165*IFERROR(VLOOKUP($C165,Logistics!$A$1:$O$534,11,FALSE),0)</f>
        <v>0</v>
      </c>
      <c r="AA165" s="247">
        <f t="shared" si="8"/>
        <v>0.4</v>
      </c>
    </row>
    <row r="166" spans="2:27" ht="15" x14ac:dyDescent="0.2">
      <c r="B166" s="225">
        <v>162</v>
      </c>
      <c r="C166" s="259"/>
      <c r="D166" s="227" t="str">
        <f>IFERROR(VLOOKUP($C166,Full_data!$B$8:$J$932,2,FALSE),"")</f>
        <v/>
      </c>
      <c r="E166" s="227" t="str">
        <f>IFERROR(VLOOKUP($C166,Full_data!$B$8:$J$932,3,FALSE),"")</f>
        <v/>
      </c>
      <c r="F166" s="226" t="str">
        <f>IFERROR(VLOOKUP($C166,Full_data!$B$8:$J$932,4,FALSE),"")</f>
        <v/>
      </c>
      <c r="G166" s="226" t="e">
        <f>VLOOKUP($C166,Full_data!$B$8:$J$932,5,FALSE)</f>
        <v>#N/A</v>
      </c>
      <c r="H166" s="226" t="e">
        <f>VLOOKUP($C166,Full_data!$B$8:$J$932,6,FALSE)</f>
        <v>#N/A</v>
      </c>
      <c r="I166" s="237" t="str">
        <f>IFERROR(VLOOKUP($C166,Full_data!$B$8:$J$932,7,FALSE),"")</f>
        <v/>
      </c>
      <c r="J166" s="355" t="str">
        <f>IFERROR(VLOOKUP($C166,Full_data!$B$8:$J$932,8,FALSE),"")</f>
        <v/>
      </c>
      <c r="K166" s="358"/>
      <c r="L166" s="229" t="str">
        <f t="shared" si="10"/>
        <v/>
      </c>
      <c r="M166" s="352"/>
      <c r="N166" s="237" t="str">
        <f t="shared" si="9"/>
        <v/>
      </c>
      <c r="O166" s="237">
        <f>M166*IFERROR(VLOOKUP($C166,Logistics!$A$1:$O$534,10,FALSE),0)</f>
        <v>0</v>
      </c>
      <c r="P166" s="239">
        <f>M166*IFERROR(VLOOKUP($C166,Logistics!$A$1:$O$534,11,FALSE),0)</f>
        <v>0</v>
      </c>
      <c r="AA166" s="247">
        <f t="shared" si="8"/>
        <v>0.4</v>
      </c>
    </row>
    <row r="167" spans="2:27" ht="15" x14ac:dyDescent="0.2">
      <c r="B167" s="223">
        <v>163</v>
      </c>
      <c r="C167" s="258"/>
      <c r="D167" s="228" t="str">
        <f>IFERROR(VLOOKUP($C167,Full_data!$B$8:$J$932,2,FALSE),"")</f>
        <v/>
      </c>
      <c r="E167" s="228" t="str">
        <f>IFERROR(VLOOKUP($C167,Full_data!$B$8:$J$932,3,FALSE),"")</f>
        <v/>
      </c>
      <c r="F167" s="224" t="str">
        <f>IFERROR(VLOOKUP($C167,Full_data!$B$8:$J$932,4,FALSE),"")</f>
        <v/>
      </c>
      <c r="G167" s="224" t="e">
        <f>VLOOKUP($C167,Full_data!$B$8:$J$932,5,FALSE)</f>
        <v>#N/A</v>
      </c>
      <c r="H167" s="224" t="e">
        <f>VLOOKUP($C167,Full_data!$B$8:$J$932,6,FALSE)</f>
        <v>#N/A</v>
      </c>
      <c r="I167" s="236" t="str">
        <f>IFERROR(VLOOKUP($C167,Full_data!$B$8:$J$932,7,FALSE),"")</f>
        <v/>
      </c>
      <c r="J167" s="354" t="str">
        <f>IFERROR(VLOOKUP($C167,Full_data!$B$8:$J$932,8,FALSE),"")</f>
        <v/>
      </c>
      <c r="K167" s="357"/>
      <c r="L167" s="230" t="str">
        <f t="shared" si="10"/>
        <v/>
      </c>
      <c r="M167" s="351"/>
      <c r="N167" s="236" t="str">
        <f t="shared" si="9"/>
        <v/>
      </c>
      <c r="O167" s="236">
        <f>M167*IFERROR(VLOOKUP($C167,Logistics!$A$1:$O$534,10,FALSE),0)</f>
        <v>0</v>
      </c>
      <c r="P167" s="238">
        <f>M167*IFERROR(VLOOKUP($C167,Logistics!$A$1:$O$534,11,FALSE),0)</f>
        <v>0</v>
      </c>
      <c r="AA167" s="247">
        <f t="shared" si="8"/>
        <v>0.4</v>
      </c>
    </row>
    <row r="168" spans="2:27" ht="15" x14ac:dyDescent="0.2">
      <c r="B168" s="225">
        <v>164</v>
      </c>
      <c r="C168" s="259"/>
      <c r="D168" s="227" t="str">
        <f>IFERROR(VLOOKUP($C168,Full_data!$B$8:$J$932,2,FALSE),"")</f>
        <v/>
      </c>
      <c r="E168" s="227" t="str">
        <f>IFERROR(VLOOKUP($C168,Full_data!$B$8:$J$932,3,FALSE),"")</f>
        <v/>
      </c>
      <c r="F168" s="226" t="str">
        <f>IFERROR(VLOOKUP($C168,Full_data!$B$8:$J$932,4,FALSE),"")</f>
        <v/>
      </c>
      <c r="G168" s="226" t="e">
        <f>VLOOKUP($C168,Full_data!$B$8:$J$932,5,FALSE)</f>
        <v>#N/A</v>
      </c>
      <c r="H168" s="226" t="e">
        <f>VLOOKUP($C168,Full_data!$B$8:$J$932,6,FALSE)</f>
        <v>#N/A</v>
      </c>
      <c r="I168" s="237" t="str">
        <f>IFERROR(VLOOKUP($C168,Full_data!$B$8:$J$932,7,FALSE),"")</f>
        <v/>
      </c>
      <c r="J168" s="355" t="str">
        <f>IFERROR(VLOOKUP($C168,Full_data!$B$8:$J$932,8,FALSE),"")</f>
        <v/>
      </c>
      <c r="K168" s="358"/>
      <c r="L168" s="229" t="str">
        <f t="shared" si="10"/>
        <v/>
      </c>
      <c r="M168" s="352"/>
      <c r="N168" s="237" t="str">
        <f t="shared" si="9"/>
        <v/>
      </c>
      <c r="O168" s="237">
        <f>M168*IFERROR(VLOOKUP($C168,Logistics!$A$1:$O$534,10,FALSE),0)</f>
        <v>0</v>
      </c>
      <c r="P168" s="239">
        <f>M168*IFERROR(VLOOKUP($C168,Logistics!$A$1:$O$534,11,FALSE),0)</f>
        <v>0</v>
      </c>
      <c r="AA168" s="247">
        <f t="shared" si="8"/>
        <v>0.4</v>
      </c>
    </row>
    <row r="169" spans="2:27" ht="15" x14ac:dyDescent="0.2">
      <c r="B169" s="223">
        <v>165</v>
      </c>
      <c r="C169" s="258"/>
      <c r="D169" s="228" t="str">
        <f>IFERROR(VLOOKUP($C169,Full_data!$B$8:$J$932,2,FALSE),"")</f>
        <v/>
      </c>
      <c r="E169" s="228" t="str">
        <f>IFERROR(VLOOKUP($C169,Full_data!$B$8:$J$932,3,FALSE),"")</f>
        <v/>
      </c>
      <c r="F169" s="224" t="str">
        <f>IFERROR(VLOOKUP($C169,Full_data!$B$8:$J$932,4,FALSE),"")</f>
        <v/>
      </c>
      <c r="G169" s="224" t="e">
        <f>VLOOKUP($C169,Full_data!$B$8:$J$932,5,FALSE)</f>
        <v>#N/A</v>
      </c>
      <c r="H169" s="224" t="e">
        <f>VLOOKUP($C169,Full_data!$B$8:$J$932,6,FALSE)</f>
        <v>#N/A</v>
      </c>
      <c r="I169" s="236" t="str">
        <f>IFERROR(VLOOKUP($C169,Full_data!$B$8:$J$932,7,FALSE),"")</f>
        <v/>
      </c>
      <c r="J169" s="354" t="str">
        <f>IFERROR(VLOOKUP($C169,Full_data!$B$8:$J$932,8,FALSE),"")</f>
        <v/>
      </c>
      <c r="K169" s="357"/>
      <c r="L169" s="230" t="str">
        <f t="shared" si="10"/>
        <v/>
      </c>
      <c r="M169" s="351"/>
      <c r="N169" s="236" t="str">
        <f t="shared" si="9"/>
        <v/>
      </c>
      <c r="O169" s="236">
        <f>M169*IFERROR(VLOOKUP($C169,Logistics!$A$1:$O$534,10,FALSE),0)</f>
        <v>0</v>
      </c>
      <c r="P169" s="238">
        <f>M169*IFERROR(VLOOKUP($C169,Logistics!$A$1:$O$534,11,FALSE),0)</f>
        <v>0</v>
      </c>
      <c r="AA169" s="247">
        <f t="shared" si="8"/>
        <v>0.4</v>
      </c>
    </row>
    <row r="170" spans="2:27" ht="15" x14ac:dyDescent="0.2">
      <c r="B170" s="225">
        <v>166</v>
      </c>
      <c r="C170" s="259"/>
      <c r="D170" s="227" t="str">
        <f>IFERROR(VLOOKUP($C170,Full_data!$B$8:$J$932,2,FALSE),"")</f>
        <v/>
      </c>
      <c r="E170" s="227" t="str">
        <f>IFERROR(VLOOKUP($C170,Full_data!$B$8:$J$932,3,FALSE),"")</f>
        <v/>
      </c>
      <c r="F170" s="226" t="str">
        <f>IFERROR(VLOOKUP($C170,Full_data!$B$8:$J$932,4,FALSE),"")</f>
        <v/>
      </c>
      <c r="G170" s="226" t="e">
        <f>VLOOKUP($C170,Full_data!$B$8:$J$932,5,FALSE)</f>
        <v>#N/A</v>
      </c>
      <c r="H170" s="226" t="e">
        <f>VLOOKUP($C170,Full_data!$B$8:$J$932,6,FALSE)</f>
        <v>#N/A</v>
      </c>
      <c r="I170" s="237" t="str">
        <f>IFERROR(VLOOKUP($C170,Full_data!$B$8:$J$932,7,FALSE),"")</f>
        <v/>
      </c>
      <c r="J170" s="355" t="str">
        <f>IFERROR(VLOOKUP($C170,Full_data!$B$8:$J$932,8,FALSE),"")</f>
        <v/>
      </c>
      <c r="K170" s="358"/>
      <c r="L170" s="229" t="str">
        <f t="shared" si="10"/>
        <v/>
      </c>
      <c r="M170" s="352"/>
      <c r="N170" s="237" t="str">
        <f t="shared" si="9"/>
        <v/>
      </c>
      <c r="O170" s="237">
        <f>M170*IFERROR(VLOOKUP($C170,Logistics!$A$1:$O$534,10,FALSE),0)</f>
        <v>0</v>
      </c>
      <c r="P170" s="239">
        <f>M170*IFERROR(VLOOKUP($C170,Logistics!$A$1:$O$534,11,FALSE),0)</f>
        <v>0</v>
      </c>
      <c r="AA170" s="247">
        <f t="shared" si="8"/>
        <v>0.4</v>
      </c>
    </row>
    <row r="171" spans="2:27" ht="15" x14ac:dyDescent="0.2">
      <c r="B171" s="223">
        <v>167</v>
      </c>
      <c r="C171" s="258"/>
      <c r="D171" s="228" t="str">
        <f>IFERROR(VLOOKUP($C171,Full_data!$B$8:$J$932,2,FALSE),"")</f>
        <v/>
      </c>
      <c r="E171" s="228" t="str">
        <f>IFERROR(VLOOKUP($C171,Full_data!$B$8:$J$932,3,FALSE),"")</f>
        <v/>
      </c>
      <c r="F171" s="224" t="str">
        <f>IFERROR(VLOOKUP($C171,Full_data!$B$8:$J$932,4,FALSE),"")</f>
        <v/>
      </c>
      <c r="G171" s="224" t="e">
        <f>VLOOKUP($C171,Full_data!$B$8:$J$932,5,FALSE)</f>
        <v>#N/A</v>
      </c>
      <c r="H171" s="224" t="e">
        <f>VLOOKUP($C171,Full_data!$B$8:$J$932,6,FALSE)</f>
        <v>#N/A</v>
      </c>
      <c r="I171" s="236" t="str">
        <f>IFERROR(VLOOKUP($C171,Full_data!$B$8:$J$932,7,FALSE),"")</f>
        <v/>
      </c>
      <c r="J171" s="354" t="str">
        <f>IFERROR(VLOOKUP($C171,Full_data!$B$8:$J$932,8,FALSE),"")</f>
        <v/>
      </c>
      <c r="K171" s="357"/>
      <c r="L171" s="230" t="str">
        <f t="shared" si="10"/>
        <v/>
      </c>
      <c r="M171" s="351"/>
      <c r="N171" s="236" t="str">
        <f t="shared" si="9"/>
        <v/>
      </c>
      <c r="O171" s="236">
        <f>M171*IFERROR(VLOOKUP($C171,Logistics!$A$1:$O$534,10,FALSE),0)</f>
        <v>0</v>
      </c>
      <c r="P171" s="238">
        <f>M171*IFERROR(VLOOKUP($C171,Logistics!$A$1:$O$534,11,FALSE),0)</f>
        <v>0</v>
      </c>
      <c r="AA171" s="247">
        <f t="shared" si="8"/>
        <v>0.4</v>
      </c>
    </row>
    <row r="172" spans="2:27" ht="15" x14ac:dyDescent="0.2">
      <c r="B172" s="225">
        <v>168</v>
      </c>
      <c r="C172" s="259"/>
      <c r="D172" s="227" t="str">
        <f>IFERROR(VLOOKUP($C172,Full_data!$B$8:$J$932,2,FALSE),"")</f>
        <v/>
      </c>
      <c r="E172" s="227" t="str">
        <f>IFERROR(VLOOKUP($C172,Full_data!$B$8:$J$932,3,FALSE),"")</f>
        <v/>
      </c>
      <c r="F172" s="226" t="str">
        <f>IFERROR(VLOOKUP($C172,Full_data!$B$8:$J$932,4,FALSE),"")</f>
        <v/>
      </c>
      <c r="G172" s="226" t="e">
        <f>VLOOKUP($C172,Full_data!$B$8:$J$932,5,FALSE)</f>
        <v>#N/A</v>
      </c>
      <c r="H172" s="226" t="e">
        <f>VLOOKUP($C172,Full_data!$B$8:$J$932,6,FALSE)</f>
        <v>#N/A</v>
      </c>
      <c r="I172" s="237" t="str">
        <f>IFERROR(VLOOKUP($C172,Full_data!$B$8:$J$932,7,FALSE),"")</f>
        <v/>
      </c>
      <c r="J172" s="355" t="str">
        <f>IFERROR(VLOOKUP($C172,Full_data!$B$8:$J$932,8,FALSE),"")</f>
        <v/>
      </c>
      <c r="K172" s="358"/>
      <c r="L172" s="229" t="str">
        <f t="shared" si="10"/>
        <v/>
      </c>
      <c r="M172" s="352"/>
      <c r="N172" s="237" t="str">
        <f t="shared" si="9"/>
        <v/>
      </c>
      <c r="O172" s="237">
        <f>M172*IFERROR(VLOOKUP($C172,Logistics!$A$1:$O$534,10,FALSE),0)</f>
        <v>0</v>
      </c>
      <c r="P172" s="239">
        <f>M172*IFERROR(VLOOKUP($C172,Logistics!$A$1:$O$534,11,FALSE),0)</f>
        <v>0</v>
      </c>
      <c r="AA172" s="247">
        <f t="shared" si="8"/>
        <v>0.4</v>
      </c>
    </row>
    <row r="173" spans="2:27" ht="15" x14ac:dyDescent="0.2">
      <c r="B173" s="223">
        <v>169</v>
      </c>
      <c r="C173" s="258"/>
      <c r="D173" s="228" t="str">
        <f>IFERROR(VLOOKUP($C173,Full_data!$B$8:$J$932,2,FALSE),"")</f>
        <v/>
      </c>
      <c r="E173" s="228" t="str">
        <f>IFERROR(VLOOKUP($C173,Full_data!$B$8:$J$932,3,FALSE),"")</f>
        <v/>
      </c>
      <c r="F173" s="224" t="str">
        <f>IFERROR(VLOOKUP($C173,Full_data!$B$8:$J$932,4,FALSE),"")</f>
        <v/>
      </c>
      <c r="G173" s="224" t="e">
        <f>VLOOKUP($C173,Full_data!$B$8:$J$932,5,FALSE)</f>
        <v>#N/A</v>
      </c>
      <c r="H173" s="224" t="e">
        <f>VLOOKUP($C173,Full_data!$B$8:$J$932,6,FALSE)</f>
        <v>#N/A</v>
      </c>
      <c r="I173" s="236" t="str">
        <f>IFERROR(VLOOKUP($C173,Full_data!$B$8:$J$932,7,FALSE),"")</f>
        <v/>
      </c>
      <c r="J173" s="354" t="str">
        <f>IFERROR(VLOOKUP($C173,Full_data!$B$8:$J$932,8,FALSE),"")</f>
        <v/>
      </c>
      <c r="K173" s="357"/>
      <c r="L173" s="230" t="str">
        <f t="shared" si="10"/>
        <v/>
      </c>
      <c r="M173" s="351"/>
      <c r="N173" s="236" t="str">
        <f t="shared" si="9"/>
        <v/>
      </c>
      <c r="O173" s="236">
        <f>M173*IFERROR(VLOOKUP($C173,Logistics!$A$1:$O$534,10,FALSE),0)</f>
        <v>0</v>
      </c>
      <c r="P173" s="238">
        <f>M173*IFERROR(VLOOKUP($C173,Logistics!$A$1:$O$534,11,FALSE),0)</f>
        <v>0</v>
      </c>
      <c r="AA173" s="247">
        <f t="shared" si="8"/>
        <v>0.4</v>
      </c>
    </row>
    <row r="174" spans="2:27" ht="15" x14ac:dyDescent="0.2">
      <c r="B174" s="225">
        <v>170</v>
      </c>
      <c r="C174" s="259"/>
      <c r="D174" s="227" t="str">
        <f>IFERROR(VLOOKUP($C174,Full_data!$B$8:$J$932,2,FALSE),"")</f>
        <v/>
      </c>
      <c r="E174" s="227" t="str">
        <f>IFERROR(VLOOKUP($C174,Full_data!$B$8:$J$932,3,FALSE),"")</f>
        <v/>
      </c>
      <c r="F174" s="226" t="str">
        <f>IFERROR(VLOOKUP($C174,Full_data!$B$8:$J$932,4,FALSE),"")</f>
        <v/>
      </c>
      <c r="G174" s="226" t="e">
        <f>VLOOKUP($C174,Full_data!$B$8:$J$932,5,FALSE)</f>
        <v>#N/A</v>
      </c>
      <c r="H174" s="226" t="e">
        <f>VLOOKUP($C174,Full_data!$B$8:$J$932,6,FALSE)</f>
        <v>#N/A</v>
      </c>
      <c r="I174" s="237" t="str">
        <f>IFERROR(VLOOKUP($C174,Full_data!$B$8:$J$932,7,FALSE),"")</f>
        <v/>
      </c>
      <c r="J174" s="355" t="str">
        <f>IFERROR(VLOOKUP($C174,Full_data!$B$8:$J$932,8,FALSE),"")</f>
        <v/>
      </c>
      <c r="K174" s="358"/>
      <c r="L174" s="229" t="str">
        <f t="shared" si="10"/>
        <v/>
      </c>
      <c r="M174" s="352"/>
      <c r="N174" s="237" t="str">
        <f t="shared" si="9"/>
        <v/>
      </c>
      <c r="O174" s="237">
        <f>M174*IFERROR(VLOOKUP($C174,Logistics!$A$1:$O$534,10,FALSE),0)</f>
        <v>0</v>
      </c>
      <c r="P174" s="239">
        <f>M174*IFERROR(VLOOKUP($C174,Logistics!$A$1:$O$534,11,FALSE),0)</f>
        <v>0</v>
      </c>
      <c r="AA174" s="247">
        <f t="shared" si="8"/>
        <v>0.4</v>
      </c>
    </row>
    <row r="175" spans="2:27" ht="15" x14ac:dyDescent="0.2">
      <c r="B175" s="223">
        <v>171</v>
      </c>
      <c r="C175" s="258"/>
      <c r="D175" s="228" t="str">
        <f>IFERROR(VLOOKUP($C175,Full_data!$B$8:$J$932,2,FALSE),"")</f>
        <v/>
      </c>
      <c r="E175" s="228" t="str">
        <f>IFERROR(VLOOKUP($C175,Full_data!$B$8:$J$932,3,FALSE),"")</f>
        <v/>
      </c>
      <c r="F175" s="224" t="str">
        <f>IFERROR(VLOOKUP($C175,Full_data!$B$8:$J$932,4,FALSE),"")</f>
        <v/>
      </c>
      <c r="G175" s="224" t="e">
        <f>VLOOKUP($C175,Full_data!$B$8:$J$932,5,FALSE)</f>
        <v>#N/A</v>
      </c>
      <c r="H175" s="224" t="e">
        <f>VLOOKUP($C175,Full_data!$B$8:$J$932,6,FALSE)</f>
        <v>#N/A</v>
      </c>
      <c r="I175" s="236" t="str">
        <f>IFERROR(VLOOKUP($C175,Full_data!$B$8:$J$932,7,FALSE),"")</f>
        <v/>
      </c>
      <c r="J175" s="354" t="str">
        <f>IFERROR(VLOOKUP($C175,Full_data!$B$8:$J$932,8,FALSE),"")</f>
        <v/>
      </c>
      <c r="K175" s="357"/>
      <c r="L175" s="230" t="str">
        <f t="shared" si="10"/>
        <v/>
      </c>
      <c r="M175" s="351"/>
      <c r="N175" s="236" t="str">
        <f t="shared" si="9"/>
        <v/>
      </c>
      <c r="O175" s="236">
        <f>M175*IFERROR(VLOOKUP($C175,Logistics!$A$1:$O$534,10,FALSE),0)</f>
        <v>0</v>
      </c>
      <c r="P175" s="238">
        <f>M175*IFERROR(VLOOKUP($C175,Logistics!$A$1:$O$534,11,FALSE),0)</f>
        <v>0</v>
      </c>
      <c r="AA175" s="247">
        <f t="shared" si="8"/>
        <v>0.4</v>
      </c>
    </row>
    <row r="176" spans="2:27" ht="15" x14ac:dyDescent="0.2">
      <c r="B176" s="225">
        <v>172</v>
      </c>
      <c r="C176" s="259"/>
      <c r="D176" s="227" t="str">
        <f>IFERROR(VLOOKUP($C176,Full_data!$B$8:$J$932,2,FALSE),"")</f>
        <v/>
      </c>
      <c r="E176" s="227" t="str">
        <f>IFERROR(VLOOKUP($C176,Full_data!$B$8:$J$932,3,FALSE),"")</f>
        <v/>
      </c>
      <c r="F176" s="226" t="str">
        <f>IFERROR(VLOOKUP($C176,Full_data!$B$8:$J$932,4,FALSE),"")</f>
        <v/>
      </c>
      <c r="G176" s="226" t="e">
        <f>VLOOKUP($C176,Full_data!$B$8:$J$932,5,FALSE)</f>
        <v>#N/A</v>
      </c>
      <c r="H176" s="226" t="e">
        <f>VLOOKUP($C176,Full_data!$B$8:$J$932,6,FALSE)</f>
        <v>#N/A</v>
      </c>
      <c r="I176" s="237" t="str">
        <f>IFERROR(VLOOKUP($C176,Full_data!$B$8:$J$932,7,FALSE),"")</f>
        <v/>
      </c>
      <c r="J176" s="355" t="str">
        <f>IFERROR(VLOOKUP($C176,Full_data!$B$8:$J$932,8,FALSE),"")</f>
        <v/>
      </c>
      <c r="K176" s="358"/>
      <c r="L176" s="229" t="str">
        <f t="shared" si="10"/>
        <v/>
      </c>
      <c r="M176" s="352"/>
      <c r="N176" s="237" t="str">
        <f t="shared" si="9"/>
        <v/>
      </c>
      <c r="O176" s="237">
        <f>M176*IFERROR(VLOOKUP($C176,Logistics!$A$1:$O$534,10,FALSE),0)</f>
        <v>0</v>
      </c>
      <c r="P176" s="239">
        <f>M176*IFERROR(VLOOKUP($C176,Logistics!$A$1:$O$534,11,FALSE),0)</f>
        <v>0</v>
      </c>
      <c r="AA176" s="247">
        <f t="shared" si="8"/>
        <v>0.4</v>
      </c>
    </row>
    <row r="177" spans="2:27" ht="15" x14ac:dyDescent="0.2">
      <c r="B177" s="223">
        <v>173</v>
      </c>
      <c r="C177" s="258"/>
      <c r="D177" s="228" t="str">
        <f>IFERROR(VLOOKUP($C177,Full_data!$B$8:$J$932,2,FALSE),"")</f>
        <v/>
      </c>
      <c r="E177" s="228" t="str">
        <f>IFERROR(VLOOKUP($C177,Full_data!$B$8:$J$932,3,FALSE),"")</f>
        <v/>
      </c>
      <c r="F177" s="224" t="str">
        <f>IFERROR(VLOOKUP($C177,Full_data!$B$8:$J$932,4,FALSE),"")</f>
        <v/>
      </c>
      <c r="G177" s="224" t="e">
        <f>VLOOKUP($C177,Full_data!$B$8:$J$932,5,FALSE)</f>
        <v>#N/A</v>
      </c>
      <c r="H177" s="224" t="e">
        <f>VLOOKUP($C177,Full_data!$B$8:$J$932,6,FALSE)</f>
        <v>#N/A</v>
      </c>
      <c r="I177" s="236" t="str">
        <f>IFERROR(VLOOKUP($C177,Full_data!$B$8:$J$932,7,FALSE),"")</f>
        <v/>
      </c>
      <c r="J177" s="354" t="str">
        <f>IFERROR(VLOOKUP($C177,Full_data!$B$8:$J$932,8,FALSE),"")</f>
        <v/>
      </c>
      <c r="K177" s="357"/>
      <c r="L177" s="230" t="str">
        <f t="shared" si="10"/>
        <v/>
      </c>
      <c r="M177" s="351"/>
      <c r="N177" s="236" t="str">
        <f t="shared" si="9"/>
        <v/>
      </c>
      <c r="O177" s="236">
        <f>M177*IFERROR(VLOOKUP($C177,Logistics!$A$1:$O$534,10,FALSE),0)</f>
        <v>0</v>
      </c>
      <c r="P177" s="238">
        <f>M177*IFERROR(VLOOKUP($C177,Logistics!$A$1:$O$534,11,FALSE),0)</f>
        <v>0</v>
      </c>
      <c r="AA177" s="247">
        <f t="shared" si="8"/>
        <v>0.4</v>
      </c>
    </row>
    <row r="178" spans="2:27" ht="15" x14ac:dyDescent="0.2">
      <c r="B178" s="225">
        <v>174</v>
      </c>
      <c r="C178" s="259"/>
      <c r="D178" s="227" t="str">
        <f>IFERROR(VLOOKUP($C178,Full_data!$B$8:$J$932,2,FALSE),"")</f>
        <v/>
      </c>
      <c r="E178" s="227" t="str">
        <f>IFERROR(VLOOKUP($C178,Full_data!$B$8:$J$932,3,FALSE),"")</f>
        <v/>
      </c>
      <c r="F178" s="226" t="str">
        <f>IFERROR(VLOOKUP($C178,Full_data!$B$8:$J$932,4,FALSE),"")</f>
        <v/>
      </c>
      <c r="G178" s="226" t="e">
        <f>VLOOKUP($C178,Full_data!$B$8:$J$932,5,FALSE)</f>
        <v>#N/A</v>
      </c>
      <c r="H178" s="226" t="e">
        <f>VLOOKUP($C178,Full_data!$B$8:$J$932,6,FALSE)</f>
        <v>#N/A</v>
      </c>
      <c r="I178" s="237" t="str">
        <f>IFERROR(VLOOKUP($C178,Full_data!$B$8:$J$932,7,FALSE),"")</f>
        <v/>
      </c>
      <c r="J178" s="355" t="str">
        <f>IFERROR(VLOOKUP($C178,Full_data!$B$8:$J$932,8,FALSE),"")</f>
        <v/>
      </c>
      <c r="K178" s="358"/>
      <c r="L178" s="229" t="str">
        <f t="shared" si="10"/>
        <v/>
      </c>
      <c r="M178" s="352"/>
      <c r="N178" s="237" t="str">
        <f t="shared" si="9"/>
        <v/>
      </c>
      <c r="O178" s="237">
        <f>M178*IFERROR(VLOOKUP($C178,Logistics!$A$1:$O$534,10,FALSE),0)</f>
        <v>0</v>
      </c>
      <c r="P178" s="239">
        <f>M178*IFERROR(VLOOKUP($C178,Logistics!$A$1:$O$534,11,FALSE),0)</f>
        <v>0</v>
      </c>
      <c r="AA178" s="247">
        <f t="shared" si="8"/>
        <v>0.4</v>
      </c>
    </row>
    <row r="179" spans="2:27" ht="15" x14ac:dyDescent="0.2">
      <c r="B179" s="223">
        <v>175</v>
      </c>
      <c r="C179" s="258"/>
      <c r="D179" s="228" t="str">
        <f>IFERROR(VLOOKUP($C179,Full_data!$B$8:$J$932,2,FALSE),"")</f>
        <v/>
      </c>
      <c r="E179" s="228" t="str">
        <f>IFERROR(VLOOKUP($C179,Full_data!$B$8:$J$932,3,FALSE),"")</f>
        <v/>
      </c>
      <c r="F179" s="224" t="str">
        <f>IFERROR(VLOOKUP($C179,Full_data!$B$8:$J$932,4,FALSE),"")</f>
        <v/>
      </c>
      <c r="G179" s="224" t="e">
        <f>VLOOKUP($C179,Full_data!$B$8:$J$932,5,FALSE)</f>
        <v>#N/A</v>
      </c>
      <c r="H179" s="224" t="e">
        <f>VLOOKUP($C179,Full_data!$B$8:$J$932,6,FALSE)</f>
        <v>#N/A</v>
      </c>
      <c r="I179" s="236" t="str">
        <f>IFERROR(VLOOKUP($C179,Full_data!$B$8:$J$932,7,FALSE),"")</f>
        <v/>
      </c>
      <c r="J179" s="354" t="str">
        <f>IFERROR(VLOOKUP($C179,Full_data!$B$8:$J$932,8,FALSE),"")</f>
        <v/>
      </c>
      <c r="K179" s="357"/>
      <c r="L179" s="230" t="str">
        <f t="shared" si="10"/>
        <v/>
      </c>
      <c r="M179" s="351"/>
      <c r="N179" s="236" t="str">
        <f t="shared" si="9"/>
        <v/>
      </c>
      <c r="O179" s="236">
        <f>M179*IFERROR(VLOOKUP($C179,Logistics!$A$1:$O$534,10,FALSE),0)</f>
        <v>0</v>
      </c>
      <c r="P179" s="238">
        <f>M179*IFERROR(VLOOKUP($C179,Logistics!$A$1:$O$534,11,FALSE),0)</f>
        <v>0</v>
      </c>
      <c r="AA179" s="247">
        <f t="shared" si="8"/>
        <v>0.4</v>
      </c>
    </row>
    <row r="180" spans="2:27" ht="15" x14ac:dyDescent="0.2">
      <c r="B180" s="225">
        <v>176</v>
      </c>
      <c r="C180" s="259"/>
      <c r="D180" s="227" t="str">
        <f>IFERROR(VLOOKUP($C180,Full_data!$B$8:$J$932,2,FALSE),"")</f>
        <v/>
      </c>
      <c r="E180" s="227" t="str">
        <f>IFERROR(VLOOKUP($C180,Full_data!$B$8:$J$932,3,FALSE),"")</f>
        <v/>
      </c>
      <c r="F180" s="226" t="str">
        <f>IFERROR(VLOOKUP($C180,Full_data!$B$8:$J$932,4,FALSE),"")</f>
        <v/>
      </c>
      <c r="G180" s="226" t="e">
        <f>VLOOKUP($C180,Full_data!$B$8:$J$932,5,FALSE)</f>
        <v>#N/A</v>
      </c>
      <c r="H180" s="226" t="e">
        <f>VLOOKUP($C180,Full_data!$B$8:$J$932,6,FALSE)</f>
        <v>#N/A</v>
      </c>
      <c r="I180" s="237" t="str">
        <f>IFERROR(VLOOKUP($C180,Full_data!$B$8:$J$932,7,FALSE),"")</f>
        <v/>
      </c>
      <c r="J180" s="355" t="str">
        <f>IFERROR(VLOOKUP($C180,Full_data!$B$8:$J$932,8,FALSE),"")</f>
        <v/>
      </c>
      <c r="K180" s="358"/>
      <c r="L180" s="229" t="str">
        <f t="shared" si="10"/>
        <v/>
      </c>
      <c r="M180" s="352"/>
      <c r="N180" s="237" t="str">
        <f t="shared" si="9"/>
        <v/>
      </c>
      <c r="O180" s="237">
        <f>M180*IFERROR(VLOOKUP($C180,Logistics!$A$1:$O$534,10,FALSE),0)</f>
        <v>0</v>
      </c>
      <c r="P180" s="239">
        <f>M180*IFERROR(VLOOKUP($C180,Logistics!$A$1:$O$534,11,FALSE),0)</f>
        <v>0</v>
      </c>
      <c r="AA180" s="247">
        <f t="shared" si="8"/>
        <v>0.4</v>
      </c>
    </row>
    <row r="181" spans="2:27" ht="15" x14ac:dyDescent="0.2">
      <c r="B181" s="223">
        <v>177</v>
      </c>
      <c r="C181" s="258"/>
      <c r="D181" s="228" t="str">
        <f>IFERROR(VLOOKUP($C181,Full_data!$B$8:$J$932,2,FALSE),"")</f>
        <v/>
      </c>
      <c r="E181" s="228" t="str">
        <f>IFERROR(VLOOKUP($C181,Full_data!$B$8:$J$932,3,FALSE),"")</f>
        <v/>
      </c>
      <c r="F181" s="224" t="str">
        <f>IFERROR(VLOOKUP($C181,Full_data!$B$8:$J$932,4,FALSE),"")</f>
        <v/>
      </c>
      <c r="G181" s="224" t="e">
        <f>VLOOKUP($C181,Full_data!$B$8:$J$932,5,FALSE)</f>
        <v>#N/A</v>
      </c>
      <c r="H181" s="224" t="e">
        <f>VLOOKUP($C181,Full_data!$B$8:$J$932,6,FALSE)</f>
        <v>#N/A</v>
      </c>
      <c r="I181" s="236" t="str">
        <f>IFERROR(VLOOKUP($C181,Full_data!$B$8:$J$932,7,FALSE),"")</f>
        <v/>
      </c>
      <c r="J181" s="354" t="str">
        <f>IFERROR(VLOOKUP($C181,Full_data!$B$8:$J$932,8,FALSE),"")</f>
        <v/>
      </c>
      <c r="K181" s="357"/>
      <c r="L181" s="230" t="str">
        <f t="shared" si="10"/>
        <v/>
      </c>
      <c r="M181" s="351"/>
      <c r="N181" s="236" t="str">
        <f t="shared" si="9"/>
        <v/>
      </c>
      <c r="O181" s="236">
        <f>M181*IFERROR(VLOOKUP($C181,Logistics!$A$1:$O$534,10,FALSE),0)</f>
        <v>0</v>
      </c>
      <c r="P181" s="238">
        <f>M181*IFERROR(VLOOKUP($C181,Logistics!$A$1:$O$534,11,FALSE),0)</f>
        <v>0</v>
      </c>
      <c r="AA181" s="247">
        <f t="shared" si="8"/>
        <v>0.4</v>
      </c>
    </row>
    <row r="182" spans="2:27" ht="15" x14ac:dyDescent="0.2">
      <c r="B182" s="225">
        <v>178</v>
      </c>
      <c r="C182" s="259"/>
      <c r="D182" s="227" t="str">
        <f>IFERROR(VLOOKUP($C182,Full_data!$B$8:$J$932,2,FALSE),"")</f>
        <v/>
      </c>
      <c r="E182" s="227" t="str">
        <f>IFERROR(VLOOKUP($C182,Full_data!$B$8:$J$932,3,FALSE),"")</f>
        <v/>
      </c>
      <c r="F182" s="226" t="str">
        <f>IFERROR(VLOOKUP($C182,Full_data!$B$8:$J$932,4,FALSE),"")</f>
        <v/>
      </c>
      <c r="G182" s="226" t="e">
        <f>VLOOKUP($C182,Full_data!$B$8:$J$932,5,FALSE)</f>
        <v>#N/A</v>
      </c>
      <c r="H182" s="226" t="e">
        <f>VLOOKUP($C182,Full_data!$B$8:$J$932,6,FALSE)</f>
        <v>#N/A</v>
      </c>
      <c r="I182" s="237" t="str">
        <f>IFERROR(VLOOKUP($C182,Full_data!$B$8:$J$932,7,FALSE),"")</f>
        <v/>
      </c>
      <c r="J182" s="355" t="str">
        <f>IFERROR(VLOOKUP($C182,Full_data!$B$8:$J$932,8,FALSE),"")</f>
        <v/>
      </c>
      <c r="K182" s="358"/>
      <c r="L182" s="229" t="str">
        <f t="shared" si="10"/>
        <v/>
      </c>
      <c r="M182" s="352"/>
      <c r="N182" s="237" t="str">
        <f t="shared" si="9"/>
        <v/>
      </c>
      <c r="O182" s="237">
        <f>M182*IFERROR(VLOOKUP($C182,Logistics!$A$1:$O$534,10,FALSE),0)</f>
        <v>0</v>
      </c>
      <c r="P182" s="239">
        <f>M182*IFERROR(VLOOKUP($C182,Logistics!$A$1:$O$534,11,FALSE),0)</f>
        <v>0</v>
      </c>
      <c r="AA182" s="247">
        <f t="shared" si="8"/>
        <v>0.4</v>
      </c>
    </row>
    <row r="183" spans="2:27" ht="15" x14ac:dyDescent="0.2">
      <c r="B183" s="223">
        <v>179</v>
      </c>
      <c r="C183" s="258"/>
      <c r="D183" s="228" t="str">
        <f>IFERROR(VLOOKUP($C183,Full_data!$B$8:$J$932,2,FALSE),"")</f>
        <v/>
      </c>
      <c r="E183" s="228" t="str">
        <f>IFERROR(VLOOKUP($C183,Full_data!$B$8:$J$932,3,FALSE),"")</f>
        <v/>
      </c>
      <c r="F183" s="224" t="str">
        <f>IFERROR(VLOOKUP($C183,Full_data!$B$8:$J$932,4,FALSE),"")</f>
        <v/>
      </c>
      <c r="G183" s="224" t="e">
        <f>VLOOKUP($C183,Full_data!$B$8:$J$932,5,FALSE)</f>
        <v>#N/A</v>
      </c>
      <c r="H183" s="224" t="e">
        <f>VLOOKUP($C183,Full_data!$B$8:$J$932,6,FALSE)</f>
        <v>#N/A</v>
      </c>
      <c r="I183" s="236" t="str">
        <f>IFERROR(VLOOKUP($C183,Full_data!$B$8:$J$932,7,FALSE),"")</f>
        <v/>
      </c>
      <c r="J183" s="354" t="str">
        <f>IFERROR(VLOOKUP($C183,Full_data!$B$8:$J$932,8,FALSE),"")</f>
        <v/>
      </c>
      <c r="K183" s="357"/>
      <c r="L183" s="230" t="str">
        <f t="shared" si="10"/>
        <v/>
      </c>
      <c r="M183" s="351"/>
      <c r="N183" s="236" t="str">
        <f t="shared" si="9"/>
        <v/>
      </c>
      <c r="O183" s="236">
        <f>M183*IFERROR(VLOOKUP($C183,Logistics!$A$1:$O$534,10,FALSE),0)</f>
        <v>0</v>
      </c>
      <c r="P183" s="238">
        <f>M183*IFERROR(VLOOKUP($C183,Logistics!$A$1:$O$534,11,FALSE),0)</f>
        <v>0</v>
      </c>
      <c r="AA183" s="247">
        <f t="shared" si="8"/>
        <v>0.4</v>
      </c>
    </row>
    <row r="184" spans="2:27" ht="15" x14ac:dyDescent="0.2">
      <c r="B184" s="225">
        <v>180</v>
      </c>
      <c r="C184" s="259"/>
      <c r="D184" s="227" t="str">
        <f>IFERROR(VLOOKUP($C184,Full_data!$B$8:$J$932,2,FALSE),"")</f>
        <v/>
      </c>
      <c r="E184" s="227" t="str">
        <f>IFERROR(VLOOKUP($C184,Full_data!$B$8:$J$932,3,FALSE),"")</f>
        <v/>
      </c>
      <c r="F184" s="226" t="str">
        <f>IFERROR(VLOOKUP($C184,Full_data!$B$8:$J$932,4,FALSE),"")</f>
        <v/>
      </c>
      <c r="G184" s="226" t="e">
        <f>VLOOKUP($C184,Full_data!$B$8:$J$932,5,FALSE)</f>
        <v>#N/A</v>
      </c>
      <c r="H184" s="226" t="e">
        <f>VLOOKUP($C184,Full_data!$B$8:$J$932,6,FALSE)</f>
        <v>#N/A</v>
      </c>
      <c r="I184" s="237" t="str">
        <f>IFERROR(VLOOKUP($C184,Full_data!$B$8:$J$932,7,FALSE),"")</f>
        <v/>
      </c>
      <c r="J184" s="355" t="str">
        <f>IFERROR(VLOOKUP($C184,Full_data!$B$8:$J$932,8,FALSE),"")</f>
        <v/>
      </c>
      <c r="K184" s="358"/>
      <c r="L184" s="229" t="str">
        <f t="shared" si="10"/>
        <v/>
      </c>
      <c r="M184" s="352"/>
      <c r="N184" s="237" t="str">
        <f t="shared" si="9"/>
        <v/>
      </c>
      <c r="O184" s="237">
        <f>M184*IFERROR(VLOOKUP($C184,Logistics!$A$1:$O$534,10,FALSE),0)</f>
        <v>0</v>
      </c>
      <c r="P184" s="239">
        <f>M184*IFERROR(VLOOKUP($C184,Logistics!$A$1:$O$534,11,FALSE),0)</f>
        <v>0</v>
      </c>
      <c r="AA184" s="247">
        <f t="shared" si="8"/>
        <v>0.4</v>
      </c>
    </row>
    <row r="185" spans="2:27" ht="15" x14ac:dyDescent="0.2">
      <c r="B185" s="223">
        <v>181</v>
      </c>
      <c r="C185" s="258"/>
      <c r="D185" s="228" t="str">
        <f>IFERROR(VLOOKUP($C185,Full_data!$B$8:$J$932,2,FALSE),"")</f>
        <v/>
      </c>
      <c r="E185" s="228" t="str">
        <f>IFERROR(VLOOKUP($C185,Full_data!$B$8:$J$932,3,FALSE),"")</f>
        <v/>
      </c>
      <c r="F185" s="224" t="str">
        <f>IFERROR(VLOOKUP($C185,Full_data!$B$8:$J$932,4,FALSE),"")</f>
        <v/>
      </c>
      <c r="G185" s="224" t="e">
        <f>VLOOKUP($C185,Full_data!$B$8:$J$932,5,FALSE)</f>
        <v>#N/A</v>
      </c>
      <c r="H185" s="224" t="e">
        <f>VLOOKUP($C185,Full_data!$B$8:$J$932,6,FALSE)</f>
        <v>#N/A</v>
      </c>
      <c r="I185" s="236" t="str">
        <f>IFERROR(VLOOKUP($C185,Full_data!$B$8:$J$932,7,FALSE),"")</f>
        <v/>
      </c>
      <c r="J185" s="354" t="str">
        <f>IFERROR(VLOOKUP($C185,Full_data!$B$8:$J$932,8,FALSE),"")</f>
        <v/>
      </c>
      <c r="K185" s="357"/>
      <c r="L185" s="230" t="str">
        <f t="shared" si="10"/>
        <v/>
      </c>
      <c r="M185" s="351"/>
      <c r="N185" s="236" t="str">
        <f t="shared" si="9"/>
        <v/>
      </c>
      <c r="O185" s="236">
        <f>M185*IFERROR(VLOOKUP($C185,Logistics!$A$1:$O$534,10,FALSE),0)</f>
        <v>0</v>
      </c>
      <c r="P185" s="238">
        <f>M185*IFERROR(VLOOKUP($C185,Logistics!$A$1:$O$534,11,FALSE),0)</f>
        <v>0</v>
      </c>
      <c r="AA185" s="247">
        <f t="shared" si="8"/>
        <v>0.4</v>
      </c>
    </row>
    <row r="186" spans="2:27" ht="15" x14ac:dyDescent="0.2">
      <c r="B186" s="225">
        <v>182</v>
      </c>
      <c r="C186" s="259"/>
      <c r="D186" s="227" t="str">
        <f>IFERROR(VLOOKUP($C186,Full_data!$B$8:$J$932,2,FALSE),"")</f>
        <v/>
      </c>
      <c r="E186" s="227" t="str">
        <f>IFERROR(VLOOKUP($C186,Full_data!$B$8:$J$932,3,FALSE),"")</f>
        <v/>
      </c>
      <c r="F186" s="226" t="str">
        <f>IFERROR(VLOOKUP($C186,Full_data!$B$8:$J$932,4,FALSE),"")</f>
        <v/>
      </c>
      <c r="G186" s="226" t="e">
        <f>VLOOKUP($C186,Full_data!$B$8:$J$932,5,FALSE)</f>
        <v>#N/A</v>
      </c>
      <c r="H186" s="226" t="e">
        <f>VLOOKUP($C186,Full_data!$B$8:$J$932,6,FALSE)</f>
        <v>#N/A</v>
      </c>
      <c r="I186" s="237" t="str">
        <f>IFERROR(VLOOKUP($C186,Full_data!$B$8:$J$932,7,FALSE),"")</f>
        <v/>
      </c>
      <c r="J186" s="355" t="str">
        <f>IFERROR(VLOOKUP($C186,Full_data!$B$8:$J$932,8,FALSE),"")</f>
        <v/>
      </c>
      <c r="K186" s="358"/>
      <c r="L186" s="229" t="str">
        <f t="shared" si="10"/>
        <v/>
      </c>
      <c r="M186" s="352"/>
      <c r="N186" s="237" t="str">
        <f t="shared" si="9"/>
        <v/>
      </c>
      <c r="O186" s="237">
        <f>M186*IFERROR(VLOOKUP($C186,Logistics!$A$1:$O$534,10,FALSE),0)</f>
        <v>0</v>
      </c>
      <c r="P186" s="239">
        <f>M186*IFERROR(VLOOKUP($C186,Logistics!$A$1:$O$534,11,FALSE),0)</f>
        <v>0</v>
      </c>
      <c r="AA186" s="247">
        <f t="shared" si="8"/>
        <v>0.4</v>
      </c>
    </row>
    <row r="187" spans="2:27" ht="15" x14ac:dyDescent="0.2">
      <c r="B187" s="223">
        <v>183</v>
      </c>
      <c r="C187" s="258"/>
      <c r="D187" s="228" t="str">
        <f>IFERROR(VLOOKUP($C187,Full_data!$B$8:$J$932,2,FALSE),"")</f>
        <v/>
      </c>
      <c r="E187" s="228" t="str">
        <f>IFERROR(VLOOKUP($C187,Full_data!$B$8:$J$932,3,FALSE),"")</f>
        <v/>
      </c>
      <c r="F187" s="224" t="str">
        <f>IFERROR(VLOOKUP($C187,Full_data!$B$8:$J$932,4,FALSE),"")</f>
        <v/>
      </c>
      <c r="G187" s="224" t="e">
        <f>VLOOKUP($C187,Full_data!$B$8:$J$932,5,FALSE)</f>
        <v>#N/A</v>
      </c>
      <c r="H187" s="224" t="e">
        <f>VLOOKUP($C187,Full_data!$B$8:$J$932,6,FALSE)</f>
        <v>#N/A</v>
      </c>
      <c r="I187" s="236" t="str">
        <f>IFERROR(VLOOKUP($C187,Full_data!$B$8:$J$932,7,FALSE),"")</f>
        <v/>
      </c>
      <c r="J187" s="354" t="str">
        <f>IFERROR(VLOOKUP($C187,Full_data!$B$8:$J$932,8,FALSE),"")</f>
        <v/>
      </c>
      <c r="K187" s="357"/>
      <c r="L187" s="230" t="str">
        <f t="shared" si="10"/>
        <v/>
      </c>
      <c r="M187" s="351"/>
      <c r="N187" s="236" t="str">
        <f t="shared" si="9"/>
        <v/>
      </c>
      <c r="O187" s="236">
        <f>M187*IFERROR(VLOOKUP($C187,Logistics!$A$1:$O$534,10,FALSE),0)</f>
        <v>0</v>
      </c>
      <c r="P187" s="238">
        <f>M187*IFERROR(VLOOKUP($C187,Logistics!$A$1:$O$534,11,FALSE),0)</f>
        <v>0</v>
      </c>
      <c r="AA187" s="247">
        <f t="shared" si="8"/>
        <v>0.4</v>
      </c>
    </row>
    <row r="188" spans="2:27" ht="15" x14ac:dyDescent="0.2">
      <c r="B188" s="225">
        <v>184</v>
      </c>
      <c r="C188" s="259"/>
      <c r="D188" s="227" t="str">
        <f>IFERROR(VLOOKUP($C188,Full_data!$B$8:$J$932,2,FALSE),"")</f>
        <v/>
      </c>
      <c r="E188" s="227" t="str">
        <f>IFERROR(VLOOKUP($C188,Full_data!$B$8:$J$932,3,FALSE),"")</f>
        <v/>
      </c>
      <c r="F188" s="226" t="str">
        <f>IFERROR(VLOOKUP($C188,Full_data!$B$8:$J$932,4,FALSE),"")</f>
        <v/>
      </c>
      <c r="G188" s="226" t="e">
        <f>VLOOKUP($C188,Full_data!$B$8:$J$932,5,FALSE)</f>
        <v>#N/A</v>
      </c>
      <c r="H188" s="226" t="e">
        <f>VLOOKUP($C188,Full_data!$B$8:$J$932,6,FALSE)</f>
        <v>#N/A</v>
      </c>
      <c r="I188" s="237" t="str">
        <f>IFERROR(VLOOKUP($C188,Full_data!$B$8:$J$932,7,FALSE),"")</f>
        <v/>
      </c>
      <c r="J188" s="355" t="str">
        <f>IFERROR(VLOOKUP($C188,Full_data!$B$8:$J$932,8,FALSE),"")</f>
        <v/>
      </c>
      <c r="K188" s="358"/>
      <c r="L188" s="229" t="str">
        <f t="shared" si="10"/>
        <v/>
      </c>
      <c r="M188" s="352"/>
      <c r="N188" s="237" t="str">
        <f t="shared" si="9"/>
        <v/>
      </c>
      <c r="O188" s="237">
        <f>M188*IFERROR(VLOOKUP($C188,Logistics!$A$1:$O$534,10,FALSE),0)</f>
        <v>0</v>
      </c>
      <c r="P188" s="239">
        <f>M188*IFERROR(VLOOKUP($C188,Logistics!$A$1:$O$534,11,FALSE),0)</f>
        <v>0</v>
      </c>
      <c r="AA188" s="247">
        <f t="shared" si="8"/>
        <v>0.4</v>
      </c>
    </row>
    <row r="189" spans="2:27" ht="15" x14ac:dyDescent="0.2">
      <c r="B189" s="223">
        <v>185</v>
      </c>
      <c r="C189" s="258"/>
      <c r="D189" s="228" t="str">
        <f>IFERROR(VLOOKUP($C189,Full_data!$B$8:$J$932,2,FALSE),"")</f>
        <v/>
      </c>
      <c r="E189" s="228" t="str">
        <f>IFERROR(VLOOKUP($C189,Full_data!$B$8:$J$932,3,FALSE),"")</f>
        <v/>
      </c>
      <c r="F189" s="224" t="str">
        <f>IFERROR(VLOOKUP($C189,Full_data!$B$8:$J$932,4,FALSE),"")</f>
        <v/>
      </c>
      <c r="G189" s="224" t="e">
        <f>VLOOKUP($C189,Full_data!$B$8:$J$932,5,FALSE)</f>
        <v>#N/A</v>
      </c>
      <c r="H189" s="224" t="e">
        <f>VLOOKUP($C189,Full_data!$B$8:$J$932,6,FALSE)</f>
        <v>#N/A</v>
      </c>
      <c r="I189" s="236" t="str">
        <f>IFERROR(VLOOKUP($C189,Full_data!$B$8:$J$932,7,FALSE),"")</f>
        <v/>
      </c>
      <c r="J189" s="354" t="str">
        <f>IFERROR(VLOOKUP($C189,Full_data!$B$8:$J$932,8,FALSE),"")</f>
        <v/>
      </c>
      <c r="K189" s="357"/>
      <c r="L189" s="230" t="str">
        <f t="shared" si="10"/>
        <v/>
      </c>
      <c r="M189" s="351"/>
      <c r="N189" s="236" t="str">
        <f t="shared" si="9"/>
        <v/>
      </c>
      <c r="O189" s="236">
        <f>M189*IFERROR(VLOOKUP($C189,Logistics!$A$1:$O$534,10,FALSE),0)</f>
        <v>0</v>
      </c>
      <c r="P189" s="238">
        <f>M189*IFERROR(VLOOKUP($C189,Logistics!$A$1:$O$534,11,FALSE),0)</f>
        <v>0</v>
      </c>
      <c r="AA189" s="247">
        <f t="shared" si="8"/>
        <v>0.4</v>
      </c>
    </row>
    <row r="190" spans="2:27" ht="15" x14ac:dyDescent="0.2">
      <c r="B190" s="225">
        <v>186</v>
      </c>
      <c r="C190" s="259"/>
      <c r="D190" s="227" t="str">
        <f>IFERROR(VLOOKUP($C190,Full_data!$B$8:$J$932,2,FALSE),"")</f>
        <v/>
      </c>
      <c r="E190" s="227" t="str">
        <f>IFERROR(VLOOKUP($C190,Full_data!$B$8:$J$932,3,FALSE),"")</f>
        <v/>
      </c>
      <c r="F190" s="226" t="str">
        <f>IFERROR(VLOOKUP($C190,Full_data!$B$8:$J$932,4,FALSE),"")</f>
        <v/>
      </c>
      <c r="G190" s="226" t="e">
        <f>VLOOKUP($C190,Full_data!$B$8:$J$932,5,FALSE)</f>
        <v>#N/A</v>
      </c>
      <c r="H190" s="226" t="e">
        <f>VLOOKUP($C190,Full_data!$B$8:$J$932,6,FALSE)</f>
        <v>#N/A</v>
      </c>
      <c r="I190" s="237" t="str">
        <f>IFERROR(VLOOKUP($C190,Full_data!$B$8:$J$932,7,FALSE),"")</f>
        <v/>
      </c>
      <c r="J190" s="355" t="str">
        <f>IFERROR(VLOOKUP($C190,Full_data!$B$8:$J$932,8,FALSE),"")</f>
        <v/>
      </c>
      <c r="K190" s="358"/>
      <c r="L190" s="229" t="str">
        <f t="shared" si="10"/>
        <v/>
      </c>
      <c r="M190" s="352"/>
      <c r="N190" s="237" t="str">
        <f t="shared" si="9"/>
        <v/>
      </c>
      <c r="O190" s="237">
        <f>M190*IFERROR(VLOOKUP($C190,Logistics!$A$1:$O$534,10,FALSE),0)</f>
        <v>0</v>
      </c>
      <c r="P190" s="239">
        <f>M190*IFERROR(VLOOKUP($C190,Logistics!$A$1:$O$534,11,FALSE),0)</f>
        <v>0</v>
      </c>
      <c r="AA190" s="247">
        <f t="shared" si="8"/>
        <v>0.4</v>
      </c>
    </row>
    <row r="191" spans="2:27" ht="15" x14ac:dyDescent="0.2">
      <c r="B191" s="223">
        <v>187</v>
      </c>
      <c r="C191" s="258"/>
      <c r="D191" s="228" t="str">
        <f>IFERROR(VLOOKUP($C191,Full_data!$B$8:$J$932,2,FALSE),"")</f>
        <v/>
      </c>
      <c r="E191" s="228" t="str">
        <f>IFERROR(VLOOKUP($C191,Full_data!$B$8:$J$932,3,FALSE),"")</f>
        <v/>
      </c>
      <c r="F191" s="224" t="str">
        <f>IFERROR(VLOOKUP($C191,Full_data!$B$8:$J$932,4,FALSE),"")</f>
        <v/>
      </c>
      <c r="G191" s="224" t="e">
        <f>VLOOKUP($C191,Full_data!$B$8:$J$932,5,FALSE)</f>
        <v>#N/A</v>
      </c>
      <c r="H191" s="224" t="e">
        <f>VLOOKUP($C191,Full_data!$B$8:$J$932,6,FALSE)</f>
        <v>#N/A</v>
      </c>
      <c r="I191" s="236" t="str">
        <f>IFERROR(VLOOKUP($C191,Full_data!$B$8:$J$932,7,FALSE),"")</f>
        <v/>
      </c>
      <c r="J191" s="354" t="str">
        <f>IFERROR(VLOOKUP($C191,Full_data!$B$8:$J$932,8,FALSE),"")</f>
        <v/>
      </c>
      <c r="K191" s="357"/>
      <c r="L191" s="230" t="str">
        <f t="shared" si="10"/>
        <v/>
      </c>
      <c r="M191" s="351"/>
      <c r="N191" s="236" t="str">
        <f t="shared" si="9"/>
        <v/>
      </c>
      <c r="O191" s="236">
        <f>M191*IFERROR(VLOOKUP($C191,Logistics!$A$1:$O$534,10,FALSE),0)</f>
        <v>0</v>
      </c>
      <c r="P191" s="238">
        <f>M191*IFERROR(VLOOKUP($C191,Logistics!$A$1:$O$534,11,FALSE),0)</f>
        <v>0</v>
      </c>
      <c r="AA191" s="247">
        <f t="shared" si="8"/>
        <v>0.4</v>
      </c>
    </row>
    <row r="192" spans="2:27" ht="15" x14ac:dyDescent="0.2">
      <c r="B192" s="225">
        <v>188</v>
      </c>
      <c r="C192" s="259"/>
      <c r="D192" s="227" t="str">
        <f>IFERROR(VLOOKUP($C192,Full_data!$B$8:$J$932,2,FALSE),"")</f>
        <v/>
      </c>
      <c r="E192" s="227" t="str">
        <f>IFERROR(VLOOKUP($C192,Full_data!$B$8:$J$932,3,FALSE),"")</f>
        <v/>
      </c>
      <c r="F192" s="226" t="str">
        <f>IFERROR(VLOOKUP($C192,Full_data!$B$8:$J$932,4,FALSE),"")</f>
        <v/>
      </c>
      <c r="G192" s="226" t="e">
        <f>VLOOKUP($C192,Full_data!$B$8:$J$932,5,FALSE)</f>
        <v>#N/A</v>
      </c>
      <c r="H192" s="226" t="e">
        <f>VLOOKUP($C192,Full_data!$B$8:$J$932,6,FALSE)</f>
        <v>#N/A</v>
      </c>
      <c r="I192" s="237" t="str">
        <f>IFERROR(VLOOKUP($C192,Full_data!$B$8:$J$932,7,FALSE),"")</f>
        <v/>
      </c>
      <c r="J192" s="355" t="str">
        <f>IFERROR(VLOOKUP($C192,Full_data!$B$8:$J$932,8,FALSE),"")</f>
        <v/>
      </c>
      <c r="K192" s="358"/>
      <c r="L192" s="229" t="str">
        <f t="shared" si="10"/>
        <v/>
      </c>
      <c r="M192" s="352"/>
      <c r="N192" s="237" t="str">
        <f t="shared" si="9"/>
        <v/>
      </c>
      <c r="O192" s="237">
        <f>M192*IFERROR(VLOOKUP($C192,Logistics!$A$1:$O$534,10,FALSE),0)</f>
        <v>0</v>
      </c>
      <c r="P192" s="239">
        <f>M192*IFERROR(VLOOKUP($C192,Logistics!$A$1:$O$534,11,FALSE),0)</f>
        <v>0</v>
      </c>
      <c r="AA192" s="247">
        <f t="shared" si="8"/>
        <v>0.4</v>
      </c>
    </row>
    <row r="193" spans="2:27" ht="15" x14ac:dyDescent="0.2">
      <c r="B193" s="223">
        <v>189</v>
      </c>
      <c r="C193" s="258"/>
      <c r="D193" s="228" t="str">
        <f>IFERROR(VLOOKUP($C193,Full_data!$B$8:$J$932,2,FALSE),"")</f>
        <v/>
      </c>
      <c r="E193" s="228" t="str">
        <f>IFERROR(VLOOKUP($C193,Full_data!$B$8:$J$932,3,FALSE),"")</f>
        <v/>
      </c>
      <c r="F193" s="224" t="str">
        <f>IFERROR(VLOOKUP($C193,Full_data!$B$8:$J$932,4,FALSE),"")</f>
        <v/>
      </c>
      <c r="G193" s="224" t="e">
        <f>VLOOKUP($C193,Full_data!$B$8:$J$932,5,FALSE)</f>
        <v>#N/A</v>
      </c>
      <c r="H193" s="224" t="e">
        <f>VLOOKUP($C193,Full_data!$B$8:$J$932,6,FALSE)</f>
        <v>#N/A</v>
      </c>
      <c r="I193" s="236" t="str">
        <f>IFERROR(VLOOKUP($C193,Full_data!$B$8:$J$932,7,FALSE),"")</f>
        <v/>
      </c>
      <c r="J193" s="354" t="str">
        <f>IFERROR(VLOOKUP($C193,Full_data!$B$8:$J$932,8,FALSE),"")</f>
        <v/>
      </c>
      <c r="K193" s="357"/>
      <c r="L193" s="230" t="str">
        <f t="shared" si="10"/>
        <v/>
      </c>
      <c r="M193" s="351"/>
      <c r="N193" s="236" t="str">
        <f t="shared" si="9"/>
        <v/>
      </c>
      <c r="O193" s="236">
        <f>M193*IFERROR(VLOOKUP($C193,Logistics!$A$1:$O$534,10,FALSE),0)</f>
        <v>0</v>
      </c>
      <c r="P193" s="238">
        <f>M193*IFERROR(VLOOKUP($C193,Logistics!$A$1:$O$534,11,FALSE),0)</f>
        <v>0</v>
      </c>
      <c r="AA193" s="247">
        <f t="shared" si="8"/>
        <v>0.4</v>
      </c>
    </row>
    <row r="194" spans="2:27" ht="15" x14ac:dyDescent="0.2">
      <c r="B194" s="225">
        <v>190</v>
      </c>
      <c r="C194" s="259"/>
      <c r="D194" s="227" t="str">
        <f>IFERROR(VLOOKUP($C194,Full_data!$B$8:$J$932,2,FALSE),"")</f>
        <v/>
      </c>
      <c r="E194" s="227" t="str">
        <f>IFERROR(VLOOKUP($C194,Full_data!$B$8:$J$932,3,FALSE),"")</f>
        <v/>
      </c>
      <c r="F194" s="226" t="str">
        <f>IFERROR(VLOOKUP($C194,Full_data!$B$8:$J$932,4,FALSE),"")</f>
        <v/>
      </c>
      <c r="G194" s="226" t="e">
        <f>VLOOKUP($C194,Full_data!$B$8:$J$932,5,FALSE)</f>
        <v>#N/A</v>
      </c>
      <c r="H194" s="226" t="e">
        <f>VLOOKUP($C194,Full_data!$B$8:$J$932,6,FALSE)</f>
        <v>#N/A</v>
      </c>
      <c r="I194" s="237" t="str">
        <f>IFERROR(VLOOKUP($C194,Full_data!$B$8:$J$932,7,FALSE),"")</f>
        <v/>
      </c>
      <c r="J194" s="355" t="str">
        <f>IFERROR(VLOOKUP($C194,Full_data!$B$8:$J$932,8,FALSE),"")</f>
        <v/>
      </c>
      <c r="K194" s="358"/>
      <c r="L194" s="229" t="str">
        <f t="shared" si="10"/>
        <v/>
      </c>
      <c r="M194" s="352"/>
      <c r="N194" s="237" t="str">
        <f t="shared" si="9"/>
        <v/>
      </c>
      <c r="O194" s="237">
        <f>M194*IFERROR(VLOOKUP($C194,Logistics!$A$1:$O$534,10,FALSE),0)</f>
        <v>0</v>
      </c>
      <c r="P194" s="239">
        <f>M194*IFERROR(VLOOKUP($C194,Logistics!$A$1:$O$534,11,FALSE),0)</f>
        <v>0</v>
      </c>
      <c r="AA194" s="247">
        <f t="shared" si="8"/>
        <v>0.4</v>
      </c>
    </row>
    <row r="195" spans="2:27" ht="15" x14ac:dyDescent="0.2">
      <c r="B195" s="223">
        <v>191</v>
      </c>
      <c r="C195" s="258"/>
      <c r="D195" s="228" t="str">
        <f>IFERROR(VLOOKUP($C195,Full_data!$B$8:$J$932,2,FALSE),"")</f>
        <v/>
      </c>
      <c r="E195" s="228" t="str">
        <f>IFERROR(VLOOKUP($C195,Full_data!$B$8:$J$932,3,FALSE),"")</f>
        <v/>
      </c>
      <c r="F195" s="224" t="str">
        <f>IFERROR(VLOOKUP($C195,Full_data!$B$8:$J$932,4,FALSE),"")</f>
        <v/>
      </c>
      <c r="G195" s="224" t="e">
        <f>VLOOKUP($C195,Full_data!$B$8:$J$932,5,FALSE)</f>
        <v>#N/A</v>
      </c>
      <c r="H195" s="224" t="e">
        <f>VLOOKUP($C195,Full_data!$B$8:$J$932,6,FALSE)</f>
        <v>#N/A</v>
      </c>
      <c r="I195" s="236" t="str">
        <f>IFERROR(VLOOKUP($C195,Full_data!$B$8:$J$932,7,FALSE),"")</f>
        <v/>
      </c>
      <c r="J195" s="354" t="str">
        <f>IFERROR(VLOOKUP($C195,Full_data!$B$8:$J$932,8,FALSE),"")</f>
        <v/>
      </c>
      <c r="K195" s="357"/>
      <c r="L195" s="230" t="str">
        <f t="shared" si="10"/>
        <v/>
      </c>
      <c r="M195" s="351"/>
      <c r="N195" s="236" t="str">
        <f t="shared" si="9"/>
        <v/>
      </c>
      <c r="O195" s="236">
        <f>M195*IFERROR(VLOOKUP($C195,Logistics!$A$1:$O$534,10,FALSE),0)</f>
        <v>0</v>
      </c>
      <c r="P195" s="238">
        <f>M195*IFERROR(VLOOKUP($C195,Logistics!$A$1:$O$534,11,FALSE),0)</f>
        <v>0</v>
      </c>
      <c r="AA195" s="247">
        <f t="shared" si="8"/>
        <v>0.4</v>
      </c>
    </row>
    <row r="196" spans="2:27" ht="15" x14ac:dyDescent="0.2">
      <c r="B196" s="225">
        <v>192</v>
      </c>
      <c r="C196" s="259"/>
      <c r="D196" s="227" t="str">
        <f>IFERROR(VLOOKUP($C196,Full_data!$B$8:$J$932,2,FALSE),"")</f>
        <v/>
      </c>
      <c r="E196" s="227" t="str">
        <f>IFERROR(VLOOKUP($C196,Full_data!$B$8:$J$932,3,FALSE),"")</f>
        <v/>
      </c>
      <c r="F196" s="226" t="str">
        <f>IFERROR(VLOOKUP($C196,Full_data!$B$8:$J$932,4,FALSE),"")</f>
        <v/>
      </c>
      <c r="G196" s="226" t="e">
        <f>VLOOKUP($C196,Full_data!$B$8:$J$932,5,FALSE)</f>
        <v>#N/A</v>
      </c>
      <c r="H196" s="226" t="e">
        <f>VLOOKUP($C196,Full_data!$B$8:$J$932,6,FALSE)</f>
        <v>#N/A</v>
      </c>
      <c r="I196" s="237" t="str">
        <f>IFERROR(VLOOKUP($C196,Full_data!$B$8:$J$932,7,FALSE),"")</f>
        <v/>
      </c>
      <c r="J196" s="355" t="str">
        <f>IFERROR(VLOOKUP($C196,Full_data!$B$8:$J$932,8,FALSE),"")</f>
        <v/>
      </c>
      <c r="K196" s="358"/>
      <c r="L196" s="229" t="str">
        <f t="shared" si="10"/>
        <v/>
      </c>
      <c r="M196" s="352"/>
      <c r="N196" s="237" t="str">
        <f t="shared" si="9"/>
        <v/>
      </c>
      <c r="O196" s="237">
        <f>M196*IFERROR(VLOOKUP($C196,Logistics!$A$1:$O$534,10,FALSE),0)</f>
        <v>0</v>
      </c>
      <c r="P196" s="239">
        <f>M196*IFERROR(VLOOKUP($C196,Logistics!$A$1:$O$534,11,FALSE),0)</f>
        <v>0</v>
      </c>
      <c r="AA196" s="247">
        <f t="shared" si="8"/>
        <v>0.4</v>
      </c>
    </row>
    <row r="197" spans="2:27" ht="15" x14ac:dyDescent="0.2">
      <c r="B197" s="223">
        <v>193</v>
      </c>
      <c r="C197" s="258"/>
      <c r="D197" s="228" t="str">
        <f>IFERROR(VLOOKUP($C197,Full_data!$B$8:$J$932,2,FALSE),"")</f>
        <v/>
      </c>
      <c r="E197" s="228" t="str">
        <f>IFERROR(VLOOKUP($C197,Full_data!$B$8:$J$932,3,FALSE),"")</f>
        <v/>
      </c>
      <c r="F197" s="224" t="str">
        <f>IFERROR(VLOOKUP($C197,Full_data!$B$8:$J$932,4,FALSE),"")</f>
        <v/>
      </c>
      <c r="G197" s="224" t="e">
        <f>VLOOKUP($C197,Full_data!$B$8:$J$932,5,FALSE)</f>
        <v>#N/A</v>
      </c>
      <c r="H197" s="224" t="e">
        <f>VLOOKUP($C197,Full_data!$B$8:$J$932,6,FALSE)</f>
        <v>#N/A</v>
      </c>
      <c r="I197" s="236" t="str">
        <f>IFERROR(VLOOKUP($C197,Full_data!$B$8:$J$932,7,FALSE),"")</f>
        <v/>
      </c>
      <c r="J197" s="354" t="str">
        <f>IFERROR(VLOOKUP($C197,Full_data!$B$8:$J$932,8,FALSE),"")</f>
        <v/>
      </c>
      <c r="K197" s="357"/>
      <c r="L197" s="230" t="str">
        <f t="shared" si="10"/>
        <v/>
      </c>
      <c r="M197" s="351"/>
      <c r="N197" s="236" t="str">
        <f t="shared" si="9"/>
        <v/>
      </c>
      <c r="O197" s="236">
        <f>M197*IFERROR(VLOOKUP($C197,Logistics!$A$1:$O$534,10,FALSE),0)</f>
        <v>0</v>
      </c>
      <c r="P197" s="238">
        <f>M197*IFERROR(VLOOKUP($C197,Logistics!$A$1:$O$534,11,FALSE),0)</f>
        <v>0</v>
      </c>
      <c r="AA197" s="247">
        <f t="shared" si="8"/>
        <v>0.4</v>
      </c>
    </row>
    <row r="198" spans="2:27" ht="15" x14ac:dyDescent="0.2">
      <c r="B198" s="225">
        <v>194</v>
      </c>
      <c r="C198" s="259"/>
      <c r="D198" s="227" t="str">
        <f>IFERROR(VLOOKUP($C198,Full_data!$B$8:$J$932,2,FALSE),"")</f>
        <v/>
      </c>
      <c r="E198" s="227" t="str">
        <f>IFERROR(VLOOKUP($C198,Full_data!$B$8:$J$932,3,FALSE),"")</f>
        <v/>
      </c>
      <c r="F198" s="226" t="str">
        <f>IFERROR(VLOOKUP($C198,Full_data!$B$8:$J$932,4,FALSE),"")</f>
        <v/>
      </c>
      <c r="G198" s="226" t="e">
        <f>VLOOKUP($C198,Full_data!$B$8:$J$932,5,FALSE)</f>
        <v>#N/A</v>
      </c>
      <c r="H198" s="226" t="e">
        <f>VLOOKUP($C198,Full_data!$B$8:$J$932,6,FALSE)</f>
        <v>#N/A</v>
      </c>
      <c r="I198" s="237" t="str">
        <f>IFERROR(VLOOKUP($C198,Full_data!$B$8:$J$932,7,FALSE),"")</f>
        <v/>
      </c>
      <c r="J198" s="355" t="str">
        <f>IFERROR(VLOOKUP($C198,Full_data!$B$8:$J$932,8,FALSE),"")</f>
        <v/>
      </c>
      <c r="K198" s="358"/>
      <c r="L198" s="229" t="str">
        <f t="shared" si="10"/>
        <v/>
      </c>
      <c r="M198" s="352"/>
      <c r="N198" s="237" t="str">
        <f t="shared" si="9"/>
        <v/>
      </c>
      <c r="O198" s="237">
        <f>M198*IFERROR(VLOOKUP($C198,Logistics!$A$1:$O$534,10,FALSE),0)</f>
        <v>0</v>
      </c>
      <c r="P198" s="239">
        <f>M198*IFERROR(VLOOKUP($C198,Logistics!$A$1:$O$534,11,FALSE),0)</f>
        <v>0</v>
      </c>
      <c r="AA198" s="247">
        <f t="shared" ref="AA198:AA261" si="11">IF(ISBLANK(K198),40%,100%)</f>
        <v>0.4</v>
      </c>
    </row>
    <row r="199" spans="2:27" ht="15" x14ac:dyDescent="0.2">
      <c r="B199" s="223">
        <v>195</v>
      </c>
      <c r="C199" s="258"/>
      <c r="D199" s="228" t="str">
        <f>IFERROR(VLOOKUP($C199,Full_data!$B$8:$J$932,2,FALSE),"")</f>
        <v/>
      </c>
      <c r="E199" s="228" t="str">
        <f>IFERROR(VLOOKUP($C199,Full_data!$B$8:$J$932,3,FALSE),"")</f>
        <v/>
      </c>
      <c r="F199" s="224" t="str">
        <f>IFERROR(VLOOKUP($C199,Full_data!$B$8:$J$932,4,FALSE),"")</f>
        <v/>
      </c>
      <c r="G199" s="224" t="e">
        <f>VLOOKUP($C199,Full_data!$B$8:$J$932,5,FALSE)</f>
        <v>#N/A</v>
      </c>
      <c r="H199" s="224" t="e">
        <f>VLOOKUP($C199,Full_data!$B$8:$J$932,6,FALSE)</f>
        <v>#N/A</v>
      </c>
      <c r="I199" s="236" t="str">
        <f>IFERROR(VLOOKUP($C199,Full_data!$B$8:$J$932,7,FALSE),"")</f>
        <v/>
      </c>
      <c r="J199" s="354" t="str">
        <f>IFERROR(VLOOKUP($C199,Full_data!$B$8:$J$932,8,FALSE),"")</f>
        <v/>
      </c>
      <c r="K199" s="357"/>
      <c r="L199" s="230" t="str">
        <f t="shared" si="10"/>
        <v/>
      </c>
      <c r="M199" s="351"/>
      <c r="N199" s="236" t="str">
        <f t="shared" si="9"/>
        <v/>
      </c>
      <c r="O199" s="236">
        <f>M199*IFERROR(VLOOKUP($C199,Logistics!$A$1:$O$534,10,FALSE),0)</f>
        <v>0</v>
      </c>
      <c r="P199" s="238">
        <f>M199*IFERROR(VLOOKUP($C199,Logistics!$A$1:$O$534,11,FALSE),0)</f>
        <v>0</v>
      </c>
      <c r="AA199" s="247">
        <f t="shared" si="11"/>
        <v>0.4</v>
      </c>
    </row>
    <row r="200" spans="2:27" ht="15" x14ac:dyDescent="0.2">
      <c r="B200" s="225">
        <v>196</v>
      </c>
      <c r="C200" s="259"/>
      <c r="D200" s="227" t="str">
        <f>IFERROR(VLOOKUP($C200,Full_data!$B$8:$J$932,2,FALSE),"")</f>
        <v/>
      </c>
      <c r="E200" s="227" t="str">
        <f>IFERROR(VLOOKUP($C200,Full_data!$B$8:$J$932,3,FALSE),"")</f>
        <v/>
      </c>
      <c r="F200" s="226" t="str">
        <f>IFERROR(VLOOKUP($C200,Full_data!$B$8:$J$932,4,FALSE),"")</f>
        <v/>
      </c>
      <c r="G200" s="226" t="e">
        <f>VLOOKUP($C200,Full_data!$B$8:$J$932,5,FALSE)</f>
        <v>#N/A</v>
      </c>
      <c r="H200" s="226" t="e">
        <f>VLOOKUP($C200,Full_data!$B$8:$J$932,6,FALSE)</f>
        <v>#N/A</v>
      </c>
      <c r="I200" s="237" t="str">
        <f>IFERROR(VLOOKUP($C200,Full_data!$B$8:$J$932,7,FALSE),"")</f>
        <v/>
      </c>
      <c r="J200" s="355" t="str">
        <f>IFERROR(VLOOKUP($C200,Full_data!$B$8:$J$932,8,FALSE),"")</f>
        <v/>
      </c>
      <c r="K200" s="358"/>
      <c r="L200" s="229" t="str">
        <f t="shared" si="10"/>
        <v/>
      </c>
      <c r="M200" s="352"/>
      <c r="N200" s="237" t="str">
        <f t="shared" si="9"/>
        <v/>
      </c>
      <c r="O200" s="237">
        <f>M200*IFERROR(VLOOKUP($C200,Logistics!$A$1:$O$534,10,FALSE),0)</f>
        <v>0</v>
      </c>
      <c r="P200" s="239">
        <f>M200*IFERROR(VLOOKUP($C200,Logistics!$A$1:$O$534,11,FALSE),0)</f>
        <v>0</v>
      </c>
      <c r="AA200" s="247">
        <f t="shared" si="11"/>
        <v>0.4</v>
      </c>
    </row>
    <row r="201" spans="2:27" ht="15" x14ac:dyDescent="0.2">
      <c r="B201" s="223">
        <v>197</v>
      </c>
      <c r="C201" s="258"/>
      <c r="D201" s="228" t="str">
        <f>IFERROR(VLOOKUP($C201,Full_data!$B$8:$J$932,2,FALSE),"")</f>
        <v/>
      </c>
      <c r="E201" s="228" t="str">
        <f>IFERROR(VLOOKUP($C201,Full_data!$B$8:$J$932,3,FALSE),"")</f>
        <v/>
      </c>
      <c r="F201" s="224" t="str">
        <f>IFERROR(VLOOKUP($C201,Full_data!$B$8:$J$932,4,FALSE),"")</f>
        <v/>
      </c>
      <c r="G201" s="224" t="e">
        <f>VLOOKUP($C201,Full_data!$B$8:$J$932,5,FALSE)</f>
        <v>#N/A</v>
      </c>
      <c r="H201" s="224" t="e">
        <f>VLOOKUP($C201,Full_data!$B$8:$J$932,6,FALSE)</f>
        <v>#N/A</v>
      </c>
      <c r="I201" s="236" t="str">
        <f>IFERROR(VLOOKUP($C201,Full_data!$B$8:$J$932,7,FALSE),"")</f>
        <v/>
      </c>
      <c r="J201" s="354" t="str">
        <f>IFERROR(VLOOKUP($C201,Full_data!$B$8:$J$932,8,FALSE),"")</f>
        <v/>
      </c>
      <c r="K201" s="357"/>
      <c r="L201" s="230" t="str">
        <f t="shared" si="10"/>
        <v/>
      </c>
      <c r="M201" s="351"/>
      <c r="N201" s="236" t="str">
        <f t="shared" ref="N201:N264" si="12">IF(ISERROR(L201*M201),"",(L201*M201))</f>
        <v/>
      </c>
      <c r="O201" s="236">
        <f>M201*IFERROR(VLOOKUP($C201,Logistics!$A$1:$O$534,10,FALSE),0)</f>
        <v>0</v>
      </c>
      <c r="P201" s="238">
        <f>M201*IFERROR(VLOOKUP($C201,Logistics!$A$1:$O$534,11,FALSE),0)</f>
        <v>0</v>
      </c>
      <c r="AA201" s="247">
        <f t="shared" si="11"/>
        <v>0.4</v>
      </c>
    </row>
    <row r="202" spans="2:27" ht="15" x14ac:dyDescent="0.2">
      <c r="B202" s="225">
        <v>198</v>
      </c>
      <c r="C202" s="259"/>
      <c r="D202" s="227" t="str">
        <f>IFERROR(VLOOKUP($C202,Full_data!$B$8:$J$932,2,FALSE),"")</f>
        <v/>
      </c>
      <c r="E202" s="227" t="str">
        <f>IFERROR(VLOOKUP($C202,Full_data!$B$8:$J$932,3,FALSE),"")</f>
        <v/>
      </c>
      <c r="F202" s="226" t="str">
        <f>IFERROR(VLOOKUP($C202,Full_data!$B$8:$J$932,4,FALSE),"")</f>
        <v/>
      </c>
      <c r="G202" s="226" t="e">
        <f>VLOOKUP($C202,Full_data!$B$8:$J$932,5,FALSE)</f>
        <v>#N/A</v>
      </c>
      <c r="H202" s="226" t="e">
        <f>VLOOKUP($C202,Full_data!$B$8:$J$932,6,FALSE)</f>
        <v>#N/A</v>
      </c>
      <c r="I202" s="237" t="str">
        <f>IFERROR(VLOOKUP($C202,Full_data!$B$8:$J$932,7,FALSE),"")</f>
        <v/>
      </c>
      <c r="J202" s="355" t="str">
        <f>IFERROR(VLOOKUP($C202,Full_data!$B$8:$J$932,8,FALSE),"")</f>
        <v/>
      </c>
      <c r="K202" s="358"/>
      <c r="L202" s="229" t="str">
        <f t="shared" si="10"/>
        <v/>
      </c>
      <c r="M202" s="352"/>
      <c r="N202" s="237" t="str">
        <f t="shared" si="12"/>
        <v/>
      </c>
      <c r="O202" s="237">
        <f>M202*IFERROR(VLOOKUP($C202,Logistics!$A$1:$O$534,10,FALSE),0)</f>
        <v>0</v>
      </c>
      <c r="P202" s="239">
        <f>M202*IFERROR(VLOOKUP($C202,Logistics!$A$1:$O$534,11,FALSE),0)</f>
        <v>0</v>
      </c>
      <c r="AA202" s="247">
        <f t="shared" si="11"/>
        <v>0.4</v>
      </c>
    </row>
    <row r="203" spans="2:27" ht="15" x14ac:dyDescent="0.2">
      <c r="B203" s="223">
        <v>199</v>
      </c>
      <c r="C203" s="258"/>
      <c r="D203" s="228" t="str">
        <f>IFERROR(VLOOKUP($C203,Full_data!$B$8:$J$932,2,FALSE),"")</f>
        <v/>
      </c>
      <c r="E203" s="228" t="str">
        <f>IFERROR(VLOOKUP($C203,Full_data!$B$8:$J$932,3,FALSE),"")</f>
        <v/>
      </c>
      <c r="F203" s="224" t="str">
        <f>IFERROR(VLOOKUP($C203,Full_data!$B$8:$J$932,4,FALSE),"")</f>
        <v/>
      </c>
      <c r="G203" s="224" t="e">
        <f>VLOOKUP($C203,Full_data!$B$8:$J$932,5,FALSE)</f>
        <v>#N/A</v>
      </c>
      <c r="H203" s="224" t="e">
        <f>VLOOKUP($C203,Full_data!$B$8:$J$932,6,FALSE)</f>
        <v>#N/A</v>
      </c>
      <c r="I203" s="236" t="str">
        <f>IFERROR(VLOOKUP($C203,Full_data!$B$8:$J$932,7,FALSE),"")</f>
        <v/>
      </c>
      <c r="J203" s="354" t="str">
        <f>IFERROR(VLOOKUP($C203,Full_data!$B$8:$J$932,8,FALSE),"")</f>
        <v/>
      </c>
      <c r="K203" s="357"/>
      <c r="L203" s="230" t="str">
        <f t="shared" si="10"/>
        <v/>
      </c>
      <c r="M203" s="351"/>
      <c r="N203" s="236" t="str">
        <f t="shared" si="12"/>
        <v/>
      </c>
      <c r="O203" s="236">
        <f>M203*IFERROR(VLOOKUP($C203,Logistics!$A$1:$O$534,10,FALSE),0)</f>
        <v>0</v>
      </c>
      <c r="P203" s="238">
        <f>M203*IFERROR(VLOOKUP($C203,Logistics!$A$1:$O$534,11,FALSE),0)</f>
        <v>0</v>
      </c>
      <c r="AA203" s="247">
        <f t="shared" si="11"/>
        <v>0.4</v>
      </c>
    </row>
    <row r="204" spans="2:27" ht="15" x14ac:dyDescent="0.2">
      <c r="B204" s="225">
        <v>200</v>
      </c>
      <c r="C204" s="259"/>
      <c r="D204" s="227" t="str">
        <f>IFERROR(VLOOKUP($C204,Full_data!$B$8:$J$932,2,FALSE),"")</f>
        <v/>
      </c>
      <c r="E204" s="227" t="str">
        <f>IFERROR(VLOOKUP($C204,Full_data!$B$8:$J$932,3,FALSE),"")</f>
        <v/>
      </c>
      <c r="F204" s="226" t="str">
        <f>IFERROR(VLOOKUP($C204,Full_data!$B$8:$J$932,4,FALSE),"")</f>
        <v/>
      </c>
      <c r="G204" s="226" t="e">
        <f>VLOOKUP($C204,Full_data!$B$8:$J$932,5,FALSE)</f>
        <v>#N/A</v>
      </c>
      <c r="H204" s="226" t="e">
        <f>VLOOKUP($C204,Full_data!$B$8:$J$932,6,FALSE)</f>
        <v>#N/A</v>
      </c>
      <c r="I204" s="237" t="str">
        <f>IFERROR(VLOOKUP($C204,Full_data!$B$8:$J$932,7,FALSE),"")</f>
        <v/>
      </c>
      <c r="J204" s="355" t="str">
        <f>IFERROR(VLOOKUP($C204,Full_data!$B$8:$J$932,8,FALSE),"")</f>
        <v/>
      </c>
      <c r="K204" s="358"/>
      <c r="L204" s="229" t="str">
        <f t="shared" si="10"/>
        <v/>
      </c>
      <c r="M204" s="352"/>
      <c r="N204" s="237" t="str">
        <f t="shared" si="12"/>
        <v/>
      </c>
      <c r="O204" s="237">
        <f>M204*IFERROR(VLOOKUP($C204,Logistics!$A$1:$O$534,10,FALSE),0)</f>
        <v>0</v>
      </c>
      <c r="P204" s="239">
        <f>M204*IFERROR(VLOOKUP($C204,Logistics!$A$1:$O$534,11,FALSE),0)</f>
        <v>0</v>
      </c>
      <c r="AA204" s="247">
        <f t="shared" si="11"/>
        <v>0.4</v>
      </c>
    </row>
    <row r="205" spans="2:27" ht="15" x14ac:dyDescent="0.2">
      <c r="B205" s="223">
        <v>201</v>
      </c>
      <c r="C205" s="258"/>
      <c r="D205" s="228" t="str">
        <f>IFERROR(VLOOKUP($C205,Full_data!$B$8:$J$932,2,FALSE),"")</f>
        <v/>
      </c>
      <c r="E205" s="228" t="str">
        <f>IFERROR(VLOOKUP($C205,Full_data!$B$8:$J$932,3,FALSE),"")</f>
        <v/>
      </c>
      <c r="F205" s="224" t="str">
        <f>IFERROR(VLOOKUP($C205,Full_data!$B$8:$J$932,4,FALSE),"")</f>
        <v/>
      </c>
      <c r="G205" s="224" t="e">
        <f>VLOOKUP($C205,Full_data!$B$8:$J$932,5,FALSE)</f>
        <v>#N/A</v>
      </c>
      <c r="H205" s="224" t="e">
        <f>VLOOKUP($C205,Full_data!$B$8:$J$932,6,FALSE)</f>
        <v>#N/A</v>
      </c>
      <c r="I205" s="236" t="str">
        <f>IFERROR(VLOOKUP($C205,Full_data!$B$8:$J$932,7,FALSE),"")</f>
        <v/>
      </c>
      <c r="J205" s="354" t="str">
        <f>IFERROR(VLOOKUP($C205,Full_data!$B$8:$J$932,8,FALSE),"")</f>
        <v/>
      </c>
      <c r="K205" s="357"/>
      <c r="L205" s="230" t="str">
        <f t="shared" si="10"/>
        <v/>
      </c>
      <c r="M205" s="351"/>
      <c r="N205" s="236" t="str">
        <f t="shared" si="12"/>
        <v/>
      </c>
      <c r="O205" s="236">
        <f>M205*IFERROR(VLOOKUP($C205,Logistics!$A$1:$O$534,10,FALSE),0)</f>
        <v>0</v>
      </c>
      <c r="P205" s="238">
        <f>M205*IFERROR(VLOOKUP($C205,Logistics!$A$1:$O$534,11,FALSE),0)</f>
        <v>0</v>
      </c>
      <c r="AA205" s="247">
        <f t="shared" si="11"/>
        <v>0.4</v>
      </c>
    </row>
    <row r="206" spans="2:27" ht="15" x14ac:dyDescent="0.2">
      <c r="B206" s="225">
        <v>202</v>
      </c>
      <c r="C206" s="259"/>
      <c r="D206" s="227" t="str">
        <f>IFERROR(VLOOKUP($C206,Full_data!$B$8:$J$932,2,FALSE),"")</f>
        <v/>
      </c>
      <c r="E206" s="227" t="str">
        <f>IFERROR(VLOOKUP($C206,Full_data!$B$8:$J$932,3,FALSE),"")</f>
        <v/>
      </c>
      <c r="F206" s="226" t="str">
        <f>IFERROR(VLOOKUP($C206,Full_data!$B$8:$J$932,4,FALSE),"")</f>
        <v/>
      </c>
      <c r="G206" s="226" t="e">
        <f>VLOOKUP($C206,Full_data!$B$8:$J$932,5,FALSE)</f>
        <v>#N/A</v>
      </c>
      <c r="H206" s="226" t="e">
        <f>VLOOKUP($C206,Full_data!$B$8:$J$932,6,FALSE)</f>
        <v>#N/A</v>
      </c>
      <c r="I206" s="237" t="str">
        <f>IFERROR(VLOOKUP($C206,Full_data!$B$8:$J$932,7,FALSE),"")</f>
        <v/>
      </c>
      <c r="J206" s="355" t="str">
        <f>IFERROR(VLOOKUP($C206,Full_data!$B$8:$J$932,8,FALSE),"")</f>
        <v/>
      </c>
      <c r="K206" s="358"/>
      <c r="L206" s="229" t="str">
        <f t="shared" si="10"/>
        <v/>
      </c>
      <c r="M206" s="352"/>
      <c r="N206" s="237" t="str">
        <f t="shared" si="12"/>
        <v/>
      </c>
      <c r="O206" s="237">
        <f>M206*IFERROR(VLOOKUP($C206,Logistics!$A$1:$O$534,10,FALSE),0)</f>
        <v>0</v>
      </c>
      <c r="P206" s="239">
        <f>M206*IFERROR(VLOOKUP($C206,Logistics!$A$1:$O$534,11,FALSE),0)</f>
        <v>0</v>
      </c>
      <c r="AA206" s="247">
        <f t="shared" si="11"/>
        <v>0.4</v>
      </c>
    </row>
    <row r="207" spans="2:27" ht="15" x14ac:dyDescent="0.2">
      <c r="B207" s="223">
        <v>203</v>
      </c>
      <c r="C207" s="258"/>
      <c r="D207" s="228" t="str">
        <f>IFERROR(VLOOKUP($C207,Full_data!$B$8:$J$932,2,FALSE),"")</f>
        <v/>
      </c>
      <c r="E207" s="228" t="str">
        <f>IFERROR(VLOOKUP($C207,Full_data!$B$8:$J$932,3,FALSE),"")</f>
        <v/>
      </c>
      <c r="F207" s="224" t="str">
        <f>IFERROR(VLOOKUP($C207,Full_data!$B$8:$J$932,4,FALSE),"")</f>
        <v/>
      </c>
      <c r="G207" s="224" t="e">
        <f>VLOOKUP($C207,Full_data!$B$8:$J$932,5,FALSE)</f>
        <v>#N/A</v>
      </c>
      <c r="H207" s="224" t="e">
        <f>VLOOKUP($C207,Full_data!$B$8:$J$932,6,FALSE)</f>
        <v>#N/A</v>
      </c>
      <c r="I207" s="236" t="str">
        <f>IFERROR(VLOOKUP($C207,Full_data!$B$8:$J$932,7,FALSE),"")</f>
        <v/>
      </c>
      <c r="J207" s="354" t="str">
        <f>IFERROR(VLOOKUP($C207,Full_data!$B$8:$J$932,8,FALSE),"")</f>
        <v/>
      </c>
      <c r="K207" s="357"/>
      <c r="L207" s="230" t="str">
        <f t="shared" si="10"/>
        <v/>
      </c>
      <c r="M207" s="351"/>
      <c r="N207" s="236" t="str">
        <f t="shared" si="12"/>
        <v/>
      </c>
      <c r="O207" s="236">
        <f>M207*IFERROR(VLOOKUP($C207,Logistics!$A$1:$O$534,10,FALSE),0)</f>
        <v>0</v>
      </c>
      <c r="P207" s="238">
        <f>M207*IFERROR(VLOOKUP($C207,Logistics!$A$1:$O$534,11,FALSE),0)</f>
        <v>0</v>
      </c>
      <c r="AA207" s="247">
        <f t="shared" si="11"/>
        <v>0.4</v>
      </c>
    </row>
    <row r="208" spans="2:27" ht="15" x14ac:dyDescent="0.2">
      <c r="B208" s="225">
        <v>204</v>
      </c>
      <c r="C208" s="259"/>
      <c r="D208" s="227" t="str">
        <f>IFERROR(VLOOKUP($C208,Full_data!$B$8:$J$932,2,FALSE),"")</f>
        <v/>
      </c>
      <c r="E208" s="227" t="str">
        <f>IFERROR(VLOOKUP($C208,Full_data!$B$8:$J$932,3,FALSE),"")</f>
        <v/>
      </c>
      <c r="F208" s="226" t="str">
        <f>IFERROR(VLOOKUP($C208,Full_data!$B$8:$J$932,4,FALSE),"")</f>
        <v/>
      </c>
      <c r="G208" s="226" t="e">
        <f>VLOOKUP($C208,Full_data!$B$8:$J$932,5,FALSE)</f>
        <v>#N/A</v>
      </c>
      <c r="H208" s="226" t="e">
        <f>VLOOKUP($C208,Full_data!$B$8:$J$932,6,FALSE)</f>
        <v>#N/A</v>
      </c>
      <c r="I208" s="237" t="str">
        <f>IFERROR(VLOOKUP($C208,Full_data!$B$8:$J$932,7,FALSE),"")</f>
        <v/>
      </c>
      <c r="J208" s="355" t="str">
        <f>IFERROR(VLOOKUP($C208,Full_data!$B$8:$J$932,8,FALSE),"")</f>
        <v/>
      </c>
      <c r="K208" s="358"/>
      <c r="L208" s="229" t="str">
        <f t="shared" si="10"/>
        <v/>
      </c>
      <c r="M208" s="352"/>
      <c r="N208" s="237" t="str">
        <f t="shared" si="12"/>
        <v/>
      </c>
      <c r="O208" s="237">
        <f>M208*IFERROR(VLOOKUP($C208,Logistics!$A$1:$O$534,10,FALSE),0)</f>
        <v>0</v>
      </c>
      <c r="P208" s="239">
        <f>M208*IFERROR(VLOOKUP($C208,Logistics!$A$1:$O$534,11,FALSE),0)</f>
        <v>0</v>
      </c>
      <c r="AA208" s="247">
        <f t="shared" si="11"/>
        <v>0.4</v>
      </c>
    </row>
    <row r="209" spans="2:27" ht="15" x14ac:dyDescent="0.2">
      <c r="B209" s="223">
        <v>205</v>
      </c>
      <c r="C209" s="258"/>
      <c r="D209" s="228" t="str">
        <f>IFERROR(VLOOKUP($C209,Full_data!$B$8:$J$932,2,FALSE),"")</f>
        <v/>
      </c>
      <c r="E209" s="228" t="str">
        <f>IFERROR(VLOOKUP($C209,Full_data!$B$8:$J$932,3,FALSE),"")</f>
        <v/>
      </c>
      <c r="F209" s="224" t="str">
        <f>IFERROR(VLOOKUP($C209,Full_data!$B$8:$J$932,4,FALSE),"")</f>
        <v/>
      </c>
      <c r="G209" s="224" t="e">
        <f>VLOOKUP($C209,Full_data!$B$8:$J$932,5,FALSE)</f>
        <v>#N/A</v>
      </c>
      <c r="H209" s="224" t="e">
        <f>VLOOKUP($C209,Full_data!$B$8:$J$932,6,FALSE)</f>
        <v>#N/A</v>
      </c>
      <c r="I209" s="236" t="str">
        <f>IFERROR(VLOOKUP($C209,Full_data!$B$8:$J$932,7,FALSE),"")</f>
        <v/>
      </c>
      <c r="J209" s="354" t="str">
        <f>IFERROR(VLOOKUP($C209,Full_data!$B$8:$J$932,8,FALSE),"")</f>
        <v/>
      </c>
      <c r="K209" s="357"/>
      <c r="L209" s="230" t="str">
        <f t="shared" si="10"/>
        <v/>
      </c>
      <c r="M209" s="351"/>
      <c r="N209" s="236" t="str">
        <f t="shared" si="12"/>
        <v/>
      </c>
      <c r="O209" s="236">
        <f>M209*IFERROR(VLOOKUP($C209,Logistics!$A$1:$O$534,10,FALSE),0)</f>
        <v>0</v>
      </c>
      <c r="P209" s="238">
        <f>M209*IFERROR(VLOOKUP($C209,Logistics!$A$1:$O$534,11,FALSE),0)</f>
        <v>0</v>
      </c>
      <c r="AA209" s="247">
        <f t="shared" si="11"/>
        <v>0.4</v>
      </c>
    </row>
    <row r="210" spans="2:27" ht="15" x14ac:dyDescent="0.2">
      <c r="B210" s="225">
        <v>206</v>
      </c>
      <c r="C210" s="259"/>
      <c r="D210" s="227" t="str">
        <f>IFERROR(VLOOKUP($C210,Full_data!$B$8:$J$932,2,FALSE),"")</f>
        <v/>
      </c>
      <c r="E210" s="227" t="str">
        <f>IFERROR(VLOOKUP($C210,Full_data!$B$8:$J$932,3,FALSE),"")</f>
        <v/>
      </c>
      <c r="F210" s="226" t="str">
        <f>IFERROR(VLOOKUP($C210,Full_data!$B$8:$J$932,4,FALSE),"")</f>
        <v/>
      </c>
      <c r="G210" s="226" t="e">
        <f>VLOOKUP($C210,Full_data!$B$8:$J$932,5,FALSE)</f>
        <v>#N/A</v>
      </c>
      <c r="H210" s="226" t="e">
        <f>VLOOKUP($C210,Full_data!$B$8:$J$932,6,FALSE)</f>
        <v>#N/A</v>
      </c>
      <c r="I210" s="237" t="str">
        <f>IFERROR(VLOOKUP($C210,Full_data!$B$8:$J$932,7,FALSE),"")</f>
        <v/>
      </c>
      <c r="J210" s="355" t="str">
        <f>IFERROR(VLOOKUP($C210,Full_data!$B$8:$J$932,8,FALSE),"")</f>
        <v/>
      </c>
      <c r="K210" s="358"/>
      <c r="L210" s="229" t="str">
        <f t="shared" si="10"/>
        <v/>
      </c>
      <c r="M210" s="352"/>
      <c r="N210" s="237" t="str">
        <f t="shared" si="12"/>
        <v/>
      </c>
      <c r="O210" s="237">
        <f>M210*IFERROR(VLOOKUP($C210,Logistics!$A$1:$O$534,10,FALSE),0)</f>
        <v>0</v>
      </c>
      <c r="P210" s="239">
        <f>M210*IFERROR(VLOOKUP($C210,Logistics!$A$1:$O$534,11,FALSE),0)</f>
        <v>0</v>
      </c>
      <c r="AA210" s="247">
        <f t="shared" si="11"/>
        <v>0.4</v>
      </c>
    </row>
    <row r="211" spans="2:27" ht="15" x14ac:dyDescent="0.2">
      <c r="B211" s="223">
        <v>207</v>
      </c>
      <c r="C211" s="258"/>
      <c r="D211" s="228" t="str">
        <f>IFERROR(VLOOKUP($C211,Full_data!$B$8:$J$932,2,FALSE),"")</f>
        <v/>
      </c>
      <c r="E211" s="228" t="str">
        <f>IFERROR(VLOOKUP($C211,Full_data!$B$8:$J$932,3,FALSE),"")</f>
        <v/>
      </c>
      <c r="F211" s="224" t="str">
        <f>IFERROR(VLOOKUP($C211,Full_data!$B$8:$J$932,4,FALSE),"")</f>
        <v/>
      </c>
      <c r="G211" s="224" t="e">
        <f>VLOOKUP($C211,Full_data!$B$8:$J$932,5,FALSE)</f>
        <v>#N/A</v>
      </c>
      <c r="H211" s="224" t="e">
        <f>VLOOKUP($C211,Full_data!$B$8:$J$932,6,FALSE)</f>
        <v>#N/A</v>
      </c>
      <c r="I211" s="236" t="str">
        <f>IFERROR(VLOOKUP($C211,Full_data!$B$8:$J$932,7,FALSE),"")</f>
        <v/>
      </c>
      <c r="J211" s="354" t="str">
        <f>IFERROR(VLOOKUP($C211,Full_data!$B$8:$J$932,8,FALSE),"")</f>
        <v/>
      </c>
      <c r="K211" s="357"/>
      <c r="L211" s="230" t="str">
        <f t="shared" si="10"/>
        <v/>
      </c>
      <c r="M211" s="351"/>
      <c r="N211" s="236" t="str">
        <f t="shared" si="12"/>
        <v/>
      </c>
      <c r="O211" s="236">
        <f>M211*IFERROR(VLOOKUP($C211,Logistics!$A$1:$O$534,10,FALSE),0)</f>
        <v>0</v>
      </c>
      <c r="P211" s="238">
        <f>M211*IFERROR(VLOOKUP($C211,Logistics!$A$1:$O$534,11,FALSE),0)</f>
        <v>0</v>
      </c>
      <c r="AA211" s="247">
        <f t="shared" si="11"/>
        <v>0.4</v>
      </c>
    </row>
    <row r="212" spans="2:27" ht="15" x14ac:dyDescent="0.2">
      <c r="B212" s="225">
        <v>208</v>
      </c>
      <c r="C212" s="259"/>
      <c r="D212" s="227" t="str">
        <f>IFERROR(VLOOKUP($C212,Full_data!$B$8:$J$932,2,FALSE),"")</f>
        <v/>
      </c>
      <c r="E212" s="227" t="str">
        <f>IFERROR(VLOOKUP($C212,Full_data!$B$8:$J$932,3,FALSE),"")</f>
        <v/>
      </c>
      <c r="F212" s="226" t="str">
        <f>IFERROR(VLOOKUP($C212,Full_data!$B$8:$J$932,4,FALSE),"")</f>
        <v/>
      </c>
      <c r="G212" s="226" t="e">
        <f>VLOOKUP($C212,Full_data!$B$8:$J$932,5,FALSE)</f>
        <v>#N/A</v>
      </c>
      <c r="H212" s="226" t="e">
        <f>VLOOKUP($C212,Full_data!$B$8:$J$932,6,FALSE)</f>
        <v>#N/A</v>
      </c>
      <c r="I212" s="237" t="str">
        <f>IFERROR(VLOOKUP($C212,Full_data!$B$8:$J$932,7,FALSE),"")</f>
        <v/>
      </c>
      <c r="J212" s="355" t="str">
        <f>IFERROR(VLOOKUP($C212,Full_data!$B$8:$J$932,8,FALSE),"")</f>
        <v/>
      </c>
      <c r="K212" s="358"/>
      <c r="L212" s="229" t="str">
        <f t="shared" si="10"/>
        <v/>
      </c>
      <c r="M212" s="352"/>
      <c r="N212" s="237" t="str">
        <f t="shared" si="12"/>
        <v/>
      </c>
      <c r="O212" s="237">
        <f>M212*IFERROR(VLOOKUP($C212,Logistics!$A$1:$O$534,10,FALSE),0)</f>
        <v>0</v>
      </c>
      <c r="P212" s="239">
        <f>M212*IFERROR(VLOOKUP($C212,Logistics!$A$1:$O$534,11,FALSE),0)</f>
        <v>0</v>
      </c>
      <c r="AA212" s="247">
        <f t="shared" si="11"/>
        <v>0.4</v>
      </c>
    </row>
    <row r="213" spans="2:27" ht="15" x14ac:dyDescent="0.2">
      <c r="B213" s="223">
        <v>209</v>
      </c>
      <c r="C213" s="258"/>
      <c r="D213" s="228" t="str">
        <f>IFERROR(VLOOKUP($C213,Full_data!$B$8:$J$932,2,FALSE),"")</f>
        <v/>
      </c>
      <c r="E213" s="228" t="str">
        <f>IFERROR(VLOOKUP($C213,Full_data!$B$8:$J$932,3,FALSE),"")</f>
        <v/>
      </c>
      <c r="F213" s="224" t="str">
        <f>IFERROR(VLOOKUP($C213,Full_data!$B$8:$J$932,4,FALSE),"")</f>
        <v/>
      </c>
      <c r="G213" s="224" t="e">
        <f>VLOOKUP($C213,Full_data!$B$8:$J$932,5,FALSE)</f>
        <v>#N/A</v>
      </c>
      <c r="H213" s="224" t="e">
        <f>VLOOKUP($C213,Full_data!$B$8:$J$932,6,FALSE)</f>
        <v>#N/A</v>
      </c>
      <c r="I213" s="236" t="str">
        <f>IFERROR(VLOOKUP($C213,Full_data!$B$8:$J$932,7,FALSE),"")</f>
        <v/>
      </c>
      <c r="J213" s="354" t="str">
        <f>IFERROR(VLOOKUP($C213,Full_data!$B$8:$J$932,8,FALSE),"")</f>
        <v/>
      </c>
      <c r="K213" s="357"/>
      <c r="L213" s="230" t="str">
        <f t="shared" si="10"/>
        <v/>
      </c>
      <c r="M213" s="351"/>
      <c r="N213" s="236" t="str">
        <f t="shared" si="12"/>
        <v/>
      </c>
      <c r="O213" s="236">
        <f>M213*IFERROR(VLOOKUP($C213,Logistics!$A$1:$O$534,10,FALSE),0)</f>
        <v>0</v>
      </c>
      <c r="P213" s="238">
        <f>M213*IFERROR(VLOOKUP($C213,Logistics!$A$1:$O$534,11,FALSE),0)</f>
        <v>0</v>
      </c>
      <c r="AA213" s="247">
        <f t="shared" si="11"/>
        <v>0.4</v>
      </c>
    </row>
    <row r="214" spans="2:27" ht="15" x14ac:dyDescent="0.2">
      <c r="B214" s="225">
        <v>210</v>
      </c>
      <c r="C214" s="259"/>
      <c r="D214" s="227" t="str">
        <f>IFERROR(VLOOKUP($C214,Full_data!$B$8:$J$932,2,FALSE),"")</f>
        <v/>
      </c>
      <c r="E214" s="227" t="str">
        <f>IFERROR(VLOOKUP($C214,Full_data!$B$8:$J$932,3,FALSE),"")</f>
        <v/>
      </c>
      <c r="F214" s="226" t="str">
        <f>IFERROR(VLOOKUP($C214,Full_data!$B$8:$J$932,4,FALSE),"")</f>
        <v/>
      </c>
      <c r="G214" s="226" t="e">
        <f>VLOOKUP($C214,Full_data!$B$8:$J$932,5,FALSE)</f>
        <v>#N/A</v>
      </c>
      <c r="H214" s="226" t="e">
        <f>VLOOKUP($C214,Full_data!$B$8:$J$932,6,FALSE)</f>
        <v>#N/A</v>
      </c>
      <c r="I214" s="237" t="str">
        <f>IFERROR(VLOOKUP($C214,Full_data!$B$8:$J$932,7,FALSE),"")</f>
        <v/>
      </c>
      <c r="J214" s="355" t="str">
        <f>IFERROR(VLOOKUP($C214,Full_data!$B$8:$J$932,8,FALSE),"")</f>
        <v/>
      </c>
      <c r="K214" s="358"/>
      <c r="L214" s="229" t="str">
        <f t="shared" si="10"/>
        <v/>
      </c>
      <c r="M214" s="352"/>
      <c r="N214" s="237" t="str">
        <f t="shared" si="12"/>
        <v/>
      </c>
      <c r="O214" s="237">
        <f>M214*IFERROR(VLOOKUP($C214,Logistics!$A$1:$O$534,10,FALSE),0)</f>
        <v>0</v>
      </c>
      <c r="P214" s="239">
        <f>M214*IFERROR(VLOOKUP($C214,Logistics!$A$1:$O$534,11,FALSE),0)</f>
        <v>0</v>
      </c>
      <c r="AA214" s="247">
        <f t="shared" si="11"/>
        <v>0.4</v>
      </c>
    </row>
    <row r="215" spans="2:27" ht="15" x14ac:dyDescent="0.2">
      <c r="B215" s="223">
        <v>211</v>
      </c>
      <c r="C215" s="258"/>
      <c r="D215" s="228" t="str">
        <f>IFERROR(VLOOKUP($C215,Full_data!$B$8:$J$932,2,FALSE),"")</f>
        <v/>
      </c>
      <c r="E215" s="228" t="str">
        <f>IFERROR(VLOOKUP($C215,Full_data!$B$8:$J$932,3,FALSE),"")</f>
        <v/>
      </c>
      <c r="F215" s="224" t="str">
        <f>IFERROR(VLOOKUP($C215,Full_data!$B$8:$J$932,4,FALSE),"")</f>
        <v/>
      </c>
      <c r="G215" s="224" t="e">
        <f>VLOOKUP($C215,Full_data!$B$8:$J$932,5,FALSE)</f>
        <v>#N/A</v>
      </c>
      <c r="H215" s="224" t="e">
        <f>VLOOKUP($C215,Full_data!$B$8:$J$932,6,FALSE)</f>
        <v>#N/A</v>
      </c>
      <c r="I215" s="236" t="str">
        <f>IFERROR(VLOOKUP($C215,Full_data!$B$8:$J$932,7,FALSE),"")</f>
        <v/>
      </c>
      <c r="J215" s="354" t="str">
        <f>IFERROR(VLOOKUP($C215,Full_data!$B$8:$J$932,8,FALSE),"")</f>
        <v/>
      </c>
      <c r="K215" s="357"/>
      <c r="L215" s="230" t="str">
        <f t="shared" si="10"/>
        <v/>
      </c>
      <c r="M215" s="351"/>
      <c r="N215" s="236" t="str">
        <f t="shared" si="12"/>
        <v/>
      </c>
      <c r="O215" s="236">
        <f>M215*IFERROR(VLOOKUP($C215,Logistics!$A$1:$O$534,10,FALSE),0)</f>
        <v>0</v>
      </c>
      <c r="P215" s="238">
        <f>M215*IFERROR(VLOOKUP($C215,Logistics!$A$1:$O$534,11,FALSE),0)</f>
        <v>0</v>
      </c>
      <c r="AA215" s="247">
        <f t="shared" si="11"/>
        <v>0.4</v>
      </c>
    </row>
    <row r="216" spans="2:27" ht="15" x14ac:dyDescent="0.2">
      <c r="B216" s="225">
        <v>212</v>
      </c>
      <c r="C216" s="259"/>
      <c r="D216" s="227" t="str">
        <f>IFERROR(VLOOKUP($C216,Full_data!$B$8:$J$932,2,FALSE),"")</f>
        <v/>
      </c>
      <c r="E216" s="227" t="str">
        <f>IFERROR(VLOOKUP($C216,Full_data!$B$8:$J$932,3,FALSE),"")</f>
        <v/>
      </c>
      <c r="F216" s="226" t="str">
        <f>IFERROR(VLOOKUP($C216,Full_data!$B$8:$J$932,4,FALSE),"")</f>
        <v/>
      </c>
      <c r="G216" s="226" t="e">
        <f>VLOOKUP($C216,Full_data!$B$8:$J$932,5,FALSE)</f>
        <v>#N/A</v>
      </c>
      <c r="H216" s="226" t="e">
        <f>VLOOKUP($C216,Full_data!$B$8:$J$932,6,FALSE)</f>
        <v>#N/A</v>
      </c>
      <c r="I216" s="237" t="str">
        <f>IFERROR(VLOOKUP($C216,Full_data!$B$8:$J$932,7,FALSE),"")</f>
        <v/>
      </c>
      <c r="J216" s="355" t="str">
        <f>IFERROR(VLOOKUP($C216,Full_data!$B$8:$J$932,8,FALSE),"")</f>
        <v/>
      </c>
      <c r="K216" s="358"/>
      <c r="L216" s="229" t="str">
        <f t="shared" si="10"/>
        <v/>
      </c>
      <c r="M216" s="352"/>
      <c r="N216" s="237" t="str">
        <f t="shared" si="12"/>
        <v/>
      </c>
      <c r="O216" s="237">
        <f>M216*IFERROR(VLOOKUP($C216,Logistics!$A$1:$O$534,10,FALSE),0)</f>
        <v>0</v>
      </c>
      <c r="P216" s="239">
        <f>M216*IFERROR(VLOOKUP($C216,Logistics!$A$1:$O$534,11,FALSE),0)</f>
        <v>0</v>
      </c>
      <c r="AA216" s="247">
        <f t="shared" si="11"/>
        <v>0.4</v>
      </c>
    </row>
    <row r="217" spans="2:27" ht="15" x14ac:dyDescent="0.2">
      <c r="B217" s="223">
        <v>213</v>
      </c>
      <c r="C217" s="258"/>
      <c r="D217" s="228" t="str">
        <f>IFERROR(VLOOKUP($C217,Full_data!$B$8:$J$932,2,FALSE),"")</f>
        <v/>
      </c>
      <c r="E217" s="228" t="str">
        <f>IFERROR(VLOOKUP($C217,Full_data!$B$8:$J$932,3,FALSE),"")</f>
        <v/>
      </c>
      <c r="F217" s="224" t="str">
        <f>IFERROR(VLOOKUP($C217,Full_data!$B$8:$J$932,4,FALSE),"")</f>
        <v/>
      </c>
      <c r="G217" s="224" t="e">
        <f>VLOOKUP($C217,Full_data!$B$8:$J$932,5,FALSE)</f>
        <v>#N/A</v>
      </c>
      <c r="H217" s="224" t="e">
        <f>VLOOKUP($C217,Full_data!$B$8:$J$932,6,FALSE)</f>
        <v>#N/A</v>
      </c>
      <c r="I217" s="236" t="str">
        <f>IFERROR(VLOOKUP($C217,Full_data!$B$8:$J$932,7,FALSE),"")</f>
        <v/>
      </c>
      <c r="J217" s="354" t="str">
        <f>IFERROR(VLOOKUP($C217,Full_data!$B$8:$J$932,8,FALSE),"")</f>
        <v/>
      </c>
      <c r="K217" s="357"/>
      <c r="L217" s="230" t="str">
        <f t="shared" si="10"/>
        <v/>
      </c>
      <c r="M217" s="351"/>
      <c r="N217" s="236" t="str">
        <f t="shared" si="12"/>
        <v/>
      </c>
      <c r="O217" s="236">
        <f>M217*IFERROR(VLOOKUP($C217,Logistics!$A$1:$O$534,10,FALSE),0)</f>
        <v>0</v>
      </c>
      <c r="P217" s="238">
        <f>M217*IFERROR(VLOOKUP($C217,Logistics!$A$1:$O$534,11,FALSE),0)</f>
        <v>0</v>
      </c>
      <c r="AA217" s="247">
        <f t="shared" si="11"/>
        <v>0.4</v>
      </c>
    </row>
    <row r="218" spans="2:27" ht="15" x14ac:dyDescent="0.2">
      <c r="B218" s="225">
        <v>214</v>
      </c>
      <c r="C218" s="259"/>
      <c r="D218" s="227" t="str">
        <f>IFERROR(VLOOKUP($C218,Full_data!$B$8:$J$932,2,FALSE),"")</f>
        <v/>
      </c>
      <c r="E218" s="227" t="str">
        <f>IFERROR(VLOOKUP($C218,Full_data!$B$8:$J$932,3,FALSE),"")</f>
        <v/>
      </c>
      <c r="F218" s="226" t="str">
        <f>IFERROR(VLOOKUP($C218,Full_data!$B$8:$J$932,4,FALSE),"")</f>
        <v/>
      </c>
      <c r="G218" s="226" t="e">
        <f>VLOOKUP($C218,Full_data!$B$8:$J$932,5,FALSE)</f>
        <v>#N/A</v>
      </c>
      <c r="H218" s="226" t="e">
        <f>VLOOKUP($C218,Full_data!$B$8:$J$932,6,FALSE)</f>
        <v>#N/A</v>
      </c>
      <c r="I218" s="237" t="str">
        <f>IFERROR(VLOOKUP($C218,Full_data!$B$8:$J$932,7,FALSE),"")</f>
        <v/>
      </c>
      <c r="J218" s="355" t="str">
        <f>IFERROR(VLOOKUP($C218,Full_data!$B$8:$J$932,8,FALSE),"")</f>
        <v/>
      </c>
      <c r="K218" s="358"/>
      <c r="L218" s="229" t="str">
        <f t="shared" si="10"/>
        <v/>
      </c>
      <c r="M218" s="352"/>
      <c r="N218" s="237" t="str">
        <f t="shared" si="12"/>
        <v/>
      </c>
      <c r="O218" s="237">
        <f>M218*IFERROR(VLOOKUP($C218,Logistics!$A$1:$O$534,10,FALSE),0)</f>
        <v>0</v>
      </c>
      <c r="P218" s="239">
        <f>M218*IFERROR(VLOOKUP($C218,Logistics!$A$1:$O$534,11,FALSE),0)</f>
        <v>0</v>
      </c>
      <c r="AA218" s="247">
        <f t="shared" si="11"/>
        <v>0.4</v>
      </c>
    </row>
    <row r="219" spans="2:27" ht="15" x14ac:dyDescent="0.2">
      <c r="B219" s="223">
        <v>215</v>
      </c>
      <c r="C219" s="258"/>
      <c r="D219" s="228" t="str">
        <f>IFERROR(VLOOKUP($C219,Full_data!$B$8:$J$932,2,FALSE),"")</f>
        <v/>
      </c>
      <c r="E219" s="228" t="str">
        <f>IFERROR(VLOOKUP($C219,Full_data!$B$8:$J$932,3,FALSE),"")</f>
        <v/>
      </c>
      <c r="F219" s="224" t="str">
        <f>IFERROR(VLOOKUP($C219,Full_data!$B$8:$J$932,4,FALSE),"")</f>
        <v/>
      </c>
      <c r="G219" s="224" t="e">
        <f>VLOOKUP($C219,Full_data!$B$8:$J$932,5,FALSE)</f>
        <v>#N/A</v>
      </c>
      <c r="H219" s="224" t="e">
        <f>VLOOKUP($C219,Full_data!$B$8:$J$932,6,FALSE)</f>
        <v>#N/A</v>
      </c>
      <c r="I219" s="236" t="str">
        <f>IFERROR(VLOOKUP($C219,Full_data!$B$8:$J$932,7,FALSE),"")</f>
        <v/>
      </c>
      <c r="J219" s="354" t="str">
        <f>IFERROR(VLOOKUP($C219,Full_data!$B$8:$J$932,8,FALSE),"")</f>
        <v/>
      </c>
      <c r="K219" s="357"/>
      <c r="L219" s="230" t="str">
        <f t="shared" si="10"/>
        <v/>
      </c>
      <c r="M219" s="351"/>
      <c r="N219" s="236" t="str">
        <f t="shared" si="12"/>
        <v/>
      </c>
      <c r="O219" s="236">
        <f>M219*IFERROR(VLOOKUP($C219,Logistics!$A$1:$O$534,10,FALSE),0)</f>
        <v>0</v>
      </c>
      <c r="P219" s="238">
        <f>M219*IFERROR(VLOOKUP($C219,Logistics!$A$1:$O$534,11,FALSE),0)</f>
        <v>0</v>
      </c>
      <c r="AA219" s="247">
        <f t="shared" si="11"/>
        <v>0.4</v>
      </c>
    </row>
    <row r="220" spans="2:27" ht="15" x14ac:dyDescent="0.2">
      <c r="B220" s="225">
        <v>216</v>
      </c>
      <c r="C220" s="259"/>
      <c r="D220" s="227" t="str">
        <f>IFERROR(VLOOKUP($C220,Full_data!$B$8:$J$932,2,FALSE),"")</f>
        <v/>
      </c>
      <c r="E220" s="227" t="str">
        <f>IFERROR(VLOOKUP($C220,Full_data!$B$8:$J$932,3,FALSE),"")</f>
        <v/>
      </c>
      <c r="F220" s="226" t="str">
        <f>IFERROR(VLOOKUP($C220,Full_data!$B$8:$J$932,4,FALSE),"")</f>
        <v/>
      </c>
      <c r="G220" s="226" t="e">
        <f>VLOOKUP($C220,Full_data!$B$8:$J$932,5,FALSE)</f>
        <v>#N/A</v>
      </c>
      <c r="H220" s="226" t="e">
        <f>VLOOKUP($C220,Full_data!$B$8:$J$932,6,FALSE)</f>
        <v>#N/A</v>
      </c>
      <c r="I220" s="237" t="str">
        <f>IFERROR(VLOOKUP($C220,Full_data!$B$8:$J$932,7,FALSE),"")</f>
        <v/>
      </c>
      <c r="J220" s="355" t="str">
        <f>IFERROR(VLOOKUP($C220,Full_data!$B$8:$J$932,8,FALSE),"")</f>
        <v/>
      </c>
      <c r="K220" s="358"/>
      <c r="L220" s="229" t="str">
        <f t="shared" si="10"/>
        <v/>
      </c>
      <c r="M220" s="352"/>
      <c r="N220" s="237" t="str">
        <f t="shared" si="12"/>
        <v/>
      </c>
      <c r="O220" s="237">
        <f>M220*IFERROR(VLOOKUP($C220,Logistics!$A$1:$O$534,10,FALSE),0)</f>
        <v>0</v>
      </c>
      <c r="P220" s="239">
        <f>M220*IFERROR(VLOOKUP($C220,Logistics!$A$1:$O$534,11,FALSE),0)</f>
        <v>0</v>
      </c>
      <c r="AA220" s="247">
        <f t="shared" si="11"/>
        <v>0.4</v>
      </c>
    </row>
    <row r="221" spans="2:27" ht="15" x14ac:dyDescent="0.2">
      <c r="B221" s="223">
        <v>217</v>
      </c>
      <c r="C221" s="258"/>
      <c r="D221" s="228" t="str">
        <f>IFERROR(VLOOKUP($C221,Full_data!$B$8:$J$932,2,FALSE),"")</f>
        <v/>
      </c>
      <c r="E221" s="228" t="str">
        <f>IFERROR(VLOOKUP($C221,Full_data!$B$8:$J$932,3,FALSE),"")</f>
        <v/>
      </c>
      <c r="F221" s="224" t="str">
        <f>IFERROR(VLOOKUP($C221,Full_data!$B$8:$J$932,4,FALSE),"")</f>
        <v/>
      </c>
      <c r="G221" s="224" t="e">
        <f>VLOOKUP($C221,Full_data!$B$8:$J$932,5,FALSE)</f>
        <v>#N/A</v>
      </c>
      <c r="H221" s="224" t="e">
        <f>VLOOKUP($C221,Full_data!$B$8:$J$932,6,FALSE)</f>
        <v>#N/A</v>
      </c>
      <c r="I221" s="236" t="str">
        <f>IFERROR(VLOOKUP($C221,Full_data!$B$8:$J$932,7,FALSE),"")</f>
        <v/>
      </c>
      <c r="J221" s="354" t="str">
        <f>IFERROR(VLOOKUP($C221,Full_data!$B$8:$J$932,8,FALSE),"")</f>
        <v/>
      </c>
      <c r="K221" s="357"/>
      <c r="L221" s="230" t="str">
        <f t="shared" si="10"/>
        <v/>
      </c>
      <c r="M221" s="351"/>
      <c r="N221" s="236" t="str">
        <f t="shared" si="12"/>
        <v/>
      </c>
      <c r="O221" s="236">
        <f>M221*IFERROR(VLOOKUP($C221,Logistics!$A$1:$O$534,10,FALSE),0)</f>
        <v>0</v>
      </c>
      <c r="P221" s="238">
        <f>M221*IFERROR(VLOOKUP($C221,Logistics!$A$1:$O$534,11,FALSE),0)</f>
        <v>0</v>
      </c>
      <c r="AA221" s="247">
        <f t="shared" si="11"/>
        <v>0.4</v>
      </c>
    </row>
    <row r="222" spans="2:27" ht="15" x14ac:dyDescent="0.2">
      <c r="B222" s="225">
        <v>218</v>
      </c>
      <c r="C222" s="259"/>
      <c r="D222" s="227" t="str">
        <f>IFERROR(VLOOKUP($C222,Full_data!$B$8:$J$932,2,FALSE),"")</f>
        <v/>
      </c>
      <c r="E222" s="227" t="str">
        <f>IFERROR(VLOOKUP($C222,Full_data!$B$8:$J$932,3,FALSE),"")</f>
        <v/>
      </c>
      <c r="F222" s="226" t="str">
        <f>IFERROR(VLOOKUP($C222,Full_data!$B$8:$J$932,4,FALSE),"")</f>
        <v/>
      </c>
      <c r="G222" s="226" t="e">
        <f>VLOOKUP($C222,Full_data!$B$8:$J$932,5,FALSE)</f>
        <v>#N/A</v>
      </c>
      <c r="H222" s="226" t="e">
        <f>VLOOKUP($C222,Full_data!$B$8:$J$932,6,FALSE)</f>
        <v>#N/A</v>
      </c>
      <c r="I222" s="237" t="str">
        <f>IFERROR(VLOOKUP($C222,Full_data!$B$8:$J$932,7,FALSE),"")</f>
        <v/>
      </c>
      <c r="J222" s="355" t="str">
        <f>IFERROR(VLOOKUP($C222,Full_data!$B$8:$J$932,8,FALSE),"")</f>
        <v/>
      </c>
      <c r="K222" s="358"/>
      <c r="L222" s="229" t="str">
        <f t="shared" si="10"/>
        <v/>
      </c>
      <c r="M222" s="352"/>
      <c r="N222" s="237" t="str">
        <f t="shared" si="12"/>
        <v/>
      </c>
      <c r="O222" s="237">
        <f>M222*IFERROR(VLOOKUP($C222,Logistics!$A$1:$O$534,10,FALSE),0)</f>
        <v>0</v>
      </c>
      <c r="P222" s="239">
        <f>M222*IFERROR(VLOOKUP($C222,Logistics!$A$1:$O$534,11,FALSE),0)</f>
        <v>0</v>
      </c>
      <c r="AA222" s="247">
        <f t="shared" si="11"/>
        <v>0.4</v>
      </c>
    </row>
    <row r="223" spans="2:27" ht="15" x14ac:dyDescent="0.2">
      <c r="B223" s="223">
        <v>219</v>
      </c>
      <c r="C223" s="258"/>
      <c r="D223" s="228" t="str">
        <f>IFERROR(VLOOKUP($C223,Full_data!$B$8:$J$932,2,FALSE),"")</f>
        <v/>
      </c>
      <c r="E223" s="228" t="str">
        <f>IFERROR(VLOOKUP($C223,Full_data!$B$8:$J$932,3,FALSE),"")</f>
        <v/>
      </c>
      <c r="F223" s="224" t="str">
        <f>IFERROR(VLOOKUP($C223,Full_data!$B$8:$J$932,4,FALSE),"")</f>
        <v/>
      </c>
      <c r="G223" s="224" t="e">
        <f>VLOOKUP($C223,Full_data!$B$8:$J$932,5,FALSE)</f>
        <v>#N/A</v>
      </c>
      <c r="H223" s="224" t="e">
        <f>VLOOKUP($C223,Full_data!$B$8:$J$932,6,FALSE)</f>
        <v>#N/A</v>
      </c>
      <c r="I223" s="236" t="str">
        <f>IFERROR(VLOOKUP($C223,Full_data!$B$8:$J$932,7,FALSE),"")</f>
        <v/>
      </c>
      <c r="J223" s="354" t="str">
        <f>IFERROR(VLOOKUP($C223,Full_data!$B$8:$J$932,8,FALSE),"")</f>
        <v/>
      </c>
      <c r="K223" s="357"/>
      <c r="L223" s="230" t="str">
        <f t="shared" si="10"/>
        <v/>
      </c>
      <c r="M223" s="351"/>
      <c r="N223" s="236" t="str">
        <f t="shared" si="12"/>
        <v/>
      </c>
      <c r="O223" s="236">
        <f>M223*IFERROR(VLOOKUP($C223,Logistics!$A$1:$O$534,10,FALSE),0)</f>
        <v>0</v>
      </c>
      <c r="P223" s="238">
        <f>M223*IFERROR(VLOOKUP($C223,Logistics!$A$1:$O$534,11,FALSE),0)</f>
        <v>0</v>
      </c>
      <c r="AA223" s="247">
        <f t="shared" si="11"/>
        <v>0.4</v>
      </c>
    </row>
    <row r="224" spans="2:27" ht="15" x14ac:dyDescent="0.2">
      <c r="B224" s="225">
        <v>220</v>
      </c>
      <c r="C224" s="259"/>
      <c r="D224" s="227" t="str">
        <f>IFERROR(VLOOKUP($C224,Full_data!$B$8:$J$932,2,FALSE),"")</f>
        <v/>
      </c>
      <c r="E224" s="227" t="str">
        <f>IFERROR(VLOOKUP($C224,Full_data!$B$8:$J$932,3,FALSE),"")</f>
        <v/>
      </c>
      <c r="F224" s="226" t="str">
        <f>IFERROR(VLOOKUP($C224,Full_data!$B$8:$J$932,4,FALSE),"")</f>
        <v/>
      </c>
      <c r="G224" s="226" t="e">
        <f>VLOOKUP($C224,Full_data!$B$8:$J$932,5,FALSE)</f>
        <v>#N/A</v>
      </c>
      <c r="H224" s="226" t="e">
        <f>VLOOKUP($C224,Full_data!$B$8:$J$932,6,FALSE)</f>
        <v>#N/A</v>
      </c>
      <c r="I224" s="237" t="str">
        <f>IFERROR(VLOOKUP($C224,Full_data!$B$8:$J$932,7,FALSE),"")</f>
        <v/>
      </c>
      <c r="J224" s="355" t="str">
        <f>IFERROR(VLOOKUP($C224,Full_data!$B$8:$J$932,8,FALSE),"")</f>
        <v/>
      </c>
      <c r="K224" s="358"/>
      <c r="L224" s="229" t="str">
        <f t="shared" si="10"/>
        <v/>
      </c>
      <c r="M224" s="352"/>
      <c r="N224" s="237" t="str">
        <f t="shared" si="12"/>
        <v/>
      </c>
      <c r="O224" s="237">
        <f>M224*IFERROR(VLOOKUP($C224,Logistics!$A$1:$O$534,10,FALSE),0)</f>
        <v>0</v>
      </c>
      <c r="P224" s="239">
        <f>M224*IFERROR(VLOOKUP($C224,Logistics!$A$1:$O$534,11,FALSE),0)</f>
        <v>0</v>
      </c>
      <c r="AA224" s="247">
        <f t="shared" si="11"/>
        <v>0.4</v>
      </c>
    </row>
    <row r="225" spans="2:27" ht="15" x14ac:dyDescent="0.2">
      <c r="B225" s="223">
        <v>221</v>
      </c>
      <c r="C225" s="258"/>
      <c r="D225" s="228" t="str">
        <f>IFERROR(VLOOKUP($C225,Full_data!$B$8:$J$932,2,FALSE),"")</f>
        <v/>
      </c>
      <c r="E225" s="228" t="str">
        <f>IFERROR(VLOOKUP($C225,Full_data!$B$8:$J$932,3,FALSE),"")</f>
        <v/>
      </c>
      <c r="F225" s="224" t="str">
        <f>IFERROR(VLOOKUP($C225,Full_data!$B$8:$J$932,4,FALSE),"")</f>
        <v/>
      </c>
      <c r="G225" s="224" t="e">
        <f>VLOOKUP($C225,Full_data!$B$8:$J$932,5,FALSE)</f>
        <v>#N/A</v>
      </c>
      <c r="H225" s="224" t="e">
        <f>VLOOKUP($C225,Full_data!$B$8:$J$932,6,FALSE)</f>
        <v>#N/A</v>
      </c>
      <c r="I225" s="236" t="str">
        <f>IFERROR(VLOOKUP($C225,Full_data!$B$8:$J$932,7,FALSE),"")</f>
        <v/>
      </c>
      <c r="J225" s="354" t="str">
        <f>IFERROR(VLOOKUP($C225,Full_data!$B$8:$J$932,8,FALSE),"")</f>
        <v/>
      </c>
      <c r="K225" s="357"/>
      <c r="L225" s="230" t="str">
        <f t="shared" si="10"/>
        <v/>
      </c>
      <c r="M225" s="351"/>
      <c r="N225" s="236" t="str">
        <f t="shared" si="12"/>
        <v/>
      </c>
      <c r="O225" s="236">
        <f>M225*IFERROR(VLOOKUP($C225,Logistics!$A$1:$O$534,10,FALSE),0)</f>
        <v>0</v>
      </c>
      <c r="P225" s="238">
        <f>M225*IFERROR(VLOOKUP($C225,Logistics!$A$1:$O$534,11,FALSE),0)</f>
        <v>0</v>
      </c>
      <c r="AA225" s="247">
        <f t="shared" si="11"/>
        <v>0.4</v>
      </c>
    </row>
    <row r="226" spans="2:27" ht="15" x14ac:dyDescent="0.2">
      <c r="B226" s="225">
        <v>222</v>
      </c>
      <c r="C226" s="259"/>
      <c r="D226" s="227" t="str">
        <f>IFERROR(VLOOKUP($C226,Full_data!$B$8:$J$932,2,FALSE),"")</f>
        <v/>
      </c>
      <c r="E226" s="227" t="str">
        <f>IFERROR(VLOOKUP($C226,Full_data!$B$8:$J$932,3,FALSE),"")</f>
        <v/>
      </c>
      <c r="F226" s="226" t="str">
        <f>IFERROR(VLOOKUP($C226,Full_data!$B$8:$J$932,4,FALSE),"")</f>
        <v/>
      </c>
      <c r="G226" s="226" t="e">
        <f>VLOOKUP($C226,Full_data!$B$8:$J$932,5,FALSE)</f>
        <v>#N/A</v>
      </c>
      <c r="H226" s="226" t="e">
        <f>VLOOKUP($C226,Full_data!$B$8:$J$932,6,FALSE)</f>
        <v>#N/A</v>
      </c>
      <c r="I226" s="237" t="str">
        <f>IFERROR(VLOOKUP($C226,Full_data!$B$8:$J$932,7,FALSE),"")</f>
        <v/>
      </c>
      <c r="J226" s="355" t="str">
        <f>IFERROR(VLOOKUP($C226,Full_data!$B$8:$J$932,8,FALSE),"")</f>
        <v/>
      </c>
      <c r="K226" s="358"/>
      <c r="L226" s="229" t="str">
        <f t="shared" si="10"/>
        <v/>
      </c>
      <c r="M226" s="352"/>
      <c r="N226" s="237" t="str">
        <f t="shared" si="12"/>
        <v/>
      </c>
      <c r="O226" s="237">
        <f>M226*IFERROR(VLOOKUP($C226,Logistics!$A$1:$O$534,10,FALSE),0)</f>
        <v>0</v>
      </c>
      <c r="P226" s="239">
        <f>M226*IFERROR(VLOOKUP($C226,Logistics!$A$1:$O$534,11,FALSE),0)</f>
        <v>0</v>
      </c>
      <c r="AA226" s="247">
        <f t="shared" si="11"/>
        <v>0.4</v>
      </c>
    </row>
    <row r="227" spans="2:27" ht="15" x14ac:dyDescent="0.2">
      <c r="B227" s="223">
        <v>223</v>
      </c>
      <c r="C227" s="258"/>
      <c r="D227" s="228" t="str">
        <f>IFERROR(VLOOKUP($C227,Full_data!$B$8:$J$932,2,FALSE),"")</f>
        <v/>
      </c>
      <c r="E227" s="228" t="str">
        <f>IFERROR(VLOOKUP($C227,Full_data!$B$8:$J$932,3,FALSE),"")</f>
        <v/>
      </c>
      <c r="F227" s="224" t="str">
        <f>IFERROR(VLOOKUP($C227,Full_data!$B$8:$J$932,4,FALSE),"")</f>
        <v/>
      </c>
      <c r="G227" s="224" t="e">
        <f>VLOOKUP($C227,Full_data!$B$8:$J$932,5,FALSE)</f>
        <v>#N/A</v>
      </c>
      <c r="H227" s="224" t="e">
        <f>VLOOKUP($C227,Full_data!$B$8:$J$932,6,FALSE)</f>
        <v>#N/A</v>
      </c>
      <c r="I227" s="236" t="str">
        <f>IFERROR(VLOOKUP($C227,Full_data!$B$8:$J$932,7,FALSE),"")</f>
        <v/>
      </c>
      <c r="J227" s="354" t="str">
        <f>IFERROR(VLOOKUP($C227,Full_data!$B$8:$J$932,8,FALSE),"")</f>
        <v/>
      </c>
      <c r="K227" s="357"/>
      <c r="L227" s="230" t="str">
        <f t="shared" si="10"/>
        <v/>
      </c>
      <c r="M227" s="351"/>
      <c r="N227" s="236" t="str">
        <f t="shared" si="12"/>
        <v/>
      </c>
      <c r="O227" s="236">
        <f>M227*IFERROR(VLOOKUP($C227,Logistics!$A$1:$O$534,10,FALSE),0)</f>
        <v>0</v>
      </c>
      <c r="P227" s="238">
        <f>M227*IFERROR(VLOOKUP($C227,Logistics!$A$1:$O$534,11,FALSE),0)</f>
        <v>0</v>
      </c>
      <c r="AA227" s="247">
        <f t="shared" si="11"/>
        <v>0.4</v>
      </c>
    </row>
    <row r="228" spans="2:27" ht="15" x14ac:dyDescent="0.2">
      <c r="B228" s="225">
        <v>224</v>
      </c>
      <c r="C228" s="259"/>
      <c r="D228" s="227" t="str">
        <f>IFERROR(VLOOKUP($C228,Full_data!$B$8:$J$932,2,FALSE),"")</f>
        <v/>
      </c>
      <c r="E228" s="227" t="str">
        <f>IFERROR(VLOOKUP($C228,Full_data!$B$8:$J$932,3,FALSE),"")</f>
        <v/>
      </c>
      <c r="F228" s="226" t="str">
        <f>IFERROR(VLOOKUP($C228,Full_data!$B$8:$J$932,4,FALSE),"")</f>
        <v/>
      </c>
      <c r="G228" s="226" t="e">
        <f>VLOOKUP($C228,Full_data!$B$8:$J$932,5,FALSE)</f>
        <v>#N/A</v>
      </c>
      <c r="H228" s="226" t="e">
        <f>VLOOKUP($C228,Full_data!$B$8:$J$932,6,FALSE)</f>
        <v>#N/A</v>
      </c>
      <c r="I228" s="237" t="str">
        <f>IFERROR(VLOOKUP($C228,Full_data!$B$8:$J$932,7,FALSE),"")</f>
        <v/>
      </c>
      <c r="J228" s="355" t="str">
        <f>IFERROR(VLOOKUP($C228,Full_data!$B$8:$J$932,8,FALSE),"")</f>
        <v/>
      </c>
      <c r="K228" s="358"/>
      <c r="L228" s="229" t="str">
        <f t="shared" ref="L228:L291" si="13">IFERROR(IF(ISBLANK(K228),I228-I228*J228,I228-I228*K228),"")</f>
        <v/>
      </c>
      <c r="M228" s="352"/>
      <c r="N228" s="237" t="str">
        <f t="shared" si="12"/>
        <v/>
      </c>
      <c r="O228" s="237">
        <f>M228*IFERROR(VLOOKUP($C228,Logistics!$A$1:$O$534,10,FALSE),0)</f>
        <v>0</v>
      </c>
      <c r="P228" s="239">
        <f>M228*IFERROR(VLOOKUP($C228,Logistics!$A$1:$O$534,11,FALSE),0)</f>
        <v>0</v>
      </c>
      <c r="AA228" s="247">
        <f t="shared" si="11"/>
        <v>0.4</v>
      </c>
    </row>
    <row r="229" spans="2:27" ht="15" x14ac:dyDescent="0.2">
      <c r="B229" s="223">
        <v>225</v>
      </c>
      <c r="C229" s="258"/>
      <c r="D229" s="228" t="str">
        <f>IFERROR(VLOOKUP($C229,Full_data!$B$8:$J$932,2,FALSE),"")</f>
        <v/>
      </c>
      <c r="E229" s="228" t="str">
        <f>IFERROR(VLOOKUP($C229,Full_data!$B$8:$J$932,3,FALSE),"")</f>
        <v/>
      </c>
      <c r="F229" s="224" t="str">
        <f>IFERROR(VLOOKUP($C229,Full_data!$B$8:$J$932,4,FALSE),"")</f>
        <v/>
      </c>
      <c r="G229" s="224" t="e">
        <f>VLOOKUP($C229,Full_data!$B$8:$J$932,5,FALSE)</f>
        <v>#N/A</v>
      </c>
      <c r="H229" s="224" t="e">
        <f>VLOOKUP($C229,Full_data!$B$8:$J$932,6,FALSE)</f>
        <v>#N/A</v>
      </c>
      <c r="I229" s="236" t="str">
        <f>IFERROR(VLOOKUP($C229,Full_data!$B$8:$J$932,7,FALSE),"")</f>
        <v/>
      </c>
      <c r="J229" s="354" t="str">
        <f>IFERROR(VLOOKUP($C229,Full_data!$B$8:$J$932,8,FALSE),"")</f>
        <v/>
      </c>
      <c r="K229" s="357"/>
      <c r="L229" s="230" t="str">
        <f t="shared" si="13"/>
        <v/>
      </c>
      <c r="M229" s="351"/>
      <c r="N229" s="236" t="str">
        <f t="shared" si="12"/>
        <v/>
      </c>
      <c r="O229" s="236">
        <f>M229*IFERROR(VLOOKUP($C229,Logistics!$A$1:$O$534,10,FALSE),0)</f>
        <v>0</v>
      </c>
      <c r="P229" s="238">
        <f>M229*IFERROR(VLOOKUP($C229,Logistics!$A$1:$O$534,11,FALSE),0)</f>
        <v>0</v>
      </c>
      <c r="AA229" s="247">
        <f t="shared" si="11"/>
        <v>0.4</v>
      </c>
    </row>
    <row r="230" spans="2:27" ht="15" x14ac:dyDescent="0.2">
      <c r="B230" s="225">
        <v>226</v>
      </c>
      <c r="C230" s="259"/>
      <c r="D230" s="227" t="str">
        <f>IFERROR(VLOOKUP($C230,Full_data!$B$8:$J$932,2,FALSE),"")</f>
        <v/>
      </c>
      <c r="E230" s="227" t="str">
        <f>IFERROR(VLOOKUP($C230,Full_data!$B$8:$J$932,3,FALSE),"")</f>
        <v/>
      </c>
      <c r="F230" s="226" t="str">
        <f>IFERROR(VLOOKUP($C230,Full_data!$B$8:$J$932,4,FALSE),"")</f>
        <v/>
      </c>
      <c r="G230" s="226" t="e">
        <f>VLOOKUP($C230,Full_data!$B$8:$J$932,5,FALSE)</f>
        <v>#N/A</v>
      </c>
      <c r="H230" s="226" t="e">
        <f>VLOOKUP($C230,Full_data!$B$8:$J$932,6,FALSE)</f>
        <v>#N/A</v>
      </c>
      <c r="I230" s="237" t="str">
        <f>IFERROR(VLOOKUP($C230,Full_data!$B$8:$J$932,7,FALSE),"")</f>
        <v/>
      </c>
      <c r="J230" s="355" t="str">
        <f>IFERROR(VLOOKUP($C230,Full_data!$B$8:$J$932,8,FALSE),"")</f>
        <v/>
      </c>
      <c r="K230" s="358"/>
      <c r="L230" s="229" t="str">
        <f t="shared" si="13"/>
        <v/>
      </c>
      <c r="M230" s="352"/>
      <c r="N230" s="237" t="str">
        <f t="shared" si="12"/>
        <v/>
      </c>
      <c r="O230" s="237">
        <f>M230*IFERROR(VLOOKUP($C230,Logistics!$A$1:$O$534,10,FALSE),0)</f>
        <v>0</v>
      </c>
      <c r="P230" s="239">
        <f>M230*IFERROR(VLOOKUP($C230,Logistics!$A$1:$O$534,11,FALSE),0)</f>
        <v>0</v>
      </c>
      <c r="AA230" s="247">
        <f t="shared" si="11"/>
        <v>0.4</v>
      </c>
    </row>
    <row r="231" spans="2:27" ht="15" x14ac:dyDescent="0.2">
      <c r="B231" s="223">
        <v>227</v>
      </c>
      <c r="C231" s="258"/>
      <c r="D231" s="228" t="str">
        <f>IFERROR(VLOOKUP($C231,Full_data!$B$8:$J$932,2,FALSE),"")</f>
        <v/>
      </c>
      <c r="E231" s="228" t="str">
        <f>IFERROR(VLOOKUP($C231,Full_data!$B$8:$J$932,3,FALSE),"")</f>
        <v/>
      </c>
      <c r="F231" s="224" t="str">
        <f>IFERROR(VLOOKUP($C231,Full_data!$B$8:$J$932,4,FALSE),"")</f>
        <v/>
      </c>
      <c r="G231" s="224" t="e">
        <f>VLOOKUP($C231,Full_data!$B$8:$J$932,5,FALSE)</f>
        <v>#N/A</v>
      </c>
      <c r="H231" s="224" t="e">
        <f>VLOOKUP($C231,Full_data!$B$8:$J$932,6,FALSE)</f>
        <v>#N/A</v>
      </c>
      <c r="I231" s="236" t="str">
        <f>IFERROR(VLOOKUP($C231,Full_data!$B$8:$J$932,7,FALSE),"")</f>
        <v/>
      </c>
      <c r="J231" s="354" t="str">
        <f>IFERROR(VLOOKUP($C231,Full_data!$B$8:$J$932,8,FALSE),"")</f>
        <v/>
      </c>
      <c r="K231" s="357"/>
      <c r="L231" s="230" t="str">
        <f t="shared" si="13"/>
        <v/>
      </c>
      <c r="M231" s="351"/>
      <c r="N231" s="236" t="str">
        <f t="shared" si="12"/>
        <v/>
      </c>
      <c r="O231" s="236">
        <f>M231*IFERROR(VLOOKUP($C231,Logistics!$A$1:$O$534,10,FALSE),0)</f>
        <v>0</v>
      </c>
      <c r="P231" s="238">
        <f>M231*IFERROR(VLOOKUP($C231,Logistics!$A$1:$O$534,11,FALSE),0)</f>
        <v>0</v>
      </c>
      <c r="AA231" s="247">
        <f t="shared" si="11"/>
        <v>0.4</v>
      </c>
    </row>
    <row r="232" spans="2:27" ht="15" x14ac:dyDescent="0.2">
      <c r="B232" s="225">
        <v>228</v>
      </c>
      <c r="C232" s="259"/>
      <c r="D232" s="227" t="str">
        <f>IFERROR(VLOOKUP($C232,Full_data!$B$8:$J$932,2,FALSE),"")</f>
        <v/>
      </c>
      <c r="E232" s="227" t="str">
        <f>IFERROR(VLOOKUP($C232,Full_data!$B$8:$J$932,3,FALSE),"")</f>
        <v/>
      </c>
      <c r="F232" s="226" t="str">
        <f>IFERROR(VLOOKUP($C232,Full_data!$B$8:$J$932,4,FALSE),"")</f>
        <v/>
      </c>
      <c r="G232" s="226" t="e">
        <f>VLOOKUP($C232,Full_data!$B$8:$J$932,5,FALSE)</f>
        <v>#N/A</v>
      </c>
      <c r="H232" s="226" t="e">
        <f>VLOOKUP($C232,Full_data!$B$8:$J$932,6,FALSE)</f>
        <v>#N/A</v>
      </c>
      <c r="I232" s="237" t="str">
        <f>IFERROR(VLOOKUP($C232,Full_data!$B$8:$J$932,7,FALSE),"")</f>
        <v/>
      </c>
      <c r="J232" s="355" t="str">
        <f>IFERROR(VLOOKUP($C232,Full_data!$B$8:$J$932,8,FALSE),"")</f>
        <v/>
      </c>
      <c r="K232" s="358"/>
      <c r="L232" s="229" t="str">
        <f t="shared" si="13"/>
        <v/>
      </c>
      <c r="M232" s="352"/>
      <c r="N232" s="237" t="str">
        <f t="shared" si="12"/>
        <v/>
      </c>
      <c r="O232" s="237">
        <f>M232*IFERROR(VLOOKUP($C232,Logistics!$A$1:$O$534,10,FALSE),0)</f>
        <v>0</v>
      </c>
      <c r="P232" s="239">
        <f>M232*IFERROR(VLOOKUP($C232,Logistics!$A$1:$O$534,11,FALSE),0)</f>
        <v>0</v>
      </c>
      <c r="AA232" s="247">
        <f t="shared" si="11"/>
        <v>0.4</v>
      </c>
    </row>
    <row r="233" spans="2:27" ht="15" x14ac:dyDescent="0.2">
      <c r="B233" s="223">
        <v>229</v>
      </c>
      <c r="C233" s="258"/>
      <c r="D233" s="228" t="str">
        <f>IFERROR(VLOOKUP($C233,Full_data!$B$8:$J$932,2,FALSE),"")</f>
        <v/>
      </c>
      <c r="E233" s="228" t="str">
        <f>IFERROR(VLOOKUP($C233,Full_data!$B$8:$J$932,3,FALSE),"")</f>
        <v/>
      </c>
      <c r="F233" s="224" t="str">
        <f>IFERROR(VLOOKUP($C233,Full_data!$B$8:$J$932,4,FALSE),"")</f>
        <v/>
      </c>
      <c r="G233" s="224" t="e">
        <f>VLOOKUP($C233,Full_data!$B$8:$J$932,5,FALSE)</f>
        <v>#N/A</v>
      </c>
      <c r="H233" s="224" t="e">
        <f>VLOOKUP($C233,Full_data!$B$8:$J$932,6,FALSE)</f>
        <v>#N/A</v>
      </c>
      <c r="I233" s="236" t="str">
        <f>IFERROR(VLOOKUP($C233,Full_data!$B$8:$J$932,7,FALSE),"")</f>
        <v/>
      </c>
      <c r="J233" s="354" t="str">
        <f>IFERROR(VLOOKUP($C233,Full_data!$B$8:$J$932,8,FALSE),"")</f>
        <v/>
      </c>
      <c r="K233" s="357"/>
      <c r="L233" s="230" t="str">
        <f t="shared" si="13"/>
        <v/>
      </c>
      <c r="M233" s="351"/>
      <c r="N233" s="236" t="str">
        <f t="shared" si="12"/>
        <v/>
      </c>
      <c r="O233" s="236">
        <f>M233*IFERROR(VLOOKUP($C233,Logistics!$A$1:$O$534,10,FALSE),0)</f>
        <v>0</v>
      </c>
      <c r="P233" s="238">
        <f>M233*IFERROR(VLOOKUP($C233,Logistics!$A$1:$O$534,11,FALSE),0)</f>
        <v>0</v>
      </c>
      <c r="AA233" s="247">
        <f t="shared" si="11"/>
        <v>0.4</v>
      </c>
    </row>
    <row r="234" spans="2:27" ht="15" x14ac:dyDescent="0.2">
      <c r="B234" s="225">
        <v>230</v>
      </c>
      <c r="C234" s="259"/>
      <c r="D234" s="227" t="str">
        <f>IFERROR(VLOOKUP($C234,Full_data!$B$8:$J$932,2,FALSE),"")</f>
        <v/>
      </c>
      <c r="E234" s="227" t="str">
        <f>IFERROR(VLOOKUP($C234,Full_data!$B$8:$J$932,3,FALSE),"")</f>
        <v/>
      </c>
      <c r="F234" s="226" t="str">
        <f>IFERROR(VLOOKUP($C234,Full_data!$B$8:$J$932,4,FALSE),"")</f>
        <v/>
      </c>
      <c r="G234" s="226" t="e">
        <f>VLOOKUP($C234,Full_data!$B$8:$J$932,5,FALSE)</f>
        <v>#N/A</v>
      </c>
      <c r="H234" s="226" t="e">
        <f>VLOOKUP($C234,Full_data!$B$8:$J$932,6,FALSE)</f>
        <v>#N/A</v>
      </c>
      <c r="I234" s="237" t="str">
        <f>IFERROR(VLOOKUP($C234,Full_data!$B$8:$J$932,7,FALSE),"")</f>
        <v/>
      </c>
      <c r="J234" s="355" t="str">
        <f>IFERROR(VLOOKUP($C234,Full_data!$B$8:$J$932,8,FALSE),"")</f>
        <v/>
      </c>
      <c r="K234" s="358"/>
      <c r="L234" s="229" t="str">
        <f t="shared" si="13"/>
        <v/>
      </c>
      <c r="M234" s="352"/>
      <c r="N234" s="237" t="str">
        <f t="shared" si="12"/>
        <v/>
      </c>
      <c r="O234" s="237">
        <f>M234*IFERROR(VLOOKUP($C234,Logistics!$A$1:$O$534,10,FALSE),0)</f>
        <v>0</v>
      </c>
      <c r="P234" s="239">
        <f>M234*IFERROR(VLOOKUP($C234,Logistics!$A$1:$O$534,11,FALSE),0)</f>
        <v>0</v>
      </c>
      <c r="AA234" s="247">
        <f t="shared" si="11"/>
        <v>0.4</v>
      </c>
    </row>
    <row r="235" spans="2:27" ht="15" x14ac:dyDescent="0.2">
      <c r="B235" s="223">
        <v>231</v>
      </c>
      <c r="C235" s="258"/>
      <c r="D235" s="228" t="str">
        <f>IFERROR(VLOOKUP($C235,Full_data!$B$8:$J$932,2,FALSE),"")</f>
        <v/>
      </c>
      <c r="E235" s="228" t="str">
        <f>IFERROR(VLOOKUP($C235,Full_data!$B$8:$J$932,3,FALSE),"")</f>
        <v/>
      </c>
      <c r="F235" s="224" t="str">
        <f>IFERROR(VLOOKUP($C235,Full_data!$B$8:$J$932,4,FALSE),"")</f>
        <v/>
      </c>
      <c r="G235" s="224" t="e">
        <f>VLOOKUP($C235,Full_data!$B$8:$J$932,5,FALSE)</f>
        <v>#N/A</v>
      </c>
      <c r="H235" s="224" t="e">
        <f>VLOOKUP($C235,Full_data!$B$8:$J$932,6,FALSE)</f>
        <v>#N/A</v>
      </c>
      <c r="I235" s="236" t="str">
        <f>IFERROR(VLOOKUP($C235,Full_data!$B$8:$J$932,7,FALSE),"")</f>
        <v/>
      </c>
      <c r="J235" s="354" t="str">
        <f>IFERROR(VLOOKUP($C235,Full_data!$B$8:$J$932,8,FALSE),"")</f>
        <v/>
      </c>
      <c r="K235" s="357"/>
      <c r="L235" s="230" t="str">
        <f t="shared" si="13"/>
        <v/>
      </c>
      <c r="M235" s="351"/>
      <c r="N235" s="236" t="str">
        <f t="shared" si="12"/>
        <v/>
      </c>
      <c r="O235" s="236">
        <f>M235*IFERROR(VLOOKUP($C235,Logistics!$A$1:$O$534,10,FALSE),0)</f>
        <v>0</v>
      </c>
      <c r="P235" s="238">
        <f>M235*IFERROR(VLOOKUP($C235,Logistics!$A$1:$O$534,11,FALSE),0)</f>
        <v>0</v>
      </c>
      <c r="AA235" s="247">
        <f t="shared" si="11"/>
        <v>0.4</v>
      </c>
    </row>
    <row r="236" spans="2:27" ht="15" x14ac:dyDescent="0.2">
      <c r="B236" s="225">
        <v>232</v>
      </c>
      <c r="C236" s="259"/>
      <c r="D236" s="227" t="str">
        <f>IFERROR(VLOOKUP($C236,Full_data!$B$8:$J$932,2,FALSE),"")</f>
        <v/>
      </c>
      <c r="E236" s="227" t="str">
        <f>IFERROR(VLOOKUP($C236,Full_data!$B$8:$J$932,3,FALSE),"")</f>
        <v/>
      </c>
      <c r="F236" s="226" t="str">
        <f>IFERROR(VLOOKUP($C236,Full_data!$B$8:$J$932,4,FALSE),"")</f>
        <v/>
      </c>
      <c r="G236" s="226" t="e">
        <f>VLOOKUP($C236,Full_data!$B$8:$J$932,5,FALSE)</f>
        <v>#N/A</v>
      </c>
      <c r="H236" s="226" t="e">
        <f>VLOOKUP($C236,Full_data!$B$8:$J$932,6,FALSE)</f>
        <v>#N/A</v>
      </c>
      <c r="I236" s="237" t="str">
        <f>IFERROR(VLOOKUP($C236,Full_data!$B$8:$J$932,7,FALSE),"")</f>
        <v/>
      </c>
      <c r="J236" s="355" t="str">
        <f>IFERROR(VLOOKUP($C236,Full_data!$B$8:$J$932,8,FALSE),"")</f>
        <v/>
      </c>
      <c r="K236" s="358"/>
      <c r="L236" s="229" t="str">
        <f t="shared" si="13"/>
        <v/>
      </c>
      <c r="M236" s="352"/>
      <c r="N236" s="237" t="str">
        <f t="shared" si="12"/>
        <v/>
      </c>
      <c r="O236" s="237">
        <f>M236*IFERROR(VLOOKUP($C236,Logistics!$A$1:$O$534,10,FALSE),0)</f>
        <v>0</v>
      </c>
      <c r="P236" s="239">
        <f>M236*IFERROR(VLOOKUP($C236,Logistics!$A$1:$O$534,11,FALSE),0)</f>
        <v>0</v>
      </c>
      <c r="AA236" s="247">
        <f t="shared" si="11"/>
        <v>0.4</v>
      </c>
    </row>
    <row r="237" spans="2:27" ht="15" x14ac:dyDescent="0.2">
      <c r="B237" s="223">
        <v>233</v>
      </c>
      <c r="C237" s="258"/>
      <c r="D237" s="228" t="str">
        <f>IFERROR(VLOOKUP($C237,Full_data!$B$8:$J$932,2,FALSE),"")</f>
        <v/>
      </c>
      <c r="E237" s="228" t="str">
        <f>IFERROR(VLOOKUP($C237,Full_data!$B$8:$J$932,3,FALSE),"")</f>
        <v/>
      </c>
      <c r="F237" s="224" t="str">
        <f>IFERROR(VLOOKUP($C237,Full_data!$B$8:$J$932,4,FALSE),"")</f>
        <v/>
      </c>
      <c r="G237" s="224" t="e">
        <f>VLOOKUP($C237,Full_data!$B$8:$J$932,5,FALSE)</f>
        <v>#N/A</v>
      </c>
      <c r="H237" s="224" t="e">
        <f>VLOOKUP($C237,Full_data!$B$8:$J$932,6,FALSE)</f>
        <v>#N/A</v>
      </c>
      <c r="I237" s="236" t="str">
        <f>IFERROR(VLOOKUP($C237,Full_data!$B$8:$J$932,7,FALSE),"")</f>
        <v/>
      </c>
      <c r="J237" s="354" t="str">
        <f>IFERROR(VLOOKUP($C237,Full_data!$B$8:$J$932,8,FALSE),"")</f>
        <v/>
      </c>
      <c r="K237" s="357"/>
      <c r="L237" s="230" t="str">
        <f t="shared" si="13"/>
        <v/>
      </c>
      <c r="M237" s="351"/>
      <c r="N237" s="236" t="str">
        <f t="shared" si="12"/>
        <v/>
      </c>
      <c r="O237" s="236">
        <f>M237*IFERROR(VLOOKUP($C237,Logistics!$A$1:$O$534,10,FALSE),0)</f>
        <v>0</v>
      </c>
      <c r="P237" s="238">
        <f>M237*IFERROR(VLOOKUP($C237,Logistics!$A$1:$O$534,11,FALSE),0)</f>
        <v>0</v>
      </c>
      <c r="AA237" s="247">
        <f t="shared" si="11"/>
        <v>0.4</v>
      </c>
    </row>
    <row r="238" spans="2:27" ht="15" x14ac:dyDescent="0.2">
      <c r="B238" s="225">
        <v>234</v>
      </c>
      <c r="C238" s="259"/>
      <c r="D238" s="227" t="str">
        <f>IFERROR(VLOOKUP($C238,Full_data!$B$8:$J$932,2,FALSE),"")</f>
        <v/>
      </c>
      <c r="E238" s="227" t="str">
        <f>IFERROR(VLOOKUP($C238,Full_data!$B$8:$J$932,3,FALSE),"")</f>
        <v/>
      </c>
      <c r="F238" s="226" t="str">
        <f>IFERROR(VLOOKUP($C238,Full_data!$B$8:$J$932,4,FALSE),"")</f>
        <v/>
      </c>
      <c r="G238" s="226" t="e">
        <f>VLOOKUP($C238,Full_data!$B$8:$J$932,5,FALSE)</f>
        <v>#N/A</v>
      </c>
      <c r="H238" s="226" t="e">
        <f>VLOOKUP($C238,Full_data!$B$8:$J$932,6,FALSE)</f>
        <v>#N/A</v>
      </c>
      <c r="I238" s="237" t="str">
        <f>IFERROR(VLOOKUP($C238,Full_data!$B$8:$J$932,7,FALSE),"")</f>
        <v/>
      </c>
      <c r="J238" s="355" t="str">
        <f>IFERROR(VLOOKUP($C238,Full_data!$B$8:$J$932,8,FALSE),"")</f>
        <v/>
      </c>
      <c r="K238" s="358"/>
      <c r="L238" s="229" t="str">
        <f t="shared" si="13"/>
        <v/>
      </c>
      <c r="M238" s="352"/>
      <c r="N238" s="237" t="str">
        <f t="shared" si="12"/>
        <v/>
      </c>
      <c r="O238" s="237">
        <f>M238*IFERROR(VLOOKUP($C238,Logistics!$A$1:$O$534,10,FALSE),0)</f>
        <v>0</v>
      </c>
      <c r="P238" s="239">
        <f>M238*IFERROR(VLOOKUP($C238,Logistics!$A$1:$O$534,11,FALSE),0)</f>
        <v>0</v>
      </c>
      <c r="AA238" s="247">
        <f t="shared" si="11"/>
        <v>0.4</v>
      </c>
    </row>
    <row r="239" spans="2:27" ht="15" x14ac:dyDescent="0.2">
      <c r="B239" s="223">
        <v>235</v>
      </c>
      <c r="C239" s="258"/>
      <c r="D239" s="228" t="str">
        <f>IFERROR(VLOOKUP($C239,Full_data!$B$8:$J$932,2,FALSE),"")</f>
        <v/>
      </c>
      <c r="E239" s="228" t="str">
        <f>IFERROR(VLOOKUP($C239,Full_data!$B$8:$J$932,3,FALSE),"")</f>
        <v/>
      </c>
      <c r="F239" s="224" t="str">
        <f>IFERROR(VLOOKUP($C239,Full_data!$B$8:$J$932,4,FALSE),"")</f>
        <v/>
      </c>
      <c r="G239" s="224" t="e">
        <f>VLOOKUP($C239,Full_data!$B$8:$J$932,5,FALSE)</f>
        <v>#N/A</v>
      </c>
      <c r="H239" s="224" t="e">
        <f>VLOOKUP($C239,Full_data!$B$8:$J$932,6,FALSE)</f>
        <v>#N/A</v>
      </c>
      <c r="I239" s="236" t="str">
        <f>IFERROR(VLOOKUP($C239,Full_data!$B$8:$J$932,7,FALSE),"")</f>
        <v/>
      </c>
      <c r="J239" s="354" t="str">
        <f>IFERROR(VLOOKUP($C239,Full_data!$B$8:$J$932,8,FALSE),"")</f>
        <v/>
      </c>
      <c r="K239" s="357"/>
      <c r="L239" s="230" t="str">
        <f t="shared" si="13"/>
        <v/>
      </c>
      <c r="M239" s="351"/>
      <c r="N239" s="236" t="str">
        <f t="shared" si="12"/>
        <v/>
      </c>
      <c r="O239" s="236">
        <f>M239*IFERROR(VLOOKUP($C239,Logistics!$A$1:$O$534,10,FALSE),0)</f>
        <v>0</v>
      </c>
      <c r="P239" s="238">
        <f>M239*IFERROR(VLOOKUP($C239,Logistics!$A$1:$O$534,11,FALSE),0)</f>
        <v>0</v>
      </c>
      <c r="AA239" s="247">
        <f t="shared" si="11"/>
        <v>0.4</v>
      </c>
    </row>
    <row r="240" spans="2:27" ht="15" x14ac:dyDescent="0.2">
      <c r="B240" s="225">
        <v>236</v>
      </c>
      <c r="C240" s="259"/>
      <c r="D240" s="227" t="str">
        <f>IFERROR(VLOOKUP($C240,Full_data!$B$8:$J$932,2,FALSE),"")</f>
        <v/>
      </c>
      <c r="E240" s="227" t="str">
        <f>IFERROR(VLOOKUP($C240,Full_data!$B$8:$J$932,3,FALSE),"")</f>
        <v/>
      </c>
      <c r="F240" s="226" t="str">
        <f>IFERROR(VLOOKUP($C240,Full_data!$B$8:$J$932,4,FALSE),"")</f>
        <v/>
      </c>
      <c r="G240" s="226" t="e">
        <f>VLOOKUP($C240,Full_data!$B$8:$J$932,5,FALSE)</f>
        <v>#N/A</v>
      </c>
      <c r="H240" s="226" t="e">
        <f>VLOOKUP($C240,Full_data!$B$8:$J$932,6,FALSE)</f>
        <v>#N/A</v>
      </c>
      <c r="I240" s="237" t="str">
        <f>IFERROR(VLOOKUP($C240,Full_data!$B$8:$J$932,7,FALSE),"")</f>
        <v/>
      </c>
      <c r="J240" s="355" t="str">
        <f>IFERROR(VLOOKUP($C240,Full_data!$B$8:$J$932,8,FALSE),"")</f>
        <v/>
      </c>
      <c r="K240" s="358"/>
      <c r="L240" s="229" t="str">
        <f t="shared" si="13"/>
        <v/>
      </c>
      <c r="M240" s="352"/>
      <c r="N240" s="237" t="str">
        <f t="shared" si="12"/>
        <v/>
      </c>
      <c r="O240" s="237">
        <f>M240*IFERROR(VLOOKUP($C240,Logistics!$A$1:$O$534,10,FALSE),0)</f>
        <v>0</v>
      </c>
      <c r="P240" s="239">
        <f>M240*IFERROR(VLOOKUP($C240,Logistics!$A$1:$O$534,11,FALSE),0)</f>
        <v>0</v>
      </c>
      <c r="AA240" s="247">
        <f t="shared" si="11"/>
        <v>0.4</v>
      </c>
    </row>
    <row r="241" spans="2:27" ht="15" x14ac:dyDescent="0.2">
      <c r="B241" s="223">
        <v>237</v>
      </c>
      <c r="C241" s="258"/>
      <c r="D241" s="228" t="str">
        <f>IFERROR(VLOOKUP($C241,Full_data!$B$8:$J$932,2,FALSE),"")</f>
        <v/>
      </c>
      <c r="E241" s="228" t="str">
        <f>IFERROR(VLOOKUP($C241,Full_data!$B$8:$J$932,3,FALSE),"")</f>
        <v/>
      </c>
      <c r="F241" s="224" t="str">
        <f>IFERROR(VLOOKUP($C241,Full_data!$B$8:$J$932,4,FALSE),"")</f>
        <v/>
      </c>
      <c r="G241" s="224" t="e">
        <f>VLOOKUP($C241,Full_data!$B$8:$J$932,5,FALSE)</f>
        <v>#N/A</v>
      </c>
      <c r="H241" s="224" t="e">
        <f>VLOOKUP($C241,Full_data!$B$8:$J$932,6,FALSE)</f>
        <v>#N/A</v>
      </c>
      <c r="I241" s="236" t="str">
        <f>IFERROR(VLOOKUP($C241,Full_data!$B$8:$J$932,7,FALSE),"")</f>
        <v/>
      </c>
      <c r="J241" s="354" t="str">
        <f>IFERROR(VLOOKUP($C241,Full_data!$B$8:$J$932,8,FALSE),"")</f>
        <v/>
      </c>
      <c r="K241" s="357"/>
      <c r="L241" s="230" t="str">
        <f t="shared" si="13"/>
        <v/>
      </c>
      <c r="M241" s="351"/>
      <c r="N241" s="236" t="str">
        <f t="shared" si="12"/>
        <v/>
      </c>
      <c r="O241" s="236">
        <f>M241*IFERROR(VLOOKUP($C241,Logistics!$A$1:$O$534,10,FALSE),0)</f>
        <v>0</v>
      </c>
      <c r="P241" s="238">
        <f>M241*IFERROR(VLOOKUP($C241,Logistics!$A$1:$O$534,11,FALSE),0)</f>
        <v>0</v>
      </c>
      <c r="AA241" s="247">
        <f t="shared" si="11"/>
        <v>0.4</v>
      </c>
    </row>
    <row r="242" spans="2:27" ht="15" x14ac:dyDescent="0.2">
      <c r="B242" s="225">
        <v>238</v>
      </c>
      <c r="C242" s="259"/>
      <c r="D242" s="227" t="str">
        <f>IFERROR(VLOOKUP($C242,Full_data!$B$8:$J$932,2,FALSE),"")</f>
        <v/>
      </c>
      <c r="E242" s="227" t="str">
        <f>IFERROR(VLOOKUP($C242,Full_data!$B$8:$J$932,3,FALSE),"")</f>
        <v/>
      </c>
      <c r="F242" s="226" t="str">
        <f>IFERROR(VLOOKUP($C242,Full_data!$B$8:$J$932,4,FALSE),"")</f>
        <v/>
      </c>
      <c r="G242" s="226" t="e">
        <f>VLOOKUP($C242,Full_data!$B$8:$J$932,5,FALSE)</f>
        <v>#N/A</v>
      </c>
      <c r="H242" s="226" t="e">
        <f>VLOOKUP($C242,Full_data!$B$8:$J$932,6,FALSE)</f>
        <v>#N/A</v>
      </c>
      <c r="I242" s="237" t="str">
        <f>IFERROR(VLOOKUP($C242,Full_data!$B$8:$J$932,7,FALSE),"")</f>
        <v/>
      </c>
      <c r="J242" s="355" t="str">
        <f>IFERROR(VLOOKUP($C242,Full_data!$B$8:$J$932,8,FALSE),"")</f>
        <v/>
      </c>
      <c r="K242" s="358"/>
      <c r="L242" s="229" t="str">
        <f t="shared" si="13"/>
        <v/>
      </c>
      <c r="M242" s="352"/>
      <c r="N242" s="237" t="str">
        <f t="shared" si="12"/>
        <v/>
      </c>
      <c r="O242" s="237">
        <f>M242*IFERROR(VLOOKUP($C242,Logistics!$A$1:$O$534,10,FALSE),0)</f>
        <v>0</v>
      </c>
      <c r="P242" s="239">
        <f>M242*IFERROR(VLOOKUP($C242,Logistics!$A$1:$O$534,11,FALSE),0)</f>
        <v>0</v>
      </c>
      <c r="AA242" s="247">
        <f t="shared" si="11"/>
        <v>0.4</v>
      </c>
    </row>
    <row r="243" spans="2:27" ht="15" x14ac:dyDescent="0.2">
      <c r="B243" s="223">
        <v>239</v>
      </c>
      <c r="C243" s="258"/>
      <c r="D243" s="228" t="str">
        <f>IFERROR(VLOOKUP($C243,Full_data!$B$8:$J$932,2,FALSE),"")</f>
        <v/>
      </c>
      <c r="E243" s="228" t="str">
        <f>IFERROR(VLOOKUP($C243,Full_data!$B$8:$J$932,3,FALSE),"")</f>
        <v/>
      </c>
      <c r="F243" s="224" t="str">
        <f>IFERROR(VLOOKUP($C243,Full_data!$B$8:$J$932,4,FALSE),"")</f>
        <v/>
      </c>
      <c r="G243" s="224" t="e">
        <f>VLOOKUP($C243,Full_data!$B$8:$J$932,5,FALSE)</f>
        <v>#N/A</v>
      </c>
      <c r="H243" s="224" t="e">
        <f>VLOOKUP($C243,Full_data!$B$8:$J$932,6,FALSE)</f>
        <v>#N/A</v>
      </c>
      <c r="I243" s="236" t="str">
        <f>IFERROR(VLOOKUP($C243,Full_data!$B$8:$J$932,7,FALSE),"")</f>
        <v/>
      </c>
      <c r="J243" s="354" t="str">
        <f>IFERROR(VLOOKUP($C243,Full_data!$B$8:$J$932,8,FALSE),"")</f>
        <v/>
      </c>
      <c r="K243" s="357"/>
      <c r="L243" s="230" t="str">
        <f t="shared" si="13"/>
        <v/>
      </c>
      <c r="M243" s="351"/>
      <c r="N243" s="236" t="str">
        <f t="shared" si="12"/>
        <v/>
      </c>
      <c r="O243" s="236">
        <f>M243*IFERROR(VLOOKUP($C243,Logistics!$A$1:$O$534,10,FALSE),0)</f>
        <v>0</v>
      </c>
      <c r="P243" s="238">
        <f>M243*IFERROR(VLOOKUP($C243,Logistics!$A$1:$O$534,11,FALSE),0)</f>
        <v>0</v>
      </c>
      <c r="AA243" s="247">
        <f t="shared" si="11"/>
        <v>0.4</v>
      </c>
    </row>
    <row r="244" spans="2:27" ht="15" x14ac:dyDescent="0.2">
      <c r="B244" s="225">
        <v>240</v>
      </c>
      <c r="C244" s="259"/>
      <c r="D244" s="227" t="str">
        <f>IFERROR(VLOOKUP($C244,Full_data!$B$8:$J$932,2,FALSE),"")</f>
        <v/>
      </c>
      <c r="E244" s="227" t="str">
        <f>IFERROR(VLOOKUP($C244,Full_data!$B$8:$J$932,3,FALSE),"")</f>
        <v/>
      </c>
      <c r="F244" s="226" t="str">
        <f>IFERROR(VLOOKUP($C244,Full_data!$B$8:$J$932,4,FALSE),"")</f>
        <v/>
      </c>
      <c r="G244" s="226" t="e">
        <f>VLOOKUP($C244,Full_data!$B$8:$J$932,5,FALSE)</f>
        <v>#N/A</v>
      </c>
      <c r="H244" s="226" t="e">
        <f>VLOOKUP($C244,Full_data!$B$8:$J$932,6,FALSE)</f>
        <v>#N/A</v>
      </c>
      <c r="I244" s="237" t="str">
        <f>IFERROR(VLOOKUP($C244,Full_data!$B$8:$J$932,7,FALSE),"")</f>
        <v/>
      </c>
      <c r="J244" s="355" t="str">
        <f>IFERROR(VLOOKUP($C244,Full_data!$B$8:$J$932,8,FALSE),"")</f>
        <v/>
      </c>
      <c r="K244" s="358"/>
      <c r="L244" s="229" t="str">
        <f t="shared" si="13"/>
        <v/>
      </c>
      <c r="M244" s="352"/>
      <c r="N244" s="237" t="str">
        <f t="shared" si="12"/>
        <v/>
      </c>
      <c r="O244" s="237">
        <f>M244*IFERROR(VLOOKUP($C244,Logistics!$A$1:$O$534,10,FALSE),0)</f>
        <v>0</v>
      </c>
      <c r="P244" s="239">
        <f>M244*IFERROR(VLOOKUP($C244,Logistics!$A$1:$O$534,11,FALSE),0)</f>
        <v>0</v>
      </c>
      <c r="AA244" s="247">
        <f t="shared" si="11"/>
        <v>0.4</v>
      </c>
    </row>
    <row r="245" spans="2:27" ht="15" x14ac:dyDescent="0.2">
      <c r="B245" s="223">
        <v>241</v>
      </c>
      <c r="C245" s="258"/>
      <c r="D245" s="228" t="str">
        <f>IFERROR(VLOOKUP($C245,Full_data!$B$8:$J$932,2,FALSE),"")</f>
        <v/>
      </c>
      <c r="E245" s="228" t="str">
        <f>IFERROR(VLOOKUP($C245,Full_data!$B$8:$J$932,3,FALSE),"")</f>
        <v/>
      </c>
      <c r="F245" s="224" t="str">
        <f>IFERROR(VLOOKUP($C245,Full_data!$B$8:$J$932,4,FALSE),"")</f>
        <v/>
      </c>
      <c r="G245" s="224" t="e">
        <f>VLOOKUP($C245,Full_data!$B$8:$J$932,5,FALSE)</f>
        <v>#N/A</v>
      </c>
      <c r="H245" s="224" t="e">
        <f>VLOOKUP($C245,Full_data!$B$8:$J$932,6,FALSE)</f>
        <v>#N/A</v>
      </c>
      <c r="I245" s="236" t="str">
        <f>IFERROR(VLOOKUP($C245,Full_data!$B$8:$J$932,7,FALSE),"")</f>
        <v/>
      </c>
      <c r="J245" s="354" t="str">
        <f>IFERROR(VLOOKUP($C245,Full_data!$B$8:$J$932,8,FALSE),"")</f>
        <v/>
      </c>
      <c r="K245" s="357"/>
      <c r="L245" s="230" t="str">
        <f t="shared" si="13"/>
        <v/>
      </c>
      <c r="M245" s="351"/>
      <c r="N245" s="236" t="str">
        <f t="shared" si="12"/>
        <v/>
      </c>
      <c r="O245" s="236">
        <f>M245*IFERROR(VLOOKUP($C245,Logistics!$A$1:$O$534,10,FALSE),0)</f>
        <v>0</v>
      </c>
      <c r="P245" s="238">
        <f>M245*IFERROR(VLOOKUP($C245,Logistics!$A$1:$O$534,11,FALSE),0)</f>
        <v>0</v>
      </c>
      <c r="AA245" s="247">
        <f t="shared" si="11"/>
        <v>0.4</v>
      </c>
    </row>
    <row r="246" spans="2:27" ht="15" x14ac:dyDescent="0.2">
      <c r="B246" s="225">
        <v>242</v>
      </c>
      <c r="C246" s="259"/>
      <c r="D246" s="227" t="str">
        <f>IFERROR(VLOOKUP($C246,Full_data!$B$8:$J$932,2,FALSE),"")</f>
        <v/>
      </c>
      <c r="E246" s="227" t="str">
        <f>IFERROR(VLOOKUP($C246,Full_data!$B$8:$J$932,3,FALSE),"")</f>
        <v/>
      </c>
      <c r="F246" s="226" t="str">
        <f>IFERROR(VLOOKUP($C246,Full_data!$B$8:$J$932,4,FALSE),"")</f>
        <v/>
      </c>
      <c r="G246" s="226" t="e">
        <f>VLOOKUP($C246,Full_data!$B$8:$J$932,5,FALSE)</f>
        <v>#N/A</v>
      </c>
      <c r="H246" s="226" t="e">
        <f>VLOOKUP($C246,Full_data!$B$8:$J$932,6,FALSE)</f>
        <v>#N/A</v>
      </c>
      <c r="I246" s="237" t="str">
        <f>IFERROR(VLOOKUP($C246,Full_data!$B$8:$J$932,7,FALSE),"")</f>
        <v/>
      </c>
      <c r="J246" s="355" t="str">
        <f>IFERROR(VLOOKUP($C246,Full_data!$B$8:$J$932,8,FALSE),"")</f>
        <v/>
      </c>
      <c r="K246" s="358"/>
      <c r="L246" s="229" t="str">
        <f t="shared" si="13"/>
        <v/>
      </c>
      <c r="M246" s="352"/>
      <c r="N246" s="237" t="str">
        <f t="shared" si="12"/>
        <v/>
      </c>
      <c r="O246" s="237">
        <f>M246*IFERROR(VLOOKUP($C246,Logistics!$A$1:$O$534,10,FALSE),0)</f>
        <v>0</v>
      </c>
      <c r="P246" s="239">
        <f>M246*IFERROR(VLOOKUP($C246,Logistics!$A$1:$O$534,11,FALSE),0)</f>
        <v>0</v>
      </c>
      <c r="AA246" s="247">
        <f t="shared" si="11"/>
        <v>0.4</v>
      </c>
    </row>
    <row r="247" spans="2:27" ht="15" x14ac:dyDescent="0.2">
      <c r="B247" s="223">
        <v>243</v>
      </c>
      <c r="C247" s="258"/>
      <c r="D247" s="228" t="str">
        <f>IFERROR(VLOOKUP($C247,Full_data!$B$8:$J$932,2,FALSE),"")</f>
        <v/>
      </c>
      <c r="E247" s="228" t="str">
        <f>IFERROR(VLOOKUP($C247,Full_data!$B$8:$J$932,3,FALSE),"")</f>
        <v/>
      </c>
      <c r="F247" s="224" t="str">
        <f>IFERROR(VLOOKUP($C247,Full_data!$B$8:$J$932,4,FALSE),"")</f>
        <v/>
      </c>
      <c r="G247" s="224" t="e">
        <f>VLOOKUP($C247,Full_data!$B$8:$J$932,5,FALSE)</f>
        <v>#N/A</v>
      </c>
      <c r="H247" s="224" t="e">
        <f>VLOOKUP($C247,Full_data!$B$8:$J$932,6,FALSE)</f>
        <v>#N/A</v>
      </c>
      <c r="I247" s="236" t="str">
        <f>IFERROR(VLOOKUP($C247,Full_data!$B$8:$J$932,7,FALSE),"")</f>
        <v/>
      </c>
      <c r="J247" s="354" t="str">
        <f>IFERROR(VLOOKUP($C247,Full_data!$B$8:$J$932,8,FALSE),"")</f>
        <v/>
      </c>
      <c r="K247" s="357"/>
      <c r="L247" s="230" t="str">
        <f t="shared" si="13"/>
        <v/>
      </c>
      <c r="M247" s="351"/>
      <c r="N247" s="236" t="str">
        <f t="shared" si="12"/>
        <v/>
      </c>
      <c r="O247" s="236">
        <f>M247*IFERROR(VLOOKUP($C247,Logistics!$A$1:$O$534,10,FALSE),0)</f>
        <v>0</v>
      </c>
      <c r="P247" s="238">
        <f>M247*IFERROR(VLOOKUP($C247,Logistics!$A$1:$O$534,11,FALSE),0)</f>
        <v>0</v>
      </c>
      <c r="AA247" s="247">
        <f t="shared" si="11"/>
        <v>0.4</v>
      </c>
    </row>
    <row r="248" spans="2:27" ht="15" x14ac:dyDescent="0.2">
      <c r="B248" s="225">
        <v>244</v>
      </c>
      <c r="C248" s="259"/>
      <c r="D248" s="227" t="str">
        <f>IFERROR(VLOOKUP($C248,Full_data!$B$8:$J$932,2,FALSE),"")</f>
        <v/>
      </c>
      <c r="E248" s="227" t="str">
        <f>IFERROR(VLOOKUP($C248,Full_data!$B$8:$J$932,3,FALSE),"")</f>
        <v/>
      </c>
      <c r="F248" s="226" t="str">
        <f>IFERROR(VLOOKUP($C248,Full_data!$B$8:$J$932,4,FALSE),"")</f>
        <v/>
      </c>
      <c r="G248" s="226" t="e">
        <f>VLOOKUP($C248,Full_data!$B$8:$J$932,5,FALSE)</f>
        <v>#N/A</v>
      </c>
      <c r="H248" s="226" t="e">
        <f>VLOOKUP($C248,Full_data!$B$8:$J$932,6,FALSE)</f>
        <v>#N/A</v>
      </c>
      <c r="I248" s="237" t="str">
        <f>IFERROR(VLOOKUP($C248,Full_data!$B$8:$J$932,7,FALSE),"")</f>
        <v/>
      </c>
      <c r="J248" s="355" t="str">
        <f>IFERROR(VLOOKUP($C248,Full_data!$B$8:$J$932,8,FALSE),"")</f>
        <v/>
      </c>
      <c r="K248" s="358"/>
      <c r="L248" s="229" t="str">
        <f t="shared" si="13"/>
        <v/>
      </c>
      <c r="M248" s="352"/>
      <c r="N248" s="237" t="str">
        <f t="shared" si="12"/>
        <v/>
      </c>
      <c r="O248" s="237">
        <f>M248*IFERROR(VLOOKUP($C248,Logistics!$A$1:$O$534,10,FALSE),0)</f>
        <v>0</v>
      </c>
      <c r="P248" s="239">
        <f>M248*IFERROR(VLOOKUP($C248,Logistics!$A$1:$O$534,11,FALSE),0)</f>
        <v>0</v>
      </c>
      <c r="AA248" s="247">
        <f t="shared" si="11"/>
        <v>0.4</v>
      </c>
    </row>
    <row r="249" spans="2:27" ht="15" x14ac:dyDescent="0.2">
      <c r="B249" s="223">
        <v>245</v>
      </c>
      <c r="C249" s="258"/>
      <c r="D249" s="228" t="str">
        <f>IFERROR(VLOOKUP($C249,Full_data!$B$8:$J$932,2,FALSE),"")</f>
        <v/>
      </c>
      <c r="E249" s="228" t="str">
        <f>IFERROR(VLOOKUP($C249,Full_data!$B$8:$J$932,3,FALSE),"")</f>
        <v/>
      </c>
      <c r="F249" s="224" t="str">
        <f>IFERROR(VLOOKUP($C249,Full_data!$B$8:$J$932,4,FALSE),"")</f>
        <v/>
      </c>
      <c r="G249" s="224" t="e">
        <f>VLOOKUP($C249,Full_data!$B$8:$J$932,5,FALSE)</f>
        <v>#N/A</v>
      </c>
      <c r="H249" s="224" t="e">
        <f>VLOOKUP($C249,Full_data!$B$8:$J$932,6,FALSE)</f>
        <v>#N/A</v>
      </c>
      <c r="I249" s="236" t="str">
        <f>IFERROR(VLOOKUP($C249,Full_data!$B$8:$J$932,7,FALSE),"")</f>
        <v/>
      </c>
      <c r="J249" s="354" t="str">
        <f>IFERROR(VLOOKUP($C249,Full_data!$B$8:$J$932,8,FALSE),"")</f>
        <v/>
      </c>
      <c r="K249" s="357"/>
      <c r="L249" s="230" t="str">
        <f t="shared" si="13"/>
        <v/>
      </c>
      <c r="M249" s="351"/>
      <c r="N249" s="236" t="str">
        <f t="shared" si="12"/>
        <v/>
      </c>
      <c r="O249" s="236">
        <f>M249*IFERROR(VLOOKUP($C249,Logistics!$A$1:$O$534,10,FALSE),0)</f>
        <v>0</v>
      </c>
      <c r="P249" s="238">
        <f>M249*IFERROR(VLOOKUP($C249,Logistics!$A$1:$O$534,11,FALSE),0)</f>
        <v>0</v>
      </c>
      <c r="AA249" s="247">
        <f t="shared" si="11"/>
        <v>0.4</v>
      </c>
    </row>
    <row r="250" spans="2:27" ht="15" x14ac:dyDescent="0.2">
      <c r="B250" s="225">
        <v>246</v>
      </c>
      <c r="C250" s="259"/>
      <c r="D250" s="227" t="str">
        <f>IFERROR(VLOOKUP($C250,Full_data!$B$8:$J$932,2,FALSE),"")</f>
        <v/>
      </c>
      <c r="E250" s="227" t="str">
        <f>IFERROR(VLOOKUP($C250,Full_data!$B$8:$J$932,3,FALSE),"")</f>
        <v/>
      </c>
      <c r="F250" s="226" t="str">
        <f>IFERROR(VLOOKUP($C250,Full_data!$B$8:$J$932,4,FALSE),"")</f>
        <v/>
      </c>
      <c r="G250" s="226" t="e">
        <f>VLOOKUP($C250,Full_data!$B$8:$J$932,5,FALSE)</f>
        <v>#N/A</v>
      </c>
      <c r="H250" s="226" t="e">
        <f>VLOOKUP($C250,Full_data!$B$8:$J$932,6,FALSE)</f>
        <v>#N/A</v>
      </c>
      <c r="I250" s="237" t="str">
        <f>IFERROR(VLOOKUP($C250,Full_data!$B$8:$J$932,7,FALSE),"")</f>
        <v/>
      </c>
      <c r="J250" s="355" t="str">
        <f>IFERROR(VLOOKUP($C250,Full_data!$B$8:$J$932,8,FALSE),"")</f>
        <v/>
      </c>
      <c r="K250" s="358"/>
      <c r="L250" s="229" t="str">
        <f t="shared" si="13"/>
        <v/>
      </c>
      <c r="M250" s="352"/>
      <c r="N250" s="237" t="str">
        <f t="shared" si="12"/>
        <v/>
      </c>
      <c r="O250" s="237">
        <f>M250*IFERROR(VLOOKUP($C250,Logistics!$A$1:$O$534,10,FALSE),0)</f>
        <v>0</v>
      </c>
      <c r="P250" s="239">
        <f>M250*IFERROR(VLOOKUP($C250,Logistics!$A$1:$O$534,11,FALSE),0)</f>
        <v>0</v>
      </c>
      <c r="AA250" s="247">
        <f t="shared" si="11"/>
        <v>0.4</v>
      </c>
    </row>
    <row r="251" spans="2:27" ht="15" x14ac:dyDescent="0.2">
      <c r="B251" s="223">
        <v>247</v>
      </c>
      <c r="C251" s="258"/>
      <c r="D251" s="228" t="str">
        <f>IFERROR(VLOOKUP($C251,Full_data!$B$8:$J$932,2,FALSE),"")</f>
        <v/>
      </c>
      <c r="E251" s="228" t="str">
        <f>IFERROR(VLOOKUP($C251,Full_data!$B$8:$J$932,3,FALSE),"")</f>
        <v/>
      </c>
      <c r="F251" s="224" t="str">
        <f>IFERROR(VLOOKUP($C251,Full_data!$B$8:$J$932,4,FALSE),"")</f>
        <v/>
      </c>
      <c r="G251" s="224" t="e">
        <f>VLOOKUP($C251,Full_data!$B$8:$J$932,5,FALSE)</f>
        <v>#N/A</v>
      </c>
      <c r="H251" s="224" t="e">
        <f>VLOOKUP($C251,Full_data!$B$8:$J$932,6,FALSE)</f>
        <v>#N/A</v>
      </c>
      <c r="I251" s="236" t="str">
        <f>IFERROR(VLOOKUP($C251,Full_data!$B$8:$J$932,7,FALSE),"")</f>
        <v/>
      </c>
      <c r="J251" s="354" t="str">
        <f>IFERROR(VLOOKUP($C251,Full_data!$B$8:$J$932,8,FALSE),"")</f>
        <v/>
      </c>
      <c r="K251" s="357"/>
      <c r="L251" s="230" t="str">
        <f t="shared" si="13"/>
        <v/>
      </c>
      <c r="M251" s="351"/>
      <c r="N251" s="236" t="str">
        <f t="shared" si="12"/>
        <v/>
      </c>
      <c r="O251" s="236">
        <f>M251*IFERROR(VLOOKUP($C251,Logistics!$A$1:$O$534,10,FALSE),0)</f>
        <v>0</v>
      </c>
      <c r="P251" s="238">
        <f>M251*IFERROR(VLOOKUP($C251,Logistics!$A$1:$O$534,11,FALSE),0)</f>
        <v>0</v>
      </c>
      <c r="AA251" s="247">
        <f t="shared" si="11"/>
        <v>0.4</v>
      </c>
    </row>
    <row r="252" spans="2:27" ht="15" x14ac:dyDescent="0.2">
      <c r="B252" s="225">
        <v>248</v>
      </c>
      <c r="C252" s="259"/>
      <c r="D252" s="227" t="str">
        <f>IFERROR(VLOOKUP($C252,Full_data!$B$8:$J$932,2,FALSE),"")</f>
        <v/>
      </c>
      <c r="E252" s="227" t="str">
        <f>IFERROR(VLOOKUP($C252,Full_data!$B$8:$J$932,3,FALSE),"")</f>
        <v/>
      </c>
      <c r="F252" s="226" t="str">
        <f>IFERROR(VLOOKUP($C252,Full_data!$B$8:$J$932,4,FALSE),"")</f>
        <v/>
      </c>
      <c r="G252" s="226" t="e">
        <f>VLOOKUP($C252,Full_data!$B$8:$J$932,5,FALSE)</f>
        <v>#N/A</v>
      </c>
      <c r="H252" s="226" t="e">
        <f>VLOOKUP($C252,Full_data!$B$8:$J$932,6,FALSE)</f>
        <v>#N/A</v>
      </c>
      <c r="I252" s="237" t="str">
        <f>IFERROR(VLOOKUP($C252,Full_data!$B$8:$J$932,7,FALSE),"")</f>
        <v/>
      </c>
      <c r="J252" s="355" t="str">
        <f>IFERROR(VLOOKUP($C252,Full_data!$B$8:$J$932,8,FALSE),"")</f>
        <v/>
      </c>
      <c r="K252" s="358"/>
      <c r="L252" s="229" t="str">
        <f t="shared" si="13"/>
        <v/>
      </c>
      <c r="M252" s="352"/>
      <c r="N252" s="237" t="str">
        <f t="shared" si="12"/>
        <v/>
      </c>
      <c r="O252" s="237">
        <f>M252*IFERROR(VLOOKUP($C252,Logistics!$A$1:$O$534,10,FALSE),0)</f>
        <v>0</v>
      </c>
      <c r="P252" s="239">
        <f>M252*IFERROR(VLOOKUP($C252,Logistics!$A$1:$O$534,11,FALSE),0)</f>
        <v>0</v>
      </c>
      <c r="AA252" s="247">
        <f t="shared" si="11"/>
        <v>0.4</v>
      </c>
    </row>
    <row r="253" spans="2:27" ht="15" x14ac:dyDescent="0.2">
      <c r="B253" s="223">
        <v>249</v>
      </c>
      <c r="C253" s="258"/>
      <c r="D253" s="228" t="str">
        <f>IFERROR(VLOOKUP($C253,Full_data!$B$8:$J$932,2,FALSE),"")</f>
        <v/>
      </c>
      <c r="E253" s="228" t="str">
        <f>IFERROR(VLOOKUP($C253,Full_data!$B$8:$J$932,3,FALSE),"")</f>
        <v/>
      </c>
      <c r="F253" s="224" t="str">
        <f>IFERROR(VLOOKUP($C253,Full_data!$B$8:$J$932,4,FALSE),"")</f>
        <v/>
      </c>
      <c r="G253" s="224" t="e">
        <f>VLOOKUP($C253,Full_data!$B$8:$J$932,5,FALSE)</f>
        <v>#N/A</v>
      </c>
      <c r="H253" s="224" t="e">
        <f>VLOOKUP($C253,Full_data!$B$8:$J$932,6,FALSE)</f>
        <v>#N/A</v>
      </c>
      <c r="I253" s="236" t="str">
        <f>IFERROR(VLOOKUP($C253,Full_data!$B$8:$J$932,7,FALSE),"")</f>
        <v/>
      </c>
      <c r="J253" s="354" t="str">
        <f>IFERROR(VLOOKUP($C253,Full_data!$B$8:$J$932,8,FALSE),"")</f>
        <v/>
      </c>
      <c r="K253" s="357"/>
      <c r="L253" s="230" t="str">
        <f t="shared" si="13"/>
        <v/>
      </c>
      <c r="M253" s="351"/>
      <c r="N253" s="236" t="str">
        <f t="shared" si="12"/>
        <v/>
      </c>
      <c r="O253" s="236">
        <f>M253*IFERROR(VLOOKUP($C253,Logistics!$A$1:$O$534,10,FALSE),0)</f>
        <v>0</v>
      </c>
      <c r="P253" s="238">
        <f>M253*IFERROR(VLOOKUP($C253,Logistics!$A$1:$O$534,11,FALSE),0)</f>
        <v>0</v>
      </c>
      <c r="AA253" s="247">
        <f t="shared" si="11"/>
        <v>0.4</v>
      </c>
    </row>
    <row r="254" spans="2:27" ht="15" x14ac:dyDescent="0.2">
      <c r="B254" s="225">
        <v>250</v>
      </c>
      <c r="C254" s="259"/>
      <c r="D254" s="227" t="str">
        <f>IFERROR(VLOOKUP($C254,Full_data!$B$8:$J$932,2,FALSE),"")</f>
        <v/>
      </c>
      <c r="E254" s="227" t="str">
        <f>IFERROR(VLOOKUP($C254,Full_data!$B$8:$J$932,3,FALSE),"")</f>
        <v/>
      </c>
      <c r="F254" s="226" t="str">
        <f>IFERROR(VLOOKUP($C254,Full_data!$B$8:$J$932,4,FALSE),"")</f>
        <v/>
      </c>
      <c r="G254" s="226" t="e">
        <f>VLOOKUP($C254,Full_data!$B$8:$J$932,5,FALSE)</f>
        <v>#N/A</v>
      </c>
      <c r="H254" s="226" t="e">
        <f>VLOOKUP($C254,Full_data!$B$8:$J$932,6,FALSE)</f>
        <v>#N/A</v>
      </c>
      <c r="I254" s="237" t="str">
        <f>IFERROR(VLOOKUP($C254,Full_data!$B$8:$J$932,7,FALSE),"")</f>
        <v/>
      </c>
      <c r="J254" s="355" t="str">
        <f>IFERROR(VLOOKUP($C254,Full_data!$B$8:$J$932,8,FALSE),"")</f>
        <v/>
      </c>
      <c r="K254" s="358"/>
      <c r="L254" s="229" t="str">
        <f t="shared" si="13"/>
        <v/>
      </c>
      <c r="M254" s="352"/>
      <c r="N254" s="237" t="str">
        <f t="shared" si="12"/>
        <v/>
      </c>
      <c r="O254" s="237">
        <f>M254*IFERROR(VLOOKUP($C254,Logistics!$A$1:$O$534,10,FALSE),0)</f>
        <v>0</v>
      </c>
      <c r="P254" s="239">
        <f>M254*IFERROR(VLOOKUP($C254,Logistics!$A$1:$O$534,11,FALSE),0)</f>
        <v>0</v>
      </c>
      <c r="AA254" s="247">
        <f t="shared" si="11"/>
        <v>0.4</v>
      </c>
    </row>
    <row r="255" spans="2:27" ht="15" x14ac:dyDescent="0.2">
      <c r="B255" s="223">
        <v>251</v>
      </c>
      <c r="C255" s="258"/>
      <c r="D255" s="228" t="str">
        <f>IFERROR(VLOOKUP($C255,Full_data!$B$8:$J$932,2,FALSE),"")</f>
        <v/>
      </c>
      <c r="E255" s="228" t="str">
        <f>IFERROR(VLOOKUP($C255,Full_data!$B$8:$J$932,3,FALSE),"")</f>
        <v/>
      </c>
      <c r="F255" s="224" t="str">
        <f>IFERROR(VLOOKUP($C255,Full_data!$B$8:$J$932,4,FALSE),"")</f>
        <v/>
      </c>
      <c r="G255" s="224" t="e">
        <f>VLOOKUP($C255,Full_data!$B$8:$J$932,5,FALSE)</f>
        <v>#N/A</v>
      </c>
      <c r="H255" s="224" t="e">
        <f>VLOOKUP($C255,Full_data!$B$8:$J$932,6,FALSE)</f>
        <v>#N/A</v>
      </c>
      <c r="I255" s="236" t="str">
        <f>IFERROR(VLOOKUP($C255,Full_data!$B$8:$J$932,7,FALSE),"")</f>
        <v/>
      </c>
      <c r="J255" s="354" t="str">
        <f>IFERROR(VLOOKUP($C255,Full_data!$B$8:$J$932,8,FALSE),"")</f>
        <v/>
      </c>
      <c r="K255" s="357"/>
      <c r="L255" s="230" t="str">
        <f t="shared" si="13"/>
        <v/>
      </c>
      <c r="M255" s="351"/>
      <c r="N255" s="236" t="str">
        <f t="shared" si="12"/>
        <v/>
      </c>
      <c r="O255" s="236">
        <f>M255*IFERROR(VLOOKUP($C255,Logistics!$A$1:$O$534,10,FALSE),0)</f>
        <v>0</v>
      </c>
      <c r="P255" s="238">
        <f>M255*IFERROR(VLOOKUP($C255,Logistics!$A$1:$O$534,11,FALSE),0)</f>
        <v>0</v>
      </c>
      <c r="AA255" s="247">
        <f t="shared" si="11"/>
        <v>0.4</v>
      </c>
    </row>
    <row r="256" spans="2:27" ht="15" x14ac:dyDescent="0.2">
      <c r="B256" s="225">
        <v>252</v>
      </c>
      <c r="C256" s="259"/>
      <c r="D256" s="227" t="str">
        <f>IFERROR(VLOOKUP($C256,Full_data!$B$8:$J$932,2,FALSE),"")</f>
        <v/>
      </c>
      <c r="E256" s="227" t="str">
        <f>IFERROR(VLOOKUP($C256,Full_data!$B$8:$J$932,3,FALSE),"")</f>
        <v/>
      </c>
      <c r="F256" s="226" t="str">
        <f>IFERROR(VLOOKUP($C256,Full_data!$B$8:$J$932,4,FALSE),"")</f>
        <v/>
      </c>
      <c r="G256" s="226" t="e">
        <f>VLOOKUP($C256,Full_data!$B$8:$J$932,5,FALSE)</f>
        <v>#N/A</v>
      </c>
      <c r="H256" s="226" t="e">
        <f>VLOOKUP($C256,Full_data!$B$8:$J$932,6,FALSE)</f>
        <v>#N/A</v>
      </c>
      <c r="I256" s="237" t="str">
        <f>IFERROR(VLOOKUP($C256,Full_data!$B$8:$J$932,7,FALSE),"")</f>
        <v/>
      </c>
      <c r="J256" s="355" t="str">
        <f>IFERROR(VLOOKUP($C256,Full_data!$B$8:$J$932,8,FALSE),"")</f>
        <v/>
      </c>
      <c r="K256" s="358"/>
      <c r="L256" s="229" t="str">
        <f t="shared" si="13"/>
        <v/>
      </c>
      <c r="M256" s="352"/>
      <c r="N256" s="237" t="str">
        <f t="shared" si="12"/>
        <v/>
      </c>
      <c r="O256" s="237">
        <f>M256*IFERROR(VLOOKUP($C256,Logistics!$A$1:$O$534,10,FALSE),0)</f>
        <v>0</v>
      </c>
      <c r="P256" s="239">
        <f>M256*IFERROR(VLOOKUP($C256,Logistics!$A$1:$O$534,11,FALSE),0)</f>
        <v>0</v>
      </c>
      <c r="AA256" s="247">
        <f t="shared" si="11"/>
        <v>0.4</v>
      </c>
    </row>
    <row r="257" spans="2:27" ht="15" x14ac:dyDescent="0.2">
      <c r="B257" s="223">
        <v>253</v>
      </c>
      <c r="C257" s="258"/>
      <c r="D257" s="228" t="str">
        <f>IFERROR(VLOOKUP($C257,Full_data!$B$8:$J$932,2,FALSE),"")</f>
        <v/>
      </c>
      <c r="E257" s="228" t="str">
        <f>IFERROR(VLOOKUP($C257,Full_data!$B$8:$J$932,3,FALSE),"")</f>
        <v/>
      </c>
      <c r="F257" s="224" t="str">
        <f>IFERROR(VLOOKUP($C257,Full_data!$B$8:$J$932,4,FALSE),"")</f>
        <v/>
      </c>
      <c r="G257" s="224" t="e">
        <f>VLOOKUP($C257,Full_data!$B$8:$J$932,5,FALSE)</f>
        <v>#N/A</v>
      </c>
      <c r="H257" s="224" t="e">
        <f>VLOOKUP($C257,Full_data!$B$8:$J$932,6,FALSE)</f>
        <v>#N/A</v>
      </c>
      <c r="I257" s="236" t="str">
        <f>IFERROR(VLOOKUP($C257,Full_data!$B$8:$J$932,7,FALSE),"")</f>
        <v/>
      </c>
      <c r="J257" s="354" t="str">
        <f>IFERROR(VLOOKUP($C257,Full_data!$B$8:$J$932,8,FALSE),"")</f>
        <v/>
      </c>
      <c r="K257" s="357"/>
      <c r="L257" s="230" t="str">
        <f t="shared" si="13"/>
        <v/>
      </c>
      <c r="M257" s="351"/>
      <c r="N257" s="236" t="str">
        <f t="shared" si="12"/>
        <v/>
      </c>
      <c r="O257" s="236">
        <f>M257*IFERROR(VLOOKUP($C257,Logistics!$A$1:$O$534,10,FALSE),0)</f>
        <v>0</v>
      </c>
      <c r="P257" s="238">
        <f>M257*IFERROR(VLOOKUP($C257,Logistics!$A$1:$O$534,11,FALSE),0)</f>
        <v>0</v>
      </c>
      <c r="AA257" s="247">
        <f t="shared" si="11"/>
        <v>0.4</v>
      </c>
    </row>
    <row r="258" spans="2:27" ht="15" x14ac:dyDescent="0.2">
      <c r="B258" s="225">
        <v>254</v>
      </c>
      <c r="C258" s="259"/>
      <c r="D258" s="227" t="str">
        <f>IFERROR(VLOOKUP($C258,Full_data!$B$8:$J$932,2,FALSE),"")</f>
        <v/>
      </c>
      <c r="E258" s="227" t="str">
        <f>IFERROR(VLOOKUP($C258,Full_data!$B$8:$J$932,3,FALSE),"")</f>
        <v/>
      </c>
      <c r="F258" s="226" t="str">
        <f>IFERROR(VLOOKUP($C258,Full_data!$B$8:$J$932,4,FALSE),"")</f>
        <v/>
      </c>
      <c r="G258" s="226" t="e">
        <f>VLOOKUP($C258,Full_data!$B$8:$J$932,5,FALSE)</f>
        <v>#N/A</v>
      </c>
      <c r="H258" s="226" t="e">
        <f>VLOOKUP($C258,Full_data!$B$8:$J$932,6,FALSE)</f>
        <v>#N/A</v>
      </c>
      <c r="I258" s="237" t="str">
        <f>IFERROR(VLOOKUP($C258,Full_data!$B$8:$J$932,7,FALSE),"")</f>
        <v/>
      </c>
      <c r="J258" s="355" t="str">
        <f>IFERROR(VLOOKUP($C258,Full_data!$B$8:$J$932,8,FALSE),"")</f>
        <v/>
      </c>
      <c r="K258" s="358"/>
      <c r="L258" s="229" t="str">
        <f t="shared" si="13"/>
        <v/>
      </c>
      <c r="M258" s="352"/>
      <c r="N258" s="237" t="str">
        <f t="shared" si="12"/>
        <v/>
      </c>
      <c r="O258" s="237">
        <f>M258*IFERROR(VLOOKUP($C258,Logistics!$A$1:$O$534,10,FALSE),0)</f>
        <v>0</v>
      </c>
      <c r="P258" s="239">
        <f>M258*IFERROR(VLOOKUP($C258,Logistics!$A$1:$O$534,11,FALSE),0)</f>
        <v>0</v>
      </c>
      <c r="AA258" s="247">
        <f t="shared" si="11"/>
        <v>0.4</v>
      </c>
    </row>
    <row r="259" spans="2:27" ht="15" x14ac:dyDescent="0.2">
      <c r="B259" s="223">
        <v>255</v>
      </c>
      <c r="C259" s="258"/>
      <c r="D259" s="228" t="str">
        <f>IFERROR(VLOOKUP($C259,Full_data!$B$8:$J$932,2,FALSE),"")</f>
        <v/>
      </c>
      <c r="E259" s="228" t="str">
        <f>IFERROR(VLOOKUP($C259,Full_data!$B$8:$J$932,3,FALSE),"")</f>
        <v/>
      </c>
      <c r="F259" s="224" t="str">
        <f>IFERROR(VLOOKUP($C259,Full_data!$B$8:$J$932,4,FALSE),"")</f>
        <v/>
      </c>
      <c r="G259" s="224" t="e">
        <f>VLOOKUP($C259,Full_data!$B$8:$J$932,5,FALSE)</f>
        <v>#N/A</v>
      </c>
      <c r="H259" s="224" t="e">
        <f>VLOOKUP($C259,Full_data!$B$8:$J$932,6,FALSE)</f>
        <v>#N/A</v>
      </c>
      <c r="I259" s="236" t="str">
        <f>IFERROR(VLOOKUP($C259,Full_data!$B$8:$J$932,7,FALSE),"")</f>
        <v/>
      </c>
      <c r="J259" s="354" t="str">
        <f>IFERROR(VLOOKUP($C259,Full_data!$B$8:$J$932,8,FALSE),"")</f>
        <v/>
      </c>
      <c r="K259" s="357"/>
      <c r="L259" s="230" t="str">
        <f t="shared" si="13"/>
        <v/>
      </c>
      <c r="M259" s="351"/>
      <c r="N259" s="236" t="str">
        <f t="shared" si="12"/>
        <v/>
      </c>
      <c r="O259" s="236">
        <f>M259*IFERROR(VLOOKUP($C259,Logistics!$A$1:$O$534,10,FALSE),0)</f>
        <v>0</v>
      </c>
      <c r="P259" s="238">
        <f>M259*IFERROR(VLOOKUP($C259,Logistics!$A$1:$O$534,11,FALSE),0)</f>
        <v>0</v>
      </c>
      <c r="AA259" s="247">
        <f t="shared" si="11"/>
        <v>0.4</v>
      </c>
    </row>
    <row r="260" spans="2:27" ht="15" x14ac:dyDescent="0.2">
      <c r="B260" s="225">
        <v>256</v>
      </c>
      <c r="C260" s="259"/>
      <c r="D260" s="227" t="str">
        <f>IFERROR(VLOOKUP($C260,Full_data!$B$8:$J$932,2,FALSE),"")</f>
        <v/>
      </c>
      <c r="E260" s="227" t="str">
        <f>IFERROR(VLOOKUP($C260,Full_data!$B$8:$J$932,3,FALSE),"")</f>
        <v/>
      </c>
      <c r="F260" s="226" t="str">
        <f>IFERROR(VLOOKUP($C260,Full_data!$B$8:$J$932,4,FALSE),"")</f>
        <v/>
      </c>
      <c r="G260" s="226" t="e">
        <f>VLOOKUP($C260,Full_data!$B$8:$J$932,5,FALSE)</f>
        <v>#N/A</v>
      </c>
      <c r="H260" s="226" t="e">
        <f>VLOOKUP($C260,Full_data!$B$8:$J$932,6,FALSE)</f>
        <v>#N/A</v>
      </c>
      <c r="I260" s="237" t="str">
        <f>IFERROR(VLOOKUP($C260,Full_data!$B$8:$J$932,7,FALSE),"")</f>
        <v/>
      </c>
      <c r="J260" s="355" t="str">
        <f>IFERROR(VLOOKUP($C260,Full_data!$B$8:$J$932,8,FALSE),"")</f>
        <v/>
      </c>
      <c r="K260" s="358"/>
      <c r="L260" s="229" t="str">
        <f t="shared" si="13"/>
        <v/>
      </c>
      <c r="M260" s="352"/>
      <c r="N260" s="237" t="str">
        <f t="shared" si="12"/>
        <v/>
      </c>
      <c r="O260" s="237">
        <f>M260*IFERROR(VLOOKUP($C260,Logistics!$A$1:$O$534,10,FALSE),0)</f>
        <v>0</v>
      </c>
      <c r="P260" s="239">
        <f>M260*IFERROR(VLOOKUP($C260,Logistics!$A$1:$O$534,11,FALSE),0)</f>
        <v>0</v>
      </c>
      <c r="AA260" s="247">
        <f t="shared" si="11"/>
        <v>0.4</v>
      </c>
    </row>
    <row r="261" spans="2:27" ht="15" x14ac:dyDescent="0.2">
      <c r="B261" s="223">
        <v>257</v>
      </c>
      <c r="C261" s="258"/>
      <c r="D261" s="228" t="str">
        <f>IFERROR(VLOOKUP($C261,Full_data!$B$8:$J$932,2,FALSE),"")</f>
        <v/>
      </c>
      <c r="E261" s="228" t="str">
        <f>IFERROR(VLOOKUP($C261,Full_data!$B$8:$J$932,3,FALSE),"")</f>
        <v/>
      </c>
      <c r="F261" s="224" t="str">
        <f>IFERROR(VLOOKUP($C261,Full_data!$B$8:$J$932,4,FALSE),"")</f>
        <v/>
      </c>
      <c r="G261" s="224" t="e">
        <f>VLOOKUP($C261,Full_data!$B$8:$J$932,5,FALSE)</f>
        <v>#N/A</v>
      </c>
      <c r="H261" s="224" t="e">
        <f>VLOOKUP($C261,Full_data!$B$8:$J$932,6,FALSE)</f>
        <v>#N/A</v>
      </c>
      <c r="I261" s="236" t="str">
        <f>IFERROR(VLOOKUP($C261,Full_data!$B$8:$J$932,7,FALSE),"")</f>
        <v/>
      </c>
      <c r="J261" s="354" t="str">
        <f>IFERROR(VLOOKUP($C261,Full_data!$B$8:$J$932,8,FALSE),"")</f>
        <v/>
      </c>
      <c r="K261" s="357"/>
      <c r="L261" s="230" t="str">
        <f t="shared" si="13"/>
        <v/>
      </c>
      <c r="M261" s="351"/>
      <c r="N261" s="236" t="str">
        <f t="shared" si="12"/>
        <v/>
      </c>
      <c r="O261" s="236">
        <f>M261*IFERROR(VLOOKUP($C261,Logistics!$A$1:$O$534,10,FALSE),0)</f>
        <v>0</v>
      </c>
      <c r="P261" s="238">
        <f>M261*IFERROR(VLOOKUP($C261,Logistics!$A$1:$O$534,11,FALSE),0)</f>
        <v>0</v>
      </c>
      <c r="AA261" s="247">
        <f t="shared" si="11"/>
        <v>0.4</v>
      </c>
    </row>
    <row r="262" spans="2:27" ht="15" x14ac:dyDescent="0.2">
      <c r="B262" s="225">
        <v>258</v>
      </c>
      <c r="C262" s="259"/>
      <c r="D262" s="227" t="str">
        <f>IFERROR(VLOOKUP($C262,Full_data!$B$8:$J$932,2,FALSE),"")</f>
        <v/>
      </c>
      <c r="E262" s="227" t="str">
        <f>IFERROR(VLOOKUP($C262,Full_data!$B$8:$J$932,3,FALSE),"")</f>
        <v/>
      </c>
      <c r="F262" s="226" t="str">
        <f>IFERROR(VLOOKUP($C262,Full_data!$B$8:$J$932,4,FALSE),"")</f>
        <v/>
      </c>
      <c r="G262" s="226" t="e">
        <f>VLOOKUP($C262,Full_data!$B$8:$J$932,5,FALSE)</f>
        <v>#N/A</v>
      </c>
      <c r="H262" s="226" t="e">
        <f>VLOOKUP($C262,Full_data!$B$8:$J$932,6,FALSE)</f>
        <v>#N/A</v>
      </c>
      <c r="I262" s="237" t="str">
        <f>IFERROR(VLOOKUP($C262,Full_data!$B$8:$J$932,7,FALSE),"")</f>
        <v/>
      </c>
      <c r="J262" s="355" t="str">
        <f>IFERROR(VLOOKUP($C262,Full_data!$B$8:$J$932,8,FALSE),"")</f>
        <v/>
      </c>
      <c r="K262" s="358"/>
      <c r="L262" s="229" t="str">
        <f t="shared" si="13"/>
        <v/>
      </c>
      <c r="M262" s="352"/>
      <c r="N262" s="237" t="str">
        <f t="shared" si="12"/>
        <v/>
      </c>
      <c r="O262" s="237">
        <f>M262*IFERROR(VLOOKUP($C262,Logistics!$A$1:$O$534,10,FALSE),0)</f>
        <v>0</v>
      </c>
      <c r="P262" s="239">
        <f>M262*IFERROR(VLOOKUP($C262,Logistics!$A$1:$O$534,11,FALSE),0)</f>
        <v>0</v>
      </c>
      <c r="AA262" s="247">
        <f t="shared" ref="AA262:AA325" si="14">IF(ISBLANK(K262),40%,100%)</f>
        <v>0.4</v>
      </c>
    </row>
    <row r="263" spans="2:27" ht="15" x14ac:dyDescent="0.2">
      <c r="B263" s="223">
        <v>259</v>
      </c>
      <c r="C263" s="258"/>
      <c r="D263" s="228" t="str">
        <f>IFERROR(VLOOKUP($C263,Full_data!$B$8:$J$932,2,FALSE),"")</f>
        <v/>
      </c>
      <c r="E263" s="228" t="str">
        <f>IFERROR(VLOOKUP($C263,Full_data!$B$8:$J$932,3,FALSE),"")</f>
        <v/>
      </c>
      <c r="F263" s="224" t="str">
        <f>IFERROR(VLOOKUP($C263,Full_data!$B$8:$J$932,4,FALSE),"")</f>
        <v/>
      </c>
      <c r="G263" s="224" t="e">
        <f>VLOOKUP($C263,Full_data!$B$8:$J$932,5,FALSE)</f>
        <v>#N/A</v>
      </c>
      <c r="H263" s="224" t="e">
        <f>VLOOKUP($C263,Full_data!$B$8:$J$932,6,FALSE)</f>
        <v>#N/A</v>
      </c>
      <c r="I263" s="236" t="str">
        <f>IFERROR(VLOOKUP($C263,Full_data!$B$8:$J$932,7,FALSE),"")</f>
        <v/>
      </c>
      <c r="J263" s="354" t="str">
        <f>IFERROR(VLOOKUP($C263,Full_data!$B$8:$J$932,8,FALSE),"")</f>
        <v/>
      </c>
      <c r="K263" s="357"/>
      <c r="L263" s="230" t="str">
        <f t="shared" si="13"/>
        <v/>
      </c>
      <c r="M263" s="351"/>
      <c r="N263" s="236" t="str">
        <f t="shared" si="12"/>
        <v/>
      </c>
      <c r="O263" s="236">
        <f>M263*IFERROR(VLOOKUP($C263,Logistics!$A$1:$O$534,10,FALSE),0)</f>
        <v>0</v>
      </c>
      <c r="P263" s="238">
        <f>M263*IFERROR(VLOOKUP($C263,Logistics!$A$1:$O$534,11,FALSE),0)</f>
        <v>0</v>
      </c>
      <c r="AA263" s="247">
        <f t="shared" si="14"/>
        <v>0.4</v>
      </c>
    </row>
    <row r="264" spans="2:27" ht="15" x14ac:dyDescent="0.2">
      <c r="B264" s="225">
        <v>260</v>
      </c>
      <c r="C264" s="259"/>
      <c r="D264" s="227" t="str">
        <f>IFERROR(VLOOKUP($C264,Full_data!$B$8:$J$932,2,FALSE),"")</f>
        <v/>
      </c>
      <c r="E264" s="227" t="str">
        <f>IFERROR(VLOOKUP($C264,Full_data!$B$8:$J$932,3,FALSE),"")</f>
        <v/>
      </c>
      <c r="F264" s="226" t="str">
        <f>IFERROR(VLOOKUP($C264,Full_data!$B$8:$J$932,4,FALSE),"")</f>
        <v/>
      </c>
      <c r="G264" s="226" t="e">
        <f>VLOOKUP($C264,Full_data!$B$8:$J$932,5,FALSE)</f>
        <v>#N/A</v>
      </c>
      <c r="H264" s="226" t="e">
        <f>VLOOKUP($C264,Full_data!$B$8:$J$932,6,FALSE)</f>
        <v>#N/A</v>
      </c>
      <c r="I264" s="237" t="str">
        <f>IFERROR(VLOOKUP($C264,Full_data!$B$8:$J$932,7,FALSE),"")</f>
        <v/>
      </c>
      <c r="J264" s="355" t="str">
        <f>IFERROR(VLOOKUP($C264,Full_data!$B$8:$J$932,8,FALSE),"")</f>
        <v/>
      </c>
      <c r="K264" s="358"/>
      <c r="L264" s="229" t="str">
        <f t="shared" si="13"/>
        <v/>
      </c>
      <c r="M264" s="352"/>
      <c r="N264" s="237" t="str">
        <f t="shared" si="12"/>
        <v/>
      </c>
      <c r="O264" s="237">
        <f>M264*IFERROR(VLOOKUP($C264,Logistics!$A$1:$O$534,10,FALSE),0)</f>
        <v>0</v>
      </c>
      <c r="P264" s="239">
        <f>M264*IFERROR(VLOOKUP($C264,Logistics!$A$1:$O$534,11,FALSE),0)</f>
        <v>0</v>
      </c>
      <c r="AA264" s="247">
        <f t="shared" si="14"/>
        <v>0.4</v>
      </c>
    </row>
    <row r="265" spans="2:27" ht="15" x14ac:dyDescent="0.2">
      <c r="B265" s="223">
        <v>261</v>
      </c>
      <c r="C265" s="258"/>
      <c r="D265" s="228" t="str">
        <f>IFERROR(VLOOKUP($C265,Full_data!$B$8:$J$932,2,FALSE),"")</f>
        <v/>
      </c>
      <c r="E265" s="228" t="str">
        <f>IFERROR(VLOOKUP($C265,Full_data!$B$8:$J$932,3,FALSE),"")</f>
        <v/>
      </c>
      <c r="F265" s="224" t="str">
        <f>IFERROR(VLOOKUP($C265,Full_data!$B$8:$J$932,4,FALSE),"")</f>
        <v/>
      </c>
      <c r="G265" s="224" t="e">
        <f>VLOOKUP($C265,Full_data!$B$8:$J$932,5,FALSE)</f>
        <v>#N/A</v>
      </c>
      <c r="H265" s="224" t="e">
        <f>VLOOKUP($C265,Full_data!$B$8:$J$932,6,FALSE)</f>
        <v>#N/A</v>
      </c>
      <c r="I265" s="236" t="str">
        <f>IFERROR(VLOOKUP($C265,Full_data!$B$8:$J$932,7,FALSE),"")</f>
        <v/>
      </c>
      <c r="J265" s="354" t="str">
        <f>IFERROR(VLOOKUP($C265,Full_data!$B$8:$J$932,8,FALSE),"")</f>
        <v/>
      </c>
      <c r="K265" s="357"/>
      <c r="L265" s="230" t="str">
        <f t="shared" si="13"/>
        <v/>
      </c>
      <c r="M265" s="351"/>
      <c r="N265" s="236" t="str">
        <f t="shared" ref="N265:N328" si="15">IF(ISERROR(L265*M265),"",(L265*M265))</f>
        <v/>
      </c>
      <c r="O265" s="236">
        <f>M265*IFERROR(VLOOKUP($C265,Logistics!$A$1:$O$534,10,FALSE),0)</f>
        <v>0</v>
      </c>
      <c r="P265" s="238">
        <f>M265*IFERROR(VLOOKUP($C265,Logistics!$A$1:$O$534,11,FALSE),0)</f>
        <v>0</v>
      </c>
      <c r="AA265" s="247">
        <f t="shared" si="14"/>
        <v>0.4</v>
      </c>
    </row>
    <row r="266" spans="2:27" ht="15" x14ac:dyDescent="0.2">
      <c r="B266" s="225">
        <v>262</v>
      </c>
      <c r="C266" s="259"/>
      <c r="D266" s="227" t="str">
        <f>IFERROR(VLOOKUP($C266,Full_data!$B$8:$J$932,2,FALSE),"")</f>
        <v/>
      </c>
      <c r="E266" s="227" t="str">
        <f>IFERROR(VLOOKUP($C266,Full_data!$B$8:$J$932,3,FALSE),"")</f>
        <v/>
      </c>
      <c r="F266" s="226" t="str">
        <f>IFERROR(VLOOKUP($C266,Full_data!$B$8:$J$932,4,FALSE),"")</f>
        <v/>
      </c>
      <c r="G266" s="226" t="e">
        <f>VLOOKUP($C266,Full_data!$B$8:$J$932,5,FALSE)</f>
        <v>#N/A</v>
      </c>
      <c r="H266" s="226" t="e">
        <f>VLOOKUP($C266,Full_data!$B$8:$J$932,6,FALSE)</f>
        <v>#N/A</v>
      </c>
      <c r="I266" s="237" t="str">
        <f>IFERROR(VLOOKUP($C266,Full_data!$B$8:$J$932,7,FALSE),"")</f>
        <v/>
      </c>
      <c r="J266" s="355" t="str">
        <f>IFERROR(VLOOKUP($C266,Full_data!$B$8:$J$932,8,FALSE),"")</f>
        <v/>
      </c>
      <c r="K266" s="358"/>
      <c r="L266" s="229" t="str">
        <f t="shared" si="13"/>
        <v/>
      </c>
      <c r="M266" s="352"/>
      <c r="N266" s="237" t="str">
        <f t="shared" si="15"/>
        <v/>
      </c>
      <c r="O266" s="237">
        <f>M266*IFERROR(VLOOKUP($C266,Logistics!$A$1:$O$534,10,FALSE),0)</f>
        <v>0</v>
      </c>
      <c r="P266" s="239">
        <f>M266*IFERROR(VLOOKUP($C266,Logistics!$A$1:$O$534,11,FALSE),0)</f>
        <v>0</v>
      </c>
      <c r="AA266" s="247">
        <f t="shared" si="14"/>
        <v>0.4</v>
      </c>
    </row>
    <row r="267" spans="2:27" ht="15" x14ac:dyDescent="0.2">
      <c r="B267" s="223">
        <v>263</v>
      </c>
      <c r="C267" s="258"/>
      <c r="D267" s="228" t="str">
        <f>IFERROR(VLOOKUP($C267,Full_data!$B$8:$J$932,2,FALSE),"")</f>
        <v/>
      </c>
      <c r="E267" s="228" t="str">
        <f>IFERROR(VLOOKUP($C267,Full_data!$B$8:$J$932,3,FALSE),"")</f>
        <v/>
      </c>
      <c r="F267" s="224" t="str">
        <f>IFERROR(VLOOKUP($C267,Full_data!$B$8:$J$932,4,FALSE),"")</f>
        <v/>
      </c>
      <c r="G267" s="224" t="e">
        <f>VLOOKUP($C267,Full_data!$B$8:$J$932,5,FALSE)</f>
        <v>#N/A</v>
      </c>
      <c r="H267" s="224" t="e">
        <f>VLOOKUP($C267,Full_data!$B$8:$J$932,6,FALSE)</f>
        <v>#N/A</v>
      </c>
      <c r="I267" s="236" t="str">
        <f>IFERROR(VLOOKUP($C267,Full_data!$B$8:$J$932,7,FALSE),"")</f>
        <v/>
      </c>
      <c r="J267" s="354" t="str">
        <f>IFERROR(VLOOKUP($C267,Full_data!$B$8:$J$932,8,FALSE),"")</f>
        <v/>
      </c>
      <c r="K267" s="357"/>
      <c r="L267" s="230" t="str">
        <f t="shared" si="13"/>
        <v/>
      </c>
      <c r="M267" s="351"/>
      <c r="N267" s="236" t="str">
        <f t="shared" si="15"/>
        <v/>
      </c>
      <c r="O267" s="236">
        <f>M267*IFERROR(VLOOKUP($C267,Logistics!$A$1:$O$534,10,FALSE),0)</f>
        <v>0</v>
      </c>
      <c r="P267" s="238">
        <f>M267*IFERROR(VLOOKUP($C267,Logistics!$A$1:$O$534,11,FALSE),0)</f>
        <v>0</v>
      </c>
      <c r="AA267" s="247">
        <f t="shared" si="14"/>
        <v>0.4</v>
      </c>
    </row>
    <row r="268" spans="2:27" ht="15" x14ac:dyDescent="0.2">
      <c r="B268" s="225">
        <v>264</v>
      </c>
      <c r="C268" s="259"/>
      <c r="D268" s="227" t="str">
        <f>IFERROR(VLOOKUP($C268,Full_data!$B$8:$J$932,2,FALSE),"")</f>
        <v/>
      </c>
      <c r="E268" s="227" t="str">
        <f>IFERROR(VLOOKUP($C268,Full_data!$B$8:$J$932,3,FALSE),"")</f>
        <v/>
      </c>
      <c r="F268" s="226" t="str">
        <f>IFERROR(VLOOKUP($C268,Full_data!$B$8:$J$932,4,FALSE),"")</f>
        <v/>
      </c>
      <c r="G268" s="226" t="e">
        <f>VLOOKUP($C268,Full_data!$B$8:$J$932,5,FALSE)</f>
        <v>#N/A</v>
      </c>
      <c r="H268" s="226" t="e">
        <f>VLOOKUP($C268,Full_data!$B$8:$J$932,6,FALSE)</f>
        <v>#N/A</v>
      </c>
      <c r="I268" s="237" t="str">
        <f>IFERROR(VLOOKUP($C268,Full_data!$B$8:$J$932,7,FALSE),"")</f>
        <v/>
      </c>
      <c r="J268" s="355" t="str">
        <f>IFERROR(VLOOKUP($C268,Full_data!$B$8:$J$932,8,FALSE),"")</f>
        <v/>
      </c>
      <c r="K268" s="358"/>
      <c r="L268" s="229" t="str">
        <f t="shared" si="13"/>
        <v/>
      </c>
      <c r="M268" s="352"/>
      <c r="N268" s="237" t="str">
        <f t="shared" si="15"/>
        <v/>
      </c>
      <c r="O268" s="237">
        <f>M268*IFERROR(VLOOKUP($C268,Logistics!$A$1:$O$534,10,FALSE),0)</f>
        <v>0</v>
      </c>
      <c r="P268" s="239">
        <f>M268*IFERROR(VLOOKUP($C268,Logistics!$A$1:$O$534,11,FALSE),0)</f>
        <v>0</v>
      </c>
      <c r="AA268" s="247">
        <f t="shared" si="14"/>
        <v>0.4</v>
      </c>
    </row>
    <row r="269" spans="2:27" ht="15" x14ac:dyDescent="0.2">
      <c r="B269" s="223">
        <v>265</v>
      </c>
      <c r="C269" s="258"/>
      <c r="D269" s="228" t="str">
        <f>IFERROR(VLOOKUP($C269,Full_data!$B$8:$J$932,2,FALSE),"")</f>
        <v/>
      </c>
      <c r="E269" s="228" t="str">
        <f>IFERROR(VLOOKUP($C269,Full_data!$B$8:$J$932,3,FALSE),"")</f>
        <v/>
      </c>
      <c r="F269" s="224" t="str">
        <f>IFERROR(VLOOKUP($C269,Full_data!$B$8:$J$932,4,FALSE),"")</f>
        <v/>
      </c>
      <c r="G269" s="224" t="e">
        <f>VLOOKUP($C269,Full_data!$B$8:$J$932,5,FALSE)</f>
        <v>#N/A</v>
      </c>
      <c r="H269" s="224" t="e">
        <f>VLOOKUP($C269,Full_data!$B$8:$J$932,6,FALSE)</f>
        <v>#N/A</v>
      </c>
      <c r="I269" s="236" t="str">
        <f>IFERROR(VLOOKUP($C269,Full_data!$B$8:$J$932,7,FALSE),"")</f>
        <v/>
      </c>
      <c r="J269" s="354" t="str">
        <f>IFERROR(VLOOKUP($C269,Full_data!$B$8:$J$932,8,FALSE),"")</f>
        <v/>
      </c>
      <c r="K269" s="357"/>
      <c r="L269" s="230" t="str">
        <f t="shared" si="13"/>
        <v/>
      </c>
      <c r="M269" s="351"/>
      <c r="N269" s="236" t="str">
        <f t="shared" si="15"/>
        <v/>
      </c>
      <c r="O269" s="236">
        <f>M269*IFERROR(VLOOKUP($C269,Logistics!$A$1:$O$534,10,FALSE),0)</f>
        <v>0</v>
      </c>
      <c r="P269" s="238">
        <f>M269*IFERROR(VLOOKUP($C269,Logistics!$A$1:$O$534,11,FALSE),0)</f>
        <v>0</v>
      </c>
      <c r="AA269" s="247">
        <f t="shared" si="14"/>
        <v>0.4</v>
      </c>
    </row>
    <row r="270" spans="2:27" ht="15" x14ac:dyDescent="0.2">
      <c r="B270" s="225">
        <v>266</v>
      </c>
      <c r="C270" s="259"/>
      <c r="D270" s="227" t="str">
        <f>IFERROR(VLOOKUP($C270,Full_data!$B$8:$J$932,2,FALSE),"")</f>
        <v/>
      </c>
      <c r="E270" s="227" t="str">
        <f>IFERROR(VLOOKUP($C270,Full_data!$B$8:$J$932,3,FALSE),"")</f>
        <v/>
      </c>
      <c r="F270" s="226" t="str">
        <f>IFERROR(VLOOKUP($C270,Full_data!$B$8:$J$932,4,FALSE),"")</f>
        <v/>
      </c>
      <c r="G270" s="226" t="e">
        <f>VLOOKUP($C270,Full_data!$B$8:$J$932,5,FALSE)</f>
        <v>#N/A</v>
      </c>
      <c r="H270" s="226" t="e">
        <f>VLOOKUP($C270,Full_data!$B$8:$J$932,6,FALSE)</f>
        <v>#N/A</v>
      </c>
      <c r="I270" s="237" t="str">
        <f>IFERROR(VLOOKUP($C270,Full_data!$B$8:$J$932,7,FALSE),"")</f>
        <v/>
      </c>
      <c r="J270" s="355" t="str">
        <f>IFERROR(VLOOKUP($C270,Full_data!$B$8:$J$932,8,FALSE),"")</f>
        <v/>
      </c>
      <c r="K270" s="358"/>
      <c r="L270" s="229" t="str">
        <f t="shared" si="13"/>
        <v/>
      </c>
      <c r="M270" s="352"/>
      <c r="N270" s="237" t="str">
        <f t="shared" si="15"/>
        <v/>
      </c>
      <c r="O270" s="237">
        <f>M270*IFERROR(VLOOKUP($C270,Logistics!$A$1:$O$534,10,FALSE),0)</f>
        <v>0</v>
      </c>
      <c r="P270" s="239">
        <f>M270*IFERROR(VLOOKUP($C270,Logistics!$A$1:$O$534,11,FALSE),0)</f>
        <v>0</v>
      </c>
      <c r="AA270" s="247">
        <f t="shared" si="14"/>
        <v>0.4</v>
      </c>
    </row>
    <row r="271" spans="2:27" ht="15" x14ac:dyDescent="0.2">
      <c r="B271" s="223">
        <v>267</v>
      </c>
      <c r="C271" s="258"/>
      <c r="D271" s="228" t="str">
        <f>IFERROR(VLOOKUP($C271,Full_data!$B$8:$J$932,2,FALSE),"")</f>
        <v/>
      </c>
      <c r="E271" s="228" t="str">
        <f>IFERROR(VLOOKUP($C271,Full_data!$B$8:$J$932,3,FALSE),"")</f>
        <v/>
      </c>
      <c r="F271" s="224" t="str">
        <f>IFERROR(VLOOKUP($C271,Full_data!$B$8:$J$932,4,FALSE),"")</f>
        <v/>
      </c>
      <c r="G271" s="224" t="e">
        <f>VLOOKUP($C271,Full_data!$B$8:$J$932,5,FALSE)</f>
        <v>#N/A</v>
      </c>
      <c r="H271" s="224" t="e">
        <f>VLOOKUP($C271,Full_data!$B$8:$J$932,6,FALSE)</f>
        <v>#N/A</v>
      </c>
      <c r="I271" s="236" t="str">
        <f>IFERROR(VLOOKUP($C271,Full_data!$B$8:$J$932,7,FALSE),"")</f>
        <v/>
      </c>
      <c r="J271" s="354" t="str">
        <f>IFERROR(VLOOKUP($C271,Full_data!$B$8:$J$932,8,FALSE),"")</f>
        <v/>
      </c>
      <c r="K271" s="357"/>
      <c r="L271" s="230" t="str">
        <f t="shared" si="13"/>
        <v/>
      </c>
      <c r="M271" s="351"/>
      <c r="N271" s="236" t="str">
        <f t="shared" si="15"/>
        <v/>
      </c>
      <c r="O271" s="236">
        <f>M271*IFERROR(VLOOKUP($C271,Logistics!$A$1:$O$534,10,FALSE),0)</f>
        <v>0</v>
      </c>
      <c r="P271" s="238">
        <f>M271*IFERROR(VLOOKUP($C271,Logistics!$A$1:$O$534,11,FALSE),0)</f>
        <v>0</v>
      </c>
      <c r="AA271" s="247">
        <f t="shared" si="14"/>
        <v>0.4</v>
      </c>
    </row>
    <row r="272" spans="2:27" ht="15" x14ac:dyDescent="0.2">
      <c r="B272" s="225">
        <v>268</v>
      </c>
      <c r="C272" s="259"/>
      <c r="D272" s="227" t="str">
        <f>IFERROR(VLOOKUP($C272,Full_data!$B$8:$J$932,2,FALSE),"")</f>
        <v/>
      </c>
      <c r="E272" s="227" t="str">
        <f>IFERROR(VLOOKUP($C272,Full_data!$B$8:$J$932,3,FALSE),"")</f>
        <v/>
      </c>
      <c r="F272" s="226" t="str">
        <f>IFERROR(VLOOKUP($C272,Full_data!$B$8:$J$932,4,FALSE),"")</f>
        <v/>
      </c>
      <c r="G272" s="226" t="e">
        <f>VLOOKUP($C272,Full_data!$B$8:$J$932,5,FALSE)</f>
        <v>#N/A</v>
      </c>
      <c r="H272" s="226" t="e">
        <f>VLOOKUP($C272,Full_data!$B$8:$J$932,6,FALSE)</f>
        <v>#N/A</v>
      </c>
      <c r="I272" s="237" t="str">
        <f>IFERROR(VLOOKUP($C272,Full_data!$B$8:$J$932,7,FALSE),"")</f>
        <v/>
      </c>
      <c r="J272" s="355" t="str">
        <f>IFERROR(VLOOKUP($C272,Full_data!$B$8:$J$932,8,FALSE),"")</f>
        <v/>
      </c>
      <c r="K272" s="358"/>
      <c r="L272" s="229" t="str">
        <f t="shared" si="13"/>
        <v/>
      </c>
      <c r="M272" s="352"/>
      <c r="N272" s="237" t="str">
        <f t="shared" si="15"/>
        <v/>
      </c>
      <c r="O272" s="237">
        <f>M272*IFERROR(VLOOKUP($C272,Logistics!$A$1:$O$534,10,FALSE),0)</f>
        <v>0</v>
      </c>
      <c r="P272" s="239">
        <f>M272*IFERROR(VLOOKUP($C272,Logistics!$A$1:$O$534,11,FALSE),0)</f>
        <v>0</v>
      </c>
      <c r="AA272" s="247">
        <f t="shared" si="14"/>
        <v>0.4</v>
      </c>
    </row>
    <row r="273" spans="2:27" ht="15" x14ac:dyDescent="0.2">
      <c r="B273" s="223">
        <v>269</v>
      </c>
      <c r="C273" s="258"/>
      <c r="D273" s="228" t="str">
        <f>IFERROR(VLOOKUP($C273,Full_data!$B$8:$J$932,2,FALSE),"")</f>
        <v/>
      </c>
      <c r="E273" s="228" t="str">
        <f>IFERROR(VLOOKUP($C273,Full_data!$B$8:$J$932,3,FALSE),"")</f>
        <v/>
      </c>
      <c r="F273" s="224" t="str">
        <f>IFERROR(VLOOKUP($C273,Full_data!$B$8:$J$932,4,FALSE),"")</f>
        <v/>
      </c>
      <c r="G273" s="224" t="e">
        <f>VLOOKUP($C273,Full_data!$B$8:$J$932,5,FALSE)</f>
        <v>#N/A</v>
      </c>
      <c r="H273" s="224" t="e">
        <f>VLOOKUP($C273,Full_data!$B$8:$J$932,6,FALSE)</f>
        <v>#N/A</v>
      </c>
      <c r="I273" s="236" t="str">
        <f>IFERROR(VLOOKUP($C273,Full_data!$B$8:$J$932,7,FALSE),"")</f>
        <v/>
      </c>
      <c r="J273" s="354" t="str">
        <f>IFERROR(VLOOKUP($C273,Full_data!$B$8:$J$932,8,FALSE),"")</f>
        <v/>
      </c>
      <c r="K273" s="357"/>
      <c r="L273" s="230" t="str">
        <f t="shared" si="13"/>
        <v/>
      </c>
      <c r="M273" s="351"/>
      <c r="N273" s="236" t="str">
        <f t="shared" si="15"/>
        <v/>
      </c>
      <c r="O273" s="236">
        <f>M273*IFERROR(VLOOKUP($C273,Logistics!$A$1:$O$534,10,FALSE),0)</f>
        <v>0</v>
      </c>
      <c r="P273" s="238">
        <f>M273*IFERROR(VLOOKUP($C273,Logistics!$A$1:$O$534,11,FALSE),0)</f>
        <v>0</v>
      </c>
      <c r="AA273" s="247">
        <f t="shared" si="14"/>
        <v>0.4</v>
      </c>
    </row>
    <row r="274" spans="2:27" ht="15" x14ac:dyDescent="0.2">
      <c r="B274" s="225">
        <v>270</v>
      </c>
      <c r="C274" s="259"/>
      <c r="D274" s="227" t="str">
        <f>IFERROR(VLOOKUP($C274,Full_data!$B$8:$J$932,2,FALSE),"")</f>
        <v/>
      </c>
      <c r="E274" s="227" t="str">
        <f>IFERROR(VLOOKUP($C274,Full_data!$B$8:$J$932,3,FALSE),"")</f>
        <v/>
      </c>
      <c r="F274" s="226" t="str">
        <f>IFERROR(VLOOKUP($C274,Full_data!$B$8:$J$932,4,FALSE),"")</f>
        <v/>
      </c>
      <c r="G274" s="226" t="e">
        <f>VLOOKUP($C274,Full_data!$B$8:$J$932,5,FALSE)</f>
        <v>#N/A</v>
      </c>
      <c r="H274" s="226" t="e">
        <f>VLOOKUP($C274,Full_data!$B$8:$J$932,6,FALSE)</f>
        <v>#N/A</v>
      </c>
      <c r="I274" s="237" t="str">
        <f>IFERROR(VLOOKUP($C274,Full_data!$B$8:$J$932,7,FALSE),"")</f>
        <v/>
      </c>
      <c r="J274" s="355" t="str">
        <f>IFERROR(VLOOKUP($C274,Full_data!$B$8:$J$932,8,FALSE),"")</f>
        <v/>
      </c>
      <c r="K274" s="358"/>
      <c r="L274" s="229" t="str">
        <f t="shared" si="13"/>
        <v/>
      </c>
      <c r="M274" s="352"/>
      <c r="N274" s="237" t="str">
        <f t="shared" si="15"/>
        <v/>
      </c>
      <c r="O274" s="237">
        <f>M274*IFERROR(VLOOKUP($C274,Logistics!$A$1:$O$534,10,FALSE),0)</f>
        <v>0</v>
      </c>
      <c r="P274" s="239">
        <f>M274*IFERROR(VLOOKUP($C274,Logistics!$A$1:$O$534,11,FALSE),0)</f>
        <v>0</v>
      </c>
      <c r="AA274" s="247">
        <f t="shared" si="14"/>
        <v>0.4</v>
      </c>
    </row>
    <row r="275" spans="2:27" ht="15" x14ac:dyDescent="0.2">
      <c r="B275" s="223">
        <v>271</v>
      </c>
      <c r="C275" s="258"/>
      <c r="D275" s="228" t="str">
        <f>IFERROR(VLOOKUP($C275,Full_data!$B$8:$J$932,2,FALSE),"")</f>
        <v/>
      </c>
      <c r="E275" s="228" t="str">
        <f>IFERROR(VLOOKUP($C275,Full_data!$B$8:$J$932,3,FALSE),"")</f>
        <v/>
      </c>
      <c r="F275" s="224" t="str">
        <f>IFERROR(VLOOKUP($C275,Full_data!$B$8:$J$932,4,FALSE),"")</f>
        <v/>
      </c>
      <c r="G275" s="224" t="e">
        <f>VLOOKUP($C275,Full_data!$B$8:$J$932,5,FALSE)</f>
        <v>#N/A</v>
      </c>
      <c r="H275" s="224" t="e">
        <f>VLOOKUP($C275,Full_data!$B$8:$J$932,6,FALSE)</f>
        <v>#N/A</v>
      </c>
      <c r="I275" s="236" t="str">
        <f>IFERROR(VLOOKUP($C275,Full_data!$B$8:$J$932,7,FALSE),"")</f>
        <v/>
      </c>
      <c r="J275" s="354" t="str">
        <f>IFERROR(VLOOKUP($C275,Full_data!$B$8:$J$932,8,FALSE),"")</f>
        <v/>
      </c>
      <c r="K275" s="357"/>
      <c r="L275" s="230" t="str">
        <f t="shared" si="13"/>
        <v/>
      </c>
      <c r="M275" s="351"/>
      <c r="N275" s="236" t="str">
        <f t="shared" si="15"/>
        <v/>
      </c>
      <c r="O275" s="236">
        <f>M275*IFERROR(VLOOKUP($C275,Logistics!$A$1:$O$534,10,FALSE),0)</f>
        <v>0</v>
      </c>
      <c r="P275" s="238">
        <f>M275*IFERROR(VLOOKUP($C275,Logistics!$A$1:$O$534,11,FALSE),0)</f>
        <v>0</v>
      </c>
      <c r="AA275" s="247">
        <f t="shared" si="14"/>
        <v>0.4</v>
      </c>
    </row>
    <row r="276" spans="2:27" ht="15" x14ac:dyDescent="0.2">
      <c r="B276" s="225">
        <v>272</v>
      </c>
      <c r="C276" s="259"/>
      <c r="D276" s="227" t="str">
        <f>IFERROR(VLOOKUP($C276,Full_data!$B$8:$J$932,2,FALSE),"")</f>
        <v/>
      </c>
      <c r="E276" s="227" t="str">
        <f>IFERROR(VLOOKUP($C276,Full_data!$B$8:$J$932,3,FALSE),"")</f>
        <v/>
      </c>
      <c r="F276" s="226" t="str">
        <f>IFERROR(VLOOKUP($C276,Full_data!$B$8:$J$932,4,FALSE),"")</f>
        <v/>
      </c>
      <c r="G276" s="226" t="e">
        <f>VLOOKUP($C276,Full_data!$B$8:$J$932,5,FALSE)</f>
        <v>#N/A</v>
      </c>
      <c r="H276" s="226" t="e">
        <f>VLOOKUP($C276,Full_data!$B$8:$J$932,6,FALSE)</f>
        <v>#N/A</v>
      </c>
      <c r="I276" s="237" t="str">
        <f>IFERROR(VLOOKUP($C276,Full_data!$B$8:$J$932,7,FALSE),"")</f>
        <v/>
      </c>
      <c r="J276" s="355" t="str">
        <f>IFERROR(VLOOKUP($C276,Full_data!$B$8:$J$932,8,FALSE),"")</f>
        <v/>
      </c>
      <c r="K276" s="358"/>
      <c r="L276" s="229" t="str">
        <f t="shared" si="13"/>
        <v/>
      </c>
      <c r="M276" s="352"/>
      <c r="N276" s="237" t="str">
        <f t="shared" si="15"/>
        <v/>
      </c>
      <c r="O276" s="237">
        <f>M276*IFERROR(VLOOKUP($C276,Logistics!$A$1:$O$534,10,FALSE),0)</f>
        <v>0</v>
      </c>
      <c r="P276" s="239">
        <f>M276*IFERROR(VLOOKUP($C276,Logistics!$A$1:$O$534,11,FALSE),0)</f>
        <v>0</v>
      </c>
      <c r="AA276" s="247">
        <f t="shared" si="14"/>
        <v>0.4</v>
      </c>
    </row>
    <row r="277" spans="2:27" ht="15" x14ac:dyDescent="0.2">
      <c r="B277" s="223">
        <v>273</v>
      </c>
      <c r="C277" s="258"/>
      <c r="D277" s="228" t="str">
        <f>IFERROR(VLOOKUP($C277,Full_data!$B$8:$J$932,2,FALSE),"")</f>
        <v/>
      </c>
      <c r="E277" s="228" t="str">
        <f>IFERROR(VLOOKUP($C277,Full_data!$B$8:$J$932,3,FALSE),"")</f>
        <v/>
      </c>
      <c r="F277" s="224" t="str">
        <f>IFERROR(VLOOKUP($C277,Full_data!$B$8:$J$932,4,FALSE),"")</f>
        <v/>
      </c>
      <c r="G277" s="224" t="e">
        <f>VLOOKUP($C277,Full_data!$B$8:$J$932,5,FALSE)</f>
        <v>#N/A</v>
      </c>
      <c r="H277" s="224" t="e">
        <f>VLOOKUP($C277,Full_data!$B$8:$J$932,6,FALSE)</f>
        <v>#N/A</v>
      </c>
      <c r="I277" s="236" t="str">
        <f>IFERROR(VLOOKUP($C277,Full_data!$B$8:$J$932,7,FALSE),"")</f>
        <v/>
      </c>
      <c r="J277" s="354" t="str">
        <f>IFERROR(VLOOKUP($C277,Full_data!$B$8:$J$932,8,FALSE),"")</f>
        <v/>
      </c>
      <c r="K277" s="357"/>
      <c r="L277" s="230" t="str">
        <f t="shared" si="13"/>
        <v/>
      </c>
      <c r="M277" s="351"/>
      <c r="N277" s="236" t="str">
        <f t="shared" si="15"/>
        <v/>
      </c>
      <c r="O277" s="236">
        <f>M277*IFERROR(VLOOKUP($C277,Logistics!$A$1:$O$534,10,FALSE),0)</f>
        <v>0</v>
      </c>
      <c r="P277" s="238">
        <f>M277*IFERROR(VLOOKUP($C277,Logistics!$A$1:$O$534,11,FALSE),0)</f>
        <v>0</v>
      </c>
      <c r="AA277" s="247">
        <f t="shared" si="14"/>
        <v>0.4</v>
      </c>
    </row>
    <row r="278" spans="2:27" ht="15" x14ac:dyDescent="0.2">
      <c r="B278" s="225">
        <v>274</v>
      </c>
      <c r="C278" s="259"/>
      <c r="D278" s="227" t="str">
        <f>IFERROR(VLOOKUP($C278,Full_data!$B$8:$J$932,2,FALSE),"")</f>
        <v/>
      </c>
      <c r="E278" s="227" t="str">
        <f>IFERROR(VLOOKUP($C278,Full_data!$B$8:$J$932,3,FALSE),"")</f>
        <v/>
      </c>
      <c r="F278" s="226" t="str">
        <f>IFERROR(VLOOKUP($C278,Full_data!$B$8:$J$932,4,FALSE),"")</f>
        <v/>
      </c>
      <c r="G278" s="226" t="e">
        <f>VLOOKUP($C278,Full_data!$B$8:$J$932,5,FALSE)</f>
        <v>#N/A</v>
      </c>
      <c r="H278" s="226" t="e">
        <f>VLOOKUP($C278,Full_data!$B$8:$J$932,6,FALSE)</f>
        <v>#N/A</v>
      </c>
      <c r="I278" s="237" t="str">
        <f>IFERROR(VLOOKUP($C278,Full_data!$B$8:$J$932,7,FALSE),"")</f>
        <v/>
      </c>
      <c r="J278" s="355" t="str">
        <f>IFERROR(VLOOKUP($C278,Full_data!$B$8:$J$932,8,FALSE),"")</f>
        <v/>
      </c>
      <c r="K278" s="358"/>
      <c r="L278" s="229" t="str">
        <f t="shared" si="13"/>
        <v/>
      </c>
      <c r="M278" s="352"/>
      <c r="N278" s="237" t="str">
        <f t="shared" si="15"/>
        <v/>
      </c>
      <c r="O278" s="237">
        <f>M278*IFERROR(VLOOKUP($C278,Logistics!$A$1:$O$534,10,FALSE),0)</f>
        <v>0</v>
      </c>
      <c r="P278" s="239">
        <f>M278*IFERROR(VLOOKUP($C278,Logistics!$A$1:$O$534,11,FALSE),0)</f>
        <v>0</v>
      </c>
      <c r="AA278" s="247">
        <f t="shared" si="14"/>
        <v>0.4</v>
      </c>
    </row>
    <row r="279" spans="2:27" ht="15" x14ac:dyDescent="0.2">
      <c r="B279" s="223">
        <v>275</v>
      </c>
      <c r="C279" s="258"/>
      <c r="D279" s="228" t="str">
        <f>IFERROR(VLOOKUP($C279,Full_data!$B$8:$J$932,2,FALSE),"")</f>
        <v/>
      </c>
      <c r="E279" s="228" t="str">
        <f>IFERROR(VLOOKUP($C279,Full_data!$B$8:$J$932,3,FALSE),"")</f>
        <v/>
      </c>
      <c r="F279" s="224" t="str">
        <f>IFERROR(VLOOKUP($C279,Full_data!$B$8:$J$932,4,FALSE),"")</f>
        <v/>
      </c>
      <c r="G279" s="224" t="e">
        <f>VLOOKUP($C279,Full_data!$B$8:$J$932,5,FALSE)</f>
        <v>#N/A</v>
      </c>
      <c r="H279" s="224" t="e">
        <f>VLOOKUP($C279,Full_data!$B$8:$J$932,6,FALSE)</f>
        <v>#N/A</v>
      </c>
      <c r="I279" s="236" t="str">
        <f>IFERROR(VLOOKUP($C279,Full_data!$B$8:$J$932,7,FALSE),"")</f>
        <v/>
      </c>
      <c r="J279" s="354" t="str">
        <f>IFERROR(VLOOKUP($C279,Full_data!$B$8:$J$932,8,FALSE),"")</f>
        <v/>
      </c>
      <c r="K279" s="357"/>
      <c r="L279" s="230" t="str">
        <f t="shared" si="13"/>
        <v/>
      </c>
      <c r="M279" s="351"/>
      <c r="N279" s="236" t="str">
        <f t="shared" si="15"/>
        <v/>
      </c>
      <c r="O279" s="236">
        <f>M279*IFERROR(VLOOKUP($C279,Logistics!$A$1:$O$534,10,FALSE),0)</f>
        <v>0</v>
      </c>
      <c r="P279" s="238">
        <f>M279*IFERROR(VLOOKUP($C279,Logistics!$A$1:$O$534,11,FALSE),0)</f>
        <v>0</v>
      </c>
      <c r="AA279" s="247">
        <f t="shared" si="14"/>
        <v>0.4</v>
      </c>
    </row>
    <row r="280" spans="2:27" ht="15" x14ac:dyDescent="0.2">
      <c r="B280" s="225">
        <v>276</v>
      </c>
      <c r="C280" s="259"/>
      <c r="D280" s="227" t="str">
        <f>IFERROR(VLOOKUP($C280,Full_data!$B$8:$J$932,2,FALSE),"")</f>
        <v/>
      </c>
      <c r="E280" s="227" t="str">
        <f>IFERROR(VLOOKUP($C280,Full_data!$B$8:$J$932,3,FALSE),"")</f>
        <v/>
      </c>
      <c r="F280" s="226" t="str">
        <f>IFERROR(VLOOKUP($C280,Full_data!$B$8:$J$932,4,FALSE),"")</f>
        <v/>
      </c>
      <c r="G280" s="226" t="e">
        <f>VLOOKUP($C280,Full_data!$B$8:$J$932,5,FALSE)</f>
        <v>#N/A</v>
      </c>
      <c r="H280" s="226" t="e">
        <f>VLOOKUP($C280,Full_data!$B$8:$J$932,6,FALSE)</f>
        <v>#N/A</v>
      </c>
      <c r="I280" s="237" t="str">
        <f>IFERROR(VLOOKUP($C280,Full_data!$B$8:$J$932,7,FALSE),"")</f>
        <v/>
      </c>
      <c r="J280" s="355" t="str">
        <f>IFERROR(VLOOKUP($C280,Full_data!$B$8:$J$932,8,FALSE),"")</f>
        <v/>
      </c>
      <c r="K280" s="358"/>
      <c r="L280" s="229" t="str">
        <f t="shared" si="13"/>
        <v/>
      </c>
      <c r="M280" s="352"/>
      <c r="N280" s="237" t="str">
        <f t="shared" si="15"/>
        <v/>
      </c>
      <c r="O280" s="237">
        <f>M280*IFERROR(VLOOKUP($C280,Logistics!$A$1:$O$534,10,FALSE),0)</f>
        <v>0</v>
      </c>
      <c r="P280" s="239">
        <f>M280*IFERROR(VLOOKUP($C280,Logistics!$A$1:$O$534,11,FALSE),0)</f>
        <v>0</v>
      </c>
      <c r="AA280" s="247">
        <f t="shared" si="14"/>
        <v>0.4</v>
      </c>
    </row>
    <row r="281" spans="2:27" ht="15" x14ac:dyDescent="0.2">
      <c r="B281" s="223">
        <v>277</v>
      </c>
      <c r="C281" s="258"/>
      <c r="D281" s="228" t="str">
        <f>IFERROR(VLOOKUP($C281,Full_data!$B$8:$J$932,2,FALSE),"")</f>
        <v/>
      </c>
      <c r="E281" s="228" t="str">
        <f>IFERROR(VLOOKUP($C281,Full_data!$B$8:$J$932,3,FALSE),"")</f>
        <v/>
      </c>
      <c r="F281" s="224" t="str">
        <f>IFERROR(VLOOKUP($C281,Full_data!$B$8:$J$932,4,FALSE),"")</f>
        <v/>
      </c>
      <c r="G281" s="224" t="e">
        <f>VLOOKUP($C281,Full_data!$B$8:$J$932,5,FALSE)</f>
        <v>#N/A</v>
      </c>
      <c r="H281" s="224" t="e">
        <f>VLOOKUP($C281,Full_data!$B$8:$J$932,6,FALSE)</f>
        <v>#N/A</v>
      </c>
      <c r="I281" s="236" t="str">
        <f>IFERROR(VLOOKUP($C281,Full_data!$B$8:$J$932,7,FALSE),"")</f>
        <v/>
      </c>
      <c r="J281" s="354" t="str">
        <f>IFERROR(VLOOKUP($C281,Full_data!$B$8:$J$932,8,FALSE),"")</f>
        <v/>
      </c>
      <c r="K281" s="357"/>
      <c r="L281" s="230" t="str">
        <f t="shared" si="13"/>
        <v/>
      </c>
      <c r="M281" s="351"/>
      <c r="N281" s="236" t="str">
        <f t="shared" si="15"/>
        <v/>
      </c>
      <c r="O281" s="236">
        <f>M281*IFERROR(VLOOKUP($C281,Logistics!$A$1:$O$534,10,FALSE),0)</f>
        <v>0</v>
      </c>
      <c r="P281" s="238">
        <f>M281*IFERROR(VLOOKUP($C281,Logistics!$A$1:$O$534,11,FALSE),0)</f>
        <v>0</v>
      </c>
      <c r="AA281" s="247">
        <f t="shared" si="14"/>
        <v>0.4</v>
      </c>
    </row>
    <row r="282" spans="2:27" ht="15" x14ac:dyDescent="0.2">
      <c r="B282" s="225">
        <v>278</v>
      </c>
      <c r="C282" s="259"/>
      <c r="D282" s="227" t="str">
        <f>IFERROR(VLOOKUP($C282,Full_data!$B$8:$J$932,2,FALSE),"")</f>
        <v/>
      </c>
      <c r="E282" s="227" t="str">
        <f>IFERROR(VLOOKUP($C282,Full_data!$B$8:$J$932,3,FALSE),"")</f>
        <v/>
      </c>
      <c r="F282" s="226" t="str">
        <f>IFERROR(VLOOKUP($C282,Full_data!$B$8:$J$932,4,FALSE),"")</f>
        <v/>
      </c>
      <c r="G282" s="226" t="e">
        <f>VLOOKUP($C282,Full_data!$B$8:$J$932,5,FALSE)</f>
        <v>#N/A</v>
      </c>
      <c r="H282" s="226" t="e">
        <f>VLOOKUP($C282,Full_data!$B$8:$J$932,6,FALSE)</f>
        <v>#N/A</v>
      </c>
      <c r="I282" s="237" t="str">
        <f>IFERROR(VLOOKUP($C282,Full_data!$B$8:$J$932,7,FALSE),"")</f>
        <v/>
      </c>
      <c r="J282" s="355" t="str">
        <f>IFERROR(VLOOKUP($C282,Full_data!$B$8:$J$932,8,FALSE),"")</f>
        <v/>
      </c>
      <c r="K282" s="358"/>
      <c r="L282" s="229" t="str">
        <f t="shared" si="13"/>
        <v/>
      </c>
      <c r="M282" s="352"/>
      <c r="N282" s="237" t="str">
        <f t="shared" si="15"/>
        <v/>
      </c>
      <c r="O282" s="237">
        <f>M282*IFERROR(VLOOKUP($C282,Logistics!$A$1:$O$534,10,FALSE),0)</f>
        <v>0</v>
      </c>
      <c r="P282" s="239">
        <f>M282*IFERROR(VLOOKUP($C282,Logistics!$A$1:$O$534,11,FALSE),0)</f>
        <v>0</v>
      </c>
      <c r="AA282" s="247">
        <f t="shared" si="14"/>
        <v>0.4</v>
      </c>
    </row>
    <row r="283" spans="2:27" ht="15" x14ac:dyDescent="0.2">
      <c r="B283" s="223">
        <v>279</v>
      </c>
      <c r="C283" s="258"/>
      <c r="D283" s="228" t="str">
        <f>IFERROR(VLOOKUP($C283,Full_data!$B$8:$J$932,2,FALSE),"")</f>
        <v/>
      </c>
      <c r="E283" s="228" t="str">
        <f>IFERROR(VLOOKUP($C283,Full_data!$B$8:$J$932,3,FALSE),"")</f>
        <v/>
      </c>
      <c r="F283" s="224" t="str">
        <f>IFERROR(VLOOKUP($C283,Full_data!$B$8:$J$932,4,FALSE),"")</f>
        <v/>
      </c>
      <c r="G283" s="224" t="e">
        <f>VLOOKUP($C283,Full_data!$B$8:$J$932,5,FALSE)</f>
        <v>#N/A</v>
      </c>
      <c r="H283" s="224" t="e">
        <f>VLOOKUP($C283,Full_data!$B$8:$J$932,6,FALSE)</f>
        <v>#N/A</v>
      </c>
      <c r="I283" s="236" t="str">
        <f>IFERROR(VLOOKUP($C283,Full_data!$B$8:$J$932,7,FALSE),"")</f>
        <v/>
      </c>
      <c r="J283" s="354" t="str">
        <f>IFERROR(VLOOKUP($C283,Full_data!$B$8:$J$932,8,FALSE),"")</f>
        <v/>
      </c>
      <c r="K283" s="357"/>
      <c r="L283" s="230" t="str">
        <f t="shared" si="13"/>
        <v/>
      </c>
      <c r="M283" s="351"/>
      <c r="N283" s="236" t="str">
        <f t="shared" si="15"/>
        <v/>
      </c>
      <c r="O283" s="236">
        <f>M283*IFERROR(VLOOKUP($C283,Logistics!$A$1:$O$534,10,FALSE),0)</f>
        <v>0</v>
      </c>
      <c r="P283" s="238">
        <f>M283*IFERROR(VLOOKUP($C283,Logistics!$A$1:$O$534,11,FALSE),0)</f>
        <v>0</v>
      </c>
      <c r="AA283" s="247">
        <f t="shared" si="14"/>
        <v>0.4</v>
      </c>
    </row>
    <row r="284" spans="2:27" ht="15" x14ac:dyDescent="0.2">
      <c r="B284" s="225">
        <v>280</v>
      </c>
      <c r="C284" s="259"/>
      <c r="D284" s="227" t="str">
        <f>IFERROR(VLOOKUP($C284,Full_data!$B$8:$J$932,2,FALSE),"")</f>
        <v/>
      </c>
      <c r="E284" s="227" t="str">
        <f>IFERROR(VLOOKUP($C284,Full_data!$B$8:$J$932,3,FALSE),"")</f>
        <v/>
      </c>
      <c r="F284" s="226" t="str">
        <f>IFERROR(VLOOKUP($C284,Full_data!$B$8:$J$932,4,FALSE),"")</f>
        <v/>
      </c>
      <c r="G284" s="226" t="e">
        <f>VLOOKUP($C284,Full_data!$B$8:$J$932,5,FALSE)</f>
        <v>#N/A</v>
      </c>
      <c r="H284" s="226" t="e">
        <f>VLOOKUP($C284,Full_data!$B$8:$J$932,6,FALSE)</f>
        <v>#N/A</v>
      </c>
      <c r="I284" s="237" t="str">
        <f>IFERROR(VLOOKUP($C284,Full_data!$B$8:$J$932,7,FALSE),"")</f>
        <v/>
      </c>
      <c r="J284" s="355" t="str">
        <f>IFERROR(VLOOKUP($C284,Full_data!$B$8:$J$932,8,FALSE),"")</f>
        <v/>
      </c>
      <c r="K284" s="358"/>
      <c r="L284" s="229" t="str">
        <f t="shared" si="13"/>
        <v/>
      </c>
      <c r="M284" s="352"/>
      <c r="N284" s="237" t="str">
        <f t="shared" si="15"/>
        <v/>
      </c>
      <c r="O284" s="237">
        <f>M284*IFERROR(VLOOKUP($C284,Logistics!$A$1:$O$534,10,FALSE),0)</f>
        <v>0</v>
      </c>
      <c r="P284" s="239">
        <f>M284*IFERROR(VLOOKUP($C284,Logistics!$A$1:$O$534,11,FALSE),0)</f>
        <v>0</v>
      </c>
      <c r="AA284" s="247">
        <f t="shared" si="14"/>
        <v>0.4</v>
      </c>
    </row>
    <row r="285" spans="2:27" ht="15" x14ac:dyDescent="0.2">
      <c r="B285" s="223">
        <v>281</v>
      </c>
      <c r="C285" s="258"/>
      <c r="D285" s="228" t="str">
        <f>IFERROR(VLOOKUP($C285,Full_data!$B$8:$J$932,2,FALSE),"")</f>
        <v/>
      </c>
      <c r="E285" s="228" t="str">
        <f>IFERROR(VLOOKUP($C285,Full_data!$B$8:$J$932,3,FALSE),"")</f>
        <v/>
      </c>
      <c r="F285" s="224" t="str">
        <f>IFERROR(VLOOKUP($C285,Full_data!$B$8:$J$932,4,FALSE),"")</f>
        <v/>
      </c>
      <c r="G285" s="224" t="e">
        <f>VLOOKUP($C285,Full_data!$B$8:$J$932,5,FALSE)</f>
        <v>#N/A</v>
      </c>
      <c r="H285" s="224" t="e">
        <f>VLOOKUP($C285,Full_data!$B$8:$J$932,6,FALSE)</f>
        <v>#N/A</v>
      </c>
      <c r="I285" s="236" t="str">
        <f>IFERROR(VLOOKUP($C285,Full_data!$B$8:$J$932,7,FALSE),"")</f>
        <v/>
      </c>
      <c r="J285" s="354" t="str">
        <f>IFERROR(VLOOKUP($C285,Full_data!$B$8:$J$932,8,FALSE),"")</f>
        <v/>
      </c>
      <c r="K285" s="357"/>
      <c r="L285" s="230" t="str">
        <f t="shared" si="13"/>
        <v/>
      </c>
      <c r="M285" s="351"/>
      <c r="N285" s="236" t="str">
        <f t="shared" si="15"/>
        <v/>
      </c>
      <c r="O285" s="236">
        <f>M285*IFERROR(VLOOKUP($C285,Logistics!$A$1:$O$534,10,FALSE),0)</f>
        <v>0</v>
      </c>
      <c r="P285" s="238">
        <f>M285*IFERROR(VLOOKUP($C285,Logistics!$A$1:$O$534,11,FALSE),0)</f>
        <v>0</v>
      </c>
      <c r="AA285" s="247">
        <f t="shared" si="14"/>
        <v>0.4</v>
      </c>
    </row>
    <row r="286" spans="2:27" ht="15" x14ac:dyDescent="0.2">
      <c r="B286" s="225">
        <v>282</v>
      </c>
      <c r="C286" s="259"/>
      <c r="D286" s="227" t="str">
        <f>IFERROR(VLOOKUP($C286,Full_data!$B$8:$J$932,2,FALSE),"")</f>
        <v/>
      </c>
      <c r="E286" s="227" t="str">
        <f>IFERROR(VLOOKUP($C286,Full_data!$B$8:$J$932,3,FALSE),"")</f>
        <v/>
      </c>
      <c r="F286" s="226" t="str">
        <f>IFERROR(VLOOKUP($C286,Full_data!$B$8:$J$932,4,FALSE),"")</f>
        <v/>
      </c>
      <c r="G286" s="226" t="e">
        <f>VLOOKUP($C286,Full_data!$B$8:$J$932,5,FALSE)</f>
        <v>#N/A</v>
      </c>
      <c r="H286" s="226" t="e">
        <f>VLOOKUP($C286,Full_data!$B$8:$J$932,6,FALSE)</f>
        <v>#N/A</v>
      </c>
      <c r="I286" s="237" t="str">
        <f>IFERROR(VLOOKUP($C286,Full_data!$B$8:$J$932,7,FALSE),"")</f>
        <v/>
      </c>
      <c r="J286" s="355" t="str">
        <f>IFERROR(VLOOKUP($C286,Full_data!$B$8:$J$932,8,FALSE),"")</f>
        <v/>
      </c>
      <c r="K286" s="358"/>
      <c r="L286" s="229" t="str">
        <f t="shared" si="13"/>
        <v/>
      </c>
      <c r="M286" s="352"/>
      <c r="N286" s="237" t="str">
        <f t="shared" si="15"/>
        <v/>
      </c>
      <c r="O286" s="237">
        <f>M286*IFERROR(VLOOKUP($C286,Logistics!$A$1:$O$534,10,FALSE),0)</f>
        <v>0</v>
      </c>
      <c r="P286" s="239">
        <f>M286*IFERROR(VLOOKUP($C286,Logistics!$A$1:$O$534,11,FALSE),0)</f>
        <v>0</v>
      </c>
      <c r="AA286" s="247">
        <f t="shared" si="14"/>
        <v>0.4</v>
      </c>
    </row>
    <row r="287" spans="2:27" ht="15" x14ac:dyDescent="0.2">
      <c r="B287" s="223">
        <v>283</v>
      </c>
      <c r="C287" s="258"/>
      <c r="D287" s="228" t="str">
        <f>IFERROR(VLOOKUP($C287,Full_data!$B$8:$J$932,2,FALSE),"")</f>
        <v/>
      </c>
      <c r="E287" s="228" t="str">
        <f>IFERROR(VLOOKUP($C287,Full_data!$B$8:$J$932,3,FALSE),"")</f>
        <v/>
      </c>
      <c r="F287" s="224" t="str">
        <f>IFERROR(VLOOKUP($C287,Full_data!$B$8:$J$932,4,FALSE),"")</f>
        <v/>
      </c>
      <c r="G287" s="224" t="e">
        <f>VLOOKUP($C287,Full_data!$B$8:$J$932,5,FALSE)</f>
        <v>#N/A</v>
      </c>
      <c r="H287" s="224" t="e">
        <f>VLOOKUP($C287,Full_data!$B$8:$J$932,6,FALSE)</f>
        <v>#N/A</v>
      </c>
      <c r="I287" s="236" t="str">
        <f>IFERROR(VLOOKUP($C287,Full_data!$B$8:$J$932,7,FALSE),"")</f>
        <v/>
      </c>
      <c r="J287" s="354" t="str">
        <f>IFERROR(VLOOKUP($C287,Full_data!$B$8:$J$932,8,FALSE),"")</f>
        <v/>
      </c>
      <c r="K287" s="357"/>
      <c r="L287" s="230" t="str">
        <f t="shared" si="13"/>
        <v/>
      </c>
      <c r="M287" s="351"/>
      <c r="N287" s="236" t="str">
        <f t="shared" si="15"/>
        <v/>
      </c>
      <c r="O287" s="236">
        <f>M287*IFERROR(VLOOKUP($C287,Logistics!$A$1:$O$534,10,FALSE),0)</f>
        <v>0</v>
      </c>
      <c r="P287" s="238">
        <f>M287*IFERROR(VLOOKUP($C287,Logistics!$A$1:$O$534,11,FALSE),0)</f>
        <v>0</v>
      </c>
      <c r="AA287" s="247">
        <f t="shared" si="14"/>
        <v>0.4</v>
      </c>
    </row>
    <row r="288" spans="2:27" ht="15" x14ac:dyDescent="0.2">
      <c r="B288" s="225">
        <v>284</v>
      </c>
      <c r="C288" s="259"/>
      <c r="D288" s="227" t="str">
        <f>IFERROR(VLOOKUP($C288,Full_data!$B$8:$J$932,2,FALSE),"")</f>
        <v/>
      </c>
      <c r="E288" s="227" t="str">
        <f>IFERROR(VLOOKUP($C288,Full_data!$B$8:$J$932,3,FALSE),"")</f>
        <v/>
      </c>
      <c r="F288" s="226" t="str">
        <f>IFERROR(VLOOKUP($C288,Full_data!$B$8:$J$932,4,FALSE),"")</f>
        <v/>
      </c>
      <c r="G288" s="226" t="e">
        <f>VLOOKUP($C288,Full_data!$B$8:$J$932,5,FALSE)</f>
        <v>#N/A</v>
      </c>
      <c r="H288" s="226" t="e">
        <f>VLOOKUP($C288,Full_data!$B$8:$J$932,6,FALSE)</f>
        <v>#N/A</v>
      </c>
      <c r="I288" s="237" t="str">
        <f>IFERROR(VLOOKUP($C288,Full_data!$B$8:$J$932,7,FALSE),"")</f>
        <v/>
      </c>
      <c r="J288" s="355" t="str">
        <f>IFERROR(VLOOKUP($C288,Full_data!$B$8:$J$932,8,FALSE),"")</f>
        <v/>
      </c>
      <c r="K288" s="358"/>
      <c r="L288" s="229" t="str">
        <f t="shared" si="13"/>
        <v/>
      </c>
      <c r="M288" s="352"/>
      <c r="N288" s="237" t="str">
        <f t="shared" si="15"/>
        <v/>
      </c>
      <c r="O288" s="237">
        <f>M288*IFERROR(VLOOKUP($C288,Logistics!$A$1:$O$534,10,FALSE),0)</f>
        <v>0</v>
      </c>
      <c r="P288" s="239">
        <f>M288*IFERROR(VLOOKUP($C288,Logistics!$A$1:$O$534,11,FALSE),0)</f>
        <v>0</v>
      </c>
      <c r="AA288" s="247">
        <f t="shared" si="14"/>
        <v>0.4</v>
      </c>
    </row>
    <row r="289" spans="2:27" ht="15" x14ac:dyDescent="0.2">
      <c r="B289" s="223">
        <v>285</v>
      </c>
      <c r="C289" s="258"/>
      <c r="D289" s="228" t="str">
        <f>IFERROR(VLOOKUP($C289,Full_data!$B$8:$J$932,2,FALSE),"")</f>
        <v/>
      </c>
      <c r="E289" s="228" t="str">
        <f>IFERROR(VLOOKUP($C289,Full_data!$B$8:$J$932,3,FALSE),"")</f>
        <v/>
      </c>
      <c r="F289" s="224" t="str">
        <f>IFERROR(VLOOKUP($C289,Full_data!$B$8:$J$932,4,FALSE),"")</f>
        <v/>
      </c>
      <c r="G289" s="224" t="e">
        <f>VLOOKUP($C289,Full_data!$B$8:$J$932,5,FALSE)</f>
        <v>#N/A</v>
      </c>
      <c r="H289" s="224" t="e">
        <f>VLOOKUP($C289,Full_data!$B$8:$J$932,6,FALSE)</f>
        <v>#N/A</v>
      </c>
      <c r="I289" s="236" t="str">
        <f>IFERROR(VLOOKUP($C289,Full_data!$B$8:$J$932,7,FALSE),"")</f>
        <v/>
      </c>
      <c r="J289" s="354" t="str">
        <f>IFERROR(VLOOKUP($C289,Full_data!$B$8:$J$932,8,FALSE),"")</f>
        <v/>
      </c>
      <c r="K289" s="357"/>
      <c r="L289" s="230" t="str">
        <f t="shared" si="13"/>
        <v/>
      </c>
      <c r="M289" s="351"/>
      <c r="N289" s="236" t="str">
        <f t="shared" si="15"/>
        <v/>
      </c>
      <c r="O289" s="236">
        <f>M289*IFERROR(VLOOKUP($C289,Logistics!$A$1:$O$534,10,FALSE),0)</f>
        <v>0</v>
      </c>
      <c r="P289" s="238">
        <f>M289*IFERROR(VLOOKUP($C289,Logistics!$A$1:$O$534,11,FALSE),0)</f>
        <v>0</v>
      </c>
      <c r="AA289" s="247">
        <f t="shared" si="14"/>
        <v>0.4</v>
      </c>
    </row>
    <row r="290" spans="2:27" ht="15" x14ac:dyDescent="0.2">
      <c r="B290" s="225">
        <v>286</v>
      </c>
      <c r="C290" s="259"/>
      <c r="D290" s="227" t="str">
        <f>IFERROR(VLOOKUP($C290,Full_data!$B$8:$J$932,2,FALSE),"")</f>
        <v/>
      </c>
      <c r="E290" s="227" t="str">
        <f>IFERROR(VLOOKUP($C290,Full_data!$B$8:$J$932,3,FALSE),"")</f>
        <v/>
      </c>
      <c r="F290" s="226" t="str">
        <f>IFERROR(VLOOKUP($C290,Full_data!$B$8:$J$932,4,FALSE),"")</f>
        <v/>
      </c>
      <c r="G290" s="226" t="e">
        <f>VLOOKUP($C290,Full_data!$B$8:$J$932,5,FALSE)</f>
        <v>#N/A</v>
      </c>
      <c r="H290" s="226" t="e">
        <f>VLOOKUP($C290,Full_data!$B$8:$J$932,6,FALSE)</f>
        <v>#N/A</v>
      </c>
      <c r="I290" s="237" t="str">
        <f>IFERROR(VLOOKUP($C290,Full_data!$B$8:$J$932,7,FALSE),"")</f>
        <v/>
      </c>
      <c r="J290" s="355" t="str">
        <f>IFERROR(VLOOKUP($C290,Full_data!$B$8:$J$932,8,FALSE),"")</f>
        <v/>
      </c>
      <c r="K290" s="358"/>
      <c r="L290" s="229" t="str">
        <f t="shared" si="13"/>
        <v/>
      </c>
      <c r="M290" s="352"/>
      <c r="N290" s="237" t="str">
        <f t="shared" si="15"/>
        <v/>
      </c>
      <c r="O290" s="237">
        <f>M290*IFERROR(VLOOKUP($C290,Logistics!$A$1:$O$534,10,FALSE),0)</f>
        <v>0</v>
      </c>
      <c r="P290" s="239">
        <f>M290*IFERROR(VLOOKUP($C290,Logistics!$A$1:$O$534,11,FALSE),0)</f>
        <v>0</v>
      </c>
      <c r="AA290" s="247">
        <f t="shared" si="14"/>
        <v>0.4</v>
      </c>
    </row>
    <row r="291" spans="2:27" ht="15" x14ac:dyDescent="0.2">
      <c r="B291" s="223">
        <v>287</v>
      </c>
      <c r="C291" s="258"/>
      <c r="D291" s="228" t="str">
        <f>IFERROR(VLOOKUP($C291,Full_data!$B$8:$J$932,2,FALSE),"")</f>
        <v/>
      </c>
      <c r="E291" s="228" t="str">
        <f>IFERROR(VLOOKUP($C291,Full_data!$B$8:$J$932,3,FALSE),"")</f>
        <v/>
      </c>
      <c r="F291" s="224" t="str">
        <f>IFERROR(VLOOKUP($C291,Full_data!$B$8:$J$932,4,FALSE),"")</f>
        <v/>
      </c>
      <c r="G291" s="224" t="e">
        <f>VLOOKUP($C291,Full_data!$B$8:$J$932,5,FALSE)</f>
        <v>#N/A</v>
      </c>
      <c r="H291" s="224" t="e">
        <f>VLOOKUP($C291,Full_data!$B$8:$J$932,6,FALSE)</f>
        <v>#N/A</v>
      </c>
      <c r="I291" s="236" t="str">
        <f>IFERROR(VLOOKUP($C291,Full_data!$B$8:$J$932,7,FALSE),"")</f>
        <v/>
      </c>
      <c r="J291" s="354" t="str">
        <f>IFERROR(VLOOKUP($C291,Full_data!$B$8:$J$932,8,FALSE),"")</f>
        <v/>
      </c>
      <c r="K291" s="357"/>
      <c r="L291" s="230" t="str">
        <f t="shared" si="13"/>
        <v/>
      </c>
      <c r="M291" s="351"/>
      <c r="N291" s="236" t="str">
        <f t="shared" si="15"/>
        <v/>
      </c>
      <c r="O291" s="236">
        <f>M291*IFERROR(VLOOKUP($C291,Logistics!$A$1:$O$534,10,FALSE),0)</f>
        <v>0</v>
      </c>
      <c r="P291" s="238">
        <f>M291*IFERROR(VLOOKUP($C291,Logistics!$A$1:$O$534,11,FALSE),0)</f>
        <v>0</v>
      </c>
      <c r="AA291" s="247">
        <f t="shared" si="14"/>
        <v>0.4</v>
      </c>
    </row>
    <row r="292" spans="2:27" ht="15" x14ac:dyDescent="0.2">
      <c r="B292" s="225">
        <v>288</v>
      </c>
      <c r="C292" s="259"/>
      <c r="D292" s="227" t="str">
        <f>IFERROR(VLOOKUP($C292,Full_data!$B$8:$J$932,2,FALSE),"")</f>
        <v/>
      </c>
      <c r="E292" s="227" t="str">
        <f>IFERROR(VLOOKUP($C292,Full_data!$B$8:$J$932,3,FALSE),"")</f>
        <v/>
      </c>
      <c r="F292" s="226" t="str">
        <f>IFERROR(VLOOKUP($C292,Full_data!$B$8:$J$932,4,FALSE),"")</f>
        <v/>
      </c>
      <c r="G292" s="226" t="e">
        <f>VLOOKUP($C292,Full_data!$B$8:$J$932,5,FALSE)</f>
        <v>#N/A</v>
      </c>
      <c r="H292" s="226" t="e">
        <f>VLOOKUP($C292,Full_data!$B$8:$J$932,6,FALSE)</f>
        <v>#N/A</v>
      </c>
      <c r="I292" s="237" t="str">
        <f>IFERROR(VLOOKUP($C292,Full_data!$B$8:$J$932,7,FALSE),"")</f>
        <v/>
      </c>
      <c r="J292" s="355" t="str">
        <f>IFERROR(VLOOKUP($C292,Full_data!$B$8:$J$932,8,FALSE),"")</f>
        <v/>
      </c>
      <c r="K292" s="358"/>
      <c r="L292" s="229" t="str">
        <f t="shared" ref="L292:L355" si="16">IFERROR(IF(ISBLANK(K292),I292-I292*J292,I292-I292*K292),"")</f>
        <v/>
      </c>
      <c r="M292" s="352"/>
      <c r="N292" s="237" t="str">
        <f t="shared" si="15"/>
        <v/>
      </c>
      <c r="O292" s="237">
        <f>M292*IFERROR(VLOOKUP($C292,Logistics!$A$1:$O$534,10,FALSE),0)</f>
        <v>0</v>
      </c>
      <c r="P292" s="239">
        <f>M292*IFERROR(VLOOKUP($C292,Logistics!$A$1:$O$534,11,FALSE),0)</f>
        <v>0</v>
      </c>
      <c r="AA292" s="247">
        <f t="shared" si="14"/>
        <v>0.4</v>
      </c>
    </row>
    <row r="293" spans="2:27" ht="15" x14ac:dyDescent="0.2">
      <c r="B293" s="223">
        <v>289</v>
      </c>
      <c r="C293" s="258"/>
      <c r="D293" s="228" t="str">
        <f>IFERROR(VLOOKUP($C293,Full_data!$B$8:$J$932,2,FALSE),"")</f>
        <v/>
      </c>
      <c r="E293" s="228" t="str">
        <f>IFERROR(VLOOKUP($C293,Full_data!$B$8:$J$932,3,FALSE),"")</f>
        <v/>
      </c>
      <c r="F293" s="224" t="str">
        <f>IFERROR(VLOOKUP($C293,Full_data!$B$8:$J$932,4,FALSE),"")</f>
        <v/>
      </c>
      <c r="G293" s="224" t="e">
        <f>VLOOKUP($C293,Full_data!$B$8:$J$932,5,FALSE)</f>
        <v>#N/A</v>
      </c>
      <c r="H293" s="224" t="e">
        <f>VLOOKUP($C293,Full_data!$B$8:$J$932,6,FALSE)</f>
        <v>#N/A</v>
      </c>
      <c r="I293" s="236" t="str">
        <f>IFERROR(VLOOKUP($C293,Full_data!$B$8:$J$932,7,FALSE),"")</f>
        <v/>
      </c>
      <c r="J293" s="354" t="str">
        <f>IFERROR(VLOOKUP($C293,Full_data!$B$8:$J$932,8,FALSE),"")</f>
        <v/>
      </c>
      <c r="K293" s="357"/>
      <c r="L293" s="230" t="str">
        <f t="shared" si="16"/>
        <v/>
      </c>
      <c r="M293" s="351"/>
      <c r="N293" s="236" t="str">
        <f t="shared" si="15"/>
        <v/>
      </c>
      <c r="O293" s="236">
        <f>M293*IFERROR(VLOOKUP($C293,Logistics!$A$1:$O$534,10,FALSE),0)</f>
        <v>0</v>
      </c>
      <c r="P293" s="238">
        <f>M293*IFERROR(VLOOKUP($C293,Logistics!$A$1:$O$534,11,FALSE),0)</f>
        <v>0</v>
      </c>
      <c r="AA293" s="247">
        <f t="shared" si="14"/>
        <v>0.4</v>
      </c>
    </row>
    <row r="294" spans="2:27" ht="15" x14ac:dyDescent="0.2">
      <c r="B294" s="225">
        <v>290</v>
      </c>
      <c r="C294" s="259"/>
      <c r="D294" s="227" t="str">
        <f>IFERROR(VLOOKUP($C294,Full_data!$B$8:$J$932,2,FALSE),"")</f>
        <v/>
      </c>
      <c r="E294" s="227" t="str">
        <f>IFERROR(VLOOKUP($C294,Full_data!$B$8:$J$932,3,FALSE),"")</f>
        <v/>
      </c>
      <c r="F294" s="226" t="str">
        <f>IFERROR(VLOOKUP($C294,Full_data!$B$8:$J$932,4,FALSE),"")</f>
        <v/>
      </c>
      <c r="G294" s="226" t="e">
        <f>VLOOKUP($C294,Full_data!$B$8:$J$932,5,FALSE)</f>
        <v>#N/A</v>
      </c>
      <c r="H294" s="226" t="e">
        <f>VLOOKUP($C294,Full_data!$B$8:$J$932,6,FALSE)</f>
        <v>#N/A</v>
      </c>
      <c r="I294" s="237" t="str">
        <f>IFERROR(VLOOKUP($C294,Full_data!$B$8:$J$932,7,FALSE),"")</f>
        <v/>
      </c>
      <c r="J294" s="355" t="str">
        <f>IFERROR(VLOOKUP($C294,Full_data!$B$8:$J$932,8,FALSE),"")</f>
        <v/>
      </c>
      <c r="K294" s="358"/>
      <c r="L294" s="229" t="str">
        <f t="shared" si="16"/>
        <v/>
      </c>
      <c r="M294" s="352"/>
      <c r="N294" s="237" t="str">
        <f t="shared" si="15"/>
        <v/>
      </c>
      <c r="O294" s="237">
        <f>M294*IFERROR(VLOOKUP($C294,Logistics!$A$1:$O$534,10,FALSE),0)</f>
        <v>0</v>
      </c>
      <c r="P294" s="239">
        <f>M294*IFERROR(VLOOKUP($C294,Logistics!$A$1:$O$534,11,FALSE),0)</f>
        <v>0</v>
      </c>
      <c r="AA294" s="247">
        <f t="shared" si="14"/>
        <v>0.4</v>
      </c>
    </row>
    <row r="295" spans="2:27" ht="15" x14ac:dyDescent="0.2">
      <c r="B295" s="223">
        <v>291</v>
      </c>
      <c r="C295" s="258"/>
      <c r="D295" s="228" t="str">
        <f>IFERROR(VLOOKUP($C295,Full_data!$B$8:$J$932,2,FALSE),"")</f>
        <v/>
      </c>
      <c r="E295" s="228" t="str">
        <f>IFERROR(VLOOKUP($C295,Full_data!$B$8:$J$932,3,FALSE),"")</f>
        <v/>
      </c>
      <c r="F295" s="224" t="str">
        <f>IFERROR(VLOOKUP($C295,Full_data!$B$8:$J$932,4,FALSE),"")</f>
        <v/>
      </c>
      <c r="G295" s="224" t="e">
        <f>VLOOKUP($C295,Full_data!$B$8:$J$932,5,FALSE)</f>
        <v>#N/A</v>
      </c>
      <c r="H295" s="224" t="e">
        <f>VLOOKUP($C295,Full_data!$B$8:$J$932,6,FALSE)</f>
        <v>#N/A</v>
      </c>
      <c r="I295" s="236" t="str">
        <f>IFERROR(VLOOKUP($C295,Full_data!$B$8:$J$932,7,FALSE),"")</f>
        <v/>
      </c>
      <c r="J295" s="354" t="str">
        <f>IFERROR(VLOOKUP($C295,Full_data!$B$8:$J$932,8,FALSE),"")</f>
        <v/>
      </c>
      <c r="K295" s="357"/>
      <c r="L295" s="230" t="str">
        <f t="shared" si="16"/>
        <v/>
      </c>
      <c r="M295" s="351"/>
      <c r="N295" s="236" t="str">
        <f t="shared" si="15"/>
        <v/>
      </c>
      <c r="O295" s="236">
        <f>M295*IFERROR(VLOOKUP($C295,Logistics!$A$1:$O$534,10,FALSE),0)</f>
        <v>0</v>
      </c>
      <c r="P295" s="238">
        <f>M295*IFERROR(VLOOKUP($C295,Logistics!$A$1:$O$534,11,FALSE),0)</f>
        <v>0</v>
      </c>
      <c r="AA295" s="247">
        <f t="shared" si="14"/>
        <v>0.4</v>
      </c>
    </row>
    <row r="296" spans="2:27" ht="15" x14ac:dyDescent="0.2">
      <c r="B296" s="225">
        <v>292</v>
      </c>
      <c r="C296" s="259"/>
      <c r="D296" s="227" t="str">
        <f>IFERROR(VLOOKUP($C296,Full_data!$B$8:$J$932,2,FALSE),"")</f>
        <v/>
      </c>
      <c r="E296" s="227" t="str">
        <f>IFERROR(VLOOKUP($C296,Full_data!$B$8:$J$932,3,FALSE),"")</f>
        <v/>
      </c>
      <c r="F296" s="226" t="str">
        <f>IFERROR(VLOOKUP($C296,Full_data!$B$8:$J$932,4,FALSE),"")</f>
        <v/>
      </c>
      <c r="G296" s="226" t="e">
        <f>VLOOKUP($C296,Full_data!$B$8:$J$932,5,FALSE)</f>
        <v>#N/A</v>
      </c>
      <c r="H296" s="226" t="e">
        <f>VLOOKUP($C296,Full_data!$B$8:$J$932,6,FALSE)</f>
        <v>#N/A</v>
      </c>
      <c r="I296" s="237" t="str">
        <f>IFERROR(VLOOKUP($C296,Full_data!$B$8:$J$932,7,FALSE),"")</f>
        <v/>
      </c>
      <c r="J296" s="355" t="str">
        <f>IFERROR(VLOOKUP($C296,Full_data!$B$8:$J$932,8,FALSE),"")</f>
        <v/>
      </c>
      <c r="K296" s="358"/>
      <c r="L296" s="229" t="str">
        <f t="shared" si="16"/>
        <v/>
      </c>
      <c r="M296" s="352"/>
      <c r="N296" s="237" t="str">
        <f t="shared" si="15"/>
        <v/>
      </c>
      <c r="O296" s="237">
        <f>M296*IFERROR(VLOOKUP($C296,Logistics!$A$1:$O$534,10,FALSE),0)</f>
        <v>0</v>
      </c>
      <c r="P296" s="239">
        <f>M296*IFERROR(VLOOKUP($C296,Logistics!$A$1:$O$534,11,FALSE),0)</f>
        <v>0</v>
      </c>
      <c r="AA296" s="247">
        <f t="shared" si="14"/>
        <v>0.4</v>
      </c>
    </row>
    <row r="297" spans="2:27" ht="15" x14ac:dyDescent="0.2">
      <c r="B297" s="223">
        <v>293</v>
      </c>
      <c r="C297" s="258"/>
      <c r="D297" s="228" t="str">
        <f>IFERROR(VLOOKUP($C297,Full_data!$B$8:$J$932,2,FALSE),"")</f>
        <v/>
      </c>
      <c r="E297" s="228" t="str">
        <f>IFERROR(VLOOKUP($C297,Full_data!$B$8:$J$932,3,FALSE),"")</f>
        <v/>
      </c>
      <c r="F297" s="224" t="str">
        <f>IFERROR(VLOOKUP($C297,Full_data!$B$8:$J$932,4,FALSE),"")</f>
        <v/>
      </c>
      <c r="G297" s="224" t="e">
        <f>VLOOKUP($C297,Full_data!$B$8:$J$932,5,FALSE)</f>
        <v>#N/A</v>
      </c>
      <c r="H297" s="224" t="e">
        <f>VLOOKUP($C297,Full_data!$B$8:$J$932,6,FALSE)</f>
        <v>#N/A</v>
      </c>
      <c r="I297" s="236" t="str">
        <f>IFERROR(VLOOKUP($C297,Full_data!$B$8:$J$932,7,FALSE),"")</f>
        <v/>
      </c>
      <c r="J297" s="354" t="str">
        <f>IFERROR(VLOOKUP($C297,Full_data!$B$8:$J$932,8,FALSE),"")</f>
        <v/>
      </c>
      <c r="K297" s="357"/>
      <c r="L297" s="230" t="str">
        <f t="shared" si="16"/>
        <v/>
      </c>
      <c r="M297" s="351"/>
      <c r="N297" s="236" t="str">
        <f t="shared" si="15"/>
        <v/>
      </c>
      <c r="O297" s="236">
        <f>M297*IFERROR(VLOOKUP($C297,Logistics!$A$1:$O$534,10,FALSE),0)</f>
        <v>0</v>
      </c>
      <c r="P297" s="238">
        <f>M297*IFERROR(VLOOKUP($C297,Logistics!$A$1:$O$534,11,FALSE),0)</f>
        <v>0</v>
      </c>
      <c r="AA297" s="247">
        <f t="shared" si="14"/>
        <v>0.4</v>
      </c>
    </row>
    <row r="298" spans="2:27" ht="15" x14ac:dyDescent="0.2">
      <c r="B298" s="225">
        <v>294</v>
      </c>
      <c r="C298" s="259"/>
      <c r="D298" s="227" t="str">
        <f>IFERROR(VLOOKUP($C298,Full_data!$B$8:$J$932,2,FALSE),"")</f>
        <v/>
      </c>
      <c r="E298" s="227" t="str">
        <f>IFERROR(VLOOKUP($C298,Full_data!$B$8:$J$932,3,FALSE),"")</f>
        <v/>
      </c>
      <c r="F298" s="226" t="str">
        <f>IFERROR(VLOOKUP($C298,Full_data!$B$8:$J$932,4,FALSE),"")</f>
        <v/>
      </c>
      <c r="G298" s="226" t="e">
        <f>VLOOKUP($C298,Full_data!$B$8:$J$932,5,FALSE)</f>
        <v>#N/A</v>
      </c>
      <c r="H298" s="226" t="e">
        <f>VLOOKUP($C298,Full_data!$B$8:$J$932,6,FALSE)</f>
        <v>#N/A</v>
      </c>
      <c r="I298" s="237" t="str">
        <f>IFERROR(VLOOKUP($C298,Full_data!$B$8:$J$932,7,FALSE),"")</f>
        <v/>
      </c>
      <c r="J298" s="355" t="str">
        <f>IFERROR(VLOOKUP($C298,Full_data!$B$8:$J$932,8,FALSE),"")</f>
        <v/>
      </c>
      <c r="K298" s="358"/>
      <c r="L298" s="229" t="str">
        <f t="shared" si="16"/>
        <v/>
      </c>
      <c r="M298" s="352"/>
      <c r="N298" s="237" t="str">
        <f t="shared" si="15"/>
        <v/>
      </c>
      <c r="O298" s="237">
        <f>M298*IFERROR(VLOOKUP($C298,Logistics!$A$1:$O$534,10,FALSE),0)</f>
        <v>0</v>
      </c>
      <c r="P298" s="239">
        <f>M298*IFERROR(VLOOKUP($C298,Logistics!$A$1:$O$534,11,FALSE),0)</f>
        <v>0</v>
      </c>
      <c r="AA298" s="247">
        <f t="shared" si="14"/>
        <v>0.4</v>
      </c>
    </row>
    <row r="299" spans="2:27" ht="15" x14ac:dyDescent="0.2">
      <c r="B299" s="223">
        <v>295</v>
      </c>
      <c r="C299" s="258"/>
      <c r="D299" s="228" t="str">
        <f>IFERROR(VLOOKUP($C299,Full_data!$B$8:$J$932,2,FALSE),"")</f>
        <v/>
      </c>
      <c r="E299" s="228" t="str">
        <f>IFERROR(VLOOKUP($C299,Full_data!$B$8:$J$932,3,FALSE),"")</f>
        <v/>
      </c>
      <c r="F299" s="224" t="str">
        <f>IFERROR(VLOOKUP($C299,Full_data!$B$8:$J$932,4,FALSE),"")</f>
        <v/>
      </c>
      <c r="G299" s="224" t="e">
        <f>VLOOKUP($C299,Full_data!$B$8:$J$932,5,FALSE)</f>
        <v>#N/A</v>
      </c>
      <c r="H299" s="224" t="e">
        <f>VLOOKUP($C299,Full_data!$B$8:$J$932,6,FALSE)</f>
        <v>#N/A</v>
      </c>
      <c r="I299" s="236" t="str">
        <f>IFERROR(VLOOKUP($C299,Full_data!$B$8:$J$932,7,FALSE),"")</f>
        <v/>
      </c>
      <c r="J299" s="354" t="str">
        <f>IFERROR(VLOOKUP($C299,Full_data!$B$8:$J$932,8,FALSE),"")</f>
        <v/>
      </c>
      <c r="K299" s="357"/>
      <c r="L299" s="230" t="str">
        <f t="shared" si="16"/>
        <v/>
      </c>
      <c r="M299" s="351"/>
      <c r="N299" s="236" t="str">
        <f t="shared" si="15"/>
        <v/>
      </c>
      <c r="O299" s="236">
        <f>M299*IFERROR(VLOOKUP($C299,Logistics!$A$1:$O$534,10,FALSE),0)</f>
        <v>0</v>
      </c>
      <c r="P299" s="238">
        <f>M299*IFERROR(VLOOKUP($C299,Logistics!$A$1:$O$534,11,FALSE),0)</f>
        <v>0</v>
      </c>
      <c r="AA299" s="247">
        <f t="shared" si="14"/>
        <v>0.4</v>
      </c>
    </row>
    <row r="300" spans="2:27" ht="15" x14ac:dyDescent="0.2">
      <c r="B300" s="225">
        <v>296</v>
      </c>
      <c r="C300" s="259"/>
      <c r="D300" s="227" t="str">
        <f>IFERROR(VLOOKUP($C300,Full_data!$B$8:$J$932,2,FALSE),"")</f>
        <v/>
      </c>
      <c r="E300" s="227" t="str">
        <f>IFERROR(VLOOKUP($C300,Full_data!$B$8:$J$932,3,FALSE),"")</f>
        <v/>
      </c>
      <c r="F300" s="226" t="str">
        <f>IFERROR(VLOOKUP($C300,Full_data!$B$8:$J$932,4,FALSE),"")</f>
        <v/>
      </c>
      <c r="G300" s="226" t="e">
        <f>VLOOKUP($C300,Full_data!$B$8:$J$932,5,FALSE)</f>
        <v>#N/A</v>
      </c>
      <c r="H300" s="226" t="e">
        <f>VLOOKUP($C300,Full_data!$B$8:$J$932,6,FALSE)</f>
        <v>#N/A</v>
      </c>
      <c r="I300" s="237" t="str">
        <f>IFERROR(VLOOKUP($C300,Full_data!$B$8:$J$932,7,FALSE),"")</f>
        <v/>
      </c>
      <c r="J300" s="355" t="str">
        <f>IFERROR(VLOOKUP($C300,Full_data!$B$8:$J$932,8,FALSE),"")</f>
        <v/>
      </c>
      <c r="K300" s="358"/>
      <c r="L300" s="229" t="str">
        <f t="shared" si="16"/>
        <v/>
      </c>
      <c r="M300" s="352"/>
      <c r="N300" s="237" t="str">
        <f t="shared" si="15"/>
        <v/>
      </c>
      <c r="O300" s="237">
        <f>M300*IFERROR(VLOOKUP($C300,Logistics!$A$1:$O$534,10,FALSE),0)</f>
        <v>0</v>
      </c>
      <c r="P300" s="239">
        <f>M300*IFERROR(VLOOKUP($C300,Logistics!$A$1:$O$534,11,FALSE),0)</f>
        <v>0</v>
      </c>
      <c r="AA300" s="247">
        <f t="shared" si="14"/>
        <v>0.4</v>
      </c>
    </row>
    <row r="301" spans="2:27" ht="15" x14ac:dyDescent="0.2">
      <c r="B301" s="223">
        <v>297</v>
      </c>
      <c r="C301" s="258"/>
      <c r="D301" s="228" t="str">
        <f>IFERROR(VLOOKUP($C301,Full_data!$B$8:$J$932,2,FALSE),"")</f>
        <v/>
      </c>
      <c r="E301" s="228" t="str">
        <f>IFERROR(VLOOKUP($C301,Full_data!$B$8:$J$932,3,FALSE),"")</f>
        <v/>
      </c>
      <c r="F301" s="224" t="str">
        <f>IFERROR(VLOOKUP($C301,Full_data!$B$8:$J$932,4,FALSE),"")</f>
        <v/>
      </c>
      <c r="G301" s="224" t="e">
        <f>VLOOKUP($C301,Full_data!$B$8:$J$932,5,FALSE)</f>
        <v>#N/A</v>
      </c>
      <c r="H301" s="224" t="e">
        <f>VLOOKUP($C301,Full_data!$B$8:$J$932,6,FALSE)</f>
        <v>#N/A</v>
      </c>
      <c r="I301" s="236" t="str">
        <f>IFERROR(VLOOKUP($C301,Full_data!$B$8:$J$932,7,FALSE),"")</f>
        <v/>
      </c>
      <c r="J301" s="354" t="str">
        <f>IFERROR(VLOOKUP($C301,Full_data!$B$8:$J$932,8,FALSE),"")</f>
        <v/>
      </c>
      <c r="K301" s="357"/>
      <c r="L301" s="230" t="str">
        <f t="shared" si="16"/>
        <v/>
      </c>
      <c r="M301" s="351"/>
      <c r="N301" s="236" t="str">
        <f t="shared" si="15"/>
        <v/>
      </c>
      <c r="O301" s="236">
        <f>M301*IFERROR(VLOOKUP($C301,Logistics!$A$1:$O$534,10,FALSE),0)</f>
        <v>0</v>
      </c>
      <c r="P301" s="238">
        <f>M301*IFERROR(VLOOKUP($C301,Logistics!$A$1:$O$534,11,FALSE),0)</f>
        <v>0</v>
      </c>
      <c r="AA301" s="247">
        <f t="shared" si="14"/>
        <v>0.4</v>
      </c>
    </row>
    <row r="302" spans="2:27" ht="15" x14ac:dyDescent="0.2">
      <c r="B302" s="225">
        <v>298</v>
      </c>
      <c r="C302" s="259"/>
      <c r="D302" s="227" t="str">
        <f>IFERROR(VLOOKUP($C302,Full_data!$B$8:$J$932,2,FALSE),"")</f>
        <v/>
      </c>
      <c r="E302" s="227" t="str">
        <f>IFERROR(VLOOKUP($C302,Full_data!$B$8:$J$932,3,FALSE),"")</f>
        <v/>
      </c>
      <c r="F302" s="226" t="str">
        <f>IFERROR(VLOOKUP($C302,Full_data!$B$8:$J$932,4,FALSE),"")</f>
        <v/>
      </c>
      <c r="G302" s="226" t="e">
        <f>VLOOKUP($C302,Full_data!$B$8:$J$932,5,FALSE)</f>
        <v>#N/A</v>
      </c>
      <c r="H302" s="226" t="e">
        <f>VLOOKUP($C302,Full_data!$B$8:$J$932,6,FALSE)</f>
        <v>#N/A</v>
      </c>
      <c r="I302" s="237" t="str">
        <f>IFERROR(VLOOKUP($C302,Full_data!$B$8:$J$932,7,FALSE),"")</f>
        <v/>
      </c>
      <c r="J302" s="355" t="str">
        <f>IFERROR(VLOOKUP($C302,Full_data!$B$8:$J$932,8,FALSE),"")</f>
        <v/>
      </c>
      <c r="K302" s="358"/>
      <c r="L302" s="229" t="str">
        <f t="shared" si="16"/>
        <v/>
      </c>
      <c r="M302" s="352"/>
      <c r="N302" s="237" t="str">
        <f t="shared" si="15"/>
        <v/>
      </c>
      <c r="O302" s="237">
        <f>M302*IFERROR(VLOOKUP($C302,Logistics!$A$1:$O$534,10,FALSE),0)</f>
        <v>0</v>
      </c>
      <c r="P302" s="239">
        <f>M302*IFERROR(VLOOKUP($C302,Logistics!$A$1:$O$534,11,FALSE),0)</f>
        <v>0</v>
      </c>
      <c r="AA302" s="247">
        <f t="shared" si="14"/>
        <v>0.4</v>
      </c>
    </row>
    <row r="303" spans="2:27" ht="15" x14ac:dyDescent="0.2">
      <c r="B303" s="223">
        <v>299</v>
      </c>
      <c r="C303" s="258"/>
      <c r="D303" s="228" t="str">
        <f>IFERROR(VLOOKUP($C303,Full_data!$B$8:$J$932,2,FALSE),"")</f>
        <v/>
      </c>
      <c r="E303" s="228" t="str">
        <f>IFERROR(VLOOKUP($C303,Full_data!$B$8:$J$932,3,FALSE),"")</f>
        <v/>
      </c>
      <c r="F303" s="224" t="str">
        <f>IFERROR(VLOOKUP($C303,Full_data!$B$8:$J$932,4,FALSE),"")</f>
        <v/>
      </c>
      <c r="G303" s="224" t="e">
        <f>VLOOKUP($C303,Full_data!$B$8:$J$932,5,FALSE)</f>
        <v>#N/A</v>
      </c>
      <c r="H303" s="224" t="e">
        <f>VLOOKUP($C303,Full_data!$B$8:$J$932,6,FALSE)</f>
        <v>#N/A</v>
      </c>
      <c r="I303" s="236" t="str">
        <f>IFERROR(VLOOKUP($C303,Full_data!$B$8:$J$932,7,FALSE),"")</f>
        <v/>
      </c>
      <c r="J303" s="354" t="str">
        <f>IFERROR(VLOOKUP($C303,Full_data!$B$8:$J$932,8,FALSE),"")</f>
        <v/>
      </c>
      <c r="K303" s="357"/>
      <c r="L303" s="230" t="str">
        <f t="shared" si="16"/>
        <v/>
      </c>
      <c r="M303" s="351"/>
      <c r="N303" s="236" t="str">
        <f t="shared" si="15"/>
        <v/>
      </c>
      <c r="O303" s="236">
        <f>M303*IFERROR(VLOOKUP($C303,Logistics!$A$1:$O$534,10,FALSE),0)</f>
        <v>0</v>
      </c>
      <c r="P303" s="238">
        <f>M303*IFERROR(VLOOKUP($C303,Logistics!$A$1:$O$534,11,FALSE),0)</f>
        <v>0</v>
      </c>
      <c r="AA303" s="247">
        <f t="shared" si="14"/>
        <v>0.4</v>
      </c>
    </row>
    <row r="304" spans="2:27" ht="15" x14ac:dyDescent="0.2">
      <c r="B304" s="225">
        <v>300</v>
      </c>
      <c r="C304" s="259"/>
      <c r="D304" s="227" t="str">
        <f>IFERROR(VLOOKUP($C304,Full_data!$B$8:$J$932,2,FALSE),"")</f>
        <v/>
      </c>
      <c r="E304" s="227" t="str">
        <f>IFERROR(VLOOKUP($C304,Full_data!$B$8:$J$932,3,FALSE),"")</f>
        <v/>
      </c>
      <c r="F304" s="226" t="str">
        <f>IFERROR(VLOOKUP($C304,Full_data!$B$8:$J$932,4,FALSE),"")</f>
        <v/>
      </c>
      <c r="G304" s="226" t="e">
        <f>VLOOKUP($C304,Full_data!$B$8:$J$932,5,FALSE)</f>
        <v>#N/A</v>
      </c>
      <c r="H304" s="226" t="e">
        <f>VLOOKUP($C304,Full_data!$B$8:$J$932,6,FALSE)</f>
        <v>#N/A</v>
      </c>
      <c r="I304" s="237" t="str">
        <f>IFERROR(VLOOKUP($C304,Full_data!$B$8:$J$932,7,FALSE),"")</f>
        <v/>
      </c>
      <c r="J304" s="355" t="str">
        <f>IFERROR(VLOOKUP($C304,Full_data!$B$8:$J$932,8,FALSE),"")</f>
        <v/>
      </c>
      <c r="K304" s="358"/>
      <c r="L304" s="229" t="str">
        <f t="shared" si="16"/>
        <v/>
      </c>
      <c r="M304" s="352"/>
      <c r="N304" s="237" t="str">
        <f t="shared" si="15"/>
        <v/>
      </c>
      <c r="O304" s="237">
        <f>M304*IFERROR(VLOOKUP($C304,Logistics!$A$1:$O$534,10,FALSE),0)</f>
        <v>0</v>
      </c>
      <c r="P304" s="239">
        <f>M304*IFERROR(VLOOKUP($C304,Logistics!$A$1:$O$534,11,FALSE),0)</f>
        <v>0</v>
      </c>
      <c r="AA304" s="247">
        <f t="shared" si="14"/>
        <v>0.4</v>
      </c>
    </row>
    <row r="305" spans="2:27" ht="15" x14ac:dyDescent="0.2">
      <c r="B305" s="223">
        <v>301</v>
      </c>
      <c r="C305" s="258"/>
      <c r="D305" s="228" t="str">
        <f>IFERROR(VLOOKUP($C305,Full_data!$B$8:$J$932,2,FALSE),"")</f>
        <v/>
      </c>
      <c r="E305" s="228" t="str">
        <f>IFERROR(VLOOKUP($C305,Full_data!$B$8:$J$932,3,FALSE),"")</f>
        <v/>
      </c>
      <c r="F305" s="224" t="str">
        <f>IFERROR(VLOOKUP($C305,Full_data!$B$8:$J$932,4,FALSE),"")</f>
        <v/>
      </c>
      <c r="G305" s="224" t="e">
        <f>VLOOKUP($C305,Full_data!$B$8:$J$932,5,FALSE)</f>
        <v>#N/A</v>
      </c>
      <c r="H305" s="224" t="e">
        <f>VLOOKUP($C305,Full_data!$B$8:$J$932,6,FALSE)</f>
        <v>#N/A</v>
      </c>
      <c r="I305" s="236" t="str">
        <f>IFERROR(VLOOKUP($C305,Full_data!$B$8:$J$932,7,FALSE),"")</f>
        <v/>
      </c>
      <c r="J305" s="354" t="str">
        <f>IFERROR(VLOOKUP($C305,Full_data!$B$8:$J$932,8,FALSE),"")</f>
        <v/>
      </c>
      <c r="K305" s="357"/>
      <c r="L305" s="230" t="str">
        <f t="shared" si="16"/>
        <v/>
      </c>
      <c r="M305" s="351"/>
      <c r="N305" s="236" t="str">
        <f t="shared" si="15"/>
        <v/>
      </c>
      <c r="O305" s="236">
        <f>M305*IFERROR(VLOOKUP($C305,Logistics!$A$1:$O$534,10,FALSE),0)</f>
        <v>0</v>
      </c>
      <c r="P305" s="238">
        <f>M305*IFERROR(VLOOKUP($C305,Logistics!$A$1:$O$534,11,FALSE),0)</f>
        <v>0</v>
      </c>
      <c r="AA305" s="247">
        <f t="shared" si="14"/>
        <v>0.4</v>
      </c>
    </row>
    <row r="306" spans="2:27" ht="15" x14ac:dyDescent="0.2">
      <c r="B306" s="225">
        <v>302</v>
      </c>
      <c r="C306" s="259"/>
      <c r="D306" s="227" t="str">
        <f>IFERROR(VLOOKUP($C306,Full_data!$B$8:$J$932,2,FALSE),"")</f>
        <v/>
      </c>
      <c r="E306" s="227" t="str">
        <f>IFERROR(VLOOKUP($C306,Full_data!$B$8:$J$932,3,FALSE),"")</f>
        <v/>
      </c>
      <c r="F306" s="226" t="str">
        <f>IFERROR(VLOOKUP($C306,Full_data!$B$8:$J$932,4,FALSE),"")</f>
        <v/>
      </c>
      <c r="G306" s="226" t="e">
        <f>VLOOKUP($C306,Full_data!$B$8:$J$932,5,FALSE)</f>
        <v>#N/A</v>
      </c>
      <c r="H306" s="226" t="e">
        <f>VLOOKUP($C306,Full_data!$B$8:$J$932,6,FALSE)</f>
        <v>#N/A</v>
      </c>
      <c r="I306" s="237" t="str">
        <f>IFERROR(VLOOKUP($C306,Full_data!$B$8:$J$932,7,FALSE),"")</f>
        <v/>
      </c>
      <c r="J306" s="355" t="str">
        <f>IFERROR(VLOOKUP($C306,Full_data!$B$8:$J$932,8,FALSE),"")</f>
        <v/>
      </c>
      <c r="K306" s="358"/>
      <c r="L306" s="229" t="str">
        <f t="shared" si="16"/>
        <v/>
      </c>
      <c r="M306" s="352"/>
      <c r="N306" s="237" t="str">
        <f t="shared" si="15"/>
        <v/>
      </c>
      <c r="O306" s="237">
        <f>M306*IFERROR(VLOOKUP($C306,Logistics!$A$1:$O$534,10,FALSE),0)</f>
        <v>0</v>
      </c>
      <c r="P306" s="239">
        <f>M306*IFERROR(VLOOKUP($C306,Logistics!$A$1:$O$534,11,FALSE),0)</f>
        <v>0</v>
      </c>
      <c r="AA306" s="247">
        <f t="shared" si="14"/>
        <v>0.4</v>
      </c>
    </row>
    <row r="307" spans="2:27" ht="15" x14ac:dyDescent="0.2">
      <c r="B307" s="223">
        <v>303</v>
      </c>
      <c r="C307" s="258"/>
      <c r="D307" s="228" t="str">
        <f>IFERROR(VLOOKUP($C307,Full_data!$B$8:$J$932,2,FALSE),"")</f>
        <v/>
      </c>
      <c r="E307" s="228" t="str">
        <f>IFERROR(VLOOKUP($C307,Full_data!$B$8:$J$932,3,FALSE),"")</f>
        <v/>
      </c>
      <c r="F307" s="224" t="str">
        <f>IFERROR(VLOOKUP($C307,Full_data!$B$8:$J$932,4,FALSE),"")</f>
        <v/>
      </c>
      <c r="G307" s="224" t="e">
        <f>VLOOKUP($C307,Full_data!$B$8:$J$932,5,FALSE)</f>
        <v>#N/A</v>
      </c>
      <c r="H307" s="224" t="e">
        <f>VLOOKUP($C307,Full_data!$B$8:$J$932,6,FALSE)</f>
        <v>#N/A</v>
      </c>
      <c r="I307" s="236" t="str">
        <f>IFERROR(VLOOKUP($C307,Full_data!$B$8:$J$932,7,FALSE),"")</f>
        <v/>
      </c>
      <c r="J307" s="354" t="str">
        <f>IFERROR(VLOOKUP($C307,Full_data!$B$8:$J$932,8,FALSE),"")</f>
        <v/>
      </c>
      <c r="K307" s="357"/>
      <c r="L307" s="230" t="str">
        <f t="shared" si="16"/>
        <v/>
      </c>
      <c r="M307" s="351"/>
      <c r="N307" s="236" t="str">
        <f t="shared" si="15"/>
        <v/>
      </c>
      <c r="O307" s="236">
        <f>M307*IFERROR(VLOOKUP($C307,Logistics!$A$1:$O$534,10,FALSE),0)</f>
        <v>0</v>
      </c>
      <c r="P307" s="238">
        <f>M307*IFERROR(VLOOKUP($C307,Logistics!$A$1:$O$534,11,FALSE),0)</f>
        <v>0</v>
      </c>
      <c r="AA307" s="247">
        <f t="shared" si="14"/>
        <v>0.4</v>
      </c>
    </row>
    <row r="308" spans="2:27" ht="15" x14ac:dyDescent="0.2">
      <c r="B308" s="225">
        <v>304</v>
      </c>
      <c r="C308" s="259"/>
      <c r="D308" s="227" t="str">
        <f>IFERROR(VLOOKUP($C308,Full_data!$B$8:$J$932,2,FALSE),"")</f>
        <v/>
      </c>
      <c r="E308" s="227" t="str">
        <f>IFERROR(VLOOKUP($C308,Full_data!$B$8:$J$932,3,FALSE),"")</f>
        <v/>
      </c>
      <c r="F308" s="226" t="str">
        <f>IFERROR(VLOOKUP($C308,Full_data!$B$8:$J$932,4,FALSE),"")</f>
        <v/>
      </c>
      <c r="G308" s="226" t="e">
        <f>VLOOKUP($C308,Full_data!$B$8:$J$932,5,FALSE)</f>
        <v>#N/A</v>
      </c>
      <c r="H308" s="226" t="e">
        <f>VLOOKUP($C308,Full_data!$B$8:$J$932,6,FALSE)</f>
        <v>#N/A</v>
      </c>
      <c r="I308" s="237" t="str">
        <f>IFERROR(VLOOKUP($C308,Full_data!$B$8:$J$932,7,FALSE),"")</f>
        <v/>
      </c>
      <c r="J308" s="355" t="str">
        <f>IFERROR(VLOOKUP($C308,Full_data!$B$8:$J$932,8,FALSE),"")</f>
        <v/>
      </c>
      <c r="K308" s="358"/>
      <c r="L308" s="229" t="str">
        <f t="shared" si="16"/>
        <v/>
      </c>
      <c r="M308" s="352"/>
      <c r="N308" s="237" t="str">
        <f t="shared" si="15"/>
        <v/>
      </c>
      <c r="O308" s="237">
        <f>M308*IFERROR(VLOOKUP($C308,Logistics!$A$1:$O$534,10,FALSE),0)</f>
        <v>0</v>
      </c>
      <c r="P308" s="239">
        <f>M308*IFERROR(VLOOKUP($C308,Logistics!$A$1:$O$534,11,FALSE),0)</f>
        <v>0</v>
      </c>
      <c r="AA308" s="247">
        <f t="shared" si="14"/>
        <v>0.4</v>
      </c>
    </row>
    <row r="309" spans="2:27" ht="15" x14ac:dyDescent="0.2">
      <c r="B309" s="223">
        <v>305</v>
      </c>
      <c r="C309" s="258"/>
      <c r="D309" s="228" t="str">
        <f>IFERROR(VLOOKUP($C309,Full_data!$B$8:$J$932,2,FALSE),"")</f>
        <v/>
      </c>
      <c r="E309" s="228" t="str">
        <f>IFERROR(VLOOKUP($C309,Full_data!$B$8:$J$932,3,FALSE),"")</f>
        <v/>
      </c>
      <c r="F309" s="224" t="str">
        <f>IFERROR(VLOOKUP($C309,Full_data!$B$8:$J$932,4,FALSE),"")</f>
        <v/>
      </c>
      <c r="G309" s="224" t="e">
        <f>VLOOKUP($C309,Full_data!$B$8:$J$932,5,FALSE)</f>
        <v>#N/A</v>
      </c>
      <c r="H309" s="224" t="e">
        <f>VLOOKUP($C309,Full_data!$B$8:$J$932,6,FALSE)</f>
        <v>#N/A</v>
      </c>
      <c r="I309" s="236" t="str">
        <f>IFERROR(VLOOKUP($C309,Full_data!$B$8:$J$932,7,FALSE),"")</f>
        <v/>
      </c>
      <c r="J309" s="354" t="str">
        <f>IFERROR(VLOOKUP($C309,Full_data!$B$8:$J$932,8,FALSE),"")</f>
        <v/>
      </c>
      <c r="K309" s="357"/>
      <c r="L309" s="230" t="str">
        <f t="shared" si="16"/>
        <v/>
      </c>
      <c r="M309" s="351"/>
      <c r="N309" s="236" t="str">
        <f t="shared" si="15"/>
        <v/>
      </c>
      <c r="O309" s="236">
        <f>M309*IFERROR(VLOOKUP($C309,Logistics!$A$1:$O$534,10,FALSE),0)</f>
        <v>0</v>
      </c>
      <c r="P309" s="238">
        <f>M309*IFERROR(VLOOKUP($C309,Logistics!$A$1:$O$534,11,FALSE),0)</f>
        <v>0</v>
      </c>
      <c r="AA309" s="247">
        <f t="shared" si="14"/>
        <v>0.4</v>
      </c>
    </row>
    <row r="310" spans="2:27" ht="15" x14ac:dyDescent="0.2">
      <c r="B310" s="225">
        <v>306</v>
      </c>
      <c r="C310" s="259"/>
      <c r="D310" s="227" t="str">
        <f>IFERROR(VLOOKUP($C310,Full_data!$B$8:$J$932,2,FALSE),"")</f>
        <v/>
      </c>
      <c r="E310" s="227" t="str">
        <f>IFERROR(VLOOKUP($C310,Full_data!$B$8:$J$932,3,FALSE),"")</f>
        <v/>
      </c>
      <c r="F310" s="226" t="str">
        <f>IFERROR(VLOOKUP($C310,Full_data!$B$8:$J$932,4,FALSE),"")</f>
        <v/>
      </c>
      <c r="G310" s="226" t="e">
        <f>VLOOKUP($C310,Full_data!$B$8:$J$932,5,FALSE)</f>
        <v>#N/A</v>
      </c>
      <c r="H310" s="226" t="e">
        <f>VLOOKUP($C310,Full_data!$B$8:$J$932,6,FALSE)</f>
        <v>#N/A</v>
      </c>
      <c r="I310" s="237" t="str">
        <f>IFERROR(VLOOKUP($C310,Full_data!$B$8:$J$932,7,FALSE),"")</f>
        <v/>
      </c>
      <c r="J310" s="355" t="str">
        <f>IFERROR(VLOOKUP($C310,Full_data!$B$8:$J$932,8,FALSE),"")</f>
        <v/>
      </c>
      <c r="K310" s="358"/>
      <c r="L310" s="229" t="str">
        <f t="shared" si="16"/>
        <v/>
      </c>
      <c r="M310" s="352"/>
      <c r="N310" s="237" t="str">
        <f t="shared" si="15"/>
        <v/>
      </c>
      <c r="O310" s="237">
        <f>M310*IFERROR(VLOOKUP($C310,Logistics!$A$1:$O$534,10,FALSE),0)</f>
        <v>0</v>
      </c>
      <c r="P310" s="239">
        <f>M310*IFERROR(VLOOKUP($C310,Logistics!$A$1:$O$534,11,FALSE),0)</f>
        <v>0</v>
      </c>
      <c r="AA310" s="247">
        <f t="shared" si="14"/>
        <v>0.4</v>
      </c>
    </row>
    <row r="311" spans="2:27" ht="15" x14ac:dyDescent="0.2">
      <c r="B311" s="223">
        <v>307</v>
      </c>
      <c r="C311" s="258"/>
      <c r="D311" s="228" t="str">
        <f>IFERROR(VLOOKUP($C311,Full_data!$B$8:$J$932,2,FALSE),"")</f>
        <v/>
      </c>
      <c r="E311" s="228" t="str">
        <f>IFERROR(VLOOKUP($C311,Full_data!$B$8:$J$932,3,FALSE),"")</f>
        <v/>
      </c>
      <c r="F311" s="224" t="str">
        <f>IFERROR(VLOOKUP($C311,Full_data!$B$8:$J$932,4,FALSE),"")</f>
        <v/>
      </c>
      <c r="G311" s="224" t="e">
        <f>VLOOKUP($C311,Full_data!$B$8:$J$932,5,FALSE)</f>
        <v>#N/A</v>
      </c>
      <c r="H311" s="224" t="e">
        <f>VLOOKUP($C311,Full_data!$B$8:$J$932,6,FALSE)</f>
        <v>#N/A</v>
      </c>
      <c r="I311" s="236" t="str">
        <f>IFERROR(VLOOKUP($C311,Full_data!$B$8:$J$932,7,FALSE),"")</f>
        <v/>
      </c>
      <c r="J311" s="354" t="str">
        <f>IFERROR(VLOOKUP($C311,Full_data!$B$8:$J$932,8,FALSE),"")</f>
        <v/>
      </c>
      <c r="K311" s="357"/>
      <c r="L311" s="230" t="str">
        <f t="shared" si="16"/>
        <v/>
      </c>
      <c r="M311" s="351"/>
      <c r="N311" s="236" t="str">
        <f t="shared" si="15"/>
        <v/>
      </c>
      <c r="O311" s="236">
        <f>M311*IFERROR(VLOOKUP($C311,Logistics!$A$1:$O$534,10,FALSE),0)</f>
        <v>0</v>
      </c>
      <c r="P311" s="238">
        <f>M311*IFERROR(VLOOKUP($C311,Logistics!$A$1:$O$534,11,FALSE),0)</f>
        <v>0</v>
      </c>
      <c r="AA311" s="247">
        <f t="shared" si="14"/>
        <v>0.4</v>
      </c>
    </row>
    <row r="312" spans="2:27" ht="15" x14ac:dyDescent="0.2">
      <c r="B312" s="225">
        <v>308</v>
      </c>
      <c r="C312" s="259"/>
      <c r="D312" s="227" t="str">
        <f>IFERROR(VLOOKUP($C312,Full_data!$B$8:$J$932,2,FALSE),"")</f>
        <v/>
      </c>
      <c r="E312" s="227" t="str">
        <f>IFERROR(VLOOKUP($C312,Full_data!$B$8:$J$932,3,FALSE),"")</f>
        <v/>
      </c>
      <c r="F312" s="226" t="str">
        <f>IFERROR(VLOOKUP($C312,Full_data!$B$8:$J$932,4,FALSE),"")</f>
        <v/>
      </c>
      <c r="G312" s="226" t="e">
        <f>VLOOKUP($C312,Full_data!$B$8:$J$932,5,FALSE)</f>
        <v>#N/A</v>
      </c>
      <c r="H312" s="226" t="e">
        <f>VLOOKUP($C312,Full_data!$B$8:$J$932,6,FALSE)</f>
        <v>#N/A</v>
      </c>
      <c r="I312" s="237" t="str">
        <f>IFERROR(VLOOKUP($C312,Full_data!$B$8:$J$932,7,FALSE),"")</f>
        <v/>
      </c>
      <c r="J312" s="355" t="str">
        <f>IFERROR(VLOOKUP($C312,Full_data!$B$8:$J$932,8,FALSE),"")</f>
        <v/>
      </c>
      <c r="K312" s="358"/>
      <c r="L312" s="229" t="str">
        <f t="shared" si="16"/>
        <v/>
      </c>
      <c r="M312" s="352"/>
      <c r="N312" s="237" t="str">
        <f t="shared" si="15"/>
        <v/>
      </c>
      <c r="O312" s="237">
        <f>M312*IFERROR(VLOOKUP($C312,Logistics!$A$1:$O$534,10,FALSE),0)</f>
        <v>0</v>
      </c>
      <c r="P312" s="239">
        <f>M312*IFERROR(VLOOKUP($C312,Logistics!$A$1:$O$534,11,FALSE),0)</f>
        <v>0</v>
      </c>
      <c r="AA312" s="247">
        <f t="shared" si="14"/>
        <v>0.4</v>
      </c>
    </row>
    <row r="313" spans="2:27" ht="15" x14ac:dyDescent="0.2">
      <c r="B313" s="223">
        <v>309</v>
      </c>
      <c r="C313" s="258"/>
      <c r="D313" s="228" t="str">
        <f>IFERROR(VLOOKUP($C313,Full_data!$B$8:$J$932,2,FALSE),"")</f>
        <v/>
      </c>
      <c r="E313" s="228" t="str">
        <f>IFERROR(VLOOKUP($C313,Full_data!$B$8:$J$932,3,FALSE),"")</f>
        <v/>
      </c>
      <c r="F313" s="224" t="str">
        <f>IFERROR(VLOOKUP($C313,Full_data!$B$8:$J$932,4,FALSE),"")</f>
        <v/>
      </c>
      <c r="G313" s="224" t="e">
        <f>VLOOKUP($C313,Full_data!$B$8:$J$932,5,FALSE)</f>
        <v>#N/A</v>
      </c>
      <c r="H313" s="224" t="e">
        <f>VLOOKUP($C313,Full_data!$B$8:$J$932,6,FALSE)</f>
        <v>#N/A</v>
      </c>
      <c r="I313" s="236" t="str">
        <f>IFERROR(VLOOKUP($C313,Full_data!$B$8:$J$932,7,FALSE),"")</f>
        <v/>
      </c>
      <c r="J313" s="354" t="str">
        <f>IFERROR(VLOOKUP($C313,Full_data!$B$8:$J$932,8,FALSE),"")</f>
        <v/>
      </c>
      <c r="K313" s="357"/>
      <c r="L313" s="230" t="str">
        <f t="shared" si="16"/>
        <v/>
      </c>
      <c r="M313" s="351"/>
      <c r="N313" s="236" t="str">
        <f t="shared" si="15"/>
        <v/>
      </c>
      <c r="O313" s="236">
        <f>M313*IFERROR(VLOOKUP($C313,Logistics!$A$1:$O$534,10,FALSE),0)</f>
        <v>0</v>
      </c>
      <c r="P313" s="238">
        <f>M313*IFERROR(VLOOKUP($C313,Logistics!$A$1:$O$534,11,FALSE),0)</f>
        <v>0</v>
      </c>
      <c r="AA313" s="247">
        <f t="shared" si="14"/>
        <v>0.4</v>
      </c>
    </row>
    <row r="314" spans="2:27" ht="15" x14ac:dyDescent="0.2">
      <c r="B314" s="225">
        <v>310</v>
      </c>
      <c r="C314" s="259"/>
      <c r="D314" s="227" t="str">
        <f>IFERROR(VLOOKUP($C314,Full_data!$B$8:$J$932,2,FALSE),"")</f>
        <v/>
      </c>
      <c r="E314" s="227" t="str">
        <f>IFERROR(VLOOKUP($C314,Full_data!$B$8:$J$932,3,FALSE),"")</f>
        <v/>
      </c>
      <c r="F314" s="226" t="str">
        <f>IFERROR(VLOOKUP($C314,Full_data!$B$8:$J$932,4,FALSE),"")</f>
        <v/>
      </c>
      <c r="G314" s="226" t="e">
        <f>VLOOKUP($C314,Full_data!$B$8:$J$932,5,FALSE)</f>
        <v>#N/A</v>
      </c>
      <c r="H314" s="226" t="e">
        <f>VLOOKUP($C314,Full_data!$B$8:$J$932,6,FALSE)</f>
        <v>#N/A</v>
      </c>
      <c r="I314" s="237" t="str">
        <f>IFERROR(VLOOKUP($C314,Full_data!$B$8:$J$932,7,FALSE),"")</f>
        <v/>
      </c>
      <c r="J314" s="355" t="str">
        <f>IFERROR(VLOOKUP($C314,Full_data!$B$8:$J$932,8,FALSE),"")</f>
        <v/>
      </c>
      <c r="K314" s="358"/>
      <c r="L314" s="229" t="str">
        <f t="shared" si="16"/>
        <v/>
      </c>
      <c r="M314" s="352"/>
      <c r="N314" s="237" t="str">
        <f t="shared" si="15"/>
        <v/>
      </c>
      <c r="O314" s="237">
        <f>M314*IFERROR(VLOOKUP($C314,Logistics!$A$1:$O$534,10,FALSE),0)</f>
        <v>0</v>
      </c>
      <c r="P314" s="239">
        <f>M314*IFERROR(VLOOKUP($C314,Logistics!$A$1:$O$534,11,FALSE),0)</f>
        <v>0</v>
      </c>
      <c r="AA314" s="247">
        <f t="shared" si="14"/>
        <v>0.4</v>
      </c>
    </row>
    <row r="315" spans="2:27" ht="15" x14ac:dyDescent="0.2">
      <c r="B315" s="223">
        <v>311</v>
      </c>
      <c r="C315" s="258"/>
      <c r="D315" s="228" t="str">
        <f>IFERROR(VLOOKUP($C315,Full_data!$B$8:$J$932,2,FALSE),"")</f>
        <v/>
      </c>
      <c r="E315" s="228" t="str">
        <f>IFERROR(VLOOKUP($C315,Full_data!$B$8:$J$932,3,FALSE),"")</f>
        <v/>
      </c>
      <c r="F315" s="224" t="str">
        <f>IFERROR(VLOOKUP($C315,Full_data!$B$8:$J$932,4,FALSE),"")</f>
        <v/>
      </c>
      <c r="G315" s="224" t="e">
        <f>VLOOKUP($C315,Full_data!$B$8:$J$932,5,FALSE)</f>
        <v>#N/A</v>
      </c>
      <c r="H315" s="224" t="e">
        <f>VLOOKUP($C315,Full_data!$B$8:$J$932,6,FALSE)</f>
        <v>#N/A</v>
      </c>
      <c r="I315" s="236" t="str">
        <f>IFERROR(VLOOKUP($C315,Full_data!$B$8:$J$932,7,FALSE),"")</f>
        <v/>
      </c>
      <c r="J315" s="354" t="str">
        <f>IFERROR(VLOOKUP($C315,Full_data!$B$8:$J$932,8,FALSE),"")</f>
        <v/>
      </c>
      <c r="K315" s="357"/>
      <c r="L315" s="230" t="str">
        <f t="shared" si="16"/>
        <v/>
      </c>
      <c r="M315" s="351"/>
      <c r="N315" s="236" t="str">
        <f t="shared" si="15"/>
        <v/>
      </c>
      <c r="O315" s="236">
        <f>M315*IFERROR(VLOOKUP($C315,Logistics!$A$1:$O$534,10,FALSE),0)</f>
        <v>0</v>
      </c>
      <c r="P315" s="238">
        <f>M315*IFERROR(VLOOKUP($C315,Logistics!$A$1:$O$534,11,FALSE),0)</f>
        <v>0</v>
      </c>
      <c r="AA315" s="247">
        <f t="shared" si="14"/>
        <v>0.4</v>
      </c>
    </row>
    <row r="316" spans="2:27" ht="15" x14ac:dyDescent="0.2">
      <c r="B316" s="225">
        <v>312</v>
      </c>
      <c r="C316" s="259"/>
      <c r="D316" s="227" t="str">
        <f>IFERROR(VLOOKUP($C316,Full_data!$B$8:$J$932,2,FALSE),"")</f>
        <v/>
      </c>
      <c r="E316" s="227" t="str">
        <f>IFERROR(VLOOKUP($C316,Full_data!$B$8:$J$932,3,FALSE),"")</f>
        <v/>
      </c>
      <c r="F316" s="226" t="str">
        <f>IFERROR(VLOOKUP($C316,Full_data!$B$8:$J$932,4,FALSE),"")</f>
        <v/>
      </c>
      <c r="G316" s="226" t="e">
        <f>VLOOKUP($C316,Full_data!$B$8:$J$932,5,FALSE)</f>
        <v>#N/A</v>
      </c>
      <c r="H316" s="226" t="e">
        <f>VLOOKUP($C316,Full_data!$B$8:$J$932,6,FALSE)</f>
        <v>#N/A</v>
      </c>
      <c r="I316" s="237" t="str">
        <f>IFERROR(VLOOKUP($C316,Full_data!$B$8:$J$932,7,FALSE),"")</f>
        <v/>
      </c>
      <c r="J316" s="355" t="str">
        <f>IFERROR(VLOOKUP($C316,Full_data!$B$8:$J$932,8,FALSE),"")</f>
        <v/>
      </c>
      <c r="K316" s="358"/>
      <c r="L316" s="229" t="str">
        <f t="shared" si="16"/>
        <v/>
      </c>
      <c r="M316" s="352"/>
      <c r="N316" s="237" t="str">
        <f t="shared" si="15"/>
        <v/>
      </c>
      <c r="O316" s="237">
        <f>M316*IFERROR(VLOOKUP($C316,Logistics!$A$1:$O$534,10,FALSE),0)</f>
        <v>0</v>
      </c>
      <c r="P316" s="239">
        <f>M316*IFERROR(VLOOKUP($C316,Logistics!$A$1:$O$534,11,FALSE),0)</f>
        <v>0</v>
      </c>
      <c r="AA316" s="247">
        <f t="shared" si="14"/>
        <v>0.4</v>
      </c>
    </row>
    <row r="317" spans="2:27" ht="15" x14ac:dyDescent="0.2">
      <c r="B317" s="223">
        <v>313</v>
      </c>
      <c r="C317" s="258"/>
      <c r="D317" s="228" t="str">
        <f>IFERROR(VLOOKUP($C317,Full_data!$B$8:$J$932,2,FALSE),"")</f>
        <v/>
      </c>
      <c r="E317" s="228" t="str">
        <f>IFERROR(VLOOKUP($C317,Full_data!$B$8:$J$932,3,FALSE),"")</f>
        <v/>
      </c>
      <c r="F317" s="224" t="str">
        <f>IFERROR(VLOOKUP($C317,Full_data!$B$8:$J$932,4,FALSE),"")</f>
        <v/>
      </c>
      <c r="G317" s="224" t="e">
        <f>VLOOKUP($C317,Full_data!$B$8:$J$932,5,FALSE)</f>
        <v>#N/A</v>
      </c>
      <c r="H317" s="224" t="e">
        <f>VLOOKUP($C317,Full_data!$B$8:$J$932,6,FALSE)</f>
        <v>#N/A</v>
      </c>
      <c r="I317" s="236" t="str">
        <f>IFERROR(VLOOKUP($C317,Full_data!$B$8:$J$932,7,FALSE),"")</f>
        <v/>
      </c>
      <c r="J317" s="354" t="str">
        <f>IFERROR(VLOOKUP($C317,Full_data!$B$8:$J$932,8,FALSE),"")</f>
        <v/>
      </c>
      <c r="K317" s="357"/>
      <c r="L317" s="230" t="str">
        <f t="shared" si="16"/>
        <v/>
      </c>
      <c r="M317" s="351"/>
      <c r="N317" s="236" t="str">
        <f t="shared" si="15"/>
        <v/>
      </c>
      <c r="O317" s="236">
        <f>M317*IFERROR(VLOOKUP($C317,Logistics!$A$1:$O$534,10,FALSE),0)</f>
        <v>0</v>
      </c>
      <c r="P317" s="238">
        <f>M317*IFERROR(VLOOKUP($C317,Logistics!$A$1:$O$534,11,FALSE),0)</f>
        <v>0</v>
      </c>
      <c r="AA317" s="247">
        <f t="shared" si="14"/>
        <v>0.4</v>
      </c>
    </row>
    <row r="318" spans="2:27" ht="15" x14ac:dyDescent="0.2">
      <c r="B318" s="225">
        <v>314</v>
      </c>
      <c r="C318" s="259"/>
      <c r="D318" s="227" t="str">
        <f>IFERROR(VLOOKUP($C318,Full_data!$B$8:$J$932,2,FALSE),"")</f>
        <v/>
      </c>
      <c r="E318" s="227" t="str">
        <f>IFERROR(VLOOKUP($C318,Full_data!$B$8:$J$932,3,FALSE),"")</f>
        <v/>
      </c>
      <c r="F318" s="226" t="str">
        <f>IFERROR(VLOOKUP($C318,Full_data!$B$8:$J$932,4,FALSE),"")</f>
        <v/>
      </c>
      <c r="G318" s="226" t="e">
        <f>VLOOKUP($C318,Full_data!$B$8:$J$932,5,FALSE)</f>
        <v>#N/A</v>
      </c>
      <c r="H318" s="226" t="e">
        <f>VLOOKUP($C318,Full_data!$B$8:$J$932,6,FALSE)</f>
        <v>#N/A</v>
      </c>
      <c r="I318" s="237" t="str">
        <f>IFERROR(VLOOKUP($C318,Full_data!$B$8:$J$932,7,FALSE),"")</f>
        <v/>
      </c>
      <c r="J318" s="355" t="str">
        <f>IFERROR(VLOOKUP($C318,Full_data!$B$8:$J$932,8,FALSE),"")</f>
        <v/>
      </c>
      <c r="K318" s="358"/>
      <c r="L318" s="229" t="str">
        <f t="shared" si="16"/>
        <v/>
      </c>
      <c r="M318" s="352"/>
      <c r="N318" s="237" t="str">
        <f t="shared" si="15"/>
        <v/>
      </c>
      <c r="O318" s="237">
        <f>M318*IFERROR(VLOOKUP($C318,Logistics!$A$1:$O$534,10,FALSE),0)</f>
        <v>0</v>
      </c>
      <c r="P318" s="239">
        <f>M318*IFERROR(VLOOKUP($C318,Logistics!$A$1:$O$534,11,FALSE),0)</f>
        <v>0</v>
      </c>
      <c r="AA318" s="247">
        <f t="shared" si="14"/>
        <v>0.4</v>
      </c>
    </row>
    <row r="319" spans="2:27" ht="15" x14ac:dyDescent="0.2">
      <c r="B319" s="223">
        <v>315</v>
      </c>
      <c r="C319" s="258"/>
      <c r="D319" s="228" t="str">
        <f>IFERROR(VLOOKUP($C319,Full_data!$B$8:$J$932,2,FALSE),"")</f>
        <v/>
      </c>
      <c r="E319" s="228" t="str">
        <f>IFERROR(VLOOKUP($C319,Full_data!$B$8:$J$932,3,FALSE),"")</f>
        <v/>
      </c>
      <c r="F319" s="224" t="str">
        <f>IFERROR(VLOOKUP($C319,Full_data!$B$8:$J$932,4,FALSE),"")</f>
        <v/>
      </c>
      <c r="G319" s="224" t="e">
        <f>VLOOKUP($C319,Full_data!$B$8:$J$932,5,FALSE)</f>
        <v>#N/A</v>
      </c>
      <c r="H319" s="224" t="e">
        <f>VLOOKUP($C319,Full_data!$B$8:$J$932,6,FALSE)</f>
        <v>#N/A</v>
      </c>
      <c r="I319" s="236" t="str">
        <f>IFERROR(VLOOKUP($C319,Full_data!$B$8:$J$932,7,FALSE),"")</f>
        <v/>
      </c>
      <c r="J319" s="354" t="str">
        <f>IFERROR(VLOOKUP($C319,Full_data!$B$8:$J$932,8,FALSE),"")</f>
        <v/>
      </c>
      <c r="K319" s="357"/>
      <c r="L319" s="230" t="str">
        <f t="shared" si="16"/>
        <v/>
      </c>
      <c r="M319" s="351"/>
      <c r="N319" s="236" t="str">
        <f t="shared" si="15"/>
        <v/>
      </c>
      <c r="O319" s="236">
        <f>M319*IFERROR(VLOOKUP($C319,Logistics!$A$1:$O$534,10,FALSE),0)</f>
        <v>0</v>
      </c>
      <c r="P319" s="238">
        <f>M319*IFERROR(VLOOKUP($C319,Logistics!$A$1:$O$534,11,FALSE),0)</f>
        <v>0</v>
      </c>
      <c r="AA319" s="247">
        <f t="shared" si="14"/>
        <v>0.4</v>
      </c>
    </row>
    <row r="320" spans="2:27" ht="15" x14ac:dyDescent="0.2">
      <c r="B320" s="225">
        <v>316</v>
      </c>
      <c r="C320" s="259"/>
      <c r="D320" s="227" t="str">
        <f>IFERROR(VLOOKUP($C320,Full_data!$B$8:$J$932,2,FALSE),"")</f>
        <v/>
      </c>
      <c r="E320" s="227" t="str">
        <f>IFERROR(VLOOKUP($C320,Full_data!$B$8:$J$932,3,FALSE),"")</f>
        <v/>
      </c>
      <c r="F320" s="226" t="str">
        <f>IFERROR(VLOOKUP($C320,Full_data!$B$8:$J$932,4,FALSE),"")</f>
        <v/>
      </c>
      <c r="G320" s="226" t="e">
        <f>VLOOKUP($C320,Full_data!$B$8:$J$932,5,FALSE)</f>
        <v>#N/A</v>
      </c>
      <c r="H320" s="226" t="e">
        <f>VLOOKUP($C320,Full_data!$B$8:$J$932,6,FALSE)</f>
        <v>#N/A</v>
      </c>
      <c r="I320" s="237" t="str">
        <f>IFERROR(VLOOKUP($C320,Full_data!$B$8:$J$932,7,FALSE),"")</f>
        <v/>
      </c>
      <c r="J320" s="355" t="str">
        <f>IFERROR(VLOOKUP($C320,Full_data!$B$8:$J$932,8,FALSE),"")</f>
        <v/>
      </c>
      <c r="K320" s="358"/>
      <c r="L320" s="229" t="str">
        <f t="shared" si="16"/>
        <v/>
      </c>
      <c r="M320" s="352"/>
      <c r="N320" s="237" t="str">
        <f t="shared" si="15"/>
        <v/>
      </c>
      <c r="O320" s="237">
        <f>M320*IFERROR(VLOOKUP($C320,Logistics!$A$1:$O$534,10,FALSE),0)</f>
        <v>0</v>
      </c>
      <c r="P320" s="239">
        <f>M320*IFERROR(VLOOKUP($C320,Logistics!$A$1:$O$534,11,FALSE),0)</f>
        <v>0</v>
      </c>
      <c r="AA320" s="247">
        <f t="shared" si="14"/>
        <v>0.4</v>
      </c>
    </row>
    <row r="321" spans="2:27" ht="15" x14ac:dyDescent="0.2">
      <c r="B321" s="223">
        <v>317</v>
      </c>
      <c r="C321" s="258"/>
      <c r="D321" s="228" t="str">
        <f>IFERROR(VLOOKUP($C321,Full_data!$B$8:$J$932,2,FALSE),"")</f>
        <v/>
      </c>
      <c r="E321" s="228" t="str">
        <f>IFERROR(VLOOKUP($C321,Full_data!$B$8:$J$932,3,FALSE),"")</f>
        <v/>
      </c>
      <c r="F321" s="224" t="str">
        <f>IFERROR(VLOOKUP($C321,Full_data!$B$8:$J$932,4,FALSE),"")</f>
        <v/>
      </c>
      <c r="G321" s="224" t="e">
        <f>VLOOKUP($C321,Full_data!$B$8:$J$932,5,FALSE)</f>
        <v>#N/A</v>
      </c>
      <c r="H321" s="224" t="e">
        <f>VLOOKUP($C321,Full_data!$B$8:$J$932,6,FALSE)</f>
        <v>#N/A</v>
      </c>
      <c r="I321" s="236" t="str">
        <f>IFERROR(VLOOKUP($C321,Full_data!$B$8:$J$932,7,FALSE),"")</f>
        <v/>
      </c>
      <c r="J321" s="354" t="str">
        <f>IFERROR(VLOOKUP($C321,Full_data!$B$8:$J$932,8,FALSE),"")</f>
        <v/>
      </c>
      <c r="K321" s="357"/>
      <c r="L321" s="230" t="str">
        <f t="shared" si="16"/>
        <v/>
      </c>
      <c r="M321" s="351"/>
      <c r="N321" s="236" t="str">
        <f t="shared" si="15"/>
        <v/>
      </c>
      <c r="O321" s="236">
        <f>M321*IFERROR(VLOOKUP($C321,Logistics!$A$1:$O$534,10,FALSE),0)</f>
        <v>0</v>
      </c>
      <c r="P321" s="238">
        <f>M321*IFERROR(VLOOKUP($C321,Logistics!$A$1:$O$534,11,FALSE),0)</f>
        <v>0</v>
      </c>
      <c r="AA321" s="247">
        <f t="shared" si="14"/>
        <v>0.4</v>
      </c>
    </row>
    <row r="322" spans="2:27" ht="15" x14ac:dyDescent="0.2">
      <c r="B322" s="225">
        <v>318</v>
      </c>
      <c r="C322" s="259"/>
      <c r="D322" s="227" t="str">
        <f>IFERROR(VLOOKUP($C322,Full_data!$B$8:$J$932,2,FALSE),"")</f>
        <v/>
      </c>
      <c r="E322" s="227" t="str">
        <f>IFERROR(VLOOKUP($C322,Full_data!$B$8:$J$932,3,FALSE),"")</f>
        <v/>
      </c>
      <c r="F322" s="226" t="str">
        <f>IFERROR(VLOOKUP($C322,Full_data!$B$8:$J$932,4,FALSE),"")</f>
        <v/>
      </c>
      <c r="G322" s="226" t="e">
        <f>VLOOKUP($C322,Full_data!$B$8:$J$932,5,FALSE)</f>
        <v>#N/A</v>
      </c>
      <c r="H322" s="226" t="e">
        <f>VLOOKUP($C322,Full_data!$B$8:$J$932,6,FALSE)</f>
        <v>#N/A</v>
      </c>
      <c r="I322" s="237" t="str">
        <f>IFERROR(VLOOKUP($C322,Full_data!$B$8:$J$932,7,FALSE),"")</f>
        <v/>
      </c>
      <c r="J322" s="355" t="str">
        <f>IFERROR(VLOOKUP($C322,Full_data!$B$8:$J$932,8,FALSE),"")</f>
        <v/>
      </c>
      <c r="K322" s="358"/>
      <c r="L322" s="229" t="str">
        <f t="shared" si="16"/>
        <v/>
      </c>
      <c r="M322" s="352"/>
      <c r="N322" s="237" t="str">
        <f t="shared" si="15"/>
        <v/>
      </c>
      <c r="O322" s="237">
        <f>M322*IFERROR(VLOOKUP($C322,Logistics!$A$1:$O$534,10,FALSE),0)</f>
        <v>0</v>
      </c>
      <c r="P322" s="239">
        <f>M322*IFERROR(VLOOKUP($C322,Logistics!$A$1:$O$534,11,FALSE),0)</f>
        <v>0</v>
      </c>
      <c r="AA322" s="247">
        <f t="shared" si="14"/>
        <v>0.4</v>
      </c>
    </row>
    <row r="323" spans="2:27" ht="15" x14ac:dyDescent="0.2">
      <c r="B323" s="223">
        <v>319</v>
      </c>
      <c r="C323" s="258"/>
      <c r="D323" s="228" t="str">
        <f>IFERROR(VLOOKUP($C323,Full_data!$B$8:$J$932,2,FALSE),"")</f>
        <v/>
      </c>
      <c r="E323" s="228" t="str">
        <f>IFERROR(VLOOKUP($C323,Full_data!$B$8:$J$932,3,FALSE),"")</f>
        <v/>
      </c>
      <c r="F323" s="224" t="str">
        <f>IFERROR(VLOOKUP($C323,Full_data!$B$8:$J$932,4,FALSE),"")</f>
        <v/>
      </c>
      <c r="G323" s="224" t="e">
        <f>VLOOKUP($C323,Full_data!$B$8:$J$932,5,FALSE)</f>
        <v>#N/A</v>
      </c>
      <c r="H323" s="224" t="e">
        <f>VLOOKUP($C323,Full_data!$B$8:$J$932,6,FALSE)</f>
        <v>#N/A</v>
      </c>
      <c r="I323" s="236" t="str">
        <f>IFERROR(VLOOKUP($C323,Full_data!$B$8:$J$932,7,FALSE),"")</f>
        <v/>
      </c>
      <c r="J323" s="354" t="str">
        <f>IFERROR(VLOOKUP($C323,Full_data!$B$8:$J$932,8,FALSE),"")</f>
        <v/>
      </c>
      <c r="K323" s="357"/>
      <c r="L323" s="230" t="str">
        <f t="shared" si="16"/>
        <v/>
      </c>
      <c r="M323" s="351"/>
      <c r="N323" s="236" t="str">
        <f t="shared" si="15"/>
        <v/>
      </c>
      <c r="O323" s="236">
        <f>M323*IFERROR(VLOOKUP($C323,Logistics!$A$1:$O$534,10,FALSE),0)</f>
        <v>0</v>
      </c>
      <c r="P323" s="238">
        <f>M323*IFERROR(VLOOKUP($C323,Logistics!$A$1:$O$534,11,FALSE),0)</f>
        <v>0</v>
      </c>
      <c r="AA323" s="247">
        <f t="shared" si="14"/>
        <v>0.4</v>
      </c>
    </row>
    <row r="324" spans="2:27" ht="15" x14ac:dyDescent="0.2">
      <c r="B324" s="225">
        <v>320</v>
      </c>
      <c r="C324" s="259"/>
      <c r="D324" s="227" t="str">
        <f>IFERROR(VLOOKUP($C324,Full_data!$B$8:$J$932,2,FALSE),"")</f>
        <v/>
      </c>
      <c r="E324" s="227" t="str">
        <f>IFERROR(VLOOKUP($C324,Full_data!$B$8:$J$932,3,FALSE),"")</f>
        <v/>
      </c>
      <c r="F324" s="226" t="str">
        <f>IFERROR(VLOOKUP($C324,Full_data!$B$8:$J$932,4,FALSE),"")</f>
        <v/>
      </c>
      <c r="G324" s="226" t="e">
        <f>VLOOKUP($C324,Full_data!$B$8:$J$932,5,FALSE)</f>
        <v>#N/A</v>
      </c>
      <c r="H324" s="226" t="e">
        <f>VLOOKUP($C324,Full_data!$B$8:$J$932,6,FALSE)</f>
        <v>#N/A</v>
      </c>
      <c r="I324" s="237" t="str">
        <f>IFERROR(VLOOKUP($C324,Full_data!$B$8:$J$932,7,FALSE),"")</f>
        <v/>
      </c>
      <c r="J324" s="355" t="str">
        <f>IFERROR(VLOOKUP($C324,Full_data!$B$8:$J$932,8,FALSE),"")</f>
        <v/>
      </c>
      <c r="K324" s="358"/>
      <c r="L324" s="229" t="str">
        <f t="shared" si="16"/>
        <v/>
      </c>
      <c r="M324" s="352"/>
      <c r="N324" s="237" t="str">
        <f t="shared" si="15"/>
        <v/>
      </c>
      <c r="O324" s="237">
        <f>M324*IFERROR(VLOOKUP($C324,Logistics!$A$1:$O$534,10,FALSE),0)</f>
        <v>0</v>
      </c>
      <c r="P324" s="239">
        <f>M324*IFERROR(VLOOKUP($C324,Logistics!$A$1:$O$534,11,FALSE),0)</f>
        <v>0</v>
      </c>
      <c r="AA324" s="247">
        <f t="shared" si="14"/>
        <v>0.4</v>
      </c>
    </row>
    <row r="325" spans="2:27" ht="15" x14ac:dyDescent="0.2">
      <c r="B325" s="223">
        <v>321</v>
      </c>
      <c r="C325" s="258"/>
      <c r="D325" s="228" t="str">
        <f>IFERROR(VLOOKUP($C325,Full_data!$B$8:$J$932,2,FALSE),"")</f>
        <v/>
      </c>
      <c r="E325" s="228" t="str">
        <f>IFERROR(VLOOKUP($C325,Full_data!$B$8:$J$932,3,FALSE),"")</f>
        <v/>
      </c>
      <c r="F325" s="224" t="str">
        <f>IFERROR(VLOOKUP($C325,Full_data!$B$8:$J$932,4,FALSE),"")</f>
        <v/>
      </c>
      <c r="G325" s="224" t="e">
        <f>VLOOKUP($C325,Full_data!$B$8:$J$932,5,FALSE)</f>
        <v>#N/A</v>
      </c>
      <c r="H325" s="224" t="e">
        <f>VLOOKUP($C325,Full_data!$B$8:$J$932,6,FALSE)</f>
        <v>#N/A</v>
      </c>
      <c r="I325" s="236" t="str">
        <f>IFERROR(VLOOKUP($C325,Full_data!$B$8:$J$932,7,FALSE),"")</f>
        <v/>
      </c>
      <c r="J325" s="354" t="str">
        <f>IFERROR(VLOOKUP($C325,Full_data!$B$8:$J$932,8,FALSE),"")</f>
        <v/>
      </c>
      <c r="K325" s="357"/>
      <c r="L325" s="230" t="str">
        <f t="shared" si="16"/>
        <v/>
      </c>
      <c r="M325" s="351"/>
      <c r="N325" s="236" t="str">
        <f t="shared" si="15"/>
        <v/>
      </c>
      <c r="O325" s="236">
        <f>M325*IFERROR(VLOOKUP($C325,Logistics!$A$1:$O$534,10,FALSE),0)</f>
        <v>0</v>
      </c>
      <c r="P325" s="238">
        <f>M325*IFERROR(VLOOKUP($C325,Logistics!$A$1:$O$534,11,FALSE),0)</f>
        <v>0</v>
      </c>
      <c r="AA325" s="247">
        <f t="shared" si="14"/>
        <v>0.4</v>
      </c>
    </row>
    <row r="326" spans="2:27" ht="15" x14ac:dyDescent="0.2">
      <c r="B326" s="225">
        <v>322</v>
      </c>
      <c r="C326" s="259"/>
      <c r="D326" s="227" t="str">
        <f>IFERROR(VLOOKUP($C326,Full_data!$B$8:$J$932,2,FALSE),"")</f>
        <v/>
      </c>
      <c r="E326" s="227" t="str">
        <f>IFERROR(VLOOKUP($C326,Full_data!$B$8:$J$932,3,FALSE),"")</f>
        <v/>
      </c>
      <c r="F326" s="226" t="str">
        <f>IFERROR(VLOOKUP($C326,Full_data!$B$8:$J$932,4,FALSE),"")</f>
        <v/>
      </c>
      <c r="G326" s="226" t="e">
        <f>VLOOKUP($C326,Full_data!$B$8:$J$932,5,FALSE)</f>
        <v>#N/A</v>
      </c>
      <c r="H326" s="226" t="e">
        <f>VLOOKUP($C326,Full_data!$B$8:$J$932,6,FALSE)</f>
        <v>#N/A</v>
      </c>
      <c r="I326" s="237" t="str">
        <f>IFERROR(VLOOKUP($C326,Full_data!$B$8:$J$932,7,FALSE),"")</f>
        <v/>
      </c>
      <c r="J326" s="355" t="str">
        <f>IFERROR(VLOOKUP($C326,Full_data!$B$8:$J$932,8,FALSE),"")</f>
        <v/>
      </c>
      <c r="K326" s="358"/>
      <c r="L326" s="229" t="str">
        <f t="shared" si="16"/>
        <v/>
      </c>
      <c r="M326" s="352"/>
      <c r="N326" s="237" t="str">
        <f t="shared" si="15"/>
        <v/>
      </c>
      <c r="O326" s="237">
        <f>M326*IFERROR(VLOOKUP($C326,Logistics!$A$1:$O$534,10,FALSE),0)</f>
        <v>0</v>
      </c>
      <c r="P326" s="239">
        <f>M326*IFERROR(VLOOKUP($C326,Logistics!$A$1:$O$534,11,FALSE),0)</f>
        <v>0</v>
      </c>
      <c r="AA326" s="247">
        <f t="shared" ref="AA326:AA389" si="17">IF(ISBLANK(K326),40%,100%)</f>
        <v>0.4</v>
      </c>
    </row>
    <row r="327" spans="2:27" ht="15" x14ac:dyDescent="0.2">
      <c r="B327" s="223">
        <v>323</v>
      </c>
      <c r="C327" s="258"/>
      <c r="D327" s="228" t="str">
        <f>IFERROR(VLOOKUP($C327,Full_data!$B$8:$J$932,2,FALSE),"")</f>
        <v/>
      </c>
      <c r="E327" s="228" t="str">
        <f>IFERROR(VLOOKUP($C327,Full_data!$B$8:$J$932,3,FALSE),"")</f>
        <v/>
      </c>
      <c r="F327" s="224" t="str">
        <f>IFERROR(VLOOKUP($C327,Full_data!$B$8:$J$932,4,FALSE),"")</f>
        <v/>
      </c>
      <c r="G327" s="224" t="e">
        <f>VLOOKUP($C327,Full_data!$B$8:$J$932,5,FALSE)</f>
        <v>#N/A</v>
      </c>
      <c r="H327" s="224" t="e">
        <f>VLOOKUP($C327,Full_data!$B$8:$J$932,6,FALSE)</f>
        <v>#N/A</v>
      </c>
      <c r="I327" s="236" t="str">
        <f>IFERROR(VLOOKUP($C327,Full_data!$B$8:$J$932,7,FALSE),"")</f>
        <v/>
      </c>
      <c r="J327" s="354" t="str">
        <f>IFERROR(VLOOKUP($C327,Full_data!$B$8:$J$932,8,FALSE),"")</f>
        <v/>
      </c>
      <c r="K327" s="357"/>
      <c r="L327" s="230" t="str">
        <f t="shared" si="16"/>
        <v/>
      </c>
      <c r="M327" s="351"/>
      <c r="N327" s="236" t="str">
        <f t="shared" si="15"/>
        <v/>
      </c>
      <c r="O327" s="236">
        <f>M327*IFERROR(VLOOKUP($C327,Logistics!$A$1:$O$534,10,FALSE),0)</f>
        <v>0</v>
      </c>
      <c r="P327" s="238">
        <f>M327*IFERROR(VLOOKUP($C327,Logistics!$A$1:$O$534,11,FALSE),0)</f>
        <v>0</v>
      </c>
      <c r="AA327" s="247">
        <f t="shared" si="17"/>
        <v>0.4</v>
      </c>
    </row>
    <row r="328" spans="2:27" ht="15" x14ac:dyDescent="0.2">
      <c r="B328" s="225">
        <v>324</v>
      </c>
      <c r="C328" s="259"/>
      <c r="D328" s="227" t="str">
        <f>IFERROR(VLOOKUP($C328,Full_data!$B$8:$J$932,2,FALSE),"")</f>
        <v/>
      </c>
      <c r="E328" s="227" t="str">
        <f>IFERROR(VLOOKUP($C328,Full_data!$B$8:$J$932,3,FALSE),"")</f>
        <v/>
      </c>
      <c r="F328" s="226" t="str">
        <f>IFERROR(VLOOKUP($C328,Full_data!$B$8:$J$932,4,FALSE),"")</f>
        <v/>
      </c>
      <c r="G328" s="226" t="e">
        <f>VLOOKUP($C328,Full_data!$B$8:$J$932,5,FALSE)</f>
        <v>#N/A</v>
      </c>
      <c r="H328" s="226" t="e">
        <f>VLOOKUP($C328,Full_data!$B$8:$J$932,6,FALSE)</f>
        <v>#N/A</v>
      </c>
      <c r="I328" s="237" t="str">
        <f>IFERROR(VLOOKUP($C328,Full_data!$B$8:$J$932,7,FALSE),"")</f>
        <v/>
      </c>
      <c r="J328" s="355" t="str">
        <f>IFERROR(VLOOKUP($C328,Full_data!$B$8:$J$932,8,FALSE),"")</f>
        <v/>
      </c>
      <c r="K328" s="358"/>
      <c r="L328" s="229" t="str">
        <f t="shared" si="16"/>
        <v/>
      </c>
      <c r="M328" s="352"/>
      <c r="N328" s="237" t="str">
        <f t="shared" si="15"/>
        <v/>
      </c>
      <c r="O328" s="237">
        <f>M328*IFERROR(VLOOKUP($C328,Logistics!$A$1:$O$534,10,FALSE),0)</f>
        <v>0</v>
      </c>
      <c r="P328" s="239">
        <f>M328*IFERROR(VLOOKUP($C328,Logistics!$A$1:$O$534,11,FALSE),0)</f>
        <v>0</v>
      </c>
      <c r="AA328" s="247">
        <f t="shared" si="17"/>
        <v>0.4</v>
      </c>
    </row>
    <row r="329" spans="2:27" ht="15" x14ac:dyDescent="0.2">
      <c r="B329" s="223">
        <v>325</v>
      </c>
      <c r="C329" s="258"/>
      <c r="D329" s="228" t="str">
        <f>IFERROR(VLOOKUP($C329,Full_data!$B$8:$J$932,2,FALSE),"")</f>
        <v/>
      </c>
      <c r="E329" s="228" t="str">
        <f>IFERROR(VLOOKUP($C329,Full_data!$B$8:$J$932,3,FALSE),"")</f>
        <v/>
      </c>
      <c r="F329" s="224" t="str">
        <f>IFERROR(VLOOKUP($C329,Full_data!$B$8:$J$932,4,FALSE),"")</f>
        <v/>
      </c>
      <c r="G329" s="224" t="e">
        <f>VLOOKUP($C329,Full_data!$B$8:$J$932,5,FALSE)</f>
        <v>#N/A</v>
      </c>
      <c r="H329" s="224" t="e">
        <f>VLOOKUP($C329,Full_data!$B$8:$J$932,6,FALSE)</f>
        <v>#N/A</v>
      </c>
      <c r="I329" s="236" t="str">
        <f>IFERROR(VLOOKUP($C329,Full_data!$B$8:$J$932,7,FALSE),"")</f>
        <v/>
      </c>
      <c r="J329" s="354" t="str">
        <f>IFERROR(VLOOKUP($C329,Full_data!$B$8:$J$932,8,FALSE),"")</f>
        <v/>
      </c>
      <c r="K329" s="357"/>
      <c r="L329" s="230" t="str">
        <f t="shared" si="16"/>
        <v/>
      </c>
      <c r="M329" s="351"/>
      <c r="N329" s="236" t="str">
        <f t="shared" ref="N329:N392" si="18">IF(ISERROR(L329*M329),"",(L329*M329))</f>
        <v/>
      </c>
      <c r="O329" s="236">
        <f>M329*IFERROR(VLOOKUP($C329,Logistics!$A$1:$O$534,10,FALSE),0)</f>
        <v>0</v>
      </c>
      <c r="P329" s="238">
        <f>M329*IFERROR(VLOOKUP($C329,Logistics!$A$1:$O$534,11,FALSE),0)</f>
        <v>0</v>
      </c>
      <c r="AA329" s="247">
        <f t="shared" si="17"/>
        <v>0.4</v>
      </c>
    </row>
    <row r="330" spans="2:27" ht="15" x14ac:dyDescent="0.2">
      <c r="B330" s="225">
        <v>326</v>
      </c>
      <c r="C330" s="259"/>
      <c r="D330" s="227" t="str">
        <f>IFERROR(VLOOKUP($C330,Full_data!$B$8:$J$932,2,FALSE),"")</f>
        <v/>
      </c>
      <c r="E330" s="227" t="str">
        <f>IFERROR(VLOOKUP($C330,Full_data!$B$8:$J$932,3,FALSE),"")</f>
        <v/>
      </c>
      <c r="F330" s="226" t="str">
        <f>IFERROR(VLOOKUP($C330,Full_data!$B$8:$J$932,4,FALSE),"")</f>
        <v/>
      </c>
      <c r="G330" s="226" t="e">
        <f>VLOOKUP($C330,Full_data!$B$8:$J$932,5,FALSE)</f>
        <v>#N/A</v>
      </c>
      <c r="H330" s="226" t="e">
        <f>VLOOKUP($C330,Full_data!$B$8:$J$932,6,FALSE)</f>
        <v>#N/A</v>
      </c>
      <c r="I330" s="237" t="str">
        <f>IFERROR(VLOOKUP($C330,Full_data!$B$8:$J$932,7,FALSE),"")</f>
        <v/>
      </c>
      <c r="J330" s="355" t="str">
        <f>IFERROR(VLOOKUP($C330,Full_data!$B$8:$J$932,8,FALSE),"")</f>
        <v/>
      </c>
      <c r="K330" s="358"/>
      <c r="L330" s="229" t="str">
        <f t="shared" si="16"/>
        <v/>
      </c>
      <c r="M330" s="352"/>
      <c r="N330" s="237" t="str">
        <f t="shared" si="18"/>
        <v/>
      </c>
      <c r="O330" s="237">
        <f>M330*IFERROR(VLOOKUP($C330,Logistics!$A$1:$O$534,10,FALSE),0)</f>
        <v>0</v>
      </c>
      <c r="P330" s="239">
        <f>M330*IFERROR(VLOOKUP($C330,Logistics!$A$1:$O$534,11,FALSE),0)</f>
        <v>0</v>
      </c>
      <c r="AA330" s="247">
        <f t="shared" si="17"/>
        <v>0.4</v>
      </c>
    </row>
    <row r="331" spans="2:27" ht="15" x14ac:dyDescent="0.2">
      <c r="B331" s="223">
        <v>327</v>
      </c>
      <c r="C331" s="258"/>
      <c r="D331" s="228" t="str">
        <f>IFERROR(VLOOKUP($C331,Full_data!$B$8:$J$932,2,FALSE),"")</f>
        <v/>
      </c>
      <c r="E331" s="228" t="str">
        <f>IFERROR(VLOOKUP($C331,Full_data!$B$8:$J$932,3,FALSE),"")</f>
        <v/>
      </c>
      <c r="F331" s="224" t="str">
        <f>IFERROR(VLOOKUP($C331,Full_data!$B$8:$J$932,4,FALSE),"")</f>
        <v/>
      </c>
      <c r="G331" s="224" t="e">
        <f>VLOOKUP($C331,Full_data!$B$8:$J$932,5,FALSE)</f>
        <v>#N/A</v>
      </c>
      <c r="H331" s="224" t="e">
        <f>VLOOKUP($C331,Full_data!$B$8:$J$932,6,FALSE)</f>
        <v>#N/A</v>
      </c>
      <c r="I331" s="236" t="str">
        <f>IFERROR(VLOOKUP($C331,Full_data!$B$8:$J$932,7,FALSE),"")</f>
        <v/>
      </c>
      <c r="J331" s="354" t="str">
        <f>IFERROR(VLOOKUP($C331,Full_data!$B$8:$J$932,8,FALSE),"")</f>
        <v/>
      </c>
      <c r="K331" s="357"/>
      <c r="L331" s="230" t="str">
        <f t="shared" si="16"/>
        <v/>
      </c>
      <c r="M331" s="351"/>
      <c r="N331" s="236" t="str">
        <f t="shared" si="18"/>
        <v/>
      </c>
      <c r="O331" s="236">
        <f>M331*IFERROR(VLOOKUP($C331,Logistics!$A$1:$O$534,10,FALSE),0)</f>
        <v>0</v>
      </c>
      <c r="P331" s="238">
        <f>M331*IFERROR(VLOOKUP($C331,Logistics!$A$1:$O$534,11,FALSE),0)</f>
        <v>0</v>
      </c>
      <c r="AA331" s="247">
        <f t="shared" si="17"/>
        <v>0.4</v>
      </c>
    </row>
    <row r="332" spans="2:27" ht="15" x14ac:dyDescent="0.2">
      <c r="B332" s="225">
        <v>328</v>
      </c>
      <c r="C332" s="259"/>
      <c r="D332" s="227" t="str">
        <f>IFERROR(VLOOKUP($C332,Full_data!$B$8:$J$932,2,FALSE),"")</f>
        <v/>
      </c>
      <c r="E332" s="227" t="str">
        <f>IFERROR(VLOOKUP($C332,Full_data!$B$8:$J$932,3,FALSE),"")</f>
        <v/>
      </c>
      <c r="F332" s="226" t="str">
        <f>IFERROR(VLOOKUP($C332,Full_data!$B$8:$J$932,4,FALSE),"")</f>
        <v/>
      </c>
      <c r="G332" s="226" t="e">
        <f>VLOOKUP($C332,Full_data!$B$8:$J$932,5,FALSE)</f>
        <v>#N/A</v>
      </c>
      <c r="H332" s="226" t="e">
        <f>VLOOKUP($C332,Full_data!$B$8:$J$932,6,FALSE)</f>
        <v>#N/A</v>
      </c>
      <c r="I332" s="237" t="str">
        <f>IFERROR(VLOOKUP($C332,Full_data!$B$8:$J$932,7,FALSE),"")</f>
        <v/>
      </c>
      <c r="J332" s="355" t="str">
        <f>IFERROR(VLOOKUP($C332,Full_data!$B$8:$J$932,8,FALSE),"")</f>
        <v/>
      </c>
      <c r="K332" s="358"/>
      <c r="L332" s="229" t="str">
        <f t="shared" si="16"/>
        <v/>
      </c>
      <c r="M332" s="352"/>
      <c r="N332" s="237" t="str">
        <f t="shared" si="18"/>
        <v/>
      </c>
      <c r="O332" s="237">
        <f>M332*IFERROR(VLOOKUP($C332,Logistics!$A$1:$O$534,10,FALSE),0)</f>
        <v>0</v>
      </c>
      <c r="P332" s="239">
        <f>M332*IFERROR(VLOOKUP($C332,Logistics!$A$1:$O$534,11,FALSE),0)</f>
        <v>0</v>
      </c>
      <c r="AA332" s="247">
        <f t="shared" si="17"/>
        <v>0.4</v>
      </c>
    </row>
    <row r="333" spans="2:27" ht="15" x14ac:dyDescent="0.2">
      <c r="B333" s="223">
        <v>329</v>
      </c>
      <c r="C333" s="258"/>
      <c r="D333" s="228" t="str">
        <f>IFERROR(VLOOKUP($C333,Full_data!$B$8:$J$932,2,FALSE),"")</f>
        <v/>
      </c>
      <c r="E333" s="228" t="str">
        <f>IFERROR(VLOOKUP($C333,Full_data!$B$8:$J$932,3,FALSE),"")</f>
        <v/>
      </c>
      <c r="F333" s="224" t="str">
        <f>IFERROR(VLOOKUP($C333,Full_data!$B$8:$J$932,4,FALSE),"")</f>
        <v/>
      </c>
      <c r="G333" s="224" t="e">
        <f>VLOOKUP($C333,Full_data!$B$8:$J$932,5,FALSE)</f>
        <v>#N/A</v>
      </c>
      <c r="H333" s="224" t="e">
        <f>VLOOKUP($C333,Full_data!$B$8:$J$932,6,FALSE)</f>
        <v>#N/A</v>
      </c>
      <c r="I333" s="236" t="str">
        <f>IFERROR(VLOOKUP($C333,Full_data!$B$8:$J$932,7,FALSE),"")</f>
        <v/>
      </c>
      <c r="J333" s="354" t="str">
        <f>IFERROR(VLOOKUP($C333,Full_data!$B$8:$J$932,8,FALSE),"")</f>
        <v/>
      </c>
      <c r="K333" s="357"/>
      <c r="L333" s="230" t="str">
        <f t="shared" si="16"/>
        <v/>
      </c>
      <c r="M333" s="351"/>
      <c r="N333" s="236" t="str">
        <f t="shared" si="18"/>
        <v/>
      </c>
      <c r="O333" s="236">
        <f>M333*IFERROR(VLOOKUP($C333,Logistics!$A$1:$O$534,10,FALSE),0)</f>
        <v>0</v>
      </c>
      <c r="P333" s="238">
        <f>M333*IFERROR(VLOOKUP($C333,Logistics!$A$1:$O$534,11,FALSE),0)</f>
        <v>0</v>
      </c>
      <c r="AA333" s="247">
        <f t="shared" si="17"/>
        <v>0.4</v>
      </c>
    </row>
    <row r="334" spans="2:27" ht="15" x14ac:dyDescent="0.2">
      <c r="B334" s="225">
        <v>330</v>
      </c>
      <c r="C334" s="259"/>
      <c r="D334" s="227" t="str">
        <f>IFERROR(VLOOKUP($C334,Full_data!$B$8:$J$932,2,FALSE),"")</f>
        <v/>
      </c>
      <c r="E334" s="227" t="str">
        <f>IFERROR(VLOOKUP($C334,Full_data!$B$8:$J$932,3,FALSE),"")</f>
        <v/>
      </c>
      <c r="F334" s="226" t="str">
        <f>IFERROR(VLOOKUP($C334,Full_data!$B$8:$J$932,4,FALSE),"")</f>
        <v/>
      </c>
      <c r="G334" s="226" t="e">
        <f>VLOOKUP($C334,Full_data!$B$8:$J$932,5,FALSE)</f>
        <v>#N/A</v>
      </c>
      <c r="H334" s="226" t="e">
        <f>VLOOKUP($C334,Full_data!$B$8:$J$932,6,FALSE)</f>
        <v>#N/A</v>
      </c>
      <c r="I334" s="237" t="str">
        <f>IFERROR(VLOOKUP($C334,Full_data!$B$8:$J$932,7,FALSE),"")</f>
        <v/>
      </c>
      <c r="J334" s="355" t="str">
        <f>IFERROR(VLOOKUP($C334,Full_data!$B$8:$J$932,8,FALSE),"")</f>
        <v/>
      </c>
      <c r="K334" s="358"/>
      <c r="L334" s="229" t="str">
        <f t="shared" si="16"/>
        <v/>
      </c>
      <c r="M334" s="352"/>
      <c r="N334" s="237" t="str">
        <f t="shared" si="18"/>
        <v/>
      </c>
      <c r="O334" s="237">
        <f>M334*IFERROR(VLOOKUP($C334,Logistics!$A$1:$O$534,10,FALSE),0)</f>
        <v>0</v>
      </c>
      <c r="P334" s="239">
        <f>M334*IFERROR(VLOOKUP($C334,Logistics!$A$1:$O$534,11,FALSE),0)</f>
        <v>0</v>
      </c>
      <c r="AA334" s="247">
        <f t="shared" si="17"/>
        <v>0.4</v>
      </c>
    </row>
    <row r="335" spans="2:27" ht="15" x14ac:dyDescent="0.2">
      <c r="B335" s="223">
        <v>331</v>
      </c>
      <c r="C335" s="258"/>
      <c r="D335" s="228" t="str">
        <f>IFERROR(VLOOKUP($C335,Full_data!$B$8:$J$932,2,FALSE),"")</f>
        <v/>
      </c>
      <c r="E335" s="228" t="str">
        <f>IFERROR(VLOOKUP($C335,Full_data!$B$8:$J$932,3,FALSE),"")</f>
        <v/>
      </c>
      <c r="F335" s="224" t="str">
        <f>IFERROR(VLOOKUP($C335,Full_data!$B$8:$J$932,4,FALSE),"")</f>
        <v/>
      </c>
      <c r="G335" s="224" t="e">
        <f>VLOOKUP($C335,Full_data!$B$8:$J$932,5,FALSE)</f>
        <v>#N/A</v>
      </c>
      <c r="H335" s="224" t="e">
        <f>VLOOKUP($C335,Full_data!$B$8:$J$932,6,FALSE)</f>
        <v>#N/A</v>
      </c>
      <c r="I335" s="236" t="str">
        <f>IFERROR(VLOOKUP($C335,Full_data!$B$8:$J$932,7,FALSE),"")</f>
        <v/>
      </c>
      <c r="J335" s="354" t="str">
        <f>IFERROR(VLOOKUP($C335,Full_data!$B$8:$J$932,8,FALSE),"")</f>
        <v/>
      </c>
      <c r="K335" s="357"/>
      <c r="L335" s="230" t="str">
        <f t="shared" si="16"/>
        <v/>
      </c>
      <c r="M335" s="351"/>
      <c r="N335" s="236" t="str">
        <f t="shared" si="18"/>
        <v/>
      </c>
      <c r="O335" s="236">
        <f>M335*IFERROR(VLOOKUP($C335,Logistics!$A$1:$O$534,10,FALSE),0)</f>
        <v>0</v>
      </c>
      <c r="P335" s="238">
        <f>M335*IFERROR(VLOOKUP($C335,Logistics!$A$1:$O$534,11,FALSE),0)</f>
        <v>0</v>
      </c>
      <c r="AA335" s="247">
        <f t="shared" si="17"/>
        <v>0.4</v>
      </c>
    </row>
    <row r="336" spans="2:27" ht="15" x14ac:dyDescent="0.2">
      <c r="B336" s="225">
        <v>332</v>
      </c>
      <c r="C336" s="259"/>
      <c r="D336" s="227" t="str">
        <f>IFERROR(VLOOKUP($C336,Full_data!$B$8:$J$932,2,FALSE),"")</f>
        <v/>
      </c>
      <c r="E336" s="227" t="str">
        <f>IFERROR(VLOOKUP($C336,Full_data!$B$8:$J$932,3,FALSE),"")</f>
        <v/>
      </c>
      <c r="F336" s="226" t="str">
        <f>IFERROR(VLOOKUP($C336,Full_data!$B$8:$J$932,4,FALSE),"")</f>
        <v/>
      </c>
      <c r="G336" s="226" t="e">
        <f>VLOOKUP($C336,Full_data!$B$8:$J$932,5,FALSE)</f>
        <v>#N/A</v>
      </c>
      <c r="H336" s="226" t="e">
        <f>VLOOKUP($C336,Full_data!$B$8:$J$932,6,FALSE)</f>
        <v>#N/A</v>
      </c>
      <c r="I336" s="237" t="str">
        <f>IFERROR(VLOOKUP($C336,Full_data!$B$8:$J$932,7,FALSE),"")</f>
        <v/>
      </c>
      <c r="J336" s="355" t="str">
        <f>IFERROR(VLOOKUP($C336,Full_data!$B$8:$J$932,8,FALSE),"")</f>
        <v/>
      </c>
      <c r="K336" s="358"/>
      <c r="L336" s="229" t="str">
        <f t="shared" si="16"/>
        <v/>
      </c>
      <c r="M336" s="352"/>
      <c r="N336" s="237" t="str">
        <f t="shared" si="18"/>
        <v/>
      </c>
      <c r="O336" s="237">
        <f>M336*IFERROR(VLOOKUP($C336,Logistics!$A$1:$O$534,10,FALSE),0)</f>
        <v>0</v>
      </c>
      <c r="P336" s="239">
        <f>M336*IFERROR(VLOOKUP($C336,Logistics!$A$1:$O$534,11,FALSE),0)</f>
        <v>0</v>
      </c>
      <c r="AA336" s="247">
        <f t="shared" si="17"/>
        <v>0.4</v>
      </c>
    </row>
    <row r="337" spans="2:27" ht="15" x14ac:dyDescent="0.2">
      <c r="B337" s="223">
        <v>333</v>
      </c>
      <c r="C337" s="258"/>
      <c r="D337" s="228" t="str">
        <f>IFERROR(VLOOKUP($C337,Full_data!$B$8:$J$932,2,FALSE),"")</f>
        <v/>
      </c>
      <c r="E337" s="228" t="str">
        <f>IFERROR(VLOOKUP($C337,Full_data!$B$8:$J$932,3,FALSE),"")</f>
        <v/>
      </c>
      <c r="F337" s="224" t="str">
        <f>IFERROR(VLOOKUP($C337,Full_data!$B$8:$J$932,4,FALSE),"")</f>
        <v/>
      </c>
      <c r="G337" s="224" t="e">
        <f>VLOOKUP($C337,Full_data!$B$8:$J$932,5,FALSE)</f>
        <v>#N/A</v>
      </c>
      <c r="H337" s="224" t="e">
        <f>VLOOKUP($C337,Full_data!$B$8:$J$932,6,FALSE)</f>
        <v>#N/A</v>
      </c>
      <c r="I337" s="236" t="str">
        <f>IFERROR(VLOOKUP($C337,Full_data!$B$8:$J$932,7,FALSE),"")</f>
        <v/>
      </c>
      <c r="J337" s="354" t="str">
        <f>IFERROR(VLOOKUP($C337,Full_data!$B$8:$J$932,8,FALSE),"")</f>
        <v/>
      </c>
      <c r="K337" s="357"/>
      <c r="L337" s="230" t="str">
        <f t="shared" si="16"/>
        <v/>
      </c>
      <c r="M337" s="351"/>
      <c r="N337" s="236" t="str">
        <f t="shared" si="18"/>
        <v/>
      </c>
      <c r="O337" s="236">
        <f>M337*IFERROR(VLOOKUP($C337,Logistics!$A$1:$O$534,10,FALSE),0)</f>
        <v>0</v>
      </c>
      <c r="P337" s="238">
        <f>M337*IFERROR(VLOOKUP($C337,Logistics!$A$1:$O$534,11,FALSE),0)</f>
        <v>0</v>
      </c>
      <c r="AA337" s="247">
        <f t="shared" si="17"/>
        <v>0.4</v>
      </c>
    </row>
    <row r="338" spans="2:27" ht="15" x14ac:dyDescent="0.2">
      <c r="B338" s="225">
        <v>334</v>
      </c>
      <c r="C338" s="259"/>
      <c r="D338" s="227" t="str">
        <f>IFERROR(VLOOKUP($C338,Full_data!$B$8:$J$932,2,FALSE),"")</f>
        <v/>
      </c>
      <c r="E338" s="227" t="str">
        <f>IFERROR(VLOOKUP($C338,Full_data!$B$8:$J$932,3,FALSE),"")</f>
        <v/>
      </c>
      <c r="F338" s="226" t="str">
        <f>IFERROR(VLOOKUP($C338,Full_data!$B$8:$J$932,4,FALSE),"")</f>
        <v/>
      </c>
      <c r="G338" s="226" t="e">
        <f>VLOOKUP($C338,Full_data!$B$8:$J$932,5,FALSE)</f>
        <v>#N/A</v>
      </c>
      <c r="H338" s="226" t="e">
        <f>VLOOKUP($C338,Full_data!$B$8:$J$932,6,FALSE)</f>
        <v>#N/A</v>
      </c>
      <c r="I338" s="237" t="str">
        <f>IFERROR(VLOOKUP($C338,Full_data!$B$8:$J$932,7,FALSE),"")</f>
        <v/>
      </c>
      <c r="J338" s="355" t="str">
        <f>IFERROR(VLOOKUP($C338,Full_data!$B$8:$J$932,8,FALSE),"")</f>
        <v/>
      </c>
      <c r="K338" s="358"/>
      <c r="L338" s="229" t="str">
        <f t="shared" si="16"/>
        <v/>
      </c>
      <c r="M338" s="352"/>
      <c r="N338" s="237" t="str">
        <f t="shared" si="18"/>
        <v/>
      </c>
      <c r="O338" s="237">
        <f>M338*IFERROR(VLOOKUP($C338,Logistics!$A$1:$O$534,10,FALSE),0)</f>
        <v>0</v>
      </c>
      <c r="P338" s="239">
        <f>M338*IFERROR(VLOOKUP($C338,Logistics!$A$1:$O$534,11,FALSE),0)</f>
        <v>0</v>
      </c>
      <c r="AA338" s="247">
        <f t="shared" si="17"/>
        <v>0.4</v>
      </c>
    </row>
    <row r="339" spans="2:27" ht="15" x14ac:dyDescent="0.2">
      <c r="B339" s="223">
        <v>335</v>
      </c>
      <c r="C339" s="258"/>
      <c r="D339" s="228" t="str">
        <f>IFERROR(VLOOKUP($C339,Full_data!$B$8:$J$932,2,FALSE),"")</f>
        <v/>
      </c>
      <c r="E339" s="228" t="str">
        <f>IFERROR(VLOOKUP($C339,Full_data!$B$8:$J$932,3,FALSE),"")</f>
        <v/>
      </c>
      <c r="F339" s="224" t="str">
        <f>IFERROR(VLOOKUP($C339,Full_data!$B$8:$J$932,4,FALSE),"")</f>
        <v/>
      </c>
      <c r="G339" s="224" t="e">
        <f>VLOOKUP($C339,Full_data!$B$8:$J$932,5,FALSE)</f>
        <v>#N/A</v>
      </c>
      <c r="H339" s="224" t="e">
        <f>VLOOKUP($C339,Full_data!$B$8:$J$932,6,FALSE)</f>
        <v>#N/A</v>
      </c>
      <c r="I339" s="236" t="str">
        <f>IFERROR(VLOOKUP($C339,Full_data!$B$8:$J$932,7,FALSE),"")</f>
        <v/>
      </c>
      <c r="J339" s="354" t="str">
        <f>IFERROR(VLOOKUP($C339,Full_data!$B$8:$J$932,8,FALSE),"")</f>
        <v/>
      </c>
      <c r="K339" s="357"/>
      <c r="L339" s="230" t="str">
        <f t="shared" si="16"/>
        <v/>
      </c>
      <c r="M339" s="351"/>
      <c r="N339" s="236" t="str">
        <f t="shared" si="18"/>
        <v/>
      </c>
      <c r="O339" s="236">
        <f>M339*IFERROR(VLOOKUP($C339,Logistics!$A$1:$O$534,10,FALSE),0)</f>
        <v>0</v>
      </c>
      <c r="P339" s="238">
        <f>M339*IFERROR(VLOOKUP($C339,Logistics!$A$1:$O$534,11,FALSE),0)</f>
        <v>0</v>
      </c>
      <c r="AA339" s="247">
        <f t="shared" si="17"/>
        <v>0.4</v>
      </c>
    </row>
    <row r="340" spans="2:27" ht="15" x14ac:dyDescent="0.2">
      <c r="B340" s="225">
        <v>336</v>
      </c>
      <c r="C340" s="259"/>
      <c r="D340" s="227" t="str">
        <f>IFERROR(VLOOKUP($C340,Full_data!$B$8:$J$932,2,FALSE),"")</f>
        <v/>
      </c>
      <c r="E340" s="227" t="str">
        <f>IFERROR(VLOOKUP($C340,Full_data!$B$8:$J$932,3,FALSE),"")</f>
        <v/>
      </c>
      <c r="F340" s="226" t="str">
        <f>IFERROR(VLOOKUP($C340,Full_data!$B$8:$J$932,4,FALSE),"")</f>
        <v/>
      </c>
      <c r="G340" s="226" t="e">
        <f>VLOOKUP($C340,Full_data!$B$8:$J$932,5,FALSE)</f>
        <v>#N/A</v>
      </c>
      <c r="H340" s="226" t="e">
        <f>VLOOKUP($C340,Full_data!$B$8:$J$932,6,FALSE)</f>
        <v>#N/A</v>
      </c>
      <c r="I340" s="237" t="str">
        <f>IFERROR(VLOOKUP($C340,Full_data!$B$8:$J$932,7,FALSE),"")</f>
        <v/>
      </c>
      <c r="J340" s="355" t="str">
        <f>IFERROR(VLOOKUP($C340,Full_data!$B$8:$J$932,8,FALSE),"")</f>
        <v/>
      </c>
      <c r="K340" s="358"/>
      <c r="L340" s="229" t="str">
        <f t="shared" si="16"/>
        <v/>
      </c>
      <c r="M340" s="352"/>
      <c r="N340" s="237" t="str">
        <f t="shared" si="18"/>
        <v/>
      </c>
      <c r="O340" s="237">
        <f>M340*IFERROR(VLOOKUP($C340,Logistics!$A$1:$O$534,10,FALSE),0)</f>
        <v>0</v>
      </c>
      <c r="P340" s="239">
        <f>M340*IFERROR(VLOOKUP($C340,Logistics!$A$1:$O$534,11,FALSE),0)</f>
        <v>0</v>
      </c>
      <c r="AA340" s="247">
        <f t="shared" si="17"/>
        <v>0.4</v>
      </c>
    </row>
    <row r="341" spans="2:27" ht="15" x14ac:dyDescent="0.2">
      <c r="B341" s="223">
        <v>337</v>
      </c>
      <c r="C341" s="258"/>
      <c r="D341" s="228" t="str">
        <f>IFERROR(VLOOKUP($C341,Full_data!$B$8:$J$932,2,FALSE),"")</f>
        <v/>
      </c>
      <c r="E341" s="228" t="str">
        <f>IFERROR(VLOOKUP($C341,Full_data!$B$8:$J$932,3,FALSE),"")</f>
        <v/>
      </c>
      <c r="F341" s="224" t="str">
        <f>IFERROR(VLOOKUP($C341,Full_data!$B$8:$J$932,4,FALSE),"")</f>
        <v/>
      </c>
      <c r="G341" s="224" t="e">
        <f>VLOOKUP($C341,Full_data!$B$8:$J$932,5,FALSE)</f>
        <v>#N/A</v>
      </c>
      <c r="H341" s="224" t="e">
        <f>VLOOKUP($C341,Full_data!$B$8:$J$932,6,FALSE)</f>
        <v>#N/A</v>
      </c>
      <c r="I341" s="236" t="str">
        <f>IFERROR(VLOOKUP($C341,Full_data!$B$8:$J$932,7,FALSE),"")</f>
        <v/>
      </c>
      <c r="J341" s="354" t="str">
        <f>IFERROR(VLOOKUP($C341,Full_data!$B$8:$J$932,8,FALSE),"")</f>
        <v/>
      </c>
      <c r="K341" s="357"/>
      <c r="L341" s="230" t="str">
        <f t="shared" si="16"/>
        <v/>
      </c>
      <c r="M341" s="351"/>
      <c r="N341" s="236" t="str">
        <f t="shared" si="18"/>
        <v/>
      </c>
      <c r="O341" s="236">
        <f>M341*IFERROR(VLOOKUP($C341,Logistics!$A$1:$O$534,10,FALSE),0)</f>
        <v>0</v>
      </c>
      <c r="P341" s="238">
        <f>M341*IFERROR(VLOOKUP($C341,Logistics!$A$1:$O$534,11,FALSE),0)</f>
        <v>0</v>
      </c>
      <c r="AA341" s="247">
        <f t="shared" si="17"/>
        <v>0.4</v>
      </c>
    </row>
    <row r="342" spans="2:27" ht="15" x14ac:dyDescent="0.2">
      <c r="B342" s="225">
        <v>338</v>
      </c>
      <c r="C342" s="259"/>
      <c r="D342" s="227" t="str">
        <f>IFERROR(VLOOKUP($C342,Full_data!$B$8:$J$932,2,FALSE),"")</f>
        <v/>
      </c>
      <c r="E342" s="227" t="str">
        <f>IFERROR(VLOOKUP($C342,Full_data!$B$8:$J$932,3,FALSE),"")</f>
        <v/>
      </c>
      <c r="F342" s="226" t="str">
        <f>IFERROR(VLOOKUP($C342,Full_data!$B$8:$J$932,4,FALSE),"")</f>
        <v/>
      </c>
      <c r="G342" s="226" t="e">
        <f>VLOOKUP($C342,Full_data!$B$8:$J$932,5,FALSE)</f>
        <v>#N/A</v>
      </c>
      <c r="H342" s="226" t="e">
        <f>VLOOKUP($C342,Full_data!$B$8:$J$932,6,FALSE)</f>
        <v>#N/A</v>
      </c>
      <c r="I342" s="237" t="str">
        <f>IFERROR(VLOOKUP($C342,Full_data!$B$8:$J$932,7,FALSE),"")</f>
        <v/>
      </c>
      <c r="J342" s="355" t="str">
        <f>IFERROR(VLOOKUP($C342,Full_data!$B$8:$J$932,8,FALSE),"")</f>
        <v/>
      </c>
      <c r="K342" s="358"/>
      <c r="L342" s="229" t="str">
        <f t="shared" si="16"/>
        <v/>
      </c>
      <c r="M342" s="352"/>
      <c r="N342" s="237" t="str">
        <f t="shared" si="18"/>
        <v/>
      </c>
      <c r="O342" s="237">
        <f>M342*IFERROR(VLOOKUP($C342,Logistics!$A$1:$O$534,10,FALSE),0)</f>
        <v>0</v>
      </c>
      <c r="P342" s="239">
        <f>M342*IFERROR(VLOOKUP($C342,Logistics!$A$1:$O$534,11,FALSE),0)</f>
        <v>0</v>
      </c>
      <c r="AA342" s="247">
        <f t="shared" si="17"/>
        <v>0.4</v>
      </c>
    </row>
    <row r="343" spans="2:27" ht="15" x14ac:dyDescent="0.2">
      <c r="B343" s="223">
        <v>339</v>
      </c>
      <c r="C343" s="258"/>
      <c r="D343" s="228" t="str">
        <f>IFERROR(VLOOKUP($C343,Full_data!$B$8:$J$932,2,FALSE),"")</f>
        <v/>
      </c>
      <c r="E343" s="228" t="str">
        <f>IFERROR(VLOOKUP($C343,Full_data!$B$8:$J$932,3,FALSE),"")</f>
        <v/>
      </c>
      <c r="F343" s="224" t="str">
        <f>IFERROR(VLOOKUP($C343,Full_data!$B$8:$J$932,4,FALSE),"")</f>
        <v/>
      </c>
      <c r="G343" s="224" t="e">
        <f>VLOOKUP($C343,Full_data!$B$8:$J$932,5,FALSE)</f>
        <v>#N/A</v>
      </c>
      <c r="H343" s="224" t="e">
        <f>VLOOKUP($C343,Full_data!$B$8:$J$932,6,FALSE)</f>
        <v>#N/A</v>
      </c>
      <c r="I343" s="236" t="str">
        <f>IFERROR(VLOOKUP($C343,Full_data!$B$8:$J$932,7,FALSE),"")</f>
        <v/>
      </c>
      <c r="J343" s="354" t="str">
        <f>IFERROR(VLOOKUP($C343,Full_data!$B$8:$J$932,8,FALSE),"")</f>
        <v/>
      </c>
      <c r="K343" s="357"/>
      <c r="L343" s="230" t="str">
        <f t="shared" si="16"/>
        <v/>
      </c>
      <c r="M343" s="351"/>
      <c r="N343" s="236" t="str">
        <f t="shared" si="18"/>
        <v/>
      </c>
      <c r="O343" s="236">
        <f>M343*IFERROR(VLOOKUP($C343,Logistics!$A$1:$O$534,10,FALSE),0)</f>
        <v>0</v>
      </c>
      <c r="P343" s="238">
        <f>M343*IFERROR(VLOOKUP($C343,Logistics!$A$1:$O$534,11,FALSE),0)</f>
        <v>0</v>
      </c>
      <c r="AA343" s="247">
        <f t="shared" si="17"/>
        <v>0.4</v>
      </c>
    </row>
    <row r="344" spans="2:27" ht="15" x14ac:dyDescent="0.2">
      <c r="B344" s="225">
        <v>340</v>
      </c>
      <c r="C344" s="259"/>
      <c r="D344" s="227" t="str">
        <f>IFERROR(VLOOKUP($C344,Full_data!$B$8:$J$932,2,FALSE),"")</f>
        <v/>
      </c>
      <c r="E344" s="227" t="str">
        <f>IFERROR(VLOOKUP($C344,Full_data!$B$8:$J$932,3,FALSE),"")</f>
        <v/>
      </c>
      <c r="F344" s="226" t="str">
        <f>IFERROR(VLOOKUP($C344,Full_data!$B$8:$J$932,4,FALSE),"")</f>
        <v/>
      </c>
      <c r="G344" s="226" t="e">
        <f>VLOOKUP($C344,Full_data!$B$8:$J$932,5,FALSE)</f>
        <v>#N/A</v>
      </c>
      <c r="H344" s="226" t="e">
        <f>VLOOKUP($C344,Full_data!$B$8:$J$932,6,FALSE)</f>
        <v>#N/A</v>
      </c>
      <c r="I344" s="237" t="str">
        <f>IFERROR(VLOOKUP($C344,Full_data!$B$8:$J$932,7,FALSE),"")</f>
        <v/>
      </c>
      <c r="J344" s="355" t="str">
        <f>IFERROR(VLOOKUP($C344,Full_data!$B$8:$J$932,8,FALSE),"")</f>
        <v/>
      </c>
      <c r="K344" s="358"/>
      <c r="L344" s="229" t="str">
        <f t="shared" si="16"/>
        <v/>
      </c>
      <c r="M344" s="352"/>
      <c r="N344" s="237" t="str">
        <f t="shared" si="18"/>
        <v/>
      </c>
      <c r="O344" s="237">
        <f>M344*IFERROR(VLOOKUP($C344,Logistics!$A$1:$O$534,10,FALSE),0)</f>
        <v>0</v>
      </c>
      <c r="P344" s="239">
        <f>M344*IFERROR(VLOOKUP($C344,Logistics!$A$1:$O$534,11,FALSE),0)</f>
        <v>0</v>
      </c>
      <c r="AA344" s="247">
        <f t="shared" si="17"/>
        <v>0.4</v>
      </c>
    </row>
    <row r="345" spans="2:27" ht="15" x14ac:dyDescent="0.2">
      <c r="B345" s="223">
        <v>341</v>
      </c>
      <c r="C345" s="258"/>
      <c r="D345" s="228" t="str">
        <f>IFERROR(VLOOKUP($C345,Full_data!$B$8:$J$932,2,FALSE),"")</f>
        <v/>
      </c>
      <c r="E345" s="228" t="str">
        <f>IFERROR(VLOOKUP($C345,Full_data!$B$8:$J$932,3,FALSE),"")</f>
        <v/>
      </c>
      <c r="F345" s="224" t="str">
        <f>IFERROR(VLOOKUP($C345,Full_data!$B$8:$J$932,4,FALSE),"")</f>
        <v/>
      </c>
      <c r="G345" s="224" t="e">
        <f>VLOOKUP($C345,Full_data!$B$8:$J$932,5,FALSE)</f>
        <v>#N/A</v>
      </c>
      <c r="H345" s="224" t="e">
        <f>VLOOKUP($C345,Full_data!$B$8:$J$932,6,FALSE)</f>
        <v>#N/A</v>
      </c>
      <c r="I345" s="236" t="str">
        <f>IFERROR(VLOOKUP($C345,Full_data!$B$8:$J$932,7,FALSE),"")</f>
        <v/>
      </c>
      <c r="J345" s="354" t="str">
        <f>IFERROR(VLOOKUP($C345,Full_data!$B$8:$J$932,8,FALSE),"")</f>
        <v/>
      </c>
      <c r="K345" s="357"/>
      <c r="L345" s="230" t="str">
        <f t="shared" si="16"/>
        <v/>
      </c>
      <c r="M345" s="351"/>
      <c r="N345" s="236" t="str">
        <f t="shared" si="18"/>
        <v/>
      </c>
      <c r="O345" s="236">
        <f>M345*IFERROR(VLOOKUP($C345,Logistics!$A$1:$O$534,10,FALSE),0)</f>
        <v>0</v>
      </c>
      <c r="P345" s="238">
        <f>M345*IFERROR(VLOOKUP($C345,Logistics!$A$1:$O$534,11,FALSE),0)</f>
        <v>0</v>
      </c>
      <c r="AA345" s="247">
        <f t="shared" si="17"/>
        <v>0.4</v>
      </c>
    </row>
    <row r="346" spans="2:27" ht="15" x14ac:dyDescent="0.2">
      <c r="B346" s="225">
        <v>342</v>
      </c>
      <c r="C346" s="259"/>
      <c r="D346" s="227" t="str">
        <f>IFERROR(VLOOKUP($C346,Full_data!$B$8:$J$932,2,FALSE),"")</f>
        <v/>
      </c>
      <c r="E346" s="227" t="str">
        <f>IFERROR(VLOOKUP($C346,Full_data!$B$8:$J$932,3,FALSE),"")</f>
        <v/>
      </c>
      <c r="F346" s="226" t="str">
        <f>IFERROR(VLOOKUP($C346,Full_data!$B$8:$J$932,4,FALSE),"")</f>
        <v/>
      </c>
      <c r="G346" s="226" t="e">
        <f>VLOOKUP($C346,Full_data!$B$8:$J$932,5,FALSE)</f>
        <v>#N/A</v>
      </c>
      <c r="H346" s="226" t="e">
        <f>VLOOKUP($C346,Full_data!$B$8:$J$932,6,FALSE)</f>
        <v>#N/A</v>
      </c>
      <c r="I346" s="237" t="str">
        <f>IFERROR(VLOOKUP($C346,Full_data!$B$8:$J$932,7,FALSE),"")</f>
        <v/>
      </c>
      <c r="J346" s="355" t="str">
        <f>IFERROR(VLOOKUP($C346,Full_data!$B$8:$J$932,8,FALSE),"")</f>
        <v/>
      </c>
      <c r="K346" s="358"/>
      <c r="L346" s="229" t="str">
        <f t="shared" si="16"/>
        <v/>
      </c>
      <c r="M346" s="352"/>
      <c r="N346" s="237" t="str">
        <f t="shared" si="18"/>
        <v/>
      </c>
      <c r="O346" s="237">
        <f>M346*IFERROR(VLOOKUP($C346,Logistics!$A$1:$O$534,10,FALSE),0)</f>
        <v>0</v>
      </c>
      <c r="P346" s="239">
        <f>M346*IFERROR(VLOOKUP($C346,Logistics!$A$1:$O$534,11,FALSE),0)</f>
        <v>0</v>
      </c>
      <c r="AA346" s="247">
        <f t="shared" si="17"/>
        <v>0.4</v>
      </c>
    </row>
    <row r="347" spans="2:27" ht="15" x14ac:dyDescent="0.2">
      <c r="B347" s="223">
        <v>343</v>
      </c>
      <c r="C347" s="258"/>
      <c r="D347" s="228" t="str">
        <f>IFERROR(VLOOKUP($C347,Full_data!$B$8:$J$932,2,FALSE),"")</f>
        <v/>
      </c>
      <c r="E347" s="228" t="str">
        <f>IFERROR(VLOOKUP($C347,Full_data!$B$8:$J$932,3,FALSE),"")</f>
        <v/>
      </c>
      <c r="F347" s="224" t="str">
        <f>IFERROR(VLOOKUP($C347,Full_data!$B$8:$J$932,4,FALSE),"")</f>
        <v/>
      </c>
      <c r="G347" s="224" t="e">
        <f>VLOOKUP($C347,Full_data!$B$8:$J$932,5,FALSE)</f>
        <v>#N/A</v>
      </c>
      <c r="H347" s="224" t="e">
        <f>VLOOKUP($C347,Full_data!$B$8:$J$932,6,FALSE)</f>
        <v>#N/A</v>
      </c>
      <c r="I347" s="236" t="str">
        <f>IFERROR(VLOOKUP($C347,Full_data!$B$8:$J$932,7,FALSE),"")</f>
        <v/>
      </c>
      <c r="J347" s="354" t="str">
        <f>IFERROR(VLOOKUP($C347,Full_data!$B$8:$J$932,8,FALSE),"")</f>
        <v/>
      </c>
      <c r="K347" s="357"/>
      <c r="L347" s="230" t="str">
        <f t="shared" si="16"/>
        <v/>
      </c>
      <c r="M347" s="351"/>
      <c r="N347" s="236" t="str">
        <f t="shared" si="18"/>
        <v/>
      </c>
      <c r="O347" s="236">
        <f>M347*IFERROR(VLOOKUP($C347,Logistics!$A$1:$O$534,10,FALSE),0)</f>
        <v>0</v>
      </c>
      <c r="P347" s="238">
        <f>M347*IFERROR(VLOOKUP($C347,Logistics!$A$1:$O$534,11,FALSE),0)</f>
        <v>0</v>
      </c>
      <c r="AA347" s="247">
        <f t="shared" si="17"/>
        <v>0.4</v>
      </c>
    </row>
    <row r="348" spans="2:27" ht="15" x14ac:dyDescent="0.2">
      <c r="B348" s="225">
        <v>344</v>
      </c>
      <c r="C348" s="259"/>
      <c r="D348" s="227" t="str">
        <f>IFERROR(VLOOKUP($C348,Full_data!$B$8:$J$932,2,FALSE),"")</f>
        <v/>
      </c>
      <c r="E348" s="227" t="str">
        <f>IFERROR(VLOOKUP($C348,Full_data!$B$8:$J$932,3,FALSE),"")</f>
        <v/>
      </c>
      <c r="F348" s="226" t="str">
        <f>IFERROR(VLOOKUP($C348,Full_data!$B$8:$J$932,4,FALSE),"")</f>
        <v/>
      </c>
      <c r="G348" s="226" t="e">
        <f>VLOOKUP($C348,Full_data!$B$8:$J$932,5,FALSE)</f>
        <v>#N/A</v>
      </c>
      <c r="H348" s="226" t="e">
        <f>VLOOKUP($C348,Full_data!$B$8:$J$932,6,FALSE)</f>
        <v>#N/A</v>
      </c>
      <c r="I348" s="237" t="str">
        <f>IFERROR(VLOOKUP($C348,Full_data!$B$8:$J$932,7,FALSE),"")</f>
        <v/>
      </c>
      <c r="J348" s="355" t="str">
        <f>IFERROR(VLOOKUP($C348,Full_data!$B$8:$J$932,8,FALSE),"")</f>
        <v/>
      </c>
      <c r="K348" s="358"/>
      <c r="L348" s="229" t="str">
        <f t="shared" si="16"/>
        <v/>
      </c>
      <c r="M348" s="352"/>
      <c r="N348" s="237" t="str">
        <f t="shared" si="18"/>
        <v/>
      </c>
      <c r="O348" s="237">
        <f>M348*IFERROR(VLOOKUP($C348,Logistics!$A$1:$O$534,10,FALSE),0)</f>
        <v>0</v>
      </c>
      <c r="P348" s="239">
        <f>M348*IFERROR(VLOOKUP($C348,Logistics!$A$1:$O$534,11,FALSE),0)</f>
        <v>0</v>
      </c>
      <c r="AA348" s="247">
        <f t="shared" si="17"/>
        <v>0.4</v>
      </c>
    </row>
    <row r="349" spans="2:27" ht="15" x14ac:dyDescent="0.2">
      <c r="B349" s="223">
        <v>345</v>
      </c>
      <c r="C349" s="258"/>
      <c r="D349" s="228" t="str">
        <f>IFERROR(VLOOKUP($C349,Full_data!$B$8:$J$932,2,FALSE),"")</f>
        <v/>
      </c>
      <c r="E349" s="228" t="str">
        <f>IFERROR(VLOOKUP($C349,Full_data!$B$8:$J$932,3,FALSE),"")</f>
        <v/>
      </c>
      <c r="F349" s="224" t="str">
        <f>IFERROR(VLOOKUP($C349,Full_data!$B$8:$J$932,4,FALSE),"")</f>
        <v/>
      </c>
      <c r="G349" s="224" t="e">
        <f>VLOOKUP($C349,Full_data!$B$8:$J$932,5,FALSE)</f>
        <v>#N/A</v>
      </c>
      <c r="H349" s="224" t="e">
        <f>VLOOKUP($C349,Full_data!$B$8:$J$932,6,FALSE)</f>
        <v>#N/A</v>
      </c>
      <c r="I349" s="236" t="str">
        <f>IFERROR(VLOOKUP($C349,Full_data!$B$8:$J$932,7,FALSE),"")</f>
        <v/>
      </c>
      <c r="J349" s="354" t="str">
        <f>IFERROR(VLOOKUP($C349,Full_data!$B$8:$J$932,8,FALSE),"")</f>
        <v/>
      </c>
      <c r="K349" s="357"/>
      <c r="L349" s="230" t="str">
        <f t="shared" si="16"/>
        <v/>
      </c>
      <c r="M349" s="351"/>
      <c r="N349" s="236" t="str">
        <f t="shared" si="18"/>
        <v/>
      </c>
      <c r="O349" s="236">
        <f>M349*IFERROR(VLOOKUP($C349,Logistics!$A$1:$O$534,10,FALSE),0)</f>
        <v>0</v>
      </c>
      <c r="P349" s="238">
        <f>M349*IFERROR(VLOOKUP($C349,Logistics!$A$1:$O$534,11,FALSE),0)</f>
        <v>0</v>
      </c>
      <c r="AA349" s="247">
        <f t="shared" si="17"/>
        <v>0.4</v>
      </c>
    </row>
    <row r="350" spans="2:27" ht="15" x14ac:dyDescent="0.2">
      <c r="B350" s="225">
        <v>346</v>
      </c>
      <c r="C350" s="259"/>
      <c r="D350" s="227" t="str">
        <f>IFERROR(VLOOKUP($C350,Full_data!$B$8:$J$932,2,FALSE),"")</f>
        <v/>
      </c>
      <c r="E350" s="227" t="str">
        <f>IFERROR(VLOOKUP($C350,Full_data!$B$8:$J$932,3,FALSE),"")</f>
        <v/>
      </c>
      <c r="F350" s="226" t="str">
        <f>IFERROR(VLOOKUP($C350,Full_data!$B$8:$J$932,4,FALSE),"")</f>
        <v/>
      </c>
      <c r="G350" s="226" t="e">
        <f>VLOOKUP($C350,Full_data!$B$8:$J$932,5,FALSE)</f>
        <v>#N/A</v>
      </c>
      <c r="H350" s="226" t="e">
        <f>VLOOKUP($C350,Full_data!$B$8:$J$932,6,FALSE)</f>
        <v>#N/A</v>
      </c>
      <c r="I350" s="237" t="str">
        <f>IFERROR(VLOOKUP($C350,Full_data!$B$8:$J$932,7,FALSE),"")</f>
        <v/>
      </c>
      <c r="J350" s="355" t="str">
        <f>IFERROR(VLOOKUP($C350,Full_data!$B$8:$J$932,8,FALSE),"")</f>
        <v/>
      </c>
      <c r="K350" s="358"/>
      <c r="L350" s="229" t="str">
        <f t="shared" si="16"/>
        <v/>
      </c>
      <c r="M350" s="352"/>
      <c r="N350" s="237" t="str">
        <f t="shared" si="18"/>
        <v/>
      </c>
      <c r="O350" s="237">
        <f>M350*IFERROR(VLOOKUP($C350,Logistics!$A$1:$O$534,10,FALSE),0)</f>
        <v>0</v>
      </c>
      <c r="P350" s="239">
        <f>M350*IFERROR(VLOOKUP($C350,Logistics!$A$1:$O$534,11,FALSE),0)</f>
        <v>0</v>
      </c>
      <c r="AA350" s="247">
        <f t="shared" si="17"/>
        <v>0.4</v>
      </c>
    </row>
    <row r="351" spans="2:27" ht="15" x14ac:dyDescent="0.2">
      <c r="B351" s="223">
        <v>347</v>
      </c>
      <c r="C351" s="258"/>
      <c r="D351" s="228" t="str">
        <f>IFERROR(VLOOKUP($C351,Full_data!$B$8:$J$932,2,FALSE),"")</f>
        <v/>
      </c>
      <c r="E351" s="228" t="str">
        <f>IFERROR(VLOOKUP($C351,Full_data!$B$8:$J$932,3,FALSE),"")</f>
        <v/>
      </c>
      <c r="F351" s="224" t="str">
        <f>IFERROR(VLOOKUP($C351,Full_data!$B$8:$J$932,4,FALSE),"")</f>
        <v/>
      </c>
      <c r="G351" s="224" t="e">
        <f>VLOOKUP($C351,Full_data!$B$8:$J$932,5,FALSE)</f>
        <v>#N/A</v>
      </c>
      <c r="H351" s="224" t="e">
        <f>VLOOKUP($C351,Full_data!$B$8:$J$932,6,FALSE)</f>
        <v>#N/A</v>
      </c>
      <c r="I351" s="236" t="str">
        <f>IFERROR(VLOOKUP($C351,Full_data!$B$8:$J$932,7,FALSE),"")</f>
        <v/>
      </c>
      <c r="J351" s="354" t="str">
        <f>IFERROR(VLOOKUP($C351,Full_data!$B$8:$J$932,8,FALSE),"")</f>
        <v/>
      </c>
      <c r="K351" s="357"/>
      <c r="L351" s="230" t="str">
        <f t="shared" si="16"/>
        <v/>
      </c>
      <c r="M351" s="351"/>
      <c r="N351" s="236" t="str">
        <f t="shared" si="18"/>
        <v/>
      </c>
      <c r="O351" s="236">
        <f>M351*IFERROR(VLOOKUP($C351,Logistics!$A$1:$O$534,10,FALSE),0)</f>
        <v>0</v>
      </c>
      <c r="P351" s="238">
        <f>M351*IFERROR(VLOOKUP($C351,Logistics!$A$1:$O$534,11,FALSE),0)</f>
        <v>0</v>
      </c>
      <c r="AA351" s="247">
        <f t="shared" si="17"/>
        <v>0.4</v>
      </c>
    </row>
    <row r="352" spans="2:27" ht="15" x14ac:dyDescent="0.2">
      <c r="B352" s="225">
        <v>348</v>
      </c>
      <c r="C352" s="259"/>
      <c r="D352" s="227" t="str">
        <f>IFERROR(VLOOKUP($C352,Full_data!$B$8:$J$932,2,FALSE),"")</f>
        <v/>
      </c>
      <c r="E352" s="227" t="str">
        <f>IFERROR(VLOOKUP($C352,Full_data!$B$8:$J$932,3,FALSE),"")</f>
        <v/>
      </c>
      <c r="F352" s="226" t="str">
        <f>IFERROR(VLOOKUP($C352,Full_data!$B$8:$J$932,4,FALSE),"")</f>
        <v/>
      </c>
      <c r="G352" s="226" t="e">
        <f>VLOOKUP($C352,Full_data!$B$8:$J$932,5,FALSE)</f>
        <v>#N/A</v>
      </c>
      <c r="H352" s="226" t="e">
        <f>VLOOKUP($C352,Full_data!$B$8:$J$932,6,FALSE)</f>
        <v>#N/A</v>
      </c>
      <c r="I352" s="237" t="str">
        <f>IFERROR(VLOOKUP($C352,Full_data!$B$8:$J$932,7,FALSE),"")</f>
        <v/>
      </c>
      <c r="J352" s="355" t="str">
        <f>IFERROR(VLOOKUP($C352,Full_data!$B$8:$J$932,8,FALSE),"")</f>
        <v/>
      </c>
      <c r="K352" s="358"/>
      <c r="L352" s="229" t="str">
        <f t="shared" si="16"/>
        <v/>
      </c>
      <c r="M352" s="352"/>
      <c r="N352" s="237" t="str">
        <f t="shared" si="18"/>
        <v/>
      </c>
      <c r="O352" s="237">
        <f>M352*IFERROR(VLOOKUP($C352,Logistics!$A$1:$O$534,10,FALSE),0)</f>
        <v>0</v>
      </c>
      <c r="P352" s="239">
        <f>M352*IFERROR(VLOOKUP($C352,Logistics!$A$1:$O$534,11,FALSE),0)</f>
        <v>0</v>
      </c>
      <c r="AA352" s="247">
        <f t="shared" si="17"/>
        <v>0.4</v>
      </c>
    </row>
    <row r="353" spans="2:27" ht="15" x14ac:dyDescent="0.2">
      <c r="B353" s="223">
        <v>349</v>
      </c>
      <c r="C353" s="258"/>
      <c r="D353" s="228" t="str">
        <f>IFERROR(VLOOKUP($C353,Full_data!$B$8:$J$932,2,FALSE),"")</f>
        <v/>
      </c>
      <c r="E353" s="228" t="str">
        <f>IFERROR(VLOOKUP($C353,Full_data!$B$8:$J$932,3,FALSE),"")</f>
        <v/>
      </c>
      <c r="F353" s="224" t="str">
        <f>IFERROR(VLOOKUP($C353,Full_data!$B$8:$J$932,4,FALSE),"")</f>
        <v/>
      </c>
      <c r="G353" s="224" t="e">
        <f>VLOOKUP($C353,Full_data!$B$8:$J$932,5,FALSE)</f>
        <v>#N/A</v>
      </c>
      <c r="H353" s="224" t="e">
        <f>VLOOKUP($C353,Full_data!$B$8:$J$932,6,FALSE)</f>
        <v>#N/A</v>
      </c>
      <c r="I353" s="236" t="str">
        <f>IFERROR(VLOOKUP($C353,Full_data!$B$8:$J$932,7,FALSE),"")</f>
        <v/>
      </c>
      <c r="J353" s="354" t="str">
        <f>IFERROR(VLOOKUP($C353,Full_data!$B$8:$J$932,8,FALSE),"")</f>
        <v/>
      </c>
      <c r="K353" s="357"/>
      <c r="L353" s="230" t="str">
        <f t="shared" si="16"/>
        <v/>
      </c>
      <c r="M353" s="351"/>
      <c r="N353" s="236" t="str">
        <f t="shared" si="18"/>
        <v/>
      </c>
      <c r="O353" s="236">
        <f>M353*IFERROR(VLOOKUP($C353,Logistics!$A$1:$O$534,10,FALSE),0)</f>
        <v>0</v>
      </c>
      <c r="P353" s="238">
        <f>M353*IFERROR(VLOOKUP($C353,Logistics!$A$1:$O$534,11,FALSE),0)</f>
        <v>0</v>
      </c>
      <c r="AA353" s="247">
        <f t="shared" si="17"/>
        <v>0.4</v>
      </c>
    </row>
    <row r="354" spans="2:27" ht="15" x14ac:dyDescent="0.2">
      <c r="B354" s="225">
        <v>350</v>
      </c>
      <c r="C354" s="259"/>
      <c r="D354" s="227" t="str">
        <f>IFERROR(VLOOKUP($C354,Full_data!$B$8:$J$932,2,FALSE),"")</f>
        <v/>
      </c>
      <c r="E354" s="227" t="str">
        <f>IFERROR(VLOOKUP($C354,Full_data!$B$8:$J$932,3,FALSE),"")</f>
        <v/>
      </c>
      <c r="F354" s="226" t="str">
        <f>IFERROR(VLOOKUP($C354,Full_data!$B$8:$J$932,4,FALSE),"")</f>
        <v/>
      </c>
      <c r="G354" s="226" t="e">
        <f>VLOOKUP($C354,Full_data!$B$8:$J$932,5,FALSE)</f>
        <v>#N/A</v>
      </c>
      <c r="H354" s="226" t="e">
        <f>VLOOKUP($C354,Full_data!$B$8:$J$932,6,FALSE)</f>
        <v>#N/A</v>
      </c>
      <c r="I354" s="237" t="str">
        <f>IFERROR(VLOOKUP($C354,Full_data!$B$8:$J$932,7,FALSE),"")</f>
        <v/>
      </c>
      <c r="J354" s="355" t="str">
        <f>IFERROR(VLOOKUP($C354,Full_data!$B$8:$J$932,8,FALSE),"")</f>
        <v/>
      </c>
      <c r="K354" s="358"/>
      <c r="L354" s="229" t="str">
        <f t="shared" si="16"/>
        <v/>
      </c>
      <c r="M354" s="352"/>
      <c r="N354" s="237" t="str">
        <f t="shared" si="18"/>
        <v/>
      </c>
      <c r="O354" s="237">
        <f>M354*IFERROR(VLOOKUP($C354,Logistics!$A$1:$O$534,10,FALSE),0)</f>
        <v>0</v>
      </c>
      <c r="P354" s="239">
        <f>M354*IFERROR(VLOOKUP($C354,Logistics!$A$1:$O$534,11,FALSE),0)</f>
        <v>0</v>
      </c>
      <c r="AA354" s="247">
        <f t="shared" si="17"/>
        <v>0.4</v>
      </c>
    </row>
    <row r="355" spans="2:27" ht="15" x14ac:dyDescent="0.2">
      <c r="B355" s="223">
        <v>351</v>
      </c>
      <c r="C355" s="258"/>
      <c r="D355" s="228" t="str">
        <f>IFERROR(VLOOKUP($C355,Full_data!$B$8:$J$932,2,FALSE),"")</f>
        <v/>
      </c>
      <c r="E355" s="228" t="str">
        <f>IFERROR(VLOOKUP($C355,Full_data!$B$8:$J$932,3,FALSE),"")</f>
        <v/>
      </c>
      <c r="F355" s="224" t="str">
        <f>IFERROR(VLOOKUP($C355,Full_data!$B$8:$J$932,4,FALSE),"")</f>
        <v/>
      </c>
      <c r="G355" s="224" t="e">
        <f>VLOOKUP($C355,Full_data!$B$8:$J$932,5,FALSE)</f>
        <v>#N/A</v>
      </c>
      <c r="H355" s="224" t="e">
        <f>VLOOKUP($C355,Full_data!$B$8:$J$932,6,FALSE)</f>
        <v>#N/A</v>
      </c>
      <c r="I355" s="236" t="str">
        <f>IFERROR(VLOOKUP($C355,Full_data!$B$8:$J$932,7,FALSE),"")</f>
        <v/>
      </c>
      <c r="J355" s="354" t="str">
        <f>IFERROR(VLOOKUP($C355,Full_data!$B$8:$J$932,8,FALSE),"")</f>
        <v/>
      </c>
      <c r="K355" s="357"/>
      <c r="L355" s="230" t="str">
        <f t="shared" si="16"/>
        <v/>
      </c>
      <c r="M355" s="351"/>
      <c r="N355" s="236" t="str">
        <f t="shared" si="18"/>
        <v/>
      </c>
      <c r="O355" s="236">
        <f>M355*IFERROR(VLOOKUP($C355,Logistics!$A$1:$O$534,10,FALSE),0)</f>
        <v>0</v>
      </c>
      <c r="P355" s="238">
        <f>M355*IFERROR(VLOOKUP($C355,Logistics!$A$1:$O$534,11,FALSE),0)</f>
        <v>0</v>
      </c>
      <c r="AA355" s="247">
        <f t="shared" si="17"/>
        <v>0.4</v>
      </c>
    </row>
    <row r="356" spans="2:27" ht="15" x14ac:dyDescent="0.2">
      <c r="B356" s="225">
        <v>352</v>
      </c>
      <c r="C356" s="259"/>
      <c r="D356" s="227" t="str">
        <f>IFERROR(VLOOKUP($C356,Full_data!$B$8:$J$932,2,FALSE),"")</f>
        <v/>
      </c>
      <c r="E356" s="227" t="str">
        <f>IFERROR(VLOOKUP($C356,Full_data!$B$8:$J$932,3,FALSE),"")</f>
        <v/>
      </c>
      <c r="F356" s="226" t="str">
        <f>IFERROR(VLOOKUP($C356,Full_data!$B$8:$J$932,4,FALSE),"")</f>
        <v/>
      </c>
      <c r="G356" s="226" t="e">
        <f>VLOOKUP($C356,Full_data!$B$8:$J$932,5,FALSE)</f>
        <v>#N/A</v>
      </c>
      <c r="H356" s="226" t="e">
        <f>VLOOKUP($C356,Full_data!$B$8:$J$932,6,FALSE)</f>
        <v>#N/A</v>
      </c>
      <c r="I356" s="237" t="str">
        <f>IFERROR(VLOOKUP($C356,Full_data!$B$8:$J$932,7,FALSE),"")</f>
        <v/>
      </c>
      <c r="J356" s="355" t="str">
        <f>IFERROR(VLOOKUP($C356,Full_data!$B$8:$J$932,8,FALSE),"")</f>
        <v/>
      </c>
      <c r="K356" s="358"/>
      <c r="L356" s="229" t="str">
        <f t="shared" ref="L356:L419" si="19">IFERROR(IF(ISBLANK(K356),I356-I356*J356,I356-I356*K356),"")</f>
        <v/>
      </c>
      <c r="M356" s="352"/>
      <c r="N356" s="237" t="str">
        <f t="shared" si="18"/>
        <v/>
      </c>
      <c r="O356" s="237">
        <f>M356*IFERROR(VLOOKUP($C356,Logistics!$A$1:$O$534,10,FALSE),0)</f>
        <v>0</v>
      </c>
      <c r="P356" s="239">
        <f>M356*IFERROR(VLOOKUP($C356,Logistics!$A$1:$O$534,11,FALSE),0)</f>
        <v>0</v>
      </c>
      <c r="AA356" s="247">
        <f t="shared" si="17"/>
        <v>0.4</v>
      </c>
    </row>
    <row r="357" spans="2:27" ht="15" x14ac:dyDescent="0.2">
      <c r="B357" s="223">
        <v>353</v>
      </c>
      <c r="C357" s="258"/>
      <c r="D357" s="228" t="str">
        <f>IFERROR(VLOOKUP($C357,Full_data!$B$8:$J$932,2,FALSE),"")</f>
        <v/>
      </c>
      <c r="E357" s="228" t="str">
        <f>IFERROR(VLOOKUP($C357,Full_data!$B$8:$J$932,3,FALSE),"")</f>
        <v/>
      </c>
      <c r="F357" s="224" t="str">
        <f>IFERROR(VLOOKUP($C357,Full_data!$B$8:$J$932,4,FALSE),"")</f>
        <v/>
      </c>
      <c r="G357" s="224" t="e">
        <f>VLOOKUP($C357,Full_data!$B$8:$J$932,5,FALSE)</f>
        <v>#N/A</v>
      </c>
      <c r="H357" s="224" t="e">
        <f>VLOOKUP($C357,Full_data!$B$8:$J$932,6,FALSE)</f>
        <v>#N/A</v>
      </c>
      <c r="I357" s="236" t="str">
        <f>IFERROR(VLOOKUP($C357,Full_data!$B$8:$J$932,7,FALSE),"")</f>
        <v/>
      </c>
      <c r="J357" s="354" t="str">
        <f>IFERROR(VLOOKUP($C357,Full_data!$B$8:$J$932,8,FALSE),"")</f>
        <v/>
      </c>
      <c r="K357" s="357"/>
      <c r="L357" s="230" t="str">
        <f t="shared" si="19"/>
        <v/>
      </c>
      <c r="M357" s="351"/>
      <c r="N357" s="236" t="str">
        <f t="shared" si="18"/>
        <v/>
      </c>
      <c r="O357" s="236">
        <f>M357*IFERROR(VLOOKUP($C357,Logistics!$A$1:$O$534,10,FALSE),0)</f>
        <v>0</v>
      </c>
      <c r="P357" s="238">
        <f>M357*IFERROR(VLOOKUP($C357,Logistics!$A$1:$O$534,11,FALSE),0)</f>
        <v>0</v>
      </c>
      <c r="AA357" s="247">
        <f t="shared" si="17"/>
        <v>0.4</v>
      </c>
    </row>
    <row r="358" spans="2:27" ht="15" x14ac:dyDescent="0.2">
      <c r="B358" s="225">
        <v>354</v>
      </c>
      <c r="C358" s="259"/>
      <c r="D358" s="227" t="str">
        <f>IFERROR(VLOOKUP($C358,Full_data!$B$8:$J$932,2,FALSE),"")</f>
        <v/>
      </c>
      <c r="E358" s="227" t="str">
        <f>IFERROR(VLOOKUP($C358,Full_data!$B$8:$J$932,3,FALSE),"")</f>
        <v/>
      </c>
      <c r="F358" s="226" t="str">
        <f>IFERROR(VLOOKUP($C358,Full_data!$B$8:$J$932,4,FALSE),"")</f>
        <v/>
      </c>
      <c r="G358" s="226" t="e">
        <f>VLOOKUP($C358,Full_data!$B$8:$J$932,5,FALSE)</f>
        <v>#N/A</v>
      </c>
      <c r="H358" s="226" t="e">
        <f>VLOOKUP($C358,Full_data!$B$8:$J$932,6,FALSE)</f>
        <v>#N/A</v>
      </c>
      <c r="I358" s="237" t="str">
        <f>IFERROR(VLOOKUP($C358,Full_data!$B$8:$J$932,7,FALSE),"")</f>
        <v/>
      </c>
      <c r="J358" s="355" t="str">
        <f>IFERROR(VLOOKUP($C358,Full_data!$B$8:$J$932,8,FALSE),"")</f>
        <v/>
      </c>
      <c r="K358" s="358"/>
      <c r="L358" s="229" t="str">
        <f t="shared" si="19"/>
        <v/>
      </c>
      <c r="M358" s="352"/>
      <c r="N358" s="237" t="str">
        <f t="shared" si="18"/>
        <v/>
      </c>
      <c r="O358" s="237">
        <f>M358*IFERROR(VLOOKUP($C358,Logistics!$A$1:$O$534,10,FALSE),0)</f>
        <v>0</v>
      </c>
      <c r="P358" s="239">
        <f>M358*IFERROR(VLOOKUP($C358,Logistics!$A$1:$O$534,11,FALSE),0)</f>
        <v>0</v>
      </c>
      <c r="AA358" s="247">
        <f t="shared" si="17"/>
        <v>0.4</v>
      </c>
    </row>
    <row r="359" spans="2:27" ht="15" x14ac:dyDescent="0.2">
      <c r="B359" s="223">
        <v>355</v>
      </c>
      <c r="C359" s="258"/>
      <c r="D359" s="228" t="str">
        <f>IFERROR(VLOOKUP($C359,Full_data!$B$8:$J$932,2,FALSE),"")</f>
        <v/>
      </c>
      <c r="E359" s="228" t="str">
        <f>IFERROR(VLOOKUP($C359,Full_data!$B$8:$J$932,3,FALSE),"")</f>
        <v/>
      </c>
      <c r="F359" s="224" t="str">
        <f>IFERROR(VLOOKUP($C359,Full_data!$B$8:$J$932,4,FALSE),"")</f>
        <v/>
      </c>
      <c r="G359" s="224" t="e">
        <f>VLOOKUP($C359,Full_data!$B$8:$J$932,5,FALSE)</f>
        <v>#N/A</v>
      </c>
      <c r="H359" s="224" t="e">
        <f>VLOOKUP($C359,Full_data!$B$8:$J$932,6,FALSE)</f>
        <v>#N/A</v>
      </c>
      <c r="I359" s="236" t="str">
        <f>IFERROR(VLOOKUP($C359,Full_data!$B$8:$J$932,7,FALSE),"")</f>
        <v/>
      </c>
      <c r="J359" s="354" t="str">
        <f>IFERROR(VLOOKUP($C359,Full_data!$B$8:$J$932,8,FALSE),"")</f>
        <v/>
      </c>
      <c r="K359" s="357"/>
      <c r="L359" s="230" t="str">
        <f t="shared" si="19"/>
        <v/>
      </c>
      <c r="M359" s="351"/>
      <c r="N359" s="236" t="str">
        <f t="shared" si="18"/>
        <v/>
      </c>
      <c r="O359" s="236">
        <f>M359*IFERROR(VLOOKUP($C359,Logistics!$A$1:$O$534,10,FALSE),0)</f>
        <v>0</v>
      </c>
      <c r="P359" s="238">
        <f>M359*IFERROR(VLOOKUP($C359,Logistics!$A$1:$O$534,11,FALSE),0)</f>
        <v>0</v>
      </c>
      <c r="AA359" s="247">
        <f t="shared" si="17"/>
        <v>0.4</v>
      </c>
    </row>
    <row r="360" spans="2:27" ht="15" x14ac:dyDescent="0.2">
      <c r="B360" s="225">
        <v>356</v>
      </c>
      <c r="C360" s="259"/>
      <c r="D360" s="227" t="str">
        <f>IFERROR(VLOOKUP($C360,Full_data!$B$8:$J$932,2,FALSE),"")</f>
        <v/>
      </c>
      <c r="E360" s="227" t="str">
        <f>IFERROR(VLOOKUP($C360,Full_data!$B$8:$J$932,3,FALSE),"")</f>
        <v/>
      </c>
      <c r="F360" s="226" t="str">
        <f>IFERROR(VLOOKUP($C360,Full_data!$B$8:$J$932,4,FALSE),"")</f>
        <v/>
      </c>
      <c r="G360" s="226" t="e">
        <f>VLOOKUP($C360,Full_data!$B$8:$J$932,5,FALSE)</f>
        <v>#N/A</v>
      </c>
      <c r="H360" s="226" t="e">
        <f>VLOOKUP($C360,Full_data!$B$8:$J$932,6,FALSE)</f>
        <v>#N/A</v>
      </c>
      <c r="I360" s="237" t="str">
        <f>IFERROR(VLOOKUP($C360,Full_data!$B$8:$J$932,7,FALSE),"")</f>
        <v/>
      </c>
      <c r="J360" s="355" t="str">
        <f>IFERROR(VLOOKUP($C360,Full_data!$B$8:$J$932,8,FALSE),"")</f>
        <v/>
      </c>
      <c r="K360" s="358"/>
      <c r="L360" s="229" t="str">
        <f t="shared" si="19"/>
        <v/>
      </c>
      <c r="M360" s="352"/>
      <c r="N360" s="237" t="str">
        <f t="shared" si="18"/>
        <v/>
      </c>
      <c r="O360" s="237">
        <f>M360*IFERROR(VLOOKUP($C360,Logistics!$A$1:$O$534,10,FALSE),0)</f>
        <v>0</v>
      </c>
      <c r="P360" s="239">
        <f>M360*IFERROR(VLOOKUP($C360,Logistics!$A$1:$O$534,11,FALSE),0)</f>
        <v>0</v>
      </c>
      <c r="AA360" s="247">
        <f t="shared" si="17"/>
        <v>0.4</v>
      </c>
    </row>
    <row r="361" spans="2:27" ht="15" x14ac:dyDescent="0.2">
      <c r="B361" s="223">
        <v>357</v>
      </c>
      <c r="C361" s="258"/>
      <c r="D361" s="228" t="str">
        <f>IFERROR(VLOOKUP($C361,Full_data!$B$8:$J$932,2,FALSE),"")</f>
        <v/>
      </c>
      <c r="E361" s="228" t="str">
        <f>IFERROR(VLOOKUP($C361,Full_data!$B$8:$J$932,3,FALSE),"")</f>
        <v/>
      </c>
      <c r="F361" s="224" t="str">
        <f>IFERROR(VLOOKUP($C361,Full_data!$B$8:$J$932,4,FALSE),"")</f>
        <v/>
      </c>
      <c r="G361" s="224" t="e">
        <f>VLOOKUP($C361,Full_data!$B$8:$J$932,5,FALSE)</f>
        <v>#N/A</v>
      </c>
      <c r="H361" s="224" t="e">
        <f>VLOOKUP($C361,Full_data!$B$8:$J$932,6,FALSE)</f>
        <v>#N/A</v>
      </c>
      <c r="I361" s="236" t="str">
        <f>IFERROR(VLOOKUP($C361,Full_data!$B$8:$J$932,7,FALSE),"")</f>
        <v/>
      </c>
      <c r="J361" s="354" t="str">
        <f>IFERROR(VLOOKUP($C361,Full_data!$B$8:$J$932,8,FALSE),"")</f>
        <v/>
      </c>
      <c r="K361" s="357"/>
      <c r="L361" s="230" t="str">
        <f t="shared" si="19"/>
        <v/>
      </c>
      <c r="M361" s="351"/>
      <c r="N361" s="236" t="str">
        <f t="shared" si="18"/>
        <v/>
      </c>
      <c r="O361" s="236">
        <f>M361*IFERROR(VLOOKUP($C361,Logistics!$A$1:$O$534,10,FALSE),0)</f>
        <v>0</v>
      </c>
      <c r="P361" s="238">
        <f>M361*IFERROR(VLOOKUP($C361,Logistics!$A$1:$O$534,11,FALSE),0)</f>
        <v>0</v>
      </c>
      <c r="AA361" s="247">
        <f t="shared" si="17"/>
        <v>0.4</v>
      </c>
    </row>
    <row r="362" spans="2:27" ht="15" x14ac:dyDescent="0.2">
      <c r="B362" s="225">
        <v>358</v>
      </c>
      <c r="C362" s="259"/>
      <c r="D362" s="227" t="str">
        <f>IFERROR(VLOOKUP($C362,Full_data!$B$8:$J$932,2,FALSE),"")</f>
        <v/>
      </c>
      <c r="E362" s="227" t="str">
        <f>IFERROR(VLOOKUP($C362,Full_data!$B$8:$J$932,3,FALSE),"")</f>
        <v/>
      </c>
      <c r="F362" s="226" t="str">
        <f>IFERROR(VLOOKUP($C362,Full_data!$B$8:$J$932,4,FALSE),"")</f>
        <v/>
      </c>
      <c r="G362" s="226" t="e">
        <f>VLOOKUP($C362,Full_data!$B$8:$J$932,5,FALSE)</f>
        <v>#N/A</v>
      </c>
      <c r="H362" s="226" t="e">
        <f>VLOOKUP($C362,Full_data!$B$8:$J$932,6,FALSE)</f>
        <v>#N/A</v>
      </c>
      <c r="I362" s="237" t="str">
        <f>IFERROR(VLOOKUP($C362,Full_data!$B$8:$J$932,7,FALSE),"")</f>
        <v/>
      </c>
      <c r="J362" s="355" t="str">
        <f>IFERROR(VLOOKUP($C362,Full_data!$B$8:$J$932,8,FALSE),"")</f>
        <v/>
      </c>
      <c r="K362" s="358"/>
      <c r="L362" s="229" t="str">
        <f t="shared" si="19"/>
        <v/>
      </c>
      <c r="M362" s="352"/>
      <c r="N362" s="237" t="str">
        <f t="shared" si="18"/>
        <v/>
      </c>
      <c r="O362" s="237">
        <f>M362*IFERROR(VLOOKUP($C362,Logistics!$A$1:$O$534,10,FALSE),0)</f>
        <v>0</v>
      </c>
      <c r="P362" s="239">
        <f>M362*IFERROR(VLOOKUP($C362,Logistics!$A$1:$O$534,11,FALSE),0)</f>
        <v>0</v>
      </c>
      <c r="AA362" s="247">
        <f t="shared" si="17"/>
        <v>0.4</v>
      </c>
    </row>
    <row r="363" spans="2:27" ht="15" x14ac:dyDescent="0.2">
      <c r="B363" s="223">
        <v>359</v>
      </c>
      <c r="C363" s="258"/>
      <c r="D363" s="228" t="str">
        <f>IFERROR(VLOOKUP($C363,Full_data!$B$8:$J$932,2,FALSE),"")</f>
        <v/>
      </c>
      <c r="E363" s="228" t="str">
        <f>IFERROR(VLOOKUP($C363,Full_data!$B$8:$J$932,3,FALSE),"")</f>
        <v/>
      </c>
      <c r="F363" s="224" t="str">
        <f>IFERROR(VLOOKUP($C363,Full_data!$B$8:$J$932,4,FALSE),"")</f>
        <v/>
      </c>
      <c r="G363" s="224" t="e">
        <f>VLOOKUP($C363,Full_data!$B$8:$J$932,5,FALSE)</f>
        <v>#N/A</v>
      </c>
      <c r="H363" s="224" t="e">
        <f>VLOOKUP($C363,Full_data!$B$8:$J$932,6,FALSE)</f>
        <v>#N/A</v>
      </c>
      <c r="I363" s="236" t="str">
        <f>IFERROR(VLOOKUP($C363,Full_data!$B$8:$J$932,7,FALSE),"")</f>
        <v/>
      </c>
      <c r="J363" s="354" t="str">
        <f>IFERROR(VLOOKUP($C363,Full_data!$B$8:$J$932,8,FALSE),"")</f>
        <v/>
      </c>
      <c r="K363" s="357"/>
      <c r="L363" s="230" t="str">
        <f t="shared" si="19"/>
        <v/>
      </c>
      <c r="M363" s="351"/>
      <c r="N363" s="236" t="str">
        <f t="shared" si="18"/>
        <v/>
      </c>
      <c r="O363" s="236">
        <f>M363*IFERROR(VLOOKUP($C363,Logistics!$A$1:$O$534,10,FALSE),0)</f>
        <v>0</v>
      </c>
      <c r="P363" s="238">
        <f>M363*IFERROR(VLOOKUP($C363,Logistics!$A$1:$O$534,11,FALSE),0)</f>
        <v>0</v>
      </c>
      <c r="AA363" s="247">
        <f t="shared" si="17"/>
        <v>0.4</v>
      </c>
    </row>
    <row r="364" spans="2:27" ht="15" x14ac:dyDescent="0.2">
      <c r="B364" s="225">
        <v>360</v>
      </c>
      <c r="C364" s="259"/>
      <c r="D364" s="227" t="str">
        <f>IFERROR(VLOOKUP($C364,Full_data!$B$8:$J$932,2,FALSE),"")</f>
        <v/>
      </c>
      <c r="E364" s="227" t="str">
        <f>IFERROR(VLOOKUP($C364,Full_data!$B$8:$J$932,3,FALSE),"")</f>
        <v/>
      </c>
      <c r="F364" s="226" t="str">
        <f>IFERROR(VLOOKUP($C364,Full_data!$B$8:$J$932,4,FALSE),"")</f>
        <v/>
      </c>
      <c r="G364" s="226" t="e">
        <f>VLOOKUP($C364,Full_data!$B$8:$J$932,5,FALSE)</f>
        <v>#N/A</v>
      </c>
      <c r="H364" s="226" t="e">
        <f>VLOOKUP($C364,Full_data!$B$8:$J$932,6,FALSE)</f>
        <v>#N/A</v>
      </c>
      <c r="I364" s="237" t="str">
        <f>IFERROR(VLOOKUP($C364,Full_data!$B$8:$J$932,7,FALSE),"")</f>
        <v/>
      </c>
      <c r="J364" s="355" t="str">
        <f>IFERROR(VLOOKUP($C364,Full_data!$B$8:$J$932,8,FALSE),"")</f>
        <v/>
      </c>
      <c r="K364" s="358"/>
      <c r="L364" s="229" t="str">
        <f t="shared" si="19"/>
        <v/>
      </c>
      <c r="M364" s="352"/>
      <c r="N364" s="237" t="str">
        <f t="shared" si="18"/>
        <v/>
      </c>
      <c r="O364" s="237">
        <f>M364*IFERROR(VLOOKUP($C364,Logistics!$A$1:$O$534,10,FALSE),0)</f>
        <v>0</v>
      </c>
      <c r="P364" s="239">
        <f>M364*IFERROR(VLOOKUP($C364,Logistics!$A$1:$O$534,11,FALSE),0)</f>
        <v>0</v>
      </c>
      <c r="AA364" s="247">
        <f t="shared" si="17"/>
        <v>0.4</v>
      </c>
    </row>
    <row r="365" spans="2:27" ht="15" x14ac:dyDescent="0.2">
      <c r="B365" s="223">
        <v>361</v>
      </c>
      <c r="C365" s="258"/>
      <c r="D365" s="228" t="str">
        <f>IFERROR(VLOOKUP($C365,Full_data!$B$8:$J$932,2,FALSE),"")</f>
        <v/>
      </c>
      <c r="E365" s="228" t="str">
        <f>IFERROR(VLOOKUP($C365,Full_data!$B$8:$J$932,3,FALSE),"")</f>
        <v/>
      </c>
      <c r="F365" s="224" t="str">
        <f>IFERROR(VLOOKUP($C365,Full_data!$B$8:$J$932,4,FALSE),"")</f>
        <v/>
      </c>
      <c r="G365" s="224" t="e">
        <f>VLOOKUP($C365,Full_data!$B$8:$J$932,5,FALSE)</f>
        <v>#N/A</v>
      </c>
      <c r="H365" s="224" t="e">
        <f>VLOOKUP($C365,Full_data!$B$8:$J$932,6,FALSE)</f>
        <v>#N/A</v>
      </c>
      <c r="I365" s="236" t="str">
        <f>IFERROR(VLOOKUP($C365,Full_data!$B$8:$J$932,7,FALSE),"")</f>
        <v/>
      </c>
      <c r="J365" s="354" t="str">
        <f>IFERROR(VLOOKUP($C365,Full_data!$B$8:$J$932,8,FALSE),"")</f>
        <v/>
      </c>
      <c r="K365" s="357"/>
      <c r="L365" s="230" t="str">
        <f t="shared" si="19"/>
        <v/>
      </c>
      <c r="M365" s="351"/>
      <c r="N365" s="236" t="str">
        <f t="shared" si="18"/>
        <v/>
      </c>
      <c r="O365" s="236">
        <f>M365*IFERROR(VLOOKUP($C365,Logistics!$A$1:$O$534,10,FALSE),0)</f>
        <v>0</v>
      </c>
      <c r="P365" s="238">
        <f>M365*IFERROR(VLOOKUP($C365,Logistics!$A$1:$O$534,11,FALSE),0)</f>
        <v>0</v>
      </c>
      <c r="AA365" s="247">
        <f t="shared" si="17"/>
        <v>0.4</v>
      </c>
    </row>
    <row r="366" spans="2:27" ht="15" x14ac:dyDescent="0.2">
      <c r="B366" s="225">
        <v>362</v>
      </c>
      <c r="C366" s="259"/>
      <c r="D366" s="227" t="str">
        <f>IFERROR(VLOOKUP($C366,Full_data!$B$8:$J$932,2,FALSE),"")</f>
        <v/>
      </c>
      <c r="E366" s="227" t="str">
        <f>IFERROR(VLOOKUP($C366,Full_data!$B$8:$J$932,3,FALSE),"")</f>
        <v/>
      </c>
      <c r="F366" s="226" t="str">
        <f>IFERROR(VLOOKUP($C366,Full_data!$B$8:$J$932,4,FALSE),"")</f>
        <v/>
      </c>
      <c r="G366" s="226" t="e">
        <f>VLOOKUP($C366,Full_data!$B$8:$J$932,5,FALSE)</f>
        <v>#N/A</v>
      </c>
      <c r="H366" s="226" t="e">
        <f>VLOOKUP($C366,Full_data!$B$8:$J$932,6,FALSE)</f>
        <v>#N/A</v>
      </c>
      <c r="I366" s="237" t="str">
        <f>IFERROR(VLOOKUP($C366,Full_data!$B$8:$J$932,7,FALSE),"")</f>
        <v/>
      </c>
      <c r="J366" s="355" t="str">
        <f>IFERROR(VLOOKUP($C366,Full_data!$B$8:$J$932,8,FALSE),"")</f>
        <v/>
      </c>
      <c r="K366" s="358"/>
      <c r="L366" s="229" t="str">
        <f t="shared" si="19"/>
        <v/>
      </c>
      <c r="M366" s="352"/>
      <c r="N366" s="237" t="str">
        <f t="shared" si="18"/>
        <v/>
      </c>
      <c r="O366" s="237">
        <f>M366*IFERROR(VLOOKUP($C366,Logistics!$A$1:$O$534,10,FALSE),0)</f>
        <v>0</v>
      </c>
      <c r="P366" s="239">
        <f>M366*IFERROR(VLOOKUP($C366,Logistics!$A$1:$O$534,11,FALSE),0)</f>
        <v>0</v>
      </c>
      <c r="AA366" s="247">
        <f t="shared" si="17"/>
        <v>0.4</v>
      </c>
    </row>
    <row r="367" spans="2:27" ht="15" x14ac:dyDescent="0.2">
      <c r="B367" s="223">
        <v>363</v>
      </c>
      <c r="C367" s="258"/>
      <c r="D367" s="228" t="str">
        <f>IFERROR(VLOOKUP($C367,Full_data!$B$8:$J$932,2,FALSE),"")</f>
        <v/>
      </c>
      <c r="E367" s="228" t="str">
        <f>IFERROR(VLOOKUP($C367,Full_data!$B$8:$J$932,3,FALSE),"")</f>
        <v/>
      </c>
      <c r="F367" s="224" t="str">
        <f>IFERROR(VLOOKUP($C367,Full_data!$B$8:$J$932,4,FALSE),"")</f>
        <v/>
      </c>
      <c r="G367" s="224" t="e">
        <f>VLOOKUP($C367,Full_data!$B$8:$J$932,5,FALSE)</f>
        <v>#N/A</v>
      </c>
      <c r="H367" s="224" t="e">
        <f>VLOOKUP($C367,Full_data!$B$8:$J$932,6,FALSE)</f>
        <v>#N/A</v>
      </c>
      <c r="I367" s="236" t="str">
        <f>IFERROR(VLOOKUP($C367,Full_data!$B$8:$J$932,7,FALSE),"")</f>
        <v/>
      </c>
      <c r="J367" s="354" t="str">
        <f>IFERROR(VLOOKUP($C367,Full_data!$B$8:$J$932,8,FALSE),"")</f>
        <v/>
      </c>
      <c r="K367" s="357"/>
      <c r="L367" s="230" t="str">
        <f t="shared" si="19"/>
        <v/>
      </c>
      <c r="M367" s="351"/>
      <c r="N367" s="236" t="str">
        <f t="shared" si="18"/>
        <v/>
      </c>
      <c r="O367" s="236">
        <f>M367*IFERROR(VLOOKUP($C367,Logistics!$A$1:$O$534,10,FALSE),0)</f>
        <v>0</v>
      </c>
      <c r="P367" s="238">
        <f>M367*IFERROR(VLOOKUP($C367,Logistics!$A$1:$O$534,11,FALSE),0)</f>
        <v>0</v>
      </c>
      <c r="AA367" s="247">
        <f t="shared" si="17"/>
        <v>0.4</v>
      </c>
    </row>
    <row r="368" spans="2:27" ht="15" x14ac:dyDescent="0.2">
      <c r="B368" s="225">
        <v>364</v>
      </c>
      <c r="C368" s="259"/>
      <c r="D368" s="227" t="str">
        <f>IFERROR(VLOOKUP($C368,Full_data!$B$8:$J$932,2,FALSE),"")</f>
        <v/>
      </c>
      <c r="E368" s="227" t="str">
        <f>IFERROR(VLOOKUP($C368,Full_data!$B$8:$J$932,3,FALSE),"")</f>
        <v/>
      </c>
      <c r="F368" s="226" t="str">
        <f>IFERROR(VLOOKUP($C368,Full_data!$B$8:$J$932,4,FALSE),"")</f>
        <v/>
      </c>
      <c r="G368" s="226" t="e">
        <f>VLOOKUP($C368,Full_data!$B$8:$J$932,5,FALSE)</f>
        <v>#N/A</v>
      </c>
      <c r="H368" s="226" t="e">
        <f>VLOOKUP($C368,Full_data!$B$8:$J$932,6,FALSE)</f>
        <v>#N/A</v>
      </c>
      <c r="I368" s="237" t="str">
        <f>IFERROR(VLOOKUP($C368,Full_data!$B$8:$J$932,7,FALSE),"")</f>
        <v/>
      </c>
      <c r="J368" s="355" t="str">
        <f>IFERROR(VLOOKUP($C368,Full_data!$B$8:$J$932,8,FALSE),"")</f>
        <v/>
      </c>
      <c r="K368" s="358"/>
      <c r="L368" s="229" t="str">
        <f t="shared" si="19"/>
        <v/>
      </c>
      <c r="M368" s="352"/>
      <c r="N368" s="237" t="str">
        <f t="shared" si="18"/>
        <v/>
      </c>
      <c r="O368" s="237">
        <f>M368*IFERROR(VLOOKUP($C368,Logistics!$A$1:$O$534,10,FALSE),0)</f>
        <v>0</v>
      </c>
      <c r="P368" s="239">
        <f>M368*IFERROR(VLOOKUP($C368,Logistics!$A$1:$O$534,11,FALSE),0)</f>
        <v>0</v>
      </c>
      <c r="AA368" s="247">
        <f t="shared" si="17"/>
        <v>0.4</v>
      </c>
    </row>
    <row r="369" spans="2:27" ht="15" x14ac:dyDescent="0.2">
      <c r="B369" s="223">
        <v>365</v>
      </c>
      <c r="C369" s="258"/>
      <c r="D369" s="228" t="str">
        <f>IFERROR(VLOOKUP($C369,Full_data!$B$8:$J$932,2,FALSE),"")</f>
        <v/>
      </c>
      <c r="E369" s="228" t="str">
        <f>IFERROR(VLOOKUP($C369,Full_data!$B$8:$J$932,3,FALSE),"")</f>
        <v/>
      </c>
      <c r="F369" s="224" t="str">
        <f>IFERROR(VLOOKUP($C369,Full_data!$B$8:$J$932,4,FALSE),"")</f>
        <v/>
      </c>
      <c r="G369" s="224" t="e">
        <f>VLOOKUP($C369,Full_data!$B$8:$J$932,5,FALSE)</f>
        <v>#N/A</v>
      </c>
      <c r="H369" s="224" t="e">
        <f>VLOOKUP($C369,Full_data!$B$8:$J$932,6,FALSE)</f>
        <v>#N/A</v>
      </c>
      <c r="I369" s="236" t="str">
        <f>IFERROR(VLOOKUP($C369,Full_data!$B$8:$J$932,7,FALSE),"")</f>
        <v/>
      </c>
      <c r="J369" s="354" t="str">
        <f>IFERROR(VLOOKUP($C369,Full_data!$B$8:$J$932,8,FALSE),"")</f>
        <v/>
      </c>
      <c r="K369" s="357"/>
      <c r="L369" s="230" t="str">
        <f t="shared" si="19"/>
        <v/>
      </c>
      <c r="M369" s="351"/>
      <c r="N369" s="236" t="str">
        <f t="shared" si="18"/>
        <v/>
      </c>
      <c r="O369" s="236">
        <f>M369*IFERROR(VLOOKUP($C369,Logistics!$A$1:$O$534,10,FALSE),0)</f>
        <v>0</v>
      </c>
      <c r="P369" s="238">
        <f>M369*IFERROR(VLOOKUP($C369,Logistics!$A$1:$O$534,11,FALSE),0)</f>
        <v>0</v>
      </c>
      <c r="AA369" s="247">
        <f t="shared" si="17"/>
        <v>0.4</v>
      </c>
    </row>
    <row r="370" spans="2:27" ht="15" x14ac:dyDescent="0.2">
      <c r="B370" s="225">
        <v>366</v>
      </c>
      <c r="C370" s="259"/>
      <c r="D370" s="227" t="str">
        <f>IFERROR(VLOOKUP($C370,Full_data!$B$8:$J$932,2,FALSE),"")</f>
        <v/>
      </c>
      <c r="E370" s="227" t="str">
        <f>IFERROR(VLOOKUP($C370,Full_data!$B$8:$J$932,3,FALSE),"")</f>
        <v/>
      </c>
      <c r="F370" s="226" t="str">
        <f>IFERROR(VLOOKUP($C370,Full_data!$B$8:$J$932,4,FALSE),"")</f>
        <v/>
      </c>
      <c r="G370" s="226" t="e">
        <f>VLOOKUP($C370,Full_data!$B$8:$J$932,5,FALSE)</f>
        <v>#N/A</v>
      </c>
      <c r="H370" s="226" t="e">
        <f>VLOOKUP($C370,Full_data!$B$8:$J$932,6,FALSE)</f>
        <v>#N/A</v>
      </c>
      <c r="I370" s="237" t="str">
        <f>IFERROR(VLOOKUP($C370,Full_data!$B$8:$J$932,7,FALSE),"")</f>
        <v/>
      </c>
      <c r="J370" s="355" t="str">
        <f>IFERROR(VLOOKUP($C370,Full_data!$B$8:$J$932,8,FALSE),"")</f>
        <v/>
      </c>
      <c r="K370" s="358"/>
      <c r="L370" s="229" t="str">
        <f t="shared" si="19"/>
        <v/>
      </c>
      <c r="M370" s="352"/>
      <c r="N370" s="237" t="str">
        <f t="shared" si="18"/>
        <v/>
      </c>
      <c r="O370" s="237">
        <f>M370*IFERROR(VLOOKUP($C370,Logistics!$A$1:$O$534,10,FALSE),0)</f>
        <v>0</v>
      </c>
      <c r="P370" s="239">
        <f>M370*IFERROR(VLOOKUP($C370,Logistics!$A$1:$O$534,11,FALSE),0)</f>
        <v>0</v>
      </c>
      <c r="AA370" s="247">
        <f t="shared" si="17"/>
        <v>0.4</v>
      </c>
    </row>
    <row r="371" spans="2:27" ht="15" x14ac:dyDescent="0.2">
      <c r="B371" s="223">
        <v>367</v>
      </c>
      <c r="C371" s="258"/>
      <c r="D371" s="228" t="str">
        <f>IFERROR(VLOOKUP($C371,Full_data!$B$8:$J$932,2,FALSE),"")</f>
        <v/>
      </c>
      <c r="E371" s="228" t="str">
        <f>IFERROR(VLOOKUP($C371,Full_data!$B$8:$J$932,3,FALSE),"")</f>
        <v/>
      </c>
      <c r="F371" s="224" t="str">
        <f>IFERROR(VLOOKUP($C371,Full_data!$B$8:$J$932,4,FALSE),"")</f>
        <v/>
      </c>
      <c r="G371" s="224" t="e">
        <f>VLOOKUP($C371,Full_data!$B$8:$J$932,5,FALSE)</f>
        <v>#N/A</v>
      </c>
      <c r="H371" s="224" t="e">
        <f>VLOOKUP($C371,Full_data!$B$8:$J$932,6,FALSE)</f>
        <v>#N/A</v>
      </c>
      <c r="I371" s="236" t="str">
        <f>IFERROR(VLOOKUP($C371,Full_data!$B$8:$J$932,7,FALSE),"")</f>
        <v/>
      </c>
      <c r="J371" s="354" t="str">
        <f>IFERROR(VLOOKUP($C371,Full_data!$B$8:$J$932,8,FALSE),"")</f>
        <v/>
      </c>
      <c r="K371" s="357"/>
      <c r="L371" s="230" t="str">
        <f t="shared" si="19"/>
        <v/>
      </c>
      <c r="M371" s="351"/>
      <c r="N371" s="236" t="str">
        <f t="shared" si="18"/>
        <v/>
      </c>
      <c r="O371" s="236">
        <f>M371*IFERROR(VLOOKUP($C371,Logistics!$A$1:$O$534,10,FALSE),0)</f>
        <v>0</v>
      </c>
      <c r="P371" s="238">
        <f>M371*IFERROR(VLOOKUP($C371,Logistics!$A$1:$O$534,11,FALSE),0)</f>
        <v>0</v>
      </c>
      <c r="AA371" s="247">
        <f t="shared" si="17"/>
        <v>0.4</v>
      </c>
    </row>
    <row r="372" spans="2:27" ht="15" x14ac:dyDescent="0.2">
      <c r="B372" s="225">
        <v>368</v>
      </c>
      <c r="C372" s="259"/>
      <c r="D372" s="227" t="str">
        <f>IFERROR(VLOOKUP($C372,Full_data!$B$8:$J$932,2,FALSE),"")</f>
        <v/>
      </c>
      <c r="E372" s="227" t="str">
        <f>IFERROR(VLOOKUP($C372,Full_data!$B$8:$J$932,3,FALSE),"")</f>
        <v/>
      </c>
      <c r="F372" s="226" t="str">
        <f>IFERROR(VLOOKUP($C372,Full_data!$B$8:$J$932,4,FALSE),"")</f>
        <v/>
      </c>
      <c r="G372" s="226" t="e">
        <f>VLOOKUP($C372,Full_data!$B$8:$J$932,5,FALSE)</f>
        <v>#N/A</v>
      </c>
      <c r="H372" s="226" t="e">
        <f>VLOOKUP($C372,Full_data!$B$8:$J$932,6,FALSE)</f>
        <v>#N/A</v>
      </c>
      <c r="I372" s="237" t="str">
        <f>IFERROR(VLOOKUP($C372,Full_data!$B$8:$J$932,7,FALSE),"")</f>
        <v/>
      </c>
      <c r="J372" s="355" t="str">
        <f>IFERROR(VLOOKUP($C372,Full_data!$B$8:$J$932,8,FALSE),"")</f>
        <v/>
      </c>
      <c r="K372" s="358"/>
      <c r="L372" s="229" t="str">
        <f t="shared" si="19"/>
        <v/>
      </c>
      <c r="M372" s="352"/>
      <c r="N372" s="237" t="str">
        <f t="shared" si="18"/>
        <v/>
      </c>
      <c r="O372" s="237">
        <f>M372*IFERROR(VLOOKUP($C372,Logistics!$A$1:$O$534,10,FALSE),0)</f>
        <v>0</v>
      </c>
      <c r="P372" s="239">
        <f>M372*IFERROR(VLOOKUP($C372,Logistics!$A$1:$O$534,11,FALSE),0)</f>
        <v>0</v>
      </c>
      <c r="AA372" s="247">
        <f t="shared" si="17"/>
        <v>0.4</v>
      </c>
    </row>
    <row r="373" spans="2:27" ht="15" x14ac:dyDescent="0.2">
      <c r="B373" s="223">
        <v>369</v>
      </c>
      <c r="C373" s="258"/>
      <c r="D373" s="228" t="str">
        <f>IFERROR(VLOOKUP($C373,Full_data!$B$8:$J$932,2,FALSE),"")</f>
        <v/>
      </c>
      <c r="E373" s="228" t="str">
        <f>IFERROR(VLOOKUP($C373,Full_data!$B$8:$J$932,3,FALSE),"")</f>
        <v/>
      </c>
      <c r="F373" s="224" t="str">
        <f>IFERROR(VLOOKUP($C373,Full_data!$B$8:$J$932,4,FALSE),"")</f>
        <v/>
      </c>
      <c r="G373" s="224" t="e">
        <f>VLOOKUP($C373,Full_data!$B$8:$J$932,5,FALSE)</f>
        <v>#N/A</v>
      </c>
      <c r="H373" s="224" t="e">
        <f>VLOOKUP($C373,Full_data!$B$8:$J$932,6,FALSE)</f>
        <v>#N/A</v>
      </c>
      <c r="I373" s="236" t="str">
        <f>IFERROR(VLOOKUP($C373,Full_data!$B$8:$J$932,7,FALSE),"")</f>
        <v/>
      </c>
      <c r="J373" s="354" t="str">
        <f>IFERROR(VLOOKUP($C373,Full_data!$B$8:$J$932,8,FALSE),"")</f>
        <v/>
      </c>
      <c r="K373" s="357"/>
      <c r="L373" s="230" t="str">
        <f t="shared" si="19"/>
        <v/>
      </c>
      <c r="M373" s="351"/>
      <c r="N373" s="236" t="str">
        <f t="shared" si="18"/>
        <v/>
      </c>
      <c r="O373" s="236">
        <f>M373*IFERROR(VLOOKUP($C373,Logistics!$A$1:$O$534,10,FALSE),0)</f>
        <v>0</v>
      </c>
      <c r="P373" s="238">
        <f>M373*IFERROR(VLOOKUP($C373,Logistics!$A$1:$O$534,11,FALSE),0)</f>
        <v>0</v>
      </c>
      <c r="AA373" s="247">
        <f t="shared" si="17"/>
        <v>0.4</v>
      </c>
    </row>
    <row r="374" spans="2:27" ht="15" x14ac:dyDescent="0.2">
      <c r="B374" s="225">
        <v>370</v>
      </c>
      <c r="C374" s="259"/>
      <c r="D374" s="227" t="str">
        <f>IFERROR(VLOOKUP($C374,Full_data!$B$8:$J$932,2,FALSE),"")</f>
        <v/>
      </c>
      <c r="E374" s="227" t="str">
        <f>IFERROR(VLOOKUP($C374,Full_data!$B$8:$J$932,3,FALSE),"")</f>
        <v/>
      </c>
      <c r="F374" s="226" t="str">
        <f>IFERROR(VLOOKUP($C374,Full_data!$B$8:$J$932,4,FALSE),"")</f>
        <v/>
      </c>
      <c r="G374" s="226" t="e">
        <f>VLOOKUP($C374,Full_data!$B$8:$J$932,5,FALSE)</f>
        <v>#N/A</v>
      </c>
      <c r="H374" s="226" t="e">
        <f>VLOOKUP($C374,Full_data!$B$8:$J$932,6,FALSE)</f>
        <v>#N/A</v>
      </c>
      <c r="I374" s="237" t="str">
        <f>IFERROR(VLOOKUP($C374,Full_data!$B$8:$J$932,7,FALSE),"")</f>
        <v/>
      </c>
      <c r="J374" s="355" t="str">
        <f>IFERROR(VLOOKUP($C374,Full_data!$B$8:$J$932,8,FALSE),"")</f>
        <v/>
      </c>
      <c r="K374" s="358"/>
      <c r="L374" s="229" t="str">
        <f t="shared" si="19"/>
        <v/>
      </c>
      <c r="M374" s="352"/>
      <c r="N374" s="237" t="str">
        <f t="shared" si="18"/>
        <v/>
      </c>
      <c r="O374" s="237">
        <f>M374*IFERROR(VLOOKUP($C374,Logistics!$A$1:$O$534,10,FALSE),0)</f>
        <v>0</v>
      </c>
      <c r="P374" s="239">
        <f>M374*IFERROR(VLOOKUP($C374,Logistics!$A$1:$O$534,11,FALSE),0)</f>
        <v>0</v>
      </c>
      <c r="AA374" s="247">
        <f t="shared" si="17"/>
        <v>0.4</v>
      </c>
    </row>
    <row r="375" spans="2:27" ht="15" x14ac:dyDescent="0.2">
      <c r="B375" s="223">
        <v>371</v>
      </c>
      <c r="C375" s="258"/>
      <c r="D375" s="228" t="str">
        <f>IFERROR(VLOOKUP($C375,Full_data!$B$8:$J$932,2,FALSE),"")</f>
        <v/>
      </c>
      <c r="E375" s="228" t="str">
        <f>IFERROR(VLOOKUP($C375,Full_data!$B$8:$J$932,3,FALSE),"")</f>
        <v/>
      </c>
      <c r="F375" s="224" t="str">
        <f>IFERROR(VLOOKUP($C375,Full_data!$B$8:$J$932,4,FALSE),"")</f>
        <v/>
      </c>
      <c r="G375" s="224" t="e">
        <f>VLOOKUP($C375,Full_data!$B$8:$J$932,5,FALSE)</f>
        <v>#N/A</v>
      </c>
      <c r="H375" s="224" t="e">
        <f>VLOOKUP($C375,Full_data!$B$8:$J$932,6,FALSE)</f>
        <v>#N/A</v>
      </c>
      <c r="I375" s="236" t="str">
        <f>IFERROR(VLOOKUP($C375,Full_data!$B$8:$J$932,7,FALSE),"")</f>
        <v/>
      </c>
      <c r="J375" s="354" t="str">
        <f>IFERROR(VLOOKUP($C375,Full_data!$B$8:$J$932,8,FALSE),"")</f>
        <v/>
      </c>
      <c r="K375" s="357"/>
      <c r="L375" s="230" t="str">
        <f t="shared" si="19"/>
        <v/>
      </c>
      <c r="M375" s="351"/>
      <c r="N375" s="236" t="str">
        <f t="shared" si="18"/>
        <v/>
      </c>
      <c r="O375" s="236">
        <f>M375*IFERROR(VLOOKUP($C375,Logistics!$A$1:$O$534,10,FALSE),0)</f>
        <v>0</v>
      </c>
      <c r="P375" s="238">
        <f>M375*IFERROR(VLOOKUP($C375,Logistics!$A$1:$O$534,11,FALSE),0)</f>
        <v>0</v>
      </c>
      <c r="AA375" s="247">
        <f t="shared" si="17"/>
        <v>0.4</v>
      </c>
    </row>
    <row r="376" spans="2:27" ht="15" x14ac:dyDescent="0.2">
      <c r="B376" s="225">
        <v>372</v>
      </c>
      <c r="C376" s="259"/>
      <c r="D376" s="227" t="str">
        <f>IFERROR(VLOOKUP($C376,Full_data!$B$8:$J$932,2,FALSE),"")</f>
        <v/>
      </c>
      <c r="E376" s="227" t="str">
        <f>IFERROR(VLOOKUP($C376,Full_data!$B$8:$J$932,3,FALSE),"")</f>
        <v/>
      </c>
      <c r="F376" s="226" t="str">
        <f>IFERROR(VLOOKUP($C376,Full_data!$B$8:$J$932,4,FALSE),"")</f>
        <v/>
      </c>
      <c r="G376" s="226" t="e">
        <f>VLOOKUP($C376,Full_data!$B$8:$J$932,5,FALSE)</f>
        <v>#N/A</v>
      </c>
      <c r="H376" s="226" t="e">
        <f>VLOOKUP($C376,Full_data!$B$8:$J$932,6,FALSE)</f>
        <v>#N/A</v>
      </c>
      <c r="I376" s="237" t="str">
        <f>IFERROR(VLOOKUP($C376,Full_data!$B$8:$J$932,7,FALSE),"")</f>
        <v/>
      </c>
      <c r="J376" s="355" t="str">
        <f>IFERROR(VLOOKUP($C376,Full_data!$B$8:$J$932,8,FALSE),"")</f>
        <v/>
      </c>
      <c r="K376" s="358"/>
      <c r="L376" s="229" t="str">
        <f t="shared" si="19"/>
        <v/>
      </c>
      <c r="M376" s="352"/>
      <c r="N376" s="237" t="str">
        <f t="shared" si="18"/>
        <v/>
      </c>
      <c r="O376" s="237">
        <f>M376*IFERROR(VLOOKUP($C376,Logistics!$A$1:$O$534,10,FALSE),0)</f>
        <v>0</v>
      </c>
      <c r="P376" s="239">
        <f>M376*IFERROR(VLOOKUP($C376,Logistics!$A$1:$O$534,11,FALSE),0)</f>
        <v>0</v>
      </c>
      <c r="AA376" s="247">
        <f t="shared" si="17"/>
        <v>0.4</v>
      </c>
    </row>
    <row r="377" spans="2:27" ht="15" x14ac:dyDescent="0.2">
      <c r="B377" s="223">
        <v>373</v>
      </c>
      <c r="C377" s="258"/>
      <c r="D377" s="228" t="str">
        <f>IFERROR(VLOOKUP($C377,Full_data!$B$8:$J$932,2,FALSE),"")</f>
        <v/>
      </c>
      <c r="E377" s="228" t="str">
        <f>IFERROR(VLOOKUP($C377,Full_data!$B$8:$J$932,3,FALSE),"")</f>
        <v/>
      </c>
      <c r="F377" s="224" t="str">
        <f>IFERROR(VLOOKUP($C377,Full_data!$B$8:$J$932,4,FALSE),"")</f>
        <v/>
      </c>
      <c r="G377" s="224" t="e">
        <f>VLOOKUP($C377,Full_data!$B$8:$J$932,5,FALSE)</f>
        <v>#N/A</v>
      </c>
      <c r="H377" s="224" t="e">
        <f>VLOOKUP($C377,Full_data!$B$8:$J$932,6,FALSE)</f>
        <v>#N/A</v>
      </c>
      <c r="I377" s="236" t="str">
        <f>IFERROR(VLOOKUP($C377,Full_data!$B$8:$J$932,7,FALSE),"")</f>
        <v/>
      </c>
      <c r="J377" s="354" t="str">
        <f>IFERROR(VLOOKUP($C377,Full_data!$B$8:$J$932,8,FALSE),"")</f>
        <v/>
      </c>
      <c r="K377" s="357"/>
      <c r="L377" s="230" t="str">
        <f t="shared" si="19"/>
        <v/>
      </c>
      <c r="M377" s="351"/>
      <c r="N377" s="236" t="str">
        <f t="shared" si="18"/>
        <v/>
      </c>
      <c r="O377" s="236">
        <f>M377*IFERROR(VLOOKUP($C377,Logistics!$A$1:$O$534,10,FALSE),0)</f>
        <v>0</v>
      </c>
      <c r="P377" s="238">
        <f>M377*IFERROR(VLOOKUP($C377,Logistics!$A$1:$O$534,11,FALSE),0)</f>
        <v>0</v>
      </c>
      <c r="AA377" s="247">
        <f t="shared" si="17"/>
        <v>0.4</v>
      </c>
    </row>
    <row r="378" spans="2:27" ht="15" x14ac:dyDescent="0.2">
      <c r="B378" s="225">
        <v>374</v>
      </c>
      <c r="C378" s="259"/>
      <c r="D378" s="227" t="str">
        <f>IFERROR(VLOOKUP($C378,Full_data!$B$8:$J$932,2,FALSE),"")</f>
        <v/>
      </c>
      <c r="E378" s="227" t="str">
        <f>IFERROR(VLOOKUP($C378,Full_data!$B$8:$J$932,3,FALSE),"")</f>
        <v/>
      </c>
      <c r="F378" s="226" t="str">
        <f>IFERROR(VLOOKUP($C378,Full_data!$B$8:$J$932,4,FALSE),"")</f>
        <v/>
      </c>
      <c r="G378" s="226" t="e">
        <f>VLOOKUP($C378,Full_data!$B$8:$J$932,5,FALSE)</f>
        <v>#N/A</v>
      </c>
      <c r="H378" s="226" t="e">
        <f>VLOOKUP($C378,Full_data!$B$8:$J$932,6,FALSE)</f>
        <v>#N/A</v>
      </c>
      <c r="I378" s="237" t="str">
        <f>IFERROR(VLOOKUP($C378,Full_data!$B$8:$J$932,7,FALSE),"")</f>
        <v/>
      </c>
      <c r="J378" s="355" t="str">
        <f>IFERROR(VLOOKUP($C378,Full_data!$B$8:$J$932,8,FALSE),"")</f>
        <v/>
      </c>
      <c r="K378" s="358"/>
      <c r="L378" s="229" t="str">
        <f t="shared" si="19"/>
        <v/>
      </c>
      <c r="M378" s="352"/>
      <c r="N378" s="237" t="str">
        <f t="shared" si="18"/>
        <v/>
      </c>
      <c r="O378" s="237">
        <f>M378*IFERROR(VLOOKUP($C378,Logistics!$A$1:$O$534,10,FALSE),0)</f>
        <v>0</v>
      </c>
      <c r="P378" s="239">
        <f>M378*IFERROR(VLOOKUP($C378,Logistics!$A$1:$O$534,11,FALSE),0)</f>
        <v>0</v>
      </c>
      <c r="AA378" s="247">
        <f t="shared" si="17"/>
        <v>0.4</v>
      </c>
    </row>
    <row r="379" spans="2:27" ht="15" x14ac:dyDescent="0.2">
      <c r="B379" s="223">
        <v>375</v>
      </c>
      <c r="C379" s="258"/>
      <c r="D379" s="228" t="str">
        <f>IFERROR(VLOOKUP($C379,Full_data!$B$8:$J$932,2,FALSE),"")</f>
        <v/>
      </c>
      <c r="E379" s="228" t="str">
        <f>IFERROR(VLOOKUP($C379,Full_data!$B$8:$J$932,3,FALSE),"")</f>
        <v/>
      </c>
      <c r="F379" s="224" t="str">
        <f>IFERROR(VLOOKUP($C379,Full_data!$B$8:$J$932,4,FALSE),"")</f>
        <v/>
      </c>
      <c r="G379" s="224" t="e">
        <f>VLOOKUP($C379,Full_data!$B$8:$J$932,5,FALSE)</f>
        <v>#N/A</v>
      </c>
      <c r="H379" s="224" t="e">
        <f>VLOOKUP($C379,Full_data!$B$8:$J$932,6,FALSE)</f>
        <v>#N/A</v>
      </c>
      <c r="I379" s="236" t="str">
        <f>IFERROR(VLOOKUP($C379,Full_data!$B$8:$J$932,7,FALSE),"")</f>
        <v/>
      </c>
      <c r="J379" s="354" t="str">
        <f>IFERROR(VLOOKUP($C379,Full_data!$B$8:$J$932,8,FALSE),"")</f>
        <v/>
      </c>
      <c r="K379" s="357"/>
      <c r="L379" s="230" t="str">
        <f t="shared" si="19"/>
        <v/>
      </c>
      <c r="M379" s="351"/>
      <c r="N379" s="236" t="str">
        <f t="shared" si="18"/>
        <v/>
      </c>
      <c r="O379" s="236">
        <f>M379*IFERROR(VLOOKUP($C379,Logistics!$A$1:$O$534,10,FALSE),0)</f>
        <v>0</v>
      </c>
      <c r="P379" s="238">
        <f>M379*IFERROR(VLOOKUP($C379,Logistics!$A$1:$O$534,11,FALSE),0)</f>
        <v>0</v>
      </c>
      <c r="AA379" s="247">
        <f t="shared" si="17"/>
        <v>0.4</v>
      </c>
    </row>
    <row r="380" spans="2:27" ht="15" x14ac:dyDescent="0.2">
      <c r="B380" s="225">
        <v>376</v>
      </c>
      <c r="C380" s="259"/>
      <c r="D380" s="227" t="str">
        <f>IFERROR(VLOOKUP($C380,Full_data!$B$8:$J$932,2,FALSE),"")</f>
        <v/>
      </c>
      <c r="E380" s="227" t="str">
        <f>IFERROR(VLOOKUP($C380,Full_data!$B$8:$J$932,3,FALSE),"")</f>
        <v/>
      </c>
      <c r="F380" s="226" t="str">
        <f>IFERROR(VLOOKUP($C380,Full_data!$B$8:$J$932,4,FALSE),"")</f>
        <v/>
      </c>
      <c r="G380" s="226" t="e">
        <f>VLOOKUP($C380,Full_data!$B$8:$J$932,5,FALSE)</f>
        <v>#N/A</v>
      </c>
      <c r="H380" s="226" t="e">
        <f>VLOOKUP($C380,Full_data!$B$8:$J$932,6,FALSE)</f>
        <v>#N/A</v>
      </c>
      <c r="I380" s="237" t="str">
        <f>IFERROR(VLOOKUP($C380,Full_data!$B$8:$J$932,7,FALSE),"")</f>
        <v/>
      </c>
      <c r="J380" s="355" t="str">
        <f>IFERROR(VLOOKUP($C380,Full_data!$B$8:$J$932,8,FALSE),"")</f>
        <v/>
      </c>
      <c r="K380" s="358"/>
      <c r="L380" s="229" t="str">
        <f t="shared" si="19"/>
        <v/>
      </c>
      <c r="M380" s="352"/>
      <c r="N380" s="237" t="str">
        <f t="shared" si="18"/>
        <v/>
      </c>
      <c r="O380" s="237">
        <f>M380*IFERROR(VLOOKUP($C380,Logistics!$A$1:$O$534,10,FALSE),0)</f>
        <v>0</v>
      </c>
      <c r="P380" s="239">
        <f>M380*IFERROR(VLOOKUP($C380,Logistics!$A$1:$O$534,11,FALSE),0)</f>
        <v>0</v>
      </c>
      <c r="AA380" s="247">
        <f t="shared" si="17"/>
        <v>0.4</v>
      </c>
    </row>
    <row r="381" spans="2:27" ht="15" x14ac:dyDescent="0.2">
      <c r="B381" s="223">
        <v>377</v>
      </c>
      <c r="C381" s="258"/>
      <c r="D381" s="228" t="str">
        <f>IFERROR(VLOOKUP($C381,Full_data!$B$8:$J$932,2,FALSE),"")</f>
        <v/>
      </c>
      <c r="E381" s="228" t="str">
        <f>IFERROR(VLOOKUP($C381,Full_data!$B$8:$J$932,3,FALSE),"")</f>
        <v/>
      </c>
      <c r="F381" s="224" t="str">
        <f>IFERROR(VLOOKUP($C381,Full_data!$B$8:$J$932,4,FALSE),"")</f>
        <v/>
      </c>
      <c r="G381" s="224" t="e">
        <f>VLOOKUP($C381,Full_data!$B$8:$J$932,5,FALSE)</f>
        <v>#N/A</v>
      </c>
      <c r="H381" s="224" t="e">
        <f>VLOOKUP($C381,Full_data!$B$8:$J$932,6,FALSE)</f>
        <v>#N/A</v>
      </c>
      <c r="I381" s="236" t="str">
        <f>IFERROR(VLOOKUP($C381,Full_data!$B$8:$J$932,7,FALSE),"")</f>
        <v/>
      </c>
      <c r="J381" s="354" t="str">
        <f>IFERROR(VLOOKUP($C381,Full_data!$B$8:$J$932,8,FALSE),"")</f>
        <v/>
      </c>
      <c r="K381" s="357"/>
      <c r="L381" s="230" t="str">
        <f t="shared" si="19"/>
        <v/>
      </c>
      <c r="M381" s="351"/>
      <c r="N381" s="236" t="str">
        <f t="shared" si="18"/>
        <v/>
      </c>
      <c r="O381" s="236">
        <f>M381*IFERROR(VLOOKUP($C381,Logistics!$A$1:$O$534,10,FALSE),0)</f>
        <v>0</v>
      </c>
      <c r="P381" s="238">
        <f>M381*IFERROR(VLOOKUP($C381,Logistics!$A$1:$O$534,11,FALSE),0)</f>
        <v>0</v>
      </c>
      <c r="AA381" s="247">
        <f t="shared" si="17"/>
        <v>0.4</v>
      </c>
    </row>
    <row r="382" spans="2:27" ht="15" x14ac:dyDescent="0.2">
      <c r="B382" s="225">
        <v>378</v>
      </c>
      <c r="C382" s="259"/>
      <c r="D382" s="227" t="str">
        <f>IFERROR(VLOOKUP($C382,Full_data!$B$8:$J$932,2,FALSE),"")</f>
        <v/>
      </c>
      <c r="E382" s="227" t="str">
        <f>IFERROR(VLOOKUP($C382,Full_data!$B$8:$J$932,3,FALSE),"")</f>
        <v/>
      </c>
      <c r="F382" s="226" t="str">
        <f>IFERROR(VLOOKUP($C382,Full_data!$B$8:$J$932,4,FALSE),"")</f>
        <v/>
      </c>
      <c r="G382" s="226" t="e">
        <f>VLOOKUP($C382,Full_data!$B$8:$J$932,5,FALSE)</f>
        <v>#N/A</v>
      </c>
      <c r="H382" s="226" t="e">
        <f>VLOOKUP($C382,Full_data!$B$8:$J$932,6,FALSE)</f>
        <v>#N/A</v>
      </c>
      <c r="I382" s="237" t="str">
        <f>IFERROR(VLOOKUP($C382,Full_data!$B$8:$J$932,7,FALSE),"")</f>
        <v/>
      </c>
      <c r="J382" s="355" t="str">
        <f>IFERROR(VLOOKUP($C382,Full_data!$B$8:$J$932,8,FALSE),"")</f>
        <v/>
      </c>
      <c r="K382" s="358"/>
      <c r="L382" s="229" t="str">
        <f t="shared" si="19"/>
        <v/>
      </c>
      <c r="M382" s="352"/>
      <c r="N382" s="237" t="str">
        <f t="shared" si="18"/>
        <v/>
      </c>
      <c r="O382" s="237">
        <f>M382*IFERROR(VLOOKUP($C382,Logistics!$A$1:$O$534,10,FALSE),0)</f>
        <v>0</v>
      </c>
      <c r="P382" s="239">
        <f>M382*IFERROR(VLOOKUP($C382,Logistics!$A$1:$O$534,11,FALSE),0)</f>
        <v>0</v>
      </c>
      <c r="AA382" s="247">
        <f t="shared" si="17"/>
        <v>0.4</v>
      </c>
    </row>
    <row r="383" spans="2:27" ht="15" x14ac:dyDescent="0.2">
      <c r="B383" s="223">
        <v>379</v>
      </c>
      <c r="C383" s="258"/>
      <c r="D383" s="228" t="str">
        <f>IFERROR(VLOOKUP($C383,Full_data!$B$8:$J$932,2,FALSE),"")</f>
        <v/>
      </c>
      <c r="E383" s="228" t="str">
        <f>IFERROR(VLOOKUP($C383,Full_data!$B$8:$J$932,3,FALSE),"")</f>
        <v/>
      </c>
      <c r="F383" s="224" t="str">
        <f>IFERROR(VLOOKUP($C383,Full_data!$B$8:$J$932,4,FALSE),"")</f>
        <v/>
      </c>
      <c r="G383" s="224" t="e">
        <f>VLOOKUP($C383,Full_data!$B$8:$J$932,5,FALSE)</f>
        <v>#N/A</v>
      </c>
      <c r="H383" s="224" t="e">
        <f>VLOOKUP($C383,Full_data!$B$8:$J$932,6,FALSE)</f>
        <v>#N/A</v>
      </c>
      <c r="I383" s="236" t="str">
        <f>IFERROR(VLOOKUP($C383,Full_data!$B$8:$J$932,7,FALSE),"")</f>
        <v/>
      </c>
      <c r="J383" s="354" t="str">
        <f>IFERROR(VLOOKUP($C383,Full_data!$B$8:$J$932,8,FALSE),"")</f>
        <v/>
      </c>
      <c r="K383" s="357"/>
      <c r="L383" s="230" t="str">
        <f t="shared" si="19"/>
        <v/>
      </c>
      <c r="M383" s="351"/>
      <c r="N383" s="236" t="str">
        <f t="shared" si="18"/>
        <v/>
      </c>
      <c r="O383" s="236">
        <f>M383*IFERROR(VLOOKUP($C383,Logistics!$A$1:$O$534,10,FALSE),0)</f>
        <v>0</v>
      </c>
      <c r="P383" s="238">
        <f>M383*IFERROR(VLOOKUP($C383,Logistics!$A$1:$O$534,11,FALSE),0)</f>
        <v>0</v>
      </c>
      <c r="AA383" s="247">
        <f t="shared" si="17"/>
        <v>0.4</v>
      </c>
    </row>
    <row r="384" spans="2:27" ht="15" x14ac:dyDescent="0.2">
      <c r="B384" s="225">
        <v>380</v>
      </c>
      <c r="C384" s="259"/>
      <c r="D384" s="227" t="str">
        <f>IFERROR(VLOOKUP($C384,Full_data!$B$8:$J$932,2,FALSE),"")</f>
        <v/>
      </c>
      <c r="E384" s="227" t="str">
        <f>IFERROR(VLOOKUP($C384,Full_data!$B$8:$J$932,3,FALSE),"")</f>
        <v/>
      </c>
      <c r="F384" s="226" t="str">
        <f>IFERROR(VLOOKUP($C384,Full_data!$B$8:$J$932,4,FALSE),"")</f>
        <v/>
      </c>
      <c r="G384" s="226" t="e">
        <f>VLOOKUP($C384,Full_data!$B$8:$J$932,5,FALSE)</f>
        <v>#N/A</v>
      </c>
      <c r="H384" s="226" t="e">
        <f>VLOOKUP($C384,Full_data!$B$8:$J$932,6,FALSE)</f>
        <v>#N/A</v>
      </c>
      <c r="I384" s="237" t="str">
        <f>IFERROR(VLOOKUP($C384,Full_data!$B$8:$J$932,7,FALSE),"")</f>
        <v/>
      </c>
      <c r="J384" s="355" t="str">
        <f>IFERROR(VLOOKUP($C384,Full_data!$B$8:$J$932,8,FALSE),"")</f>
        <v/>
      </c>
      <c r="K384" s="358"/>
      <c r="L384" s="229" t="str">
        <f t="shared" si="19"/>
        <v/>
      </c>
      <c r="M384" s="352"/>
      <c r="N384" s="237" t="str">
        <f t="shared" si="18"/>
        <v/>
      </c>
      <c r="O384" s="237">
        <f>M384*IFERROR(VLOOKUP($C384,Logistics!$A$1:$O$534,10,FALSE),0)</f>
        <v>0</v>
      </c>
      <c r="P384" s="239">
        <f>M384*IFERROR(VLOOKUP($C384,Logistics!$A$1:$O$534,11,FALSE),0)</f>
        <v>0</v>
      </c>
      <c r="AA384" s="247">
        <f t="shared" si="17"/>
        <v>0.4</v>
      </c>
    </row>
    <row r="385" spans="2:27" ht="15" x14ac:dyDescent="0.2">
      <c r="B385" s="223">
        <v>381</v>
      </c>
      <c r="C385" s="258"/>
      <c r="D385" s="228" t="str">
        <f>IFERROR(VLOOKUP($C385,Full_data!$B$8:$J$932,2,FALSE),"")</f>
        <v/>
      </c>
      <c r="E385" s="228" t="str">
        <f>IFERROR(VLOOKUP($C385,Full_data!$B$8:$J$932,3,FALSE),"")</f>
        <v/>
      </c>
      <c r="F385" s="224" t="str">
        <f>IFERROR(VLOOKUP($C385,Full_data!$B$8:$J$932,4,FALSE),"")</f>
        <v/>
      </c>
      <c r="G385" s="224" t="e">
        <f>VLOOKUP($C385,Full_data!$B$8:$J$932,5,FALSE)</f>
        <v>#N/A</v>
      </c>
      <c r="H385" s="224" t="e">
        <f>VLOOKUP($C385,Full_data!$B$8:$J$932,6,FALSE)</f>
        <v>#N/A</v>
      </c>
      <c r="I385" s="236" t="str">
        <f>IFERROR(VLOOKUP($C385,Full_data!$B$8:$J$932,7,FALSE),"")</f>
        <v/>
      </c>
      <c r="J385" s="354" t="str">
        <f>IFERROR(VLOOKUP($C385,Full_data!$B$8:$J$932,8,FALSE),"")</f>
        <v/>
      </c>
      <c r="K385" s="357"/>
      <c r="L385" s="230" t="str">
        <f t="shared" si="19"/>
        <v/>
      </c>
      <c r="M385" s="351"/>
      <c r="N385" s="236" t="str">
        <f t="shared" si="18"/>
        <v/>
      </c>
      <c r="O385" s="236">
        <f>M385*IFERROR(VLOOKUP($C385,Logistics!$A$1:$O$534,10,FALSE),0)</f>
        <v>0</v>
      </c>
      <c r="P385" s="238">
        <f>M385*IFERROR(VLOOKUP($C385,Logistics!$A$1:$O$534,11,FALSE),0)</f>
        <v>0</v>
      </c>
      <c r="AA385" s="247">
        <f t="shared" si="17"/>
        <v>0.4</v>
      </c>
    </row>
    <row r="386" spans="2:27" ht="15" x14ac:dyDescent="0.2">
      <c r="B386" s="225">
        <v>382</v>
      </c>
      <c r="C386" s="259"/>
      <c r="D386" s="227" t="str">
        <f>IFERROR(VLOOKUP($C386,Full_data!$B$8:$J$932,2,FALSE),"")</f>
        <v/>
      </c>
      <c r="E386" s="227" t="str">
        <f>IFERROR(VLOOKUP($C386,Full_data!$B$8:$J$932,3,FALSE),"")</f>
        <v/>
      </c>
      <c r="F386" s="226" t="str">
        <f>IFERROR(VLOOKUP($C386,Full_data!$B$8:$J$932,4,FALSE),"")</f>
        <v/>
      </c>
      <c r="G386" s="226" t="e">
        <f>VLOOKUP($C386,Full_data!$B$8:$J$932,5,FALSE)</f>
        <v>#N/A</v>
      </c>
      <c r="H386" s="226" t="e">
        <f>VLOOKUP($C386,Full_data!$B$8:$J$932,6,FALSE)</f>
        <v>#N/A</v>
      </c>
      <c r="I386" s="237" t="str">
        <f>IFERROR(VLOOKUP($C386,Full_data!$B$8:$J$932,7,FALSE),"")</f>
        <v/>
      </c>
      <c r="J386" s="355" t="str">
        <f>IFERROR(VLOOKUP($C386,Full_data!$B$8:$J$932,8,FALSE),"")</f>
        <v/>
      </c>
      <c r="K386" s="358"/>
      <c r="L386" s="229" t="str">
        <f t="shared" si="19"/>
        <v/>
      </c>
      <c r="M386" s="352"/>
      <c r="N386" s="237" t="str">
        <f t="shared" si="18"/>
        <v/>
      </c>
      <c r="O386" s="237">
        <f>M386*IFERROR(VLOOKUP($C386,Logistics!$A$1:$O$534,10,FALSE),0)</f>
        <v>0</v>
      </c>
      <c r="P386" s="239">
        <f>M386*IFERROR(VLOOKUP($C386,Logistics!$A$1:$O$534,11,FALSE),0)</f>
        <v>0</v>
      </c>
      <c r="AA386" s="247">
        <f t="shared" si="17"/>
        <v>0.4</v>
      </c>
    </row>
    <row r="387" spans="2:27" ht="15" x14ac:dyDescent="0.2">
      <c r="B387" s="223">
        <v>383</v>
      </c>
      <c r="C387" s="258"/>
      <c r="D387" s="228" t="str">
        <f>IFERROR(VLOOKUP($C387,Full_data!$B$8:$J$932,2,FALSE),"")</f>
        <v/>
      </c>
      <c r="E387" s="228" t="str">
        <f>IFERROR(VLOOKUP($C387,Full_data!$B$8:$J$932,3,FALSE),"")</f>
        <v/>
      </c>
      <c r="F387" s="224" t="str">
        <f>IFERROR(VLOOKUP($C387,Full_data!$B$8:$J$932,4,FALSE),"")</f>
        <v/>
      </c>
      <c r="G387" s="224" t="e">
        <f>VLOOKUP($C387,Full_data!$B$8:$J$932,5,FALSE)</f>
        <v>#N/A</v>
      </c>
      <c r="H387" s="224" t="e">
        <f>VLOOKUP($C387,Full_data!$B$8:$J$932,6,FALSE)</f>
        <v>#N/A</v>
      </c>
      <c r="I387" s="236" t="str">
        <f>IFERROR(VLOOKUP($C387,Full_data!$B$8:$J$932,7,FALSE),"")</f>
        <v/>
      </c>
      <c r="J387" s="354" t="str">
        <f>IFERROR(VLOOKUP($C387,Full_data!$B$8:$J$932,8,FALSE),"")</f>
        <v/>
      </c>
      <c r="K387" s="357"/>
      <c r="L387" s="230" t="str">
        <f t="shared" si="19"/>
        <v/>
      </c>
      <c r="M387" s="351"/>
      <c r="N387" s="236" t="str">
        <f t="shared" si="18"/>
        <v/>
      </c>
      <c r="O387" s="236">
        <f>M387*IFERROR(VLOOKUP($C387,Logistics!$A$1:$O$534,10,FALSE),0)</f>
        <v>0</v>
      </c>
      <c r="P387" s="238">
        <f>M387*IFERROR(VLOOKUP($C387,Logistics!$A$1:$O$534,11,FALSE),0)</f>
        <v>0</v>
      </c>
      <c r="AA387" s="247">
        <f t="shared" si="17"/>
        <v>0.4</v>
      </c>
    </row>
    <row r="388" spans="2:27" ht="15" x14ac:dyDescent="0.2">
      <c r="B388" s="225">
        <v>384</v>
      </c>
      <c r="C388" s="259"/>
      <c r="D388" s="227" t="str">
        <f>IFERROR(VLOOKUP($C388,Full_data!$B$8:$J$932,2,FALSE),"")</f>
        <v/>
      </c>
      <c r="E388" s="227" t="str">
        <f>IFERROR(VLOOKUP($C388,Full_data!$B$8:$J$932,3,FALSE),"")</f>
        <v/>
      </c>
      <c r="F388" s="226" t="str">
        <f>IFERROR(VLOOKUP($C388,Full_data!$B$8:$J$932,4,FALSE),"")</f>
        <v/>
      </c>
      <c r="G388" s="226" t="e">
        <f>VLOOKUP($C388,Full_data!$B$8:$J$932,5,FALSE)</f>
        <v>#N/A</v>
      </c>
      <c r="H388" s="226" t="e">
        <f>VLOOKUP($C388,Full_data!$B$8:$J$932,6,FALSE)</f>
        <v>#N/A</v>
      </c>
      <c r="I388" s="237" t="str">
        <f>IFERROR(VLOOKUP($C388,Full_data!$B$8:$J$932,7,FALSE),"")</f>
        <v/>
      </c>
      <c r="J388" s="355" t="str">
        <f>IFERROR(VLOOKUP($C388,Full_data!$B$8:$J$932,8,FALSE),"")</f>
        <v/>
      </c>
      <c r="K388" s="358"/>
      <c r="L388" s="229" t="str">
        <f t="shared" si="19"/>
        <v/>
      </c>
      <c r="M388" s="352"/>
      <c r="N388" s="237" t="str">
        <f t="shared" si="18"/>
        <v/>
      </c>
      <c r="O388" s="237">
        <f>M388*IFERROR(VLOOKUP($C388,Logistics!$A$1:$O$534,10,FALSE),0)</f>
        <v>0</v>
      </c>
      <c r="P388" s="239">
        <f>M388*IFERROR(VLOOKUP($C388,Logistics!$A$1:$O$534,11,FALSE),0)</f>
        <v>0</v>
      </c>
      <c r="AA388" s="247">
        <f t="shared" si="17"/>
        <v>0.4</v>
      </c>
    </row>
    <row r="389" spans="2:27" ht="15" x14ac:dyDescent="0.2">
      <c r="B389" s="223">
        <v>385</v>
      </c>
      <c r="C389" s="258"/>
      <c r="D389" s="228" t="str">
        <f>IFERROR(VLOOKUP($C389,Full_data!$B$8:$J$932,2,FALSE),"")</f>
        <v/>
      </c>
      <c r="E389" s="228" t="str">
        <f>IFERROR(VLOOKUP($C389,Full_data!$B$8:$J$932,3,FALSE),"")</f>
        <v/>
      </c>
      <c r="F389" s="224" t="str">
        <f>IFERROR(VLOOKUP($C389,Full_data!$B$8:$J$932,4,FALSE),"")</f>
        <v/>
      </c>
      <c r="G389" s="224" t="e">
        <f>VLOOKUP($C389,Full_data!$B$8:$J$932,5,FALSE)</f>
        <v>#N/A</v>
      </c>
      <c r="H389" s="224" t="e">
        <f>VLOOKUP($C389,Full_data!$B$8:$J$932,6,FALSE)</f>
        <v>#N/A</v>
      </c>
      <c r="I389" s="236" t="str">
        <f>IFERROR(VLOOKUP($C389,Full_data!$B$8:$J$932,7,FALSE),"")</f>
        <v/>
      </c>
      <c r="J389" s="354" t="str">
        <f>IFERROR(VLOOKUP($C389,Full_data!$B$8:$J$932,8,FALSE),"")</f>
        <v/>
      </c>
      <c r="K389" s="357"/>
      <c r="L389" s="230" t="str">
        <f t="shared" si="19"/>
        <v/>
      </c>
      <c r="M389" s="351"/>
      <c r="N389" s="236" t="str">
        <f t="shared" si="18"/>
        <v/>
      </c>
      <c r="O389" s="236">
        <f>M389*IFERROR(VLOOKUP($C389,Logistics!$A$1:$O$534,10,FALSE),0)</f>
        <v>0</v>
      </c>
      <c r="P389" s="238">
        <f>M389*IFERROR(VLOOKUP($C389,Logistics!$A$1:$O$534,11,FALSE),0)</f>
        <v>0</v>
      </c>
      <c r="AA389" s="247">
        <f t="shared" si="17"/>
        <v>0.4</v>
      </c>
    </row>
    <row r="390" spans="2:27" ht="15" x14ac:dyDescent="0.2">
      <c r="B390" s="225">
        <v>386</v>
      </c>
      <c r="C390" s="259"/>
      <c r="D390" s="227" t="str">
        <f>IFERROR(VLOOKUP($C390,Full_data!$B$8:$J$932,2,FALSE),"")</f>
        <v/>
      </c>
      <c r="E390" s="227" t="str">
        <f>IFERROR(VLOOKUP($C390,Full_data!$B$8:$J$932,3,FALSE),"")</f>
        <v/>
      </c>
      <c r="F390" s="226" t="str">
        <f>IFERROR(VLOOKUP($C390,Full_data!$B$8:$J$932,4,FALSE),"")</f>
        <v/>
      </c>
      <c r="G390" s="226" t="e">
        <f>VLOOKUP($C390,Full_data!$B$8:$J$932,5,FALSE)</f>
        <v>#N/A</v>
      </c>
      <c r="H390" s="226" t="e">
        <f>VLOOKUP($C390,Full_data!$B$8:$J$932,6,FALSE)</f>
        <v>#N/A</v>
      </c>
      <c r="I390" s="237" t="str">
        <f>IFERROR(VLOOKUP($C390,Full_data!$B$8:$J$932,7,FALSE),"")</f>
        <v/>
      </c>
      <c r="J390" s="355" t="str">
        <f>IFERROR(VLOOKUP($C390,Full_data!$B$8:$J$932,8,FALSE),"")</f>
        <v/>
      </c>
      <c r="K390" s="358"/>
      <c r="L390" s="229" t="str">
        <f t="shared" si="19"/>
        <v/>
      </c>
      <c r="M390" s="352"/>
      <c r="N390" s="237" t="str">
        <f t="shared" si="18"/>
        <v/>
      </c>
      <c r="O390" s="237">
        <f>M390*IFERROR(VLOOKUP($C390,Logistics!$A$1:$O$534,10,FALSE),0)</f>
        <v>0</v>
      </c>
      <c r="P390" s="239">
        <f>M390*IFERROR(VLOOKUP($C390,Logistics!$A$1:$O$534,11,FALSE),0)</f>
        <v>0</v>
      </c>
      <c r="AA390" s="247">
        <f t="shared" ref="AA390:AA453" si="20">IF(ISBLANK(K390),40%,100%)</f>
        <v>0.4</v>
      </c>
    </row>
    <row r="391" spans="2:27" ht="15" x14ac:dyDescent="0.2">
      <c r="B391" s="223">
        <v>387</v>
      </c>
      <c r="C391" s="258"/>
      <c r="D391" s="228" t="str">
        <f>IFERROR(VLOOKUP($C391,Full_data!$B$8:$J$932,2,FALSE),"")</f>
        <v/>
      </c>
      <c r="E391" s="228" t="str">
        <f>IFERROR(VLOOKUP($C391,Full_data!$B$8:$J$932,3,FALSE),"")</f>
        <v/>
      </c>
      <c r="F391" s="224" t="str">
        <f>IFERROR(VLOOKUP($C391,Full_data!$B$8:$J$932,4,FALSE),"")</f>
        <v/>
      </c>
      <c r="G391" s="224" t="e">
        <f>VLOOKUP($C391,Full_data!$B$8:$J$932,5,FALSE)</f>
        <v>#N/A</v>
      </c>
      <c r="H391" s="224" t="e">
        <f>VLOOKUP($C391,Full_data!$B$8:$J$932,6,FALSE)</f>
        <v>#N/A</v>
      </c>
      <c r="I391" s="236" t="str">
        <f>IFERROR(VLOOKUP($C391,Full_data!$B$8:$J$932,7,FALSE),"")</f>
        <v/>
      </c>
      <c r="J391" s="354" t="str">
        <f>IFERROR(VLOOKUP($C391,Full_data!$B$8:$J$932,8,FALSE),"")</f>
        <v/>
      </c>
      <c r="K391" s="357"/>
      <c r="L391" s="230" t="str">
        <f t="shared" si="19"/>
        <v/>
      </c>
      <c r="M391" s="351"/>
      <c r="N391" s="236" t="str">
        <f t="shared" si="18"/>
        <v/>
      </c>
      <c r="O391" s="236">
        <f>M391*IFERROR(VLOOKUP($C391,Logistics!$A$1:$O$534,10,FALSE),0)</f>
        <v>0</v>
      </c>
      <c r="P391" s="238">
        <f>M391*IFERROR(VLOOKUP($C391,Logistics!$A$1:$O$534,11,FALSE),0)</f>
        <v>0</v>
      </c>
      <c r="AA391" s="247">
        <f t="shared" si="20"/>
        <v>0.4</v>
      </c>
    </row>
    <row r="392" spans="2:27" ht="15" x14ac:dyDescent="0.2">
      <c r="B392" s="225">
        <v>388</v>
      </c>
      <c r="C392" s="259"/>
      <c r="D392" s="227" t="str">
        <f>IFERROR(VLOOKUP($C392,Full_data!$B$8:$J$932,2,FALSE),"")</f>
        <v/>
      </c>
      <c r="E392" s="227" t="str">
        <f>IFERROR(VLOOKUP($C392,Full_data!$B$8:$J$932,3,FALSE),"")</f>
        <v/>
      </c>
      <c r="F392" s="226" t="str">
        <f>IFERROR(VLOOKUP($C392,Full_data!$B$8:$J$932,4,FALSE),"")</f>
        <v/>
      </c>
      <c r="G392" s="226" t="e">
        <f>VLOOKUP($C392,Full_data!$B$8:$J$932,5,FALSE)</f>
        <v>#N/A</v>
      </c>
      <c r="H392" s="226" t="e">
        <f>VLOOKUP($C392,Full_data!$B$8:$J$932,6,FALSE)</f>
        <v>#N/A</v>
      </c>
      <c r="I392" s="237" t="str">
        <f>IFERROR(VLOOKUP($C392,Full_data!$B$8:$J$932,7,FALSE),"")</f>
        <v/>
      </c>
      <c r="J392" s="355" t="str">
        <f>IFERROR(VLOOKUP($C392,Full_data!$B$8:$J$932,8,FALSE),"")</f>
        <v/>
      </c>
      <c r="K392" s="358"/>
      <c r="L392" s="229" t="str">
        <f t="shared" si="19"/>
        <v/>
      </c>
      <c r="M392" s="352"/>
      <c r="N392" s="237" t="str">
        <f t="shared" si="18"/>
        <v/>
      </c>
      <c r="O392" s="237">
        <f>M392*IFERROR(VLOOKUP($C392,Logistics!$A$1:$O$534,10,FALSE),0)</f>
        <v>0</v>
      </c>
      <c r="P392" s="239">
        <f>M392*IFERROR(VLOOKUP($C392,Logistics!$A$1:$O$534,11,FALSE),0)</f>
        <v>0</v>
      </c>
      <c r="AA392" s="247">
        <f t="shared" si="20"/>
        <v>0.4</v>
      </c>
    </row>
    <row r="393" spans="2:27" ht="15" x14ac:dyDescent="0.2">
      <c r="B393" s="223">
        <v>389</v>
      </c>
      <c r="C393" s="258"/>
      <c r="D393" s="228" t="str">
        <f>IFERROR(VLOOKUP($C393,Full_data!$B$8:$J$932,2,FALSE),"")</f>
        <v/>
      </c>
      <c r="E393" s="228" t="str">
        <f>IFERROR(VLOOKUP($C393,Full_data!$B$8:$J$932,3,FALSE),"")</f>
        <v/>
      </c>
      <c r="F393" s="224" t="str">
        <f>IFERROR(VLOOKUP($C393,Full_data!$B$8:$J$932,4,FALSE),"")</f>
        <v/>
      </c>
      <c r="G393" s="224" t="e">
        <f>VLOOKUP($C393,Full_data!$B$8:$J$932,5,FALSE)</f>
        <v>#N/A</v>
      </c>
      <c r="H393" s="224" t="e">
        <f>VLOOKUP($C393,Full_data!$B$8:$J$932,6,FALSE)</f>
        <v>#N/A</v>
      </c>
      <c r="I393" s="236" t="str">
        <f>IFERROR(VLOOKUP($C393,Full_data!$B$8:$J$932,7,FALSE),"")</f>
        <v/>
      </c>
      <c r="J393" s="354" t="str">
        <f>IFERROR(VLOOKUP($C393,Full_data!$B$8:$J$932,8,FALSE),"")</f>
        <v/>
      </c>
      <c r="K393" s="357"/>
      <c r="L393" s="230" t="str">
        <f t="shared" si="19"/>
        <v/>
      </c>
      <c r="M393" s="351"/>
      <c r="N393" s="236" t="str">
        <f t="shared" ref="N393:N456" si="21">IF(ISERROR(L393*M393),"",(L393*M393))</f>
        <v/>
      </c>
      <c r="O393" s="236">
        <f>M393*IFERROR(VLOOKUP($C393,Logistics!$A$1:$O$534,10,FALSE),0)</f>
        <v>0</v>
      </c>
      <c r="P393" s="238">
        <f>M393*IFERROR(VLOOKUP($C393,Logistics!$A$1:$O$534,11,FALSE),0)</f>
        <v>0</v>
      </c>
      <c r="AA393" s="247">
        <f t="shared" si="20"/>
        <v>0.4</v>
      </c>
    </row>
    <row r="394" spans="2:27" ht="15" x14ac:dyDescent="0.2">
      <c r="B394" s="225">
        <v>390</v>
      </c>
      <c r="C394" s="259"/>
      <c r="D394" s="227" t="str">
        <f>IFERROR(VLOOKUP($C394,Full_data!$B$8:$J$932,2,FALSE),"")</f>
        <v/>
      </c>
      <c r="E394" s="227" t="str">
        <f>IFERROR(VLOOKUP($C394,Full_data!$B$8:$J$932,3,FALSE),"")</f>
        <v/>
      </c>
      <c r="F394" s="226" t="str">
        <f>IFERROR(VLOOKUP($C394,Full_data!$B$8:$J$932,4,FALSE),"")</f>
        <v/>
      </c>
      <c r="G394" s="226" t="e">
        <f>VLOOKUP($C394,Full_data!$B$8:$J$932,5,FALSE)</f>
        <v>#N/A</v>
      </c>
      <c r="H394" s="226" t="e">
        <f>VLOOKUP($C394,Full_data!$B$8:$J$932,6,FALSE)</f>
        <v>#N/A</v>
      </c>
      <c r="I394" s="237" t="str">
        <f>IFERROR(VLOOKUP($C394,Full_data!$B$8:$J$932,7,FALSE),"")</f>
        <v/>
      </c>
      <c r="J394" s="355" t="str">
        <f>IFERROR(VLOOKUP($C394,Full_data!$B$8:$J$932,8,FALSE),"")</f>
        <v/>
      </c>
      <c r="K394" s="358"/>
      <c r="L394" s="229" t="str">
        <f t="shared" si="19"/>
        <v/>
      </c>
      <c r="M394" s="352"/>
      <c r="N394" s="237" t="str">
        <f t="shared" si="21"/>
        <v/>
      </c>
      <c r="O394" s="237">
        <f>M394*IFERROR(VLOOKUP($C394,Logistics!$A$1:$O$534,10,FALSE),0)</f>
        <v>0</v>
      </c>
      <c r="P394" s="239">
        <f>M394*IFERROR(VLOOKUP($C394,Logistics!$A$1:$O$534,11,FALSE),0)</f>
        <v>0</v>
      </c>
      <c r="AA394" s="247">
        <f t="shared" si="20"/>
        <v>0.4</v>
      </c>
    </row>
    <row r="395" spans="2:27" ht="15" x14ac:dyDescent="0.2">
      <c r="B395" s="223">
        <v>391</v>
      </c>
      <c r="C395" s="258"/>
      <c r="D395" s="228" t="str">
        <f>IFERROR(VLOOKUP($C395,Full_data!$B$8:$J$932,2,FALSE),"")</f>
        <v/>
      </c>
      <c r="E395" s="228" t="str">
        <f>IFERROR(VLOOKUP($C395,Full_data!$B$8:$J$932,3,FALSE),"")</f>
        <v/>
      </c>
      <c r="F395" s="224" t="str">
        <f>IFERROR(VLOOKUP($C395,Full_data!$B$8:$J$932,4,FALSE),"")</f>
        <v/>
      </c>
      <c r="G395" s="224" t="e">
        <f>VLOOKUP($C395,Full_data!$B$8:$J$932,5,FALSE)</f>
        <v>#N/A</v>
      </c>
      <c r="H395" s="224" t="e">
        <f>VLOOKUP($C395,Full_data!$B$8:$J$932,6,FALSE)</f>
        <v>#N/A</v>
      </c>
      <c r="I395" s="236" t="str">
        <f>IFERROR(VLOOKUP($C395,Full_data!$B$8:$J$932,7,FALSE),"")</f>
        <v/>
      </c>
      <c r="J395" s="354" t="str">
        <f>IFERROR(VLOOKUP($C395,Full_data!$B$8:$J$932,8,FALSE),"")</f>
        <v/>
      </c>
      <c r="K395" s="357"/>
      <c r="L395" s="230" t="str">
        <f t="shared" si="19"/>
        <v/>
      </c>
      <c r="M395" s="351"/>
      <c r="N395" s="236" t="str">
        <f t="shared" si="21"/>
        <v/>
      </c>
      <c r="O395" s="236">
        <f>M395*IFERROR(VLOOKUP($C395,Logistics!$A$1:$O$534,10,FALSE),0)</f>
        <v>0</v>
      </c>
      <c r="P395" s="238">
        <f>M395*IFERROR(VLOOKUP($C395,Logistics!$A$1:$O$534,11,FALSE),0)</f>
        <v>0</v>
      </c>
      <c r="AA395" s="247">
        <f t="shared" si="20"/>
        <v>0.4</v>
      </c>
    </row>
    <row r="396" spans="2:27" ht="15" x14ac:dyDescent="0.2">
      <c r="B396" s="225">
        <v>392</v>
      </c>
      <c r="C396" s="259"/>
      <c r="D396" s="227" t="str">
        <f>IFERROR(VLOOKUP($C396,Full_data!$B$8:$J$932,2,FALSE),"")</f>
        <v/>
      </c>
      <c r="E396" s="227" t="str">
        <f>IFERROR(VLOOKUP($C396,Full_data!$B$8:$J$932,3,FALSE),"")</f>
        <v/>
      </c>
      <c r="F396" s="226" t="str">
        <f>IFERROR(VLOOKUP($C396,Full_data!$B$8:$J$932,4,FALSE),"")</f>
        <v/>
      </c>
      <c r="G396" s="226" t="e">
        <f>VLOOKUP($C396,Full_data!$B$8:$J$932,5,FALSE)</f>
        <v>#N/A</v>
      </c>
      <c r="H396" s="226" t="e">
        <f>VLOOKUP($C396,Full_data!$B$8:$J$932,6,FALSE)</f>
        <v>#N/A</v>
      </c>
      <c r="I396" s="237" t="str">
        <f>IFERROR(VLOOKUP($C396,Full_data!$B$8:$J$932,7,FALSE),"")</f>
        <v/>
      </c>
      <c r="J396" s="355" t="str">
        <f>IFERROR(VLOOKUP($C396,Full_data!$B$8:$J$932,8,FALSE),"")</f>
        <v/>
      </c>
      <c r="K396" s="358"/>
      <c r="L396" s="229" t="str">
        <f t="shared" si="19"/>
        <v/>
      </c>
      <c r="M396" s="352"/>
      <c r="N396" s="237" t="str">
        <f t="shared" si="21"/>
        <v/>
      </c>
      <c r="O396" s="237">
        <f>M396*IFERROR(VLOOKUP($C396,Logistics!$A$1:$O$534,10,FALSE),0)</f>
        <v>0</v>
      </c>
      <c r="P396" s="239">
        <f>M396*IFERROR(VLOOKUP($C396,Logistics!$A$1:$O$534,11,FALSE),0)</f>
        <v>0</v>
      </c>
      <c r="AA396" s="247">
        <f t="shared" si="20"/>
        <v>0.4</v>
      </c>
    </row>
    <row r="397" spans="2:27" ht="15" x14ac:dyDescent="0.2">
      <c r="B397" s="223">
        <v>393</v>
      </c>
      <c r="C397" s="258"/>
      <c r="D397" s="228" t="str">
        <f>IFERROR(VLOOKUP($C397,Full_data!$B$8:$J$932,2,FALSE),"")</f>
        <v/>
      </c>
      <c r="E397" s="228" t="str">
        <f>IFERROR(VLOOKUP($C397,Full_data!$B$8:$J$932,3,FALSE),"")</f>
        <v/>
      </c>
      <c r="F397" s="224" t="str">
        <f>IFERROR(VLOOKUP($C397,Full_data!$B$8:$J$932,4,FALSE),"")</f>
        <v/>
      </c>
      <c r="G397" s="224" t="e">
        <f>VLOOKUP($C397,Full_data!$B$8:$J$932,5,FALSE)</f>
        <v>#N/A</v>
      </c>
      <c r="H397" s="224" t="e">
        <f>VLOOKUP($C397,Full_data!$B$8:$J$932,6,FALSE)</f>
        <v>#N/A</v>
      </c>
      <c r="I397" s="236" t="str">
        <f>IFERROR(VLOOKUP($C397,Full_data!$B$8:$J$932,7,FALSE),"")</f>
        <v/>
      </c>
      <c r="J397" s="354" t="str">
        <f>IFERROR(VLOOKUP($C397,Full_data!$B$8:$J$932,8,FALSE),"")</f>
        <v/>
      </c>
      <c r="K397" s="357"/>
      <c r="L397" s="230" t="str">
        <f t="shared" si="19"/>
        <v/>
      </c>
      <c r="M397" s="351"/>
      <c r="N397" s="236" t="str">
        <f t="shared" si="21"/>
        <v/>
      </c>
      <c r="O397" s="236">
        <f>M397*IFERROR(VLOOKUP($C397,Logistics!$A$1:$O$534,10,FALSE),0)</f>
        <v>0</v>
      </c>
      <c r="P397" s="238">
        <f>M397*IFERROR(VLOOKUP($C397,Logistics!$A$1:$O$534,11,FALSE),0)</f>
        <v>0</v>
      </c>
      <c r="AA397" s="247">
        <f t="shared" si="20"/>
        <v>0.4</v>
      </c>
    </row>
    <row r="398" spans="2:27" ht="15" x14ac:dyDescent="0.2">
      <c r="B398" s="225">
        <v>394</v>
      </c>
      <c r="C398" s="259"/>
      <c r="D398" s="227" t="str">
        <f>IFERROR(VLOOKUP($C398,Full_data!$B$8:$J$932,2,FALSE),"")</f>
        <v/>
      </c>
      <c r="E398" s="227" t="str">
        <f>IFERROR(VLOOKUP($C398,Full_data!$B$8:$J$932,3,FALSE),"")</f>
        <v/>
      </c>
      <c r="F398" s="226" t="str">
        <f>IFERROR(VLOOKUP($C398,Full_data!$B$8:$J$932,4,FALSE),"")</f>
        <v/>
      </c>
      <c r="G398" s="226" t="e">
        <f>VLOOKUP($C398,Full_data!$B$8:$J$932,5,FALSE)</f>
        <v>#N/A</v>
      </c>
      <c r="H398" s="226" t="e">
        <f>VLOOKUP($C398,Full_data!$B$8:$J$932,6,FALSE)</f>
        <v>#N/A</v>
      </c>
      <c r="I398" s="237" t="str">
        <f>IFERROR(VLOOKUP($C398,Full_data!$B$8:$J$932,7,FALSE),"")</f>
        <v/>
      </c>
      <c r="J398" s="355" t="str">
        <f>IFERROR(VLOOKUP($C398,Full_data!$B$8:$J$932,8,FALSE),"")</f>
        <v/>
      </c>
      <c r="K398" s="358"/>
      <c r="L398" s="229" t="str">
        <f t="shared" si="19"/>
        <v/>
      </c>
      <c r="M398" s="352"/>
      <c r="N398" s="237" t="str">
        <f t="shared" si="21"/>
        <v/>
      </c>
      <c r="O398" s="237">
        <f>M398*IFERROR(VLOOKUP($C398,Logistics!$A$1:$O$534,10,FALSE),0)</f>
        <v>0</v>
      </c>
      <c r="P398" s="239">
        <f>M398*IFERROR(VLOOKUP($C398,Logistics!$A$1:$O$534,11,FALSE),0)</f>
        <v>0</v>
      </c>
      <c r="AA398" s="247">
        <f t="shared" si="20"/>
        <v>0.4</v>
      </c>
    </row>
    <row r="399" spans="2:27" ht="15" x14ac:dyDescent="0.2">
      <c r="B399" s="223">
        <v>395</v>
      </c>
      <c r="C399" s="258"/>
      <c r="D399" s="228" t="str">
        <f>IFERROR(VLOOKUP($C399,Full_data!$B$8:$J$932,2,FALSE),"")</f>
        <v/>
      </c>
      <c r="E399" s="228" t="str">
        <f>IFERROR(VLOOKUP($C399,Full_data!$B$8:$J$932,3,FALSE),"")</f>
        <v/>
      </c>
      <c r="F399" s="224" t="str">
        <f>IFERROR(VLOOKUP($C399,Full_data!$B$8:$J$932,4,FALSE),"")</f>
        <v/>
      </c>
      <c r="G399" s="224" t="e">
        <f>VLOOKUP($C399,Full_data!$B$8:$J$932,5,FALSE)</f>
        <v>#N/A</v>
      </c>
      <c r="H399" s="224" t="e">
        <f>VLOOKUP($C399,Full_data!$B$8:$J$932,6,FALSE)</f>
        <v>#N/A</v>
      </c>
      <c r="I399" s="236" t="str">
        <f>IFERROR(VLOOKUP($C399,Full_data!$B$8:$J$932,7,FALSE),"")</f>
        <v/>
      </c>
      <c r="J399" s="354" t="str">
        <f>IFERROR(VLOOKUP($C399,Full_data!$B$8:$J$932,8,FALSE),"")</f>
        <v/>
      </c>
      <c r="K399" s="357"/>
      <c r="L399" s="230" t="str">
        <f t="shared" si="19"/>
        <v/>
      </c>
      <c r="M399" s="351"/>
      <c r="N399" s="236" t="str">
        <f t="shared" si="21"/>
        <v/>
      </c>
      <c r="O399" s="236">
        <f>M399*IFERROR(VLOOKUP($C399,Logistics!$A$1:$O$534,10,FALSE),0)</f>
        <v>0</v>
      </c>
      <c r="P399" s="238">
        <f>M399*IFERROR(VLOOKUP($C399,Logistics!$A$1:$O$534,11,FALSE),0)</f>
        <v>0</v>
      </c>
      <c r="AA399" s="247">
        <f t="shared" si="20"/>
        <v>0.4</v>
      </c>
    </row>
    <row r="400" spans="2:27" ht="15" x14ac:dyDescent="0.2">
      <c r="B400" s="225">
        <v>396</v>
      </c>
      <c r="C400" s="259"/>
      <c r="D400" s="227" t="str">
        <f>IFERROR(VLOOKUP($C400,Full_data!$B$8:$J$932,2,FALSE),"")</f>
        <v/>
      </c>
      <c r="E400" s="227" t="str">
        <f>IFERROR(VLOOKUP($C400,Full_data!$B$8:$J$932,3,FALSE),"")</f>
        <v/>
      </c>
      <c r="F400" s="226" t="str">
        <f>IFERROR(VLOOKUP($C400,Full_data!$B$8:$J$932,4,FALSE),"")</f>
        <v/>
      </c>
      <c r="G400" s="226" t="e">
        <f>VLOOKUP($C400,Full_data!$B$8:$J$932,5,FALSE)</f>
        <v>#N/A</v>
      </c>
      <c r="H400" s="226" t="e">
        <f>VLOOKUP($C400,Full_data!$B$8:$J$932,6,FALSE)</f>
        <v>#N/A</v>
      </c>
      <c r="I400" s="237" t="str">
        <f>IFERROR(VLOOKUP($C400,Full_data!$B$8:$J$932,7,FALSE),"")</f>
        <v/>
      </c>
      <c r="J400" s="355" t="str">
        <f>IFERROR(VLOOKUP($C400,Full_data!$B$8:$J$932,8,FALSE),"")</f>
        <v/>
      </c>
      <c r="K400" s="358"/>
      <c r="L400" s="229" t="str">
        <f t="shared" si="19"/>
        <v/>
      </c>
      <c r="M400" s="352"/>
      <c r="N400" s="237" t="str">
        <f t="shared" si="21"/>
        <v/>
      </c>
      <c r="O400" s="237">
        <f>M400*IFERROR(VLOOKUP($C400,Logistics!$A$1:$O$534,10,FALSE),0)</f>
        <v>0</v>
      </c>
      <c r="P400" s="239">
        <f>M400*IFERROR(VLOOKUP($C400,Logistics!$A$1:$O$534,11,FALSE),0)</f>
        <v>0</v>
      </c>
      <c r="AA400" s="247">
        <f t="shared" si="20"/>
        <v>0.4</v>
      </c>
    </row>
    <row r="401" spans="2:27" ht="15" x14ac:dyDescent="0.2">
      <c r="B401" s="223">
        <v>397</v>
      </c>
      <c r="C401" s="258"/>
      <c r="D401" s="228" t="str">
        <f>IFERROR(VLOOKUP($C401,Full_data!$B$8:$J$932,2,FALSE),"")</f>
        <v/>
      </c>
      <c r="E401" s="228" t="str">
        <f>IFERROR(VLOOKUP($C401,Full_data!$B$8:$J$932,3,FALSE),"")</f>
        <v/>
      </c>
      <c r="F401" s="224" t="str">
        <f>IFERROR(VLOOKUP($C401,Full_data!$B$8:$J$932,4,FALSE),"")</f>
        <v/>
      </c>
      <c r="G401" s="224" t="e">
        <f>VLOOKUP($C401,Full_data!$B$8:$J$932,5,FALSE)</f>
        <v>#N/A</v>
      </c>
      <c r="H401" s="224" t="e">
        <f>VLOOKUP($C401,Full_data!$B$8:$J$932,6,FALSE)</f>
        <v>#N/A</v>
      </c>
      <c r="I401" s="236" t="str">
        <f>IFERROR(VLOOKUP($C401,Full_data!$B$8:$J$932,7,FALSE),"")</f>
        <v/>
      </c>
      <c r="J401" s="354" t="str">
        <f>IFERROR(VLOOKUP($C401,Full_data!$B$8:$J$932,8,FALSE),"")</f>
        <v/>
      </c>
      <c r="K401" s="357"/>
      <c r="L401" s="230" t="str">
        <f t="shared" si="19"/>
        <v/>
      </c>
      <c r="M401" s="351"/>
      <c r="N401" s="236" t="str">
        <f t="shared" si="21"/>
        <v/>
      </c>
      <c r="O401" s="236">
        <f>M401*IFERROR(VLOOKUP($C401,Logistics!$A$1:$O$534,10,FALSE),0)</f>
        <v>0</v>
      </c>
      <c r="P401" s="238">
        <f>M401*IFERROR(VLOOKUP($C401,Logistics!$A$1:$O$534,11,FALSE),0)</f>
        <v>0</v>
      </c>
      <c r="AA401" s="247">
        <f t="shared" si="20"/>
        <v>0.4</v>
      </c>
    </row>
    <row r="402" spans="2:27" ht="15" x14ac:dyDescent="0.2">
      <c r="B402" s="225">
        <v>398</v>
      </c>
      <c r="C402" s="259"/>
      <c r="D402" s="227" t="str">
        <f>IFERROR(VLOOKUP($C402,Full_data!$B$8:$J$932,2,FALSE),"")</f>
        <v/>
      </c>
      <c r="E402" s="227" t="str">
        <f>IFERROR(VLOOKUP($C402,Full_data!$B$8:$J$932,3,FALSE),"")</f>
        <v/>
      </c>
      <c r="F402" s="226" t="str">
        <f>IFERROR(VLOOKUP($C402,Full_data!$B$8:$J$932,4,FALSE),"")</f>
        <v/>
      </c>
      <c r="G402" s="226" t="e">
        <f>VLOOKUP($C402,Full_data!$B$8:$J$932,5,FALSE)</f>
        <v>#N/A</v>
      </c>
      <c r="H402" s="226" t="e">
        <f>VLOOKUP($C402,Full_data!$B$8:$J$932,6,FALSE)</f>
        <v>#N/A</v>
      </c>
      <c r="I402" s="237" t="str">
        <f>IFERROR(VLOOKUP($C402,Full_data!$B$8:$J$932,7,FALSE),"")</f>
        <v/>
      </c>
      <c r="J402" s="355" t="str">
        <f>IFERROR(VLOOKUP($C402,Full_data!$B$8:$J$932,8,FALSE),"")</f>
        <v/>
      </c>
      <c r="K402" s="358"/>
      <c r="L402" s="229" t="str">
        <f t="shared" si="19"/>
        <v/>
      </c>
      <c r="M402" s="352"/>
      <c r="N402" s="237" t="str">
        <f t="shared" si="21"/>
        <v/>
      </c>
      <c r="O402" s="237">
        <f>M402*IFERROR(VLOOKUP($C402,Logistics!$A$1:$O$534,10,FALSE),0)</f>
        <v>0</v>
      </c>
      <c r="P402" s="239">
        <f>M402*IFERROR(VLOOKUP($C402,Logistics!$A$1:$O$534,11,FALSE),0)</f>
        <v>0</v>
      </c>
      <c r="AA402" s="247">
        <f t="shared" si="20"/>
        <v>0.4</v>
      </c>
    </row>
    <row r="403" spans="2:27" ht="15" x14ac:dyDescent="0.2">
      <c r="B403" s="223">
        <v>399</v>
      </c>
      <c r="C403" s="258"/>
      <c r="D403" s="228" t="str">
        <f>IFERROR(VLOOKUP($C403,Full_data!$B$8:$J$932,2,FALSE),"")</f>
        <v/>
      </c>
      <c r="E403" s="228" t="str">
        <f>IFERROR(VLOOKUP($C403,Full_data!$B$8:$J$932,3,FALSE),"")</f>
        <v/>
      </c>
      <c r="F403" s="224" t="str">
        <f>IFERROR(VLOOKUP($C403,Full_data!$B$8:$J$932,4,FALSE),"")</f>
        <v/>
      </c>
      <c r="G403" s="224" t="e">
        <f>VLOOKUP($C403,Full_data!$B$8:$J$932,5,FALSE)</f>
        <v>#N/A</v>
      </c>
      <c r="H403" s="224" t="e">
        <f>VLOOKUP($C403,Full_data!$B$8:$J$932,6,FALSE)</f>
        <v>#N/A</v>
      </c>
      <c r="I403" s="236" t="str">
        <f>IFERROR(VLOOKUP($C403,Full_data!$B$8:$J$932,7,FALSE),"")</f>
        <v/>
      </c>
      <c r="J403" s="354" t="str">
        <f>IFERROR(VLOOKUP($C403,Full_data!$B$8:$J$932,8,FALSE),"")</f>
        <v/>
      </c>
      <c r="K403" s="357"/>
      <c r="L403" s="230" t="str">
        <f t="shared" si="19"/>
        <v/>
      </c>
      <c r="M403" s="351"/>
      <c r="N403" s="236" t="str">
        <f t="shared" si="21"/>
        <v/>
      </c>
      <c r="O403" s="236">
        <f>M403*IFERROR(VLOOKUP($C403,Logistics!$A$1:$O$534,10,FALSE),0)</f>
        <v>0</v>
      </c>
      <c r="P403" s="238">
        <f>M403*IFERROR(VLOOKUP($C403,Logistics!$A$1:$O$534,11,FALSE),0)</f>
        <v>0</v>
      </c>
      <c r="AA403" s="247">
        <f t="shared" si="20"/>
        <v>0.4</v>
      </c>
    </row>
    <row r="404" spans="2:27" ht="15" x14ac:dyDescent="0.2">
      <c r="B404" s="225">
        <v>400</v>
      </c>
      <c r="C404" s="259"/>
      <c r="D404" s="227" t="str">
        <f>IFERROR(VLOOKUP($C404,Full_data!$B$8:$J$932,2,FALSE),"")</f>
        <v/>
      </c>
      <c r="E404" s="227" t="str">
        <f>IFERROR(VLOOKUP($C404,Full_data!$B$8:$J$932,3,FALSE),"")</f>
        <v/>
      </c>
      <c r="F404" s="226" t="str">
        <f>IFERROR(VLOOKUP($C404,Full_data!$B$8:$J$932,4,FALSE),"")</f>
        <v/>
      </c>
      <c r="G404" s="226" t="e">
        <f>VLOOKUP($C404,Full_data!$B$8:$J$932,5,FALSE)</f>
        <v>#N/A</v>
      </c>
      <c r="H404" s="226" t="e">
        <f>VLOOKUP($C404,Full_data!$B$8:$J$932,6,FALSE)</f>
        <v>#N/A</v>
      </c>
      <c r="I404" s="237" t="str">
        <f>IFERROR(VLOOKUP($C404,Full_data!$B$8:$J$932,7,FALSE),"")</f>
        <v/>
      </c>
      <c r="J404" s="355" t="str">
        <f>IFERROR(VLOOKUP($C404,Full_data!$B$8:$J$932,8,FALSE),"")</f>
        <v/>
      </c>
      <c r="K404" s="358"/>
      <c r="L404" s="229" t="str">
        <f t="shared" si="19"/>
        <v/>
      </c>
      <c r="M404" s="352"/>
      <c r="N404" s="237" t="str">
        <f t="shared" si="21"/>
        <v/>
      </c>
      <c r="O404" s="237">
        <f>M404*IFERROR(VLOOKUP($C404,Logistics!$A$1:$O$534,10,FALSE),0)</f>
        <v>0</v>
      </c>
      <c r="P404" s="239">
        <f>M404*IFERROR(VLOOKUP($C404,Logistics!$A$1:$O$534,11,FALSE),0)</f>
        <v>0</v>
      </c>
      <c r="AA404" s="247">
        <f t="shared" si="20"/>
        <v>0.4</v>
      </c>
    </row>
    <row r="405" spans="2:27" ht="15" x14ac:dyDescent="0.2">
      <c r="B405" s="223">
        <v>401</v>
      </c>
      <c r="C405" s="258"/>
      <c r="D405" s="228" t="str">
        <f>IFERROR(VLOOKUP($C405,Full_data!$B$8:$J$932,2,FALSE),"")</f>
        <v/>
      </c>
      <c r="E405" s="228" t="str">
        <f>IFERROR(VLOOKUP($C405,Full_data!$B$8:$J$932,3,FALSE),"")</f>
        <v/>
      </c>
      <c r="F405" s="224" t="str">
        <f>IFERROR(VLOOKUP($C405,Full_data!$B$8:$J$932,4,FALSE),"")</f>
        <v/>
      </c>
      <c r="G405" s="224" t="e">
        <f>VLOOKUP($C405,Full_data!$B$8:$J$932,5,FALSE)</f>
        <v>#N/A</v>
      </c>
      <c r="H405" s="224" t="e">
        <f>VLOOKUP($C405,Full_data!$B$8:$J$932,6,FALSE)</f>
        <v>#N/A</v>
      </c>
      <c r="I405" s="236" t="str">
        <f>IFERROR(VLOOKUP($C405,Full_data!$B$8:$J$932,7,FALSE),"")</f>
        <v/>
      </c>
      <c r="J405" s="354" t="str">
        <f>IFERROR(VLOOKUP($C405,Full_data!$B$8:$J$932,8,FALSE),"")</f>
        <v/>
      </c>
      <c r="K405" s="357"/>
      <c r="L405" s="230" t="str">
        <f t="shared" si="19"/>
        <v/>
      </c>
      <c r="M405" s="351"/>
      <c r="N405" s="236" t="str">
        <f t="shared" si="21"/>
        <v/>
      </c>
      <c r="O405" s="236">
        <f>M405*IFERROR(VLOOKUP($C405,Logistics!$A$1:$O$534,10,FALSE),0)</f>
        <v>0</v>
      </c>
      <c r="P405" s="238">
        <f>M405*IFERROR(VLOOKUP($C405,Logistics!$A$1:$O$534,11,FALSE),0)</f>
        <v>0</v>
      </c>
      <c r="AA405" s="247">
        <f t="shared" si="20"/>
        <v>0.4</v>
      </c>
    </row>
    <row r="406" spans="2:27" ht="15" x14ac:dyDescent="0.2">
      <c r="B406" s="225">
        <v>402</v>
      </c>
      <c r="C406" s="259"/>
      <c r="D406" s="227" t="str">
        <f>IFERROR(VLOOKUP($C406,Full_data!$B$8:$J$932,2,FALSE),"")</f>
        <v/>
      </c>
      <c r="E406" s="227" t="str">
        <f>IFERROR(VLOOKUP($C406,Full_data!$B$8:$J$932,3,FALSE),"")</f>
        <v/>
      </c>
      <c r="F406" s="226" t="str">
        <f>IFERROR(VLOOKUP($C406,Full_data!$B$8:$J$932,4,FALSE),"")</f>
        <v/>
      </c>
      <c r="G406" s="226" t="e">
        <f>VLOOKUP($C406,Full_data!$B$8:$J$932,5,FALSE)</f>
        <v>#N/A</v>
      </c>
      <c r="H406" s="226" t="e">
        <f>VLOOKUP($C406,Full_data!$B$8:$J$932,6,FALSE)</f>
        <v>#N/A</v>
      </c>
      <c r="I406" s="237" t="str">
        <f>IFERROR(VLOOKUP($C406,Full_data!$B$8:$J$932,7,FALSE),"")</f>
        <v/>
      </c>
      <c r="J406" s="355" t="str">
        <f>IFERROR(VLOOKUP($C406,Full_data!$B$8:$J$932,8,FALSE),"")</f>
        <v/>
      </c>
      <c r="K406" s="358"/>
      <c r="L406" s="229" t="str">
        <f t="shared" si="19"/>
        <v/>
      </c>
      <c r="M406" s="352"/>
      <c r="N406" s="237" t="str">
        <f t="shared" si="21"/>
        <v/>
      </c>
      <c r="O406" s="237">
        <f>M406*IFERROR(VLOOKUP($C406,Logistics!$A$1:$O$534,10,FALSE),0)</f>
        <v>0</v>
      </c>
      <c r="P406" s="239">
        <f>M406*IFERROR(VLOOKUP($C406,Logistics!$A$1:$O$534,11,FALSE),0)</f>
        <v>0</v>
      </c>
      <c r="AA406" s="247">
        <f t="shared" si="20"/>
        <v>0.4</v>
      </c>
    </row>
    <row r="407" spans="2:27" ht="15" x14ac:dyDescent="0.2">
      <c r="B407" s="223">
        <v>403</v>
      </c>
      <c r="C407" s="258"/>
      <c r="D407" s="228" t="str">
        <f>IFERROR(VLOOKUP($C407,Full_data!$B$8:$J$932,2,FALSE),"")</f>
        <v/>
      </c>
      <c r="E407" s="228" t="str">
        <f>IFERROR(VLOOKUP($C407,Full_data!$B$8:$J$932,3,FALSE),"")</f>
        <v/>
      </c>
      <c r="F407" s="224" t="str">
        <f>IFERROR(VLOOKUP($C407,Full_data!$B$8:$J$932,4,FALSE),"")</f>
        <v/>
      </c>
      <c r="G407" s="224" t="e">
        <f>VLOOKUP($C407,Full_data!$B$8:$J$932,5,FALSE)</f>
        <v>#N/A</v>
      </c>
      <c r="H407" s="224" t="e">
        <f>VLOOKUP($C407,Full_data!$B$8:$J$932,6,FALSE)</f>
        <v>#N/A</v>
      </c>
      <c r="I407" s="236" t="str">
        <f>IFERROR(VLOOKUP($C407,Full_data!$B$8:$J$932,7,FALSE),"")</f>
        <v/>
      </c>
      <c r="J407" s="354" t="str">
        <f>IFERROR(VLOOKUP($C407,Full_data!$B$8:$J$932,8,FALSE),"")</f>
        <v/>
      </c>
      <c r="K407" s="357"/>
      <c r="L407" s="230" t="str">
        <f t="shared" si="19"/>
        <v/>
      </c>
      <c r="M407" s="351"/>
      <c r="N407" s="236" t="str">
        <f t="shared" si="21"/>
        <v/>
      </c>
      <c r="O407" s="236">
        <f>M407*IFERROR(VLOOKUP($C407,Logistics!$A$1:$O$534,10,FALSE),0)</f>
        <v>0</v>
      </c>
      <c r="P407" s="238">
        <f>M407*IFERROR(VLOOKUP($C407,Logistics!$A$1:$O$534,11,FALSE),0)</f>
        <v>0</v>
      </c>
      <c r="AA407" s="247">
        <f t="shared" si="20"/>
        <v>0.4</v>
      </c>
    </row>
    <row r="408" spans="2:27" ht="15" x14ac:dyDescent="0.2">
      <c r="B408" s="225">
        <v>404</v>
      </c>
      <c r="C408" s="259"/>
      <c r="D408" s="227" t="str">
        <f>IFERROR(VLOOKUP($C408,Full_data!$B$8:$J$932,2,FALSE),"")</f>
        <v/>
      </c>
      <c r="E408" s="227" t="str">
        <f>IFERROR(VLOOKUP($C408,Full_data!$B$8:$J$932,3,FALSE),"")</f>
        <v/>
      </c>
      <c r="F408" s="226" t="str">
        <f>IFERROR(VLOOKUP($C408,Full_data!$B$8:$J$932,4,FALSE),"")</f>
        <v/>
      </c>
      <c r="G408" s="226" t="e">
        <f>VLOOKUP($C408,Full_data!$B$8:$J$932,5,FALSE)</f>
        <v>#N/A</v>
      </c>
      <c r="H408" s="226" t="e">
        <f>VLOOKUP($C408,Full_data!$B$8:$J$932,6,FALSE)</f>
        <v>#N/A</v>
      </c>
      <c r="I408" s="237" t="str">
        <f>IFERROR(VLOOKUP($C408,Full_data!$B$8:$J$932,7,FALSE),"")</f>
        <v/>
      </c>
      <c r="J408" s="355" t="str">
        <f>IFERROR(VLOOKUP($C408,Full_data!$B$8:$J$932,8,FALSE),"")</f>
        <v/>
      </c>
      <c r="K408" s="358"/>
      <c r="L408" s="229" t="str">
        <f t="shared" si="19"/>
        <v/>
      </c>
      <c r="M408" s="352"/>
      <c r="N408" s="237" t="str">
        <f t="shared" si="21"/>
        <v/>
      </c>
      <c r="O408" s="237">
        <f>M408*IFERROR(VLOOKUP($C408,Logistics!$A$1:$O$534,10,FALSE),0)</f>
        <v>0</v>
      </c>
      <c r="P408" s="239">
        <f>M408*IFERROR(VLOOKUP($C408,Logistics!$A$1:$O$534,11,FALSE),0)</f>
        <v>0</v>
      </c>
      <c r="AA408" s="247">
        <f t="shared" si="20"/>
        <v>0.4</v>
      </c>
    </row>
    <row r="409" spans="2:27" ht="15" x14ac:dyDescent="0.2">
      <c r="B409" s="223">
        <v>405</v>
      </c>
      <c r="C409" s="258"/>
      <c r="D409" s="228" t="str">
        <f>IFERROR(VLOOKUP($C409,Full_data!$B$8:$J$932,2,FALSE),"")</f>
        <v/>
      </c>
      <c r="E409" s="228" t="str">
        <f>IFERROR(VLOOKUP($C409,Full_data!$B$8:$J$932,3,FALSE),"")</f>
        <v/>
      </c>
      <c r="F409" s="224" t="str">
        <f>IFERROR(VLOOKUP($C409,Full_data!$B$8:$J$932,4,FALSE),"")</f>
        <v/>
      </c>
      <c r="G409" s="224" t="e">
        <f>VLOOKUP($C409,Full_data!$B$8:$J$932,5,FALSE)</f>
        <v>#N/A</v>
      </c>
      <c r="H409" s="224" t="e">
        <f>VLOOKUP($C409,Full_data!$B$8:$J$932,6,FALSE)</f>
        <v>#N/A</v>
      </c>
      <c r="I409" s="236" t="str">
        <f>IFERROR(VLOOKUP($C409,Full_data!$B$8:$J$932,7,FALSE),"")</f>
        <v/>
      </c>
      <c r="J409" s="354" t="str">
        <f>IFERROR(VLOOKUP($C409,Full_data!$B$8:$J$932,8,FALSE),"")</f>
        <v/>
      </c>
      <c r="K409" s="357"/>
      <c r="L409" s="230" t="str">
        <f t="shared" si="19"/>
        <v/>
      </c>
      <c r="M409" s="351"/>
      <c r="N409" s="236" t="str">
        <f t="shared" si="21"/>
        <v/>
      </c>
      <c r="O409" s="236">
        <f>M409*IFERROR(VLOOKUP($C409,Logistics!$A$1:$O$534,10,FALSE),0)</f>
        <v>0</v>
      </c>
      <c r="P409" s="238">
        <f>M409*IFERROR(VLOOKUP($C409,Logistics!$A$1:$O$534,11,FALSE),0)</f>
        <v>0</v>
      </c>
      <c r="AA409" s="247">
        <f t="shared" si="20"/>
        <v>0.4</v>
      </c>
    </row>
    <row r="410" spans="2:27" ht="15" x14ac:dyDescent="0.2">
      <c r="B410" s="225">
        <v>406</v>
      </c>
      <c r="C410" s="259"/>
      <c r="D410" s="227" t="str">
        <f>IFERROR(VLOOKUP($C410,Full_data!$B$8:$J$932,2,FALSE),"")</f>
        <v/>
      </c>
      <c r="E410" s="227" t="str">
        <f>IFERROR(VLOOKUP($C410,Full_data!$B$8:$J$932,3,FALSE),"")</f>
        <v/>
      </c>
      <c r="F410" s="226" t="str">
        <f>IFERROR(VLOOKUP($C410,Full_data!$B$8:$J$932,4,FALSE),"")</f>
        <v/>
      </c>
      <c r="G410" s="226" t="e">
        <f>VLOOKUP($C410,Full_data!$B$8:$J$932,5,FALSE)</f>
        <v>#N/A</v>
      </c>
      <c r="H410" s="226" t="e">
        <f>VLOOKUP($C410,Full_data!$B$8:$J$932,6,FALSE)</f>
        <v>#N/A</v>
      </c>
      <c r="I410" s="237" t="str">
        <f>IFERROR(VLOOKUP($C410,Full_data!$B$8:$J$932,7,FALSE),"")</f>
        <v/>
      </c>
      <c r="J410" s="355" t="str">
        <f>IFERROR(VLOOKUP($C410,Full_data!$B$8:$J$932,8,FALSE),"")</f>
        <v/>
      </c>
      <c r="K410" s="358"/>
      <c r="L410" s="229" t="str">
        <f t="shared" si="19"/>
        <v/>
      </c>
      <c r="M410" s="352"/>
      <c r="N410" s="237" t="str">
        <f t="shared" si="21"/>
        <v/>
      </c>
      <c r="O410" s="237">
        <f>M410*IFERROR(VLOOKUP($C410,Logistics!$A$1:$O$534,10,FALSE),0)</f>
        <v>0</v>
      </c>
      <c r="P410" s="239">
        <f>M410*IFERROR(VLOOKUP($C410,Logistics!$A$1:$O$534,11,FALSE),0)</f>
        <v>0</v>
      </c>
      <c r="AA410" s="247">
        <f t="shared" si="20"/>
        <v>0.4</v>
      </c>
    </row>
    <row r="411" spans="2:27" ht="15" x14ac:dyDescent="0.2">
      <c r="B411" s="223">
        <v>407</v>
      </c>
      <c r="C411" s="258"/>
      <c r="D411" s="228" t="str">
        <f>IFERROR(VLOOKUP($C411,Full_data!$B$8:$J$932,2,FALSE),"")</f>
        <v/>
      </c>
      <c r="E411" s="228" t="str">
        <f>IFERROR(VLOOKUP($C411,Full_data!$B$8:$J$932,3,FALSE),"")</f>
        <v/>
      </c>
      <c r="F411" s="224" t="str">
        <f>IFERROR(VLOOKUP($C411,Full_data!$B$8:$J$932,4,FALSE),"")</f>
        <v/>
      </c>
      <c r="G411" s="224" t="e">
        <f>VLOOKUP($C411,Full_data!$B$8:$J$932,5,FALSE)</f>
        <v>#N/A</v>
      </c>
      <c r="H411" s="224" t="e">
        <f>VLOOKUP($C411,Full_data!$B$8:$J$932,6,FALSE)</f>
        <v>#N/A</v>
      </c>
      <c r="I411" s="236" t="str">
        <f>IFERROR(VLOOKUP($C411,Full_data!$B$8:$J$932,7,FALSE),"")</f>
        <v/>
      </c>
      <c r="J411" s="354" t="str">
        <f>IFERROR(VLOOKUP($C411,Full_data!$B$8:$J$932,8,FALSE),"")</f>
        <v/>
      </c>
      <c r="K411" s="357"/>
      <c r="L411" s="230" t="str">
        <f t="shared" si="19"/>
        <v/>
      </c>
      <c r="M411" s="351"/>
      <c r="N411" s="236" t="str">
        <f t="shared" si="21"/>
        <v/>
      </c>
      <c r="O411" s="236">
        <f>M411*IFERROR(VLOOKUP($C411,Logistics!$A$1:$O$534,10,FALSE),0)</f>
        <v>0</v>
      </c>
      <c r="P411" s="238">
        <f>M411*IFERROR(VLOOKUP($C411,Logistics!$A$1:$O$534,11,FALSE),0)</f>
        <v>0</v>
      </c>
      <c r="AA411" s="247">
        <f t="shared" si="20"/>
        <v>0.4</v>
      </c>
    </row>
    <row r="412" spans="2:27" ht="15" x14ac:dyDescent="0.2">
      <c r="B412" s="225">
        <v>408</v>
      </c>
      <c r="C412" s="259"/>
      <c r="D412" s="227" t="str">
        <f>IFERROR(VLOOKUP($C412,Full_data!$B$8:$J$932,2,FALSE),"")</f>
        <v/>
      </c>
      <c r="E412" s="227" t="str">
        <f>IFERROR(VLOOKUP($C412,Full_data!$B$8:$J$932,3,FALSE),"")</f>
        <v/>
      </c>
      <c r="F412" s="226" t="str">
        <f>IFERROR(VLOOKUP($C412,Full_data!$B$8:$J$932,4,FALSE),"")</f>
        <v/>
      </c>
      <c r="G412" s="226" t="e">
        <f>VLOOKUP($C412,Full_data!$B$8:$J$932,5,FALSE)</f>
        <v>#N/A</v>
      </c>
      <c r="H412" s="226" t="e">
        <f>VLOOKUP($C412,Full_data!$B$8:$J$932,6,FALSE)</f>
        <v>#N/A</v>
      </c>
      <c r="I412" s="237" t="str">
        <f>IFERROR(VLOOKUP($C412,Full_data!$B$8:$J$932,7,FALSE),"")</f>
        <v/>
      </c>
      <c r="J412" s="355" t="str">
        <f>IFERROR(VLOOKUP($C412,Full_data!$B$8:$J$932,8,FALSE),"")</f>
        <v/>
      </c>
      <c r="K412" s="358"/>
      <c r="L412" s="229" t="str">
        <f t="shared" si="19"/>
        <v/>
      </c>
      <c r="M412" s="352"/>
      <c r="N412" s="237" t="str">
        <f t="shared" si="21"/>
        <v/>
      </c>
      <c r="O412" s="237">
        <f>M412*IFERROR(VLOOKUP($C412,Logistics!$A$1:$O$534,10,FALSE),0)</f>
        <v>0</v>
      </c>
      <c r="P412" s="239">
        <f>M412*IFERROR(VLOOKUP($C412,Logistics!$A$1:$O$534,11,FALSE),0)</f>
        <v>0</v>
      </c>
      <c r="AA412" s="247">
        <f t="shared" si="20"/>
        <v>0.4</v>
      </c>
    </row>
    <row r="413" spans="2:27" ht="15" x14ac:dyDescent="0.2">
      <c r="B413" s="223">
        <v>409</v>
      </c>
      <c r="C413" s="258"/>
      <c r="D413" s="228" t="str">
        <f>IFERROR(VLOOKUP($C413,Full_data!$B$8:$J$932,2,FALSE),"")</f>
        <v/>
      </c>
      <c r="E413" s="228" t="str">
        <f>IFERROR(VLOOKUP($C413,Full_data!$B$8:$J$932,3,FALSE),"")</f>
        <v/>
      </c>
      <c r="F413" s="224" t="str">
        <f>IFERROR(VLOOKUP($C413,Full_data!$B$8:$J$932,4,FALSE),"")</f>
        <v/>
      </c>
      <c r="G413" s="224" t="e">
        <f>VLOOKUP($C413,Full_data!$B$8:$J$932,5,FALSE)</f>
        <v>#N/A</v>
      </c>
      <c r="H413" s="224" t="e">
        <f>VLOOKUP($C413,Full_data!$B$8:$J$932,6,FALSE)</f>
        <v>#N/A</v>
      </c>
      <c r="I413" s="236" t="str">
        <f>IFERROR(VLOOKUP($C413,Full_data!$B$8:$J$932,7,FALSE),"")</f>
        <v/>
      </c>
      <c r="J413" s="354" t="str">
        <f>IFERROR(VLOOKUP($C413,Full_data!$B$8:$J$932,8,FALSE),"")</f>
        <v/>
      </c>
      <c r="K413" s="357"/>
      <c r="L413" s="230" t="str">
        <f t="shared" si="19"/>
        <v/>
      </c>
      <c r="M413" s="351"/>
      <c r="N413" s="236" t="str">
        <f t="shared" si="21"/>
        <v/>
      </c>
      <c r="O413" s="236">
        <f>M413*IFERROR(VLOOKUP($C413,Logistics!$A$1:$O$534,10,FALSE),0)</f>
        <v>0</v>
      </c>
      <c r="P413" s="238">
        <f>M413*IFERROR(VLOOKUP($C413,Logistics!$A$1:$O$534,11,FALSE),0)</f>
        <v>0</v>
      </c>
      <c r="AA413" s="247">
        <f t="shared" si="20"/>
        <v>0.4</v>
      </c>
    </row>
    <row r="414" spans="2:27" ht="15" x14ac:dyDescent="0.2">
      <c r="B414" s="225">
        <v>410</v>
      </c>
      <c r="C414" s="259"/>
      <c r="D414" s="227" t="str">
        <f>IFERROR(VLOOKUP($C414,Full_data!$B$8:$J$932,2,FALSE),"")</f>
        <v/>
      </c>
      <c r="E414" s="227" t="str">
        <f>IFERROR(VLOOKUP($C414,Full_data!$B$8:$J$932,3,FALSE),"")</f>
        <v/>
      </c>
      <c r="F414" s="226" t="str">
        <f>IFERROR(VLOOKUP($C414,Full_data!$B$8:$J$932,4,FALSE),"")</f>
        <v/>
      </c>
      <c r="G414" s="226" t="e">
        <f>VLOOKUP($C414,Full_data!$B$8:$J$932,5,FALSE)</f>
        <v>#N/A</v>
      </c>
      <c r="H414" s="226" t="e">
        <f>VLOOKUP($C414,Full_data!$B$8:$J$932,6,FALSE)</f>
        <v>#N/A</v>
      </c>
      <c r="I414" s="237" t="str">
        <f>IFERROR(VLOOKUP($C414,Full_data!$B$8:$J$932,7,FALSE),"")</f>
        <v/>
      </c>
      <c r="J414" s="355" t="str">
        <f>IFERROR(VLOOKUP($C414,Full_data!$B$8:$J$932,8,FALSE),"")</f>
        <v/>
      </c>
      <c r="K414" s="358"/>
      <c r="L414" s="229" t="str">
        <f t="shared" si="19"/>
        <v/>
      </c>
      <c r="M414" s="352"/>
      <c r="N414" s="237" t="str">
        <f t="shared" si="21"/>
        <v/>
      </c>
      <c r="O414" s="237">
        <f>M414*IFERROR(VLOOKUP($C414,Logistics!$A$1:$O$534,10,FALSE),0)</f>
        <v>0</v>
      </c>
      <c r="P414" s="239">
        <f>M414*IFERROR(VLOOKUP($C414,Logistics!$A$1:$O$534,11,FALSE),0)</f>
        <v>0</v>
      </c>
      <c r="AA414" s="247">
        <f t="shared" si="20"/>
        <v>0.4</v>
      </c>
    </row>
    <row r="415" spans="2:27" ht="15" x14ac:dyDescent="0.2">
      <c r="B415" s="223">
        <v>411</v>
      </c>
      <c r="C415" s="258"/>
      <c r="D415" s="228" t="str">
        <f>IFERROR(VLOOKUP($C415,Full_data!$B$8:$J$932,2,FALSE),"")</f>
        <v/>
      </c>
      <c r="E415" s="228" t="str">
        <f>IFERROR(VLOOKUP($C415,Full_data!$B$8:$J$932,3,FALSE),"")</f>
        <v/>
      </c>
      <c r="F415" s="224" t="str">
        <f>IFERROR(VLOOKUP($C415,Full_data!$B$8:$J$932,4,FALSE),"")</f>
        <v/>
      </c>
      <c r="G415" s="224" t="e">
        <f>VLOOKUP($C415,Full_data!$B$8:$J$932,5,FALSE)</f>
        <v>#N/A</v>
      </c>
      <c r="H415" s="224" t="e">
        <f>VLOOKUP($C415,Full_data!$B$8:$J$932,6,FALSE)</f>
        <v>#N/A</v>
      </c>
      <c r="I415" s="236" t="str">
        <f>IFERROR(VLOOKUP($C415,Full_data!$B$8:$J$932,7,FALSE),"")</f>
        <v/>
      </c>
      <c r="J415" s="354" t="str">
        <f>IFERROR(VLOOKUP($C415,Full_data!$B$8:$J$932,8,FALSE),"")</f>
        <v/>
      </c>
      <c r="K415" s="357"/>
      <c r="L415" s="230" t="str">
        <f t="shared" si="19"/>
        <v/>
      </c>
      <c r="M415" s="351"/>
      <c r="N415" s="236" t="str">
        <f t="shared" si="21"/>
        <v/>
      </c>
      <c r="O415" s="236">
        <f>M415*IFERROR(VLOOKUP($C415,Logistics!$A$1:$O$534,10,FALSE),0)</f>
        <v>0</v>
      </c>
      <c r="P415" s="238">
        <f>M415*IFERROR(VLOOKUP($C415,Logistics!$A$1:$O$534,11,FALSE),0)</f>
        <v>0</v>
      </c>
      <c r="AA415" s="247">
        <f t="shared" si="20"/>
        <v>0.4</v>
      </c>
    </row>
    <row r="416" spans="2:27" ht="15" x14ac:dyDescent="0.2">
      <c r="B416" s="225">
        <v>412</v>
      </c>
      <c r="C416" s="259"/>
      <c r="D416" s="227" t="str">
        <f>IFERROR(VLOOKUP($C416,Full_data!$B$8:$J$932,2,FALSE),"")</f>
        <v/>
      </c>
      <c r="E416" s="227" t="str">
        <f>IFERROR(VLOOKUP($C416,Full_data!$B$8:$J$932,3,FALSE),"")</f>
        <v/>
      </c>
      <c r="F416" s="226" t="str">
        <f>IFERROR(VLOOKUP($C416,Full_data!$B$8:$J$932,4,FALSE),"")</f>
        <v/>
      </c>
      <c r="G416" s="226" t="e">
        <f>VLOOKUP($C416,Full_data!$B$8:$J$932,5,FALSE)</f>
        <v>#N/A</v>
      </c>
      <c r="H416" s="226" t="e">
        <f>VLOOKUP($C416,Full_data!$B$8:$J$932,6,FALSE)</f>
        <v>#N/A</v>
      </c>
      <c r="I416" s="237" t="str">
        <f>IFERROR(VLOOKUP($C416,Full_data!$B$8:$J$932,7,FALSE),"")</f>
        <v/>
      </c>
      <c r="J416" s="355" t="str">
        <f>IFERROR(VLOOKUP($C416,Full_data!$B$8:$J$932,8,FALSE),"")</f>
        <v/>
      </c>
      <c r="K416" s="358"/>
      <c r="L416" s="229" t="str">
        <f t="shared" si="19"/>
        <v/>
      </c>
      <c r="M416" s="352"/>
      <c r="N416" s="237" t="str">
        <f t="shared" si="21"/>
        <v/>
      </c>
      <c r="O416" s="237">
        <f>M416*IFERROR(VLOOKUP($C416,Logistics!$A$1:$O$534,10,FALSE),0)</f>
        <v>0</v>
      </c>
      <c r="P416" s="239">
        <f>M416*IFERROR(VLOOKUP($C416,Logistics!$A$1:$O$534,11,FALSE),0)</f>
        <v>0</v>
      </c>
      <c r="AA416" s="247">
        <f t="shared" si="20"/>
        <v>0.4</v>
      </c>
    </row>
    <row r="417" spans="2:27" ht="15" x14ac:dyDescent="0.2">
      <c r="B417" s="223">
        <v>413</v>
      </c>
      <c r="C417" s="258"/>
      <c r="D417" s="228" t="str">
        <f>IFERROR(VLOOKUP($C417,Full_data!$B$8:$J$932,2,FALSE),"")</f>
        <v/>
      </c>
      <c r="E417" s="228" t="str">
        <f>IFERROR(VLOOKUP($C417,Full_data!$B$8:$J$932,3,FALSE),"")</f>
        <v/>
      </c>
      <c r="F417" s="224" t="str">
        <f>IFERROR(VLOOKUP($C417,Full_data!$B$8:$J$932,4,FALSE),"")</f>
        <v/>
      </c>
      <c r="G417" s="224" t="e">
        <f>VLOOKUP($C417,Full_data!$B$8:$J$932,5,FALSE)</f>
        <v>#N/A</v>
      </c>
      <c r="H417" s="224" t="e">
        <f>VLOOKUP($C417,Full_data!$B$8:$J$932,6,FALSE)</f>
        <v>#N/A</v>
      </c>
      <c r="I417" s="236" t="str">
        <f>IFERROR(VLOOKUP($C417,Full_data!$B$8:$J$932,7,FALSE),"")</f>
        <v/>
      </c>
      <c r="J417" s="354" t="str">
        <f>IFERROR(VLOOKUP($C417,Full_data!$B$8:$J$932,8,FALSE),"")</f>
        <v/>
      </c>
      <c r="K417" s="357"/>
      <c r="L417" s="230" t="str">
        <f t="shared" si="19"/>
        <v/>
      </c>
      <c r="M417" s="351"/>
      <c r="N417" s="236" t="str">
        <f t="shared" si="21"/>
        <v/>
      </c>
      <c r="O417" s="236">
        <f>M417*IFERROR(VLOOKUP($C417,Logistics!$A$1:$O$534,10,FALSE),0)</f>
        <v>0</v>
      </c>
      <c r="P417" s="238">
        <f>M417*IFERROR(VLOOKUP($C417,Logistics!$A$1:$O$534,11,FALSE),0)</f>
        <v>0</v>
      </c>
      <c r="AA417" s="247">
        <f t="shared" si="20"/>
        <v>0.4</v>
      </c>
    </row>
    <row r="418" spans="2:27" ht="15" x14ac:dyDescent="0.2">
      <c r="B418" s="225">
        <v>414</v>
      </c>
      <c r="C418" s="259"/>
      <c r="D418" s="227" t="str">
        <f>IFERROR(VLOOKUP($C418,Full_data!$B$8:$J$932,2,FALSE),"")</f>
        <v/>
      </c>
      <c r="E418" s="227" t="str">
        <f>IFERROR(VLOOKUP($C418,Full_data!$B$8:$J$932,3,FALSE),"")</f>
        <v/>
      </c>
      <c r="F418" s="226" t="str">
        <f>IFERROR(VLOOKUP($C418,Full_data!$B$8:$J$932,4,FALSE),"")</f>
        <v/>
      </c>
      <c r="G418" s="226" t="e">
        <f>VLOOKUP($C418,Full_data!$B$8:$J$932,5,FALSE)</f>
        <v>#N/A</v>
      </c>
      <c r="H418" s="226" t="e">
        <f>VLOOKUP($C418,Full_data!$B$8:$J$932,6,FALSE)</f>
        <v>#N/A</v>
      </c>
      <c r="I418" s="237" t="str">
        <f>IFERROR(VLOOKUP($C418,Full_data!$B$8:$J$932,7,FALSE),"")</f>
        <v/>
      </c>
      <c r="J418" s="355" t="str">
        <f>IFERROR(VLOOKUP($C418,Full_data!$B$8:$J$932,8,FALSE),"")</f>
        <v/>
      </c>
      <c r="K418" s="358"/>
      <c r="L418" s="229" t="str">
        <f t="shared" si="19"/>
        <v/>
      </c>
      <c r="M418" s="352"/>
      <c r="N418" s="237" t="str">
        <f t="shared" si="21"/>
        <v/>
      </c>
      <c r="O418" s="237">
        <f>M418*IFERROR(VLOOKUP($C418,Logistics!$A$1:$O$534,10,FALSE),0)</f>
        <v>0</v>
      </c>
      <c r="P418" s="239">
        <f>M418*IFERROR(VLOOKUP($C418,Logistics!$A$1:$O$534,11,FALSE),0)</f>
        <v>0</v>
      </c>
      <c r="AA418" s="247">
        <f t="shared" si="20"/>
        <v>0.4</v>
      </c>
    </row>
    <row r="419" spans="2:27" ht="15" x14ac:dyDescent="0.2">
      <c r="B419" s="223">
        <v>415</v>
      </c>
      <c r="C419" s="258"/>
      <c r="D419" s="228" t="str">
        <f>IFERROR(VLOOKUP($C419,Full_data!$B$8:$J$932,2,FALSE),"")</f>
        <v/>
      </c>
      <c r="E419" s="228" t="str">
        <f>IFERROR(VLOOKUP($C419,Full_data!$B$8:$J$932,3,FALSE),"")</f>
        <v/>
      </c>
      <c r="F419" s="224" t="str">
        <f>IFERROR(VLOOKUP($C419,Full_data!$B$8:$J$932,4,FALSE),"")</f>
        <v/>
      </c>
      <c r="G419" s="224" t="e">
        <f>VLOOKUP($C419,Full_data!$B$8:$J$932,5,FALSE)</f>
        <v>#N/A</v>
      </c>
      <c r="H419" s="224" t="e">
        <f>VLOOKUP($C419,Full_data!$B$8:$J$932,6,FALSE)</f>
        <v>#N/A</v>
      </c>
      <c r="I419" s="236" t="str">
        <f>IFERROR(VLOOKUP($C419,Full_data!$B$8:$J$932,7,FALSE),"")</f>
        <v/>
      </c>
      <c r="J419" s="354" t="str">
        <f>IFERROR(VLOOKUP($C419,Full_data!$B$8:$J$932,8,FALSE),"")</f>
        <v/>
      </c>
      <c r="K419" s="357"/>
      <c r="L419" s="230" t="str">
        <f t="shared" si="19"/>
        <v/>
      </c>
      <c r="M419" s="351"/>
      <c r="N419" s="236" t="str">
        <f t="shared" si="21"/>
        <v/>
      </c>
      <c r="O419" s="236">
        <f>M419*IFERROR(VLOOKUP($C419,Logistics!$A$1:$O$534,10,FALSE),0)</f>
        <v>0</v>
      </c>
      <c r="P419" s="238">
        <f>M419*IFERROR(VLOOKUP($C419,Logistics!$A$1:$O$534,11,FALSE),0)</f>
        <v>0</v>
      </c>
      <c r="AA419" s="247">
        <f t="shared" si="20"/>
        <v>0.4</v>
      </c>
    </row>
    <row r="420" spans="2:27" ht="15" x14ac:dyDescent="0.2">
      <c r="B420" s="225">
        <v>416</v>
      </c>
      <c r="C420" s="259"/>
      <c r="D420" s="227" t="str">
        <f>IFERROR(VLOOKUP($C420,Full_data!$B$8:$J$932,2,FALSE),"")</f>
        <v/>
      </c>
      <c r="E420" s="227" t="str">
        <f>IFERROR(VLOOKUP($C420,Full_data!$B$8:$J$932,3,FALSE),"")</f>
        <v/>
      </c>
      <c r="F420" s="226" t="str">
        <f>IFERROR(VLOOKUP($C420,Full_data!$B$8:$J$932,4,FALSE),"")</f>
        <v/>
      </c>
      <c r="G420" s="226" t="e">
        <f>VLOOKUP($C420,Full_data!$B$8:$J$932,5,FALSE)</f>
        <v>#N/A</v>
      </c>
      <c r="H420" s="226" t="e">
        <f>VLOOKUP($C420,Full_data!$B$8:$J$932,6,FALSE)</f>
        <v>#N/A</v>
      </c>
      <c r="I420" s="237" t="str">
        <f>IFERROR(VLOOKUP($C420,Full_data!$B$8:$J$932,7,FALSE),"")</f>
        <v/>
      </c>
      <c r="J420" s="355" t="str">
        <f>IFERROR(VLOOKUP($C420,Full_data!$B$8:$J$932,8,FALSE),"")</f>
        <v/>
      </c>
      <c r="K420" s="358"/>
      <c r="L420" s="229" t="str">
        <f t="shared" ref="L420:L483" si="22">IFERROR(IF(ISBLANK(K420),I420-I420*J420,I420-I420*K420),"")</f>
        <v/>
      </c>
      <c r="M420" s="352"/>
      <c r="N420" s="237" t="str">
        <f t="shared" si="21"/>
        <v/>
      </c>
      <c r="O420" s="237">
        <f>M420*IFERROR(VLOOKUP($C420,Logistics!$A$1:$O$534,10,FALSE),0)</f>
        <v>0</v>
      </c>
      <c r="P420" s="239">
        <f>M420*IFERROR(VLOOKUP($C420,Logistics!$A$1:$O$534,11,FALSE),0)</f>
        <v>0</v>
      </c>
      <c r="AA420" s="247">
        <f t="shared" si="20"/>
        <v>0.4</v>
      </c>
    </row>
    <row r="421" spans="2:27" ht="15" x14ac:dyDescent="0.2">
      <c r="B421" s="223">
        <v>417</v>
      </c>
      <c r="C421" s="258"/>
      <c r="D421" s="228" t="str">
        <f>IFERROR(VLOOKUP($C421,Full_data!$B$8:$J$932,2,FALSE),"")</f>
        <v/>
      </c>
      <c r="E421" s="228" t="str">
        <f>IFERROR(VLOOKUP($C421,Full_data!$B$8:$J$932,3,FALSE),"")</f>
        <v/>
      </c>
      <c r="F421" s="224" t="str">
        <f>IFERROR(VLOOKUP($C421,Full_data!$B$8:$J$932,4,FALSE),"")</f>
        <v/>
      </c>
      <c r="G421" s="224" t="e">
        <f>VLOOKUP($C421,Full_data!$B$8:$J$932,5,FALSE)</f>
        <v>#N/A</v>
      </c>
      <c r="H421" s="224" t="e">
        <f>VLOOKUP($C421,Full_data!$B$8:$J$932,6,FALSE)</f>
        <v>#N/A</v>
      </c>
      <c r="I421" s="236" t="str">
        <f>IFERROR(VLOOKUP($C421,Full_data!$B$8:$J$932,7,FALSE),"")</f>
        <v/>
      </c>
      <c r="J421" s="354" t="str">
        <f>IFERROR(VLOOKUP($C421,Full_data!$B$8:$J$932,8,FALSE),"")</f>
        <v/>
      </c>
      <c r="K421" s="357"/>
      <c r="L421" s="230" t="str">
        <f t="shared" si="22"/>
        <v/>
      </c>
      <c r="M421" s="351"/>
      <c r="N421" s="236" t="str">
        <f t="shared" si="21"/>
        <v/>
      </c>
      <c r="O421" s="236">
        <f>M421*IFERROR(VLOOKUP($C421,Logistics!$A$1:$O$534,10,FALSE),0)</f>
        <v>0</v>
      </c>
      <c r="P421" s="238">
        <f>M421*IFERROR(VLOOKUP($C421,Logistics!$A$1:$O$534,11,FALSE),0)</f>
        <v>0</v>
      </c>
      <c r="AA421" s="247">
        <f t="shared" si="20"/>
        <v>0.4</v>
      </c>
    </row>
    <row r="422" spans="2:27" ht="15" x14ac:dyDescent="0.2">
      <c r="B422" s="225">
        <v>418</v>
      </c>
      <c r="C422" s="259"/>
      <c r="D422" s="227" t="str">
        <f>IFERROR(VLOOKUP($C422,Full_data!$B$8:$J$932,2,FALSE),"")</f>
        <v/>
      </c>
      <c r="E422" s="227" t="str">
        <f>IFERROR(VLOOKUP($C422,Full_data!$B$8:$J$932,3,FALSE),"")</f>
        <v/>
      </c>
      <c r="F422" s="226" t="str">
        <f>IFERROR(VLOOKUP($C422,Full_data!$B$8:$J$932,4,FALSE),"")</f>
        <v/>
      </c>
      <c r="G422" s="226" t="e">
        <f>VLOOKUP($C422,Full_data!$B$8:$J$932,5,FALSE)</f>
        <v>#N/A</v>
      </c>
      <c r="H422" s="226" t="e">
        <f>VLOOKUP($C422,Full_data!$B$8:$J$932,6,FALSE)</f>
        <v>#N/A</v>
      </c>
      <c r="I422" s="237" t="str">
        <f>IFERROR(VLOOKUP($C422,Full_data!$B$8:$J$932,7,FALSE),"")</f>
        <v/>
      </c>
      <c r="J422" s="355" t="str">
        <f>IFERROR(VLOOKUP($C422,Full_data!$B$8:$J$932,8,FALSE),"")</f>
        <v/>
      </c>
      <c r="K422" s="358"/>
      <c r="L422" s="229" t="str">
        <f t="shared" si="22"/>
        <v/>
      </c>
      <c r="M422" s="352"/>
      <c r="N422" s="237" t="str">
        <f t="shared" si="21"/>
        <v/>
      </c>
      <c r="O422" s="237">
        <f>M422*IFERROR(VLOOKUP($C422,Logistics!$A$1:$O$534,10,FALSE),0)</f>
        <v>0</v>
      </c>
      <c r="P422" s="239">
        <f>M422*IFERROR(VLOOKUP($C422,Logistics!$A$1:$O$534,11,FALSE),0)</f>
        <v>0</v>
      </c>
      <c r="AA422" s="247">
        <f t="shared" si="20"/>
        <v>0.4</v>
      </c>
    </row>
    <row r="423" spans="2:27" ht="15" x14ac:dyDescent="0.2">
      <c r="B423" s="223">
        <v>419</v>
      </c>
      <c r="C423" s="258"/>
      <c r="D423" s="228" t="str">
        <f>IFERROR(VLOOKUP($C423,Full_data!$B$8:$J$932,2,FALSE),"")</f>
        <v/>
      </c>
      <c r="E423" s="228" t="str">
        <f>IFERROR(VLOOKUP($C423,Full_data!$B$8:$J$932,3,FALSE),"")</f>
        <v/>
      </c>
      <c r="F423" s="224" t="str">
        <f>IFERROR(VLOOKUP($C423,Full_data!$B$8:$J$932,4,FALSE),"")</f>
        <v/>
      </c>
      <c r="G423" s="224" t="e">
        <f>VLOOKUP($C423,Full_data!$B$8:$J$932,5,FALSE)</f>
        <v>#N/A</v>
      </c>
      <c r="H423" s="224" t="e">
        <f>VLOOKUP($C423,Full_data!$B$8:$J$932,6,FALSE)</f>
        <v>#N/A</v>
      </c>
      <c r="I423" s="236" t="str">
        <f>IFERROR(VLOOKUP($C423,Full_data!$B$8:$J$932,7,FALSE),"")</f>
        <v/>
      </c>
      <c r="J423" s="354" t="str">
        <f>IFERROR(VLOOKUP($C423,Full_data!$B$8:$J$932,8,FALSE),"")</f>
        <v/>
      </c>
      <c r="K423" s="357"/>
      <c r="L423" s="230" t="str">
        <f t="shared" si="22"/>
        <v/>
      </c>
      <c r="M423" s="351"/>
      <c r="N423" s="236" t="str">
        <f t="shared" si="21"/>
        <v/>
      </c>
      <c r="O423" s="236">
        <f>M423*IFERROR(VLOOKUP($C423,Logistics!$A$1:$O$534,10,FALSE),0)</f>
        <v>0</v>
      </c>
      <c r="P423" s="238">
        <f>M423*IFERROR(VLOOKUP($C423,Logistics!$A$1:$O$534,11,FALSE),0)</f>
        <v>0</v>
      </c>
      <c r="AA423" s="247">
        <f t="shared" si="20"/>
        <v>0.4</v>
      </c>
    </row>
    <row r="424" spans="2:27" ht="15" x14ac:dyDescent="0.2">
      <c r="B424" s="225">
        <v>420</v>
      </c>
      <c r="C424" s="259"/>
      <c r="D424" s="227" t="str">
        <f>IFERROR(VLOOKUP($C424,Full_data!$B$8:$J$932,2,FALSE),"")</f>
        <v/>
      </c>
      <c r="E424" s="227" t="str">
        <f>IFERROR(VLOOKUP($C424,Full_data!$B$8:$J$932,3,FALSE),"")</f>
        <v/>
      </c>
      <c r="F424" s="226" t="str">
        <f>IFERROR(VLOOKUP($C424,Full_data!$B$8:$J$932,4,FALSE),"")</f>
        <v/>
      </c>
      <c r="G424" s="226" t="e">
        <f>VLOOKUP($C424,Full_data!$B$8:$J$932,5,FALSE)</f>
        <v>#N/A</v>
      </c>
      <c r="H424" s="226" t="e">
        <f>VLOOKUP($C424,Full_data!$B$8:$J$932,6,FALSE)</f>
        <v>#N/A</v>
      </c>
      <c r="I424" s="237" t="str">
        <f>IFERROR(VLOOKUP($C424,Full_data!$B$8:$J$932,7,FALSE),"")</f>
        <v/>
      </c>
      <c r="J424" s="355" t="str">
        <f>IFERROR(VLOOKUP($C424,Full_data!$B$8:$J$932,8,FALSE),"")</f>
        <v/>
      </c>
      <c r="K424" s="358"/>
      <c r="L424" s="229" t="str">
        <f t="shared" si="22"/>
        <v/>
      </c>
      <c r="M424" s="352"/>
      <c r="N424" s="237" t="str">
        <f t="shared" si="21"/>
        <v/>
      </c>
      <c r="O424" s="237">
        <f>M424*IFERROR(VLOOKUP($C424,Logistics!$A$1:$O$534,10,FALSE),0)</f>
        <v>0</v>
      </c>
      <c r="P424" s="239">
        <f>M424*IFERROR(VLOOKUP($C424,Logistics!$A$1:$O$534,11,FALSE),0)</f>
        <v>0</v>
      </c>
      <c r="AA424" s="247">
        <f t="shared" si="20"/>
        <v>0.4</v>
      </c>
    </row>
    <row r="425" spans="2:27" ht="15" x14ac:dyDescent="0.2">
      <c r="B425" s="223">
        <v>421</v>
      </c>
      <c r="C425" s="258"/>
      <c r="D425" s="228" t="str">
        <f>IFERROR(VLOOKUP($C425,Full_data!$B$8:$J$932,2,FALSE),"")</f>
        <v/>
      </c>
      <c r="E425" s="228" t="str">
        <f>IFERROR(VLOOKUP($C425,Full_data!$B$8:$J$932,3,FALSE),"")</f>
        <v/>
      </c>
      <c r="F425" s="224" t="str">
        <f>IFERROR(VLOOKUP($C425,Full_data!$B$8:$J$932,4,FALSE),"")</f>
        <v/>
      </c>
      <c r="G425" s="224" t="e">
        <f>VLOOKUP($C425,Full_data!$B$8:$J$932,5,FALSE)</f>
        <v>#N/A</v>
      </c>
      <c r="H425" s="224" t="e">
        <f>VLOOKUP($C425,Full_data!$B$8:$J$932,6,FALSE)</f>
        <v>#N/A</v>
      </c>
      <c r="I425" s="236" t="str">
        <f>IFERROR(VLOOKUP($C425,Full_data!$B$8:$J$932,7,FALSE),"")</f>
        <v/>
      </c>
      <c r="J425" s="354" t="str">
        <f>IFERROR(VLOOKUP($C425,Full_data!$B$8:$J$932,8,FALSE),"")</f>
        <v/>
      </c>
      <c r="K425" s="357"/>
      <c r="L425" s="230" t="str">
        <f t="shared" si="22"/>
        <v/>
      </c>
      <c r="M425" s="351"/>
      <c r="N425" s="236" t="str">
        <f t="shared" si="21"/>
        <v/>
      </c>
      <c r="O425" s="236">
        <f>M425*IFERROR(VLOOKUP($C425,Logistics!$A$1:$O$534,10,FALSE),0)</f>
        <v>0</v>
      </c>
      <c r="P425" s="238">
        <f>M425*IFERROR(VLOOKUP($C425,Logistics!$A$1:$O$534,11,FALSE),0)</f>
        <v>0</v>
      </c>
      <c r="AA425" s="247">
        <f t="shared" si="20"/>
        <v>0.4</v>
      </c>
    </row>
    <row r="426" spans="2:27" ht="15" x14ac:dyDescent="0.2">
      <c r="B426" s="225">
        <v>422</v>
      </c>
      <c r="C426" s="259"/>
      <c r="D426" s="227" t="str">
        <f>IFERROR(VLOOKUP($C426,Full_data!$B$8:$J$932,2,FALSE),"")</f>
        <v/>
      </c>
      <c r="E426" s="227" t="str">
        <f>IFERROR(VLOOKUP($C426,Full_data!$B$8:$J$932,3,FALSE),"")</f>
        <v/>
      </c>
      <c r="F426" s="226" t="str">
        <f>IFERROR(VLOOKUP($C426,Full_data!$B$8:$J$932,4,FALSE),"")</f>
        <v/>
      </c>
      <c r="G426" s="226" t="e">
        <f>VLOOKUP($C426,Full_data!$B$8:$J$932,5,FALSE)</f>
        <v>#N/A</v>
      </c>
      <c r="H426" s="226" t="e">
        <f>VLOOKUP($C426,Full_data!$B$8:$J$932,6,FALSE)</f>
        <v>#N/A</v>
      </c>
      <c r="I426" s="237" t="str">
        <f>IFERROR(VLOOKUP($C426,Full_data!$B$8:$J$932,7,FALSE),"")</f>
        <v/>
      </c>
      <c r="J426" s="355" t="str">
        <f>IFERROR(VLOOKUP($C426,Full_data!$B$8:$J$932,8,FALSE),"")</f>
        <v/>
      </c>
      <c r="K426" s="358"/>
      <c r="L426" s="229" t="str">
        <f t="shared" si="22"/>
        <v/>
      </c>
      <c r="M426" s="352"/>
      <c r="N426" s="237" t="str">
        <f t="shared" si="21"/>
        <v/>
      </c>
      <c r="O426" s="237">
        <f>M426*IFERROR(VLOOKUP($C426,Logistics!$A$1:$O$534,10,FALSE),0)</f>
        <v>0</v>
      </c>
      <c r="P426" s="239">
        <f>M426*IFERROR(VLOOKUP($C426,Logistics!$A$1:$O$534,11,FALSE),0)</f>
        <v>0</v>
      </c>
      <c r="AA426" s="247">
        <f t="shared" si="20"/>
        <v>0.4</v>
      </c>
    </row>
    <row r="427" spans="2:27" ht="15" x14ac:dyDescent="0.2">
      <c r="B427" s="223">
        <v>423</v>
      </c>
      <c r="C427" s="258"/>
      <c r="D427" s="228" t="str">
        <f>IFERROR(VLOOKUP($C427,Full_data!$B$8:$J$932,2,FALSE),"")</f>
        <v/>
      </c>
      <c r="E427" s="228" t="str">
        <f>IFERROR(VLOOKUP($C427,Full_data!$B$8:$J$932,3,FALSE),"")</f>
        <v/>
      </c>
      <c r="F427" s="224" t="str">
        <f>IFERROR(VLOOKUP($C427,Full_data!$B$8:$J$932,4,FALSE),"")</f>
        <v/>
      </c>
      <c r="G427" s="224" t="e">
        <f>VLOOKUP($C427,Full_data!$B$8:$J$932,5,FALSE)</f>
        <v>#N/A</v>
      </c>
      <c r="H427" s="224" t="e">
        <f>VLOOKUP($C427,Full_data!$B$8:$J$932,6,FALSE)</f>
        <v>#N/A</v>
      </c>
      <c r="I427" s="236" t="str">
        <f>IFERROR(VLOOKUP($C427,Full_data!$B$8:$J$932,7,FALSE),"")</f>
        <v/>
      </c>
      <c r="J427" s="354" t="str">
        <f>IFERROR(VLOOKUP($C427,Full_data!$B$8:$J$932,8,FALSE),"")</f>
        <v/>
      </c>
      <c r="K427" s="357"/>
      <c r="L427" s="230" t="str">
        <f t="shared" si="22"/>
        <v/>
      </c>
      <c r="M427" s="351"/>
      <c r="N427" s="236" t="str">
        <f t="shared" si="21"/>
        <v/>
      </c>
      <c r="O427" s="236">
        <f>M427*IFERROR(VLOOKUP($C427,Logistics!$A$1:$O$534,10,FALSE),0)</f>
        <v>0</v>
      </c>
      <c r="P427" s="238">
        <f>M427*IFERROR(VLOOKUP($C427,Logistics!$A$1:$O$534,11,FALSE),0)</f>
        <v>0</v>
      </c>
      <c r="AA427" s="247">
        <f t="shared" si="20"/>
        <v>0.4</v>
      </c>
    </row>
    <row r="428" spans="2:27" ht="15" x14ac:dyDescent="0.2">
      <c r="B428" s="225">
        <v>424</v>
      </c>
      <c r="C428" s="259"/>
      <c r="D428" s="227" t="str">
        <f>IFERROR(VLOOKUP($C428,Full_data!$B$8:$J$932,2,FALSE),"")</f>
        <v/>
      </c>
      <c r="E428" s="227" t="str">
        <f>IFERROR(VLOOKUP($C428,Full_data!$B$8:$J$932,3,FALSE),"")</f>
        <v/>
      </c>
      <c r="F428" s="226" t="str">
        <f>IFERROR(VLOOKUP($C428,Full_data!$B$8:$J$932,4,FALSE),"")</f>
        <v/>
      </c>
      <c r="G428" s="226" t="e">
        <f>VLOOKUP($C428,Full_data!$B$8:$J$932,5,FALSE)</f>
        <v>#N/A</v>
      </c>
      <c r="H428" s="226" t="e">
        <f>VLOOKUP($C428,Full_data!$B$8:$J$932,6,FALSE)</f>
        <v>#N/A</v>
      </c>
      <c r="I428" s="237" t="str">
        <f>IFERROR(VLOOKUP($C428,Full_data!$B$8:$J$932,7,FALSE),"")</f>
        <v/>
      </c>
      <c r="J428" s="355" t="str">
        <f>IFERROR(VLOOKUP($C428,Full_data!$B$8:$J$932,8,FALSE),"")</f>
        <v/>
      </c>
      <c r="K428" s="358"/>
      <c r="L428" s="229" t="str">
        <f t="shared" si="22"/>
        <v/>
      </c>
      <c r="M428" s="352"/>
      <c r="N428" s="237" t="str">
        <f t="shared" si="21"/>
        <v/>
      </c>
      <c r="O428" s="237">
        <f>M428*IFERROR(VLOOKUP($C428,Logistics!$A$1:$O$534,10,FALSE),0)</f>
        <v>0</v>
      </c>
      <c r="P428" s="239">
        <f>M428*IFERROR(VLOOKUP($C428,Logistics!$A$1:$O$534,11,FALSE),0)</f>
        <v>0</v>
      </c>
      <c r="AA428" s="247">
        <f t="shared" si="20"/>
        <v>0.4</v>
      </c>
    </row>
    <row r="429" spans="2:27" ht="15" x14ac:dyDescent="0.2">
      <c r="B429" s="223">
        <v>425</v>
      </c>
      <c r="C429" s="258"/>
      <c r="D429" s="228" t="str">
        <f>IFERROR(VLOOKUP($C429,Full_data!$B$8:$J$932,2,FALSE),"")</f>
        <v/>
      </c>
      <c r="E429" s="228" t="str">
        <f>IFERROR(VLOOKUP($C429,Full_data!$B$8:$J$932,3,FALSE),"")</f>
        <v/>
      </c>
      <c r="F429" s="224" t="str">
        <f>IFERROR(VLOOKUP($C429,Full_data!$B$8:$J$932,4,FALSE),"")</f>
        <v/>
      </c>
      <c r="G429" s="224" t="e">
        <f>VLOOKUP($C429,Full_data!$B$8:$J$932,5,FALSE)</f>
        <v>#N/A</v>
      </c>
      <c r="H429" s="224" t="e">
        <f>VLOOKUP($C429,Full_data!$B$8:$J$932,6,FALSE)</f>
        <v>#N/A</v>
      </c>
      <c r="I429" s="236" t="str">
        <f>IFERROR(VLOOKUP($C429,Full_data!$B$8:$J$932,7,FALSE),"")</f>
        <v/>
      </c>
      <c r="J429" s="354" t="str">
        <f>IFERROR(VLOOKUP($C429,Full_data!$B$8:$J$932,8,FALSE),"")</f>
        <v/>
      </c>
      <c r="K429" s="357"/>
      <c r="L429" s="230" t="str">
        <f t="shared" si="22"/>
        <v/>
      </c>
      <c r="M429" s="351"/>
      <c r="N429" s="236" t="str">
        <f t="shared" si="21"/>
        <v/>
      </c>
      <c r="O429" s="236">
        <f>M429*IFERROR(VLOOKUP($C429,Logistics!$A$1:$O$534,10,FALSE),0)</f>
        <v>0</v>
      </c>
      <c r="P429" s="238">
        <f>M429*IFERROR(VLOOKUP($C429,Logistics!$A$1:$O$534,11,FALSE),0)</f>
        <v>0</v>
      </c>
      <c r="AA429" s="247">
        <f t="shared" si="20"/>
        <v>0.4</v>
      </c>
    </row>
    <row r="430" spans="2:27" ht="15" x14ac:dyDescent="0.2">
      <c r="B430" s="225">
        <v>426</v>
      </c>
      <c r="C430" s="259"/>
      <c r="D430" s="227" t="str">
        <f>IFERROR(VLOOKUP($C430,Full_data!$B$8:$J$932,2,FALSE),"")</f>
        <v/>
      </c>
      <c r="E430" s="227" t="str">
        <f>IFERROR(VLOOKUP($C430,Full_data!$B$8:$J$932,3,FALSE),"")</f>
        <v/>
      </c>
      <c r="F430" s="226" t="str">
        <f>IFERROR(VLOOKUP($C430,Full_data!$B$8:$J$932,4,FALSE),"")</f>
        <v/>
      </c>
      <c r="G430" s="226" t="e">
        <f>VLOOKUP($C430,Full_data!$B$8:$J$932,5,FALSE)</f>
        <v>#N/A</v>
      </c>
      <c r="H430" s="226" t="e">
        <f>VLOOKUP($C430,Full_data!$B$8:$J$932,6,FALSE)</f>
        <v>#N/A</v>
      </c>
      <c r="I430" s="237" t="str">
        <f>IFERROR(VLOOKUP($C430,Full_data!$B$8:$J$932,7,FALSE),"")</f>
        <v/>
      </c>
      <c r="J430" s="355" t="str">
        <f>IFERROR(VLOOKUP($C430,Full_data!$B$8:$J$932,8,FALSE),"")</f>
        <v/>
      </c>
      <c r="K430" s="358"/>
      <c r="L430" s="229" t="str">
        <f t="shared" si="22"/>
        <v/>
      </c>
      <c r="M430" s="352"/>
      <c r="N430" s="237" t="str">
        <f t="shared" si="21"/>
        <v/>
      </c>
      <c r="O430" s="237">
        <f>M430*IFERROR(VLOOKUP($C430,Logistics!$A$1:$O$534,10,FALSE),0)</f>
        <v>0</v>
      </c>
      <c r="P430" s="239">
        <f>M430*IFERROR(VLOOKUP($C430,Logistics!$A$1:$O$534,11,FALSE),0)</f>
        <v>0</v>
      </c>
      <c r="AA430" s="247">
        <f t="shared" si="20"/>
        <v>0.4</v>
      </c>
    </row>
    <row r="431" spans="2:27" ht="15" x14ac:dyDescent="0.2">
      <c r="B431" s="223">
        <v>427</v>
      </c>
      <c r="C431" s="258"/>
      <c r="D431" s="228" t="str">
        <f>IFERROR(VLOOKUP($C431,Full_data!$B$8:$J$932,2,FALSE),"")</f>
        <v/>
      </c>
      <c r="E431" s="228" t="str">
        <f>IFERROR(VLOOKUP($C431,Full_data!$B$8:$J$932,3,FALSE),"")</f>
        <v/>
      </c>
      <c r="F431" s="224" t="str">
        <f>IFERROR(VLOOKUP($C431,Full_data!$B$8:$J$932,4,FALSE),"")</f>
        <v/>
      </c>
      <c r="G431" s="224" t="e">
        <f>VLOOKUP($C431,Full_data!$B$8:$J$932,5,FALSE)</f>
        <v>#N/A</v>
      </c>
      <c r="H431" s="224" t="e">
        <f>VLOOKUP($C431,Full_data!$B$8:$J$932,6,FALSE)</f>
        <v>#N/A</v>
      </c>
      <c r="I431" s="236" t="str">
        <f>IFERROR(VLOOKUP($C431,Full_data!$B$8:$J$932,7,FALSE),"")</f>
        <v/>
      </c>
      <c r="J431" s="354" t="str">
        <f>IFERROR(VLOOKUP($C431,Full_data!$B$8:$J$932,8,FALSE),"")</f>
        <v/>
      </c>
      <c r="K431" s="357"/>
      <c r="L431" s="230" t="str">
        <f t="shared" si="22"/>
        <v/>
      </c>
      <c r="M431" s="351"/>
      <c r="N431" s="236" t="str">
        <f t="shared" si="21"/>
        <v/>
      </c>
      <c r="O431" s="236">
        <f>M431*IFERROR(VLOOKUP($C431,Logistics!$A$1:$O$534,10,FALSE),0)</f>
        <v>0</v>
      </c>
      <c r="P431" s="238">
        <f>M431*IFERROR(VLOOKUP($C431,Logistics!$A$1:$O$534,11,FALSE),0)</f>
        <v>0</v>
      </c>
      <c r="AA431" s="247">
        <f t="shared" si="20"/>
        <v>0.4</v>
      </c>
    </row>
    <row r="432" spans="2:27" ht="15" x14ac:dyDescent="0.2">
      <c r="B432" s="225">
        <v>428</v>
      </c>
      <c r="C432" s="259"/>
      <c r="D432" s="227" t="str">
        <f>IFERROR(VLOOKUP($C432,Full_data!$B$8:$J$932,2,FALSE),"")</f>
        <v/>
      </c>
      <c r="E432" s="227" t="str">
        <f>IFERROR(VLOOKUP($C432,Full_data!$B$8:$J$932,3,FALSE),"")</f>
        <v/>
      </c>
      <c r="F432" s="226" t="str">
        <f>IFERROR(VLOOKUP($C432,Full_data!$B$8:$J$932,4,FALSE),"")</f>
        <v/>
      </c>
      <c r="G432" s="226" t="e">
        <f>VLOOKUP($C432,Full_data!$B$8:$J$932,5,FALSE)</f>
        <v>#N/A</v>
      </c>
      <c r="H432" s="226" t="e">
        <f>VLOOKUP($C432,Full_data!$B$8:$J$932,6,FALSE)</f>
        <v>#N/A</v>
      </c>
      <c r="I432" s="237" t="str">
        <f>IFERROR(VLOOKUP($C432,Full_data!$B$8:$J$932,7,FALSE),"")</f>
        <v/>
      </c>
      <c r="J432" s="355" t="str">
        <f>IFERROR(VLOOKUP($C432,Full_data!$B$8:$J$932,8,FALSE),"")</f>
        <v/>
      </c>
      <c r="K432" s="358"/>
      <c r="L432" s="229" t="str">
        <f t="shared" si="22"/>
        <v/>
      </c>
      <c r="M432" s="352"/>
      <c r="N432" s="237" t="str">
        <f t="shared" si="21"/>
        <v/>
      </c>
      <c r="O432" s="237">
        <f>M432*IFERROR(VLOOKUP($C432,Logistics!$A$1:$O$534,10,FALSE),0)</f>
        <v>0</v>
      </c>
      <c r="P432" s="239">
        <f>M432*IFERROR(VLOOKUP($C432,Logistics!$A$1:$O$534,11,FALSE),0)</f>
        <v>0</v>
      </c>
      <c r="AA432" s="247">
        <f t="shared" si="20"/>
        <v>0.4</v>
      </c>
    </row>
    <row r="433" spans="2:27" ht="15" x14ac:dyDescent="0.2">
      <c r="B433" s="223">
        <v>429</v>
      </c>
      <c r="C433" s="258"/>
      <c r="D433" s="228" t="str">
        <f>IFERROR(VLOOKUP($C433,Full_data!$B$8:$J$932,2,FALSE),"")</f>
        <v/>
      </c>
      <c r="E433" s="228" t="str">
        <f>IFERROR(VLOOKUP($C433,Full_data!$B$8:$J$932,3,FALSE),"")</f>
        <v/>
      </c>
      <c r="F433" s="224" t="str">
        <f>IFERROR(VLOOKUP($C433,Full_data!$B$8:$J$932,4,FALSE),"")</f>
        <v/>
      </c>
      <c r="G433" s="224" t="e">
        <f>VLOOKUP($C433,Full_data!$B$8:$J$932,5,FALSE)</f>
        <v>#N/A</v>
      </c>
      <c r="H433" s="224" t="e">
        <f>VLOOKUP($C433,Full_data!$B$8:$J$932,6,FALSE)</f>
        <v>#N/A</v>
      </c>
      <c r="I433" s="236" t="str">
        <f>IFERROR(VLOOKUP($C433,Full_data!$B$8:$J$932,7,FALSE),"")</f>
        <v/>
      </c>
      <c r="J433" s="354" t="str">
        <f>IFERROR(VLOOKUP($C433,Full_data!$B$8:$J$932,8,FALSE),"")</f>
        <v/>
      </c>
      <c r="K433" s="357"/>
      <c r="L433" s="230" t="str">
        <f t="shared" si="22"/>
        <v/>
      </c>
      <c r="M433" s="351"/>
      <c r="N433" s="236" t="str">
        <f t="shared" si="21"/>
        <v/>
      </c>
      <c r="O433" s="236">
        <f>M433*IFERROR(VLOOKUP($C433,Logistics!$A$1:$O$534,10,FALSE),0)</f>
        <v>0</v>
      </c>
      <c r="P433" s="238">
        <f>M433*IFERROR(VLOOKUP($C433,Logistics!$A$1:$O$534,11,FALSE),0)</f>
        <v>0</v>
      </c>
      <c r="AA433" s="247">
        <f t="shared" si="20"/>
        <v>0.4</v>
      </c>
    </row>
    <row r="434" spans="2:27" ht="15" x14ac:dyDescent="0.2">
      <c r="B434" s="225">
        <v>430</v>
      </c>
      <c r="C434" s="259"/>
      <c r="D434" s="227" t="str">
        <f>IFERROR(VLOOKUP($C434,Full_data!$B$8:$J$932,2,FALSE),"")</f>
        <v/>
      </c>
      <c r="E434" s="227" t="str">
        <f>IFERROR(VLOOKUP($C434,Full_data!$B$8:$J$932,3,FALSE),"")</f>
        <v/>
      </c>
      <c r="F434" s="226" t="str">
        <f>IFERROR(VLOOKUP($C434,Full_data!$B$8:$J$932,4,FALSE),"")</f>
        <v/>
      </c>
      <c r="G434" s="226" t="e">
        <f>VLOOKUP($C434,Full_data!$B$8:$J$932,5,FALSE)</f>
        <v>#N/A</v>
      </c>
      <c r="H434" s="226" t="e">
        <f>VLOOKUP($C434,Full_data!$B$8:$J$932,6,FALSE)</f>
        <v>#N/A</v>
      </c>
      <c r="I434" s="237" t="str">
        <f>IFERROR(VLOOKUP($C434,Full_data!$B$8:$J$932,7,FALSE),"")</f>
        <v/>
      </c>
      <c r="J434" s="355" t="str">
        <f>IFERROR(VLOOKUP($C434,Full_data!$B$8:$J$932,8,FALSE),"")</f>
        <v/>
      </c>
      <c r="K434" s="358"/>
      <c r="L434" s="229" t="str">
        <f t="shared" si="22"/>
        <v/>
      </c>
      <c r="M434" s="352"/>
      <c r="N434" s="237" t="str">
        <f t="shared" si="21"/>
        <v/>
      </c>
      <c r="O434" s="237">
        <f>M434*IFERROR(VLOOKUP($C434,Logistics!$A$1:$O$534,10,FALSE),0)</f>
        <v>0</v>
      </c>
      <c r="P434" s="239">
        <f>M434*IFERROR(VLOOKUP($C434,Logistics!$A$1:$O$534,11,FALSE),0)</f>
        <v>0</v>
      </c>
      <c r="AA434" s="247">
        <f t="shared" si="20"/>
        <v>0.4</v>
      </c>
    </row>
    <row r="435" spans="2:27" ht="15" x14ac:dyDescent="0.2">
      <c r="B435" s="223">
        <v>431</v>
      </c>
      <c r="C435" s="258"/>
      <c r="D435" s="228" t="str">
        <f>IFERROR(VLOOKUP($C435,Full_data!$B$8:$J$932,2,FALSE),"")</f>
        <v/>
      </c>
      <c r="E435" s="228" t="str">
        <f>IFERROR(VLOOKUP($C435,Full_data!$B$8:$J$932,3,FALSE),"")</f>
        <v/>
      </c>
      <c r="F435" s="224" t="str">
        <f>IFERROR(VLOOKUP($C435,Full_data!$B$8:$J$932,4,FALSE),"")</f>
        <v/>
      </c>
      <c r="G435" s="224" t="e">
        <f>VLOOKUP($C435,Full_data!$B$8:$J$932,5,FALSE)</f>
        <v>#N/A</v>
      </c>
      <c r="H435" s="224" t="e">
        <f>VLOOKUP($C435,Full_data!$B$8:$J$932,6,FALSE)</f>
        <v>#N/A</v>
      </c>
      <c r="I435" s="236" t="str">
        <f>IFERROR(VLOOKUP($C435,Full_data!$B$8:$J$932,7,FALSE),"")</f>
        <v/>
      </c>
      <c r="J435" s="354" t="str">
        <f>IFERROR(VLOOKUP($C435,Full_data!$B$8:$J$932,8,FALSE),"")</f>
        <v/>
      </c>
      <c r="K435" s="357"/>
      <c r="L435" s="230" t="str">
        <f t="shared" si="22"/>
        <v/>
      </c>
      <c r="M435" s="351"/>
      <c r="N435" s="236" t="str">
        <f t="shared" si="21"/>
        <v/>
      </c>
      <c r="O435" s="236">
        <f>M435*IFERROR(VLOOKUP($C435,Logistics!$A$1:$O$534,10,FALSE),0)</f>
        <v>0</v>
      </c>
      <c r="P435" s="238">
        <f>M435*IFERROR(VLOOKUP($C435,Logistics!$A$1:$O$534,11,FALSE),0)</f>
        <v>0</v>
      </c>
      <c r="AA435" s="247">
        <f t="shared" si="20"/>
        <v>0.4</v>
      </c>
    </row>
    <row r="436" spans="2:27" ht="15" x14ac:dyDescent="0.2">
      <c r="B436" s="225">
        <v>432</v>
      </c>
      <c r="C436" s="259"/>
      <c r="D436" s="227" t="str">
        <f>IFERROR(VLOOKUP($C436,Full_data!$B$8:$J$932,2,FALSE),"")</f>
        <v/>
      </c>
      <c r="E436" s="227" t="str">
        <f>IFERROR(VLOOKUP($C436,Full_data!$B$8:$J$932,3,FALSE),"")</f>
        <v/>
      </c>
      <c r="F436" s="226" t="str">
        <f>IFERROR(VLOOKUP($C436,Full_data!$B$8:$J$932,4,FALSE),"")</f>
        <v/>
      </c>
      <c r="G436" s="226" t="e">
        <f>VLOOKUP($C436,Full_data!$B$8:$J$932,5,FALSE)</f>
        <v>#N/A</v>
      </c>
      <c r="H436" s="226" t="e">
        <f>VLOOKUP($C436,Full_data!$B$8:$J$932,6,FALSE)</f>
        <v>#N/A</v>
      </c>
      <c r="I436" s="237" t="str">
        <f>IFERROR(VLOOKUP($C436,Full_data!$B$8:$J$932,7,FALSE),"")</f>
        <v/>
      </c>
      <c r="J436" s="355" t="str">
        <f>IFERROR(VLOOKUP($C436,Full_data!$B$8:$J$932,8,FALSE),"")</f>
        <v/>
      </c>
      <c r="K436" s="358"/>
      <c r="L436" s="229" t="str">
        <f t="shared" si="22"/>
        <v/>
      </c>
      <c r="M436" s="352"/>
      <c r="N436" s="237" t="str">
        <f t="shared" si="21"/>
        <v/>
      </c>
      <c r="O436" s="237">
        <f>M436*IFERROR(VLOOKUP($C436,Logistics!$A$1:$O$534,10,FALSE),0)</f>
        <v>0</v>
      </c>
      <c r="P436" s="239">
        <f>M436*IFERROR(VLOOKUP($C436,Logistics!$A$1:$O$534,11,FALSE),0)</f>
        <v>0</v>
      </c>
      <c r="AA436" s="247">
        <f t="shared" si="20"/>
        <v>0.4</v>
      </c>
    </row>
    <row r="437" spans="2:27" ht="15" x14ac:dyDescent="0.2">
      <c r="B437" s="223">
        <v>433</v>
      </c>
      <c r="C437" s="258"/>
      <c r="D437" s="228" t="str">
        <f>IFERROR(VLOOKUP($C437,Full_data!$B$8:$J$932,2,FALSE),"")</f>
        <v/>
      </c>
      <c r="E437" s="228" t="str">
        <f>IFERROR(VLOOKUP($C437,Full_data!$B$8:$J$932,3,FALSE),"")</f>
        <v/>
      </c>
      <c r="F437" s="224" t="str">
        <f>IFERROR(VLOOKUP($C437,Full_data!$B$8:$J$932,4,FALSE),"")</f>
        <v/>
      </c>
      <c r="G437" s="224" t="e">
        <f>VLOOKUP($C437,Full_data!$B$8:$J$932,5,FALSE)</f>
        <v>#N/A</v>
      </c>
      <c r="H437" s="224" t="e">
        <f>VLOOKUP($C437,Full_data!$B$8:$J$932,6,FALSE)</f>
        <v>#N/A</v>
      </c>
      <c r="I437" s="236" t="str">
        <f>IFERROR(VLOOKUP($C437,Full_data!$B$8:$J$932,7,FALSE),"")</f>
        <v/>
      </c>
      <c r="J437" s="354" t="str">
        <f>IFERROR(VLOOKUP($C437,Full_data!$B$8:$J$932,8,FALSE),"")</f>
        <v/>
      </c>
      <c r="K437" s="357"/>
      <c r="L437" s="230" t="str">
        <f t="shared" si="22"/>
        <v/>
      </c>
      <c r="M437" s="351"/>
      <c r="N437" s="236" t="str">
        <f t="shared" si="21"/>
        <v/>
      </c>
      <c r="O437" s="236">
        <f>M437*IFERROR(VLOOKUP($C437,Logistics!$A$1:$O$534,10,FALSE),0)</f>
        <v>0</v>
      </c>
      <c r="P437" s="238">
        <f>M437*IFERROR(VLOOKUP($C437,Logistics!$A$1:$O$534,11,FALSE),0)</f>
        <v>0</v>
      </c>
      <c r="AA437" s="247">
        <f t="shared" si="20"/>
        <v>0.4</v>
      </c>
    </row>
    <row r="438" spans="2:27" ht="15" x14ac:dyDescent="0.2">
      <c r="B438" s="225">
        <v>434</v>
      </c>
      <c r="C438" s="259"/>
      <c r="D438" s="227" t="str">
        <f>IFERROR(VLOOKUP($C438,Full_data!$B$8:$J$932,2,FALSE),"")</f>
        <v/>
      </c>
      <c r="E438" s="227" t="str">
        <f>IFERROR(VLOOKUP($C438,Full_data!$B$8:$J$932,3,FALSE),"")</f>
        <v/>
      </c>
      <c r="F438" s="226" t="str">
        <f>IFERROR(VLOOKUP($C438,Full_data!$B$8:$J$932,4,FALSE),"")</f>
        <v/>
      </c>
      <c r="G438" s="226" t="e">
        <f>VLOOKUP($C438,Full_data!$B$8:$J$932,5,FALSE)</f>
        <v>#N/A</v>
      </c>
      <c r="H438" s="226" t="e">
        <f>VLOOKUP($C438,Full_data!$B$8:$J$932,6,FALSE)</f>
        <v>#N/A</v>
      </c>
      <c r="I438" s="237" t="str">
        <f>IFERROR(VLOOKUP($C438,Full_data!$B$8:$J$932,7,FALSE),"")</f>
        <v/>
      </c>
      <c r="J438" s="355" t="str">
        <f>IFERROR(VLOOKUP($C438,Full_data!$B$8:$J$932,8,FALSE),"")</f>
        <v/>
      </c>
      <c r="K438" s="358"/>
      <c r="L438" s="229" t="str">
        <f t="shared" si="22"/>
        <v/>
      </c>
      <c r="M438" s="352"/>
      <c r="N438" s="237" t="str">
        <f t="shared" si="21"/>
        <v/>
      </c>
      <c r="O438" s="237">
        <f>M438*IFERROR(VLOOKUP($C438,Logistics!$A$1:$O$534,10,FALSE),0)</f>
        <v>0</v>
      </c>
      <c r="P438" s="239">
        <f>M438*IFERROR(VLOOKUP($C438,Logistics!$A$1:$O$534,11,FALSE),0)</f>
        <v>0</v>
      </c>
      <c r="AA438" s="247">
        <f t="shared" si="20"/>
        <v>0.4</v>
      </c>
    </row>
    <row r="439" spans="2:27" ht="15" x14ac:dyDescent="0.2">
      <c r="B439" s="223">
        <v>435</v>
      </c>
      <c r="C439" s="258"/>
      <c r="D439" s="228" t="str">
        <f>IFERROR(VLOOKUP($C439,Full_data!$B$8:$J$932,2,FALSE),"")</f>
        <v/>
      </c>
      <c r="E439" s="228" t="str">
        <f>IFERROR(VLOOKUP($C439,Full_data!$B$8:$J$932,3,FALSE),"")</f>
        <v/>
      </c>
      <c r="F439" s="224" t="str">
        <f>IFERROR(VLOOKUP($C439,Full_data!$B$8:$J$932,4,FALSE),"")</f>
        <v/>
      </c>
      <c r="G439" s="224" t="e">
        <f>VLOOKUP($C439,Full_data!$B$8:$J$932,5,FALSE)</f>
        <v>#N/A</v>
      </c>
      <c r="H439" s="224" t="e">
        <f>VLOOKUP($C439,Full_data!$B$8:$J$932,6,FALSE)</f>
        <v>#N/A</v>
      </c>
      <c r="I439" s="236" t="str">
        <f>IFERROR(VLOOKUP($C439,Full_data!$B$8:$J$932,7,FALSE),"")</f>
        <v/>
      </c>
      <c r="J439" s="354" t="str">
        <f>IFERROR(VLOOKUP($C439,Full_data!$B$8:$J$932,8,FALSE),"")</f>
        <v/>
      </c>
      <c r="K439" s="357"/>
      <c r="L439" s="230" t="str">
        <f t="shared" si="22"/>
        <v/>
      </c>
      <c r="M439" s="351"/>
      <c r="N439" s="236" t="str">
        <f t="shared" si="21"/>
        <v/>
      </c>
      <c r="O439" s="236">
        <f>M439*IFERROR(VLOOKUP($C439,Logistics!$A$1:$O$534,10,FALSE),0)</f>
        <v>0</v>
      </c>
      <c r="P439" s="238">
        <f>M439*IFERROR(VLOOKUP($C439,Logistics!$A$1:$O$534,11,FALSE),0)</f>
        <v>0</v>
      </c>
      <c r="AA439" s="247">
        <f t="shared" si="20"/>
        <v>0.4</v>
      </c>
    </row>
    <row r="440" spans="2:27" ht="15" x14ac:dyDescent="0.2">
      <c r="B440" s="225">
        <v>436</v>
      </c>
      <c r="C440" s="259"/>
      <c r="D440" s="227" t="str">
        <f>IFERROR(VLOOKUP($C440,Full_data!$B$8:$J$932,2,FALSE),"")</f>
        <v/>
      </c>
      <c r="E440" s="227" t="str">
        <f>IFERROR(VLOOKUP($C440,Full_data!$B$8:$J$932,3,FALSE),"")</f>
        <v/>
      </c>
      <c r="F440" s="226" t="str">
        <f>IFERROR(VLOOKUP($C440,Full_data!$B$8:$J$932,4,FALSE),"")</f>
        <v/>
      </c>
      <c r="G440" s="226" t="e">
        <f>VLOOKUP($C440,Full_data!$B$8:$J$932,5,FALSE)</f>
        <v>#N/A</v>
      </c>
      <c r="H440" s="226" t="e">
        <f>VLOOKUP($C440,Full_data!$B$8:$J$932,6,FALSE)</f>
        <v>#N/A</v>
      </c>
      <c r="I440" s="237" t="str">
        <f>IFERROR(VLOOKUP($C440,Full_data!$B$8:$J$932,7,FALSE),"")</f>
        <v/>
      </c>
      <c r="J440" s="355" t="str">
        <f>IFERROR(VLOOKUP($C440,Full_data!$B$8:$J$932,8,FALSE),"")</f>
        <v/>
      </c>
      <c r="K440" s="358"/>
      <c r="L440" s="229" t="str">
        <f t="shared" si="22"/>
        <v/>
      </c>
      <c r="M440" s="352"/>
      <c r="N440" s="237" t="str">
        <f t="shared" si="21"/>
        <v/>
      </c>
      <c r="O440" s="237">
        <f>M440*IFERROR(VLOOKUP($C440,Logistics!$A$1:$O$534,10,FALSE),0)</f>
        <v>0</v>
      </c>
      <c r="P440" s="239">
        <f>M440*IFERROR(VLOOKUP($C440,Logistics!$A$1:$O$534,11,FALSE),0)</f>
        <v>0</v>
      </c>
      <c r="AA440" s="247">
        <f t="shared" si="20"/>
        <v>0.4</v>
      </c>
    </row>
    <row r="441" spans="2:27" ht="15" x14ac:dyDescent="0.2">
      <c r="B441" s="223">
        <v>437</v>
      </c>
      <c r="C441" s="258"/>
      <c r="D441" s="228" t="str">
        <f>IFERROR(VLOOKUP($C441,Full_data!$B$8:$J$932,2,FALSE),"")</f>
        <v/>
      </c>
      <c r="E441" s="228" t="str">
        <f>IFERROR(VLOOKUP($C441,Full_data!$B$8:$J$932,3,FALSE),"")</f>
        <v/>
      </c>
      <c r="F441" s="224" t="str">
        <f>IFERROR(VLOOKUP($C441,Full_data!$B$8:$J$932,4,FALSE),"")</f>
        <v/>
      </c>
      <c r="G441" s="224" t="e">
        <f>VLOOKUP($C441,Full_data!$B$8:$J$932,5,FALSE)</f>
        <v>#N/A</v>
      </c>
      <c r="H441" s="224" t="e">
        <f>VLOOKUP($C441,Full_data!$B$8:$J$932,6,FALSE)</f>
        <v>#N/A</v>
      </c>
      <c r="I441" s="236" t="str">
        <f>IFERROR(VLOOKUP($C441,Full_data!$B$8:$J$932,7,FALSE),"")</f>
        <v/>
      </c>
      <c r="J441" s="354" t="str">
        <f>IFERROR(VLOOKUP($C441,Full_data!$B$8:$J$932,8,FALSE),"")</f>
        <v/>
      </c>
      <c r="K441" s="357"/>
      <c r="L441" s="230" t="str">
        <f t="shared" si="22"/>
        <v/>
      </c>
      <c r="M441" s="351"/>
      <c r="N441" s="236" t="str">
        <f t="shared" si="21"/>
        <v/>
      </c>
      <c r="O441" s="236">
        <f>M441*IFERROR(VLOOKUP($C441,Logistics!$A$1:$O$534,10,FALSE),0)</f>
        <v>0</v>
      </c>
      <c r="P441" s="238">
        <f>M441*IFERROR(VLOOKUP($C441,Logistics!$A$1:$O$534,11,FALSE),0)</f>
        <v>0</v>
      </c>
      <c r="AA441" s="247">
        <f t="shared" si="20"/>
        <v>0.4</v>
      </c>
    </row>
    <row r="442" spans="2:27" ht="15" x14ac:dyDescent="0.2">
      <c r="B442" s="225">
        <v>438</v>
      </c>
      <c r="C442" s="259"/>
      <c r="D442" s="227" t="str">
        <f>IFERROR(VLOOKUP($C442,Full_data!$B$8:$J$932,2,FALSE),"")</f>
        <v/>
      </c>
      <c r="E442" s="227" t="str">
        <f>IFERROR(VLOOKUP($C442,Full_data!$B$8:$J$932,3,FALSE),"")</f>
        <v/>
      </c>
      <c r="F442" s="226" t="str">
        <f>IFERROR(VLOOKUP($C442,Full_data!$B$8:$J$932,4,FALSE),"")</f>
        <v/>
      </c>
      <c r="G442" s="226" t="e">
        <f>VLOOKUP($C442,Full_data!$B$8:$J$932,5,FALSE)</f>
        <v>#N/A</v>
      </c>
      <c r="H442" s="226" t="e">
        <f>VLOOKUP($C442,Full_data!$B$8:$J$932,6,FALSE)</f>
        <v>#N/A</v>
      </c>
      <c r="I442" s="237" t="str">
        <f>IFERROR(VLOOKUP($C442,Full_data!$B$8:$J$932,7,FALSE),"")</f>
        <v/>
      </c>
      <c r="J442" s="355" t="str">
        <f>IFERROR(VLOOKUP($C442,Full_data!$B$8:$J$932,8,FALSE),"")</f>
        <v/>
      </c>
      <c r="K442" s="358"/>
      <c r="L442" s="229" t="str">
        <f t="shared" si="22"/>
        <v/>
      </c>
      <c r="M442" s="352"/>
      <c r="N442" s="237" t="str">
        <f t="shared" si="21"/>
        <v/>
      </c>
      <c r="O442" s="237">
        <f>M442*IFERROR(VLOOKUP($C442,Logistics!$A$1:$O$534,10,FALSE),0)</f>
        <v>0</v>
      </c>
      <c r="P442" s="239">
        <f>M442*IFERROR(VLOOKUP($C442,Logistics!$A$1:$O$534,11,FALSE),0)</f>
        <v>0</v>
      </c>
      <c r="AA442" s="247">
        <f t="shared" si="20"/>
        <v>0.4</v>
      </c>
    </row>
    <row r="443" spans="2:27" ht="15" x14ac:dyDescent="0.2">
      <c r="B443" s="223">
        <v>439</v>
      </c>
      <c r="C443" s="258"/>
      <c r="D443" s="228" t="str">
        <f>IFERROR(VLOOKUP($C443,Full_data!$B$8:$J$932,2,FALSE),"")</f>
        <v/>
      </c>
      <c r="E443" s="228" t="str">
        <f>IFERROR(VLOOKUP($C443,Full_data!$B$8:$J$932,3,FALSE),"")</f>
        <v/>
      </c>
      <c r="F443" s="224" t="str">
        <f>IFERROR(VLOOKUP($C443,Full_data!$B$8:$J$932,4,FALSE),"")</f>
        <v/>
      </c>
      <c r="G443" s="224" t="e">
        <f>VLOOKUP($C443,Full_data!$B$8:$J$932,5,FALSE)</f>
        <v>#N/A</v>
      </c>
      <c r="H443" s="224" t="e">
        <f>VLOOKUP($C443,Full_data!$B$8:$J$932,6,FALSE)</f>
        <v>#N/A</v>
      </c>
      <c r="I443" s="236" t="str">
        <f>IFERROR(VLOOKUP($C443,Full_data!$B$8:$J$932,7,FALSE),"")</f>
        <v/>
      </c>
      <c r="J443" s="354" t="str">
        <f>IFERROR(VLOOKUP($C443,Full_data!$B$8:$J$932,8,FALSE),"")</f>
        <v/>
      </c>
      <c r="K443" s="357"/>
      <c r="L443" s="230" t="str">
        <f t="shared" si="22"/>
        <v/>
      </c>
      <c r="M443" s="351"/>
      <c r="N443" s="236" t="str">
        <f t="shared" si="21"/>
        <v/>
      </c>
      <c r="O443" s="236">
        <f>M443*IFERROR(VLOOKUP($C443,Logistics!$A$1:$O$534,10,FALSE),0)</f>
        <v>0</v>
      </c>
      <c r="P443" s="238">
        <f>M443*IFERROR(VLOOKUP($C443,Logistics!$A$1:$O$534,11,FALSE),0)</f>
        <v>0</v>
      </c>
      <c r="AA443" s="247">
        <f t="shared" si="20"/>
        <v>0.4</v>
      </c>
    </row>
    <row r="444" spans="2:27" ht="15" x14ac:dyDescent="0.2">
      <c r="B444" s="225">
        <v>440</v>
      </c>
      <c r="C444" s="259"/>
      <c r="D444" s="227" t="str">
        <f>IFERROR(VLOOKUP($C444,Full_data!$B$8:$J$932,2,FALSE),"")</f>
        <v/>
      </c>
      <c r="E444" s="227" t="str">
        <f>IFERROR(VLOOKUP($C444,Full_data!$B$8:$J$932,3,FALSE),"")</f>
        <v/>
      </c>
      <c r="F444" s="226" t="str">
        <f>IFERROR(VLOOKUP($C444,Full_data!$B$8:$J$932,4,FALSE),"")</f>
        <v/>
      </c>
      <c r="G444" s="226" t="e">
        <f>VLOOKUP($C444,Full_data!$B$8:$J$932,5,FALSE)</f>
        <v>#N/A</v>
      </c>
      <c r="H444" s="226" t="e">
        <f>VLOOKUP($C444,Full_data!$B$8:$J$932,6,FALSE)</f>
        <v>#N/A</v>
      </c>
      <c r="I444" s="237" t="str">
        <f>IFERROR(VLOOKUP($C444,Full_data!$B$8:$J$932,7,FALSE),"")</f>
        <v/>
      </c>
      <c r="J444" s="355" t="str">
        <f>IFERROR(VLOOKUP($C444,Full_data!$B$8:$J$932,8,FALSE),"")</f>
        <v/>
      </c>
      <c r="K444" s="358"/>
      <c r="L444" s="229" t="str">
        <f t="shared" si="22"/>
        <v/>
      </c>
      <c r="M444" s="352"/>
      <c r="N444" s="237" t="str">
        <f t="shared" si="21"/>
        <v/>
      </c>
      <c r="O444" s="237">
        <f>M444*IFERROR(VLOOKUP($C444,Logistics!$A$1:$O$534,10,FALSE),0)</f>
        <v>0</v>
      </c>
      <c r="P444" s="239">
        <f>M444*IFERROR(VLOOKUP($C444,Logistics!$A$1:$O$534,11,FALSE),0)</f>
        <v>0</v>
      </c>
      <c r="AA444" s="247">
        <f t="shared" si="20"/>
        <v>0.4</v>
      </c>
    </row>
    <row r="445" spans="2:27" ht="15" x14ac:dyDescent="0.2">
      <c r="B445" s="223">
        <v>441</v>
      </c>
      <c r="C445" s="258"/>
      <c r="D445" s="228" t="str">
        <f>IFERROR(VLOOKUP($C445,Full_data!$B$8:$J$932,2,FALSE),"")</f>
        <v/>
      </c>
      <c r="E445" s="228" t="str">
        <f>IFERROR(VLOOKUP($C445,Full_data!$B$8:$J$932,3,FALSE),"")</f>
        <v/>
      </c>
      <c r="F445" s="224" t="str">
        <f>IFERROR(VLOOKUP($C445,Full_data!$B$8:$J$932,4,FALSE),"")</f>
        <v/>
      </c>
      <c r="G445" s="224" t="e">
        <f>VLOOKUP($C445,Full_data!$B$8:$J$932,5,FALSE)</f>
        <v>#N/A</v>
      </c>
      <c r="H445" s="224" t="e">
        <f>VLOOKUP($C445,Full_data!$B$8:$J$932,6,FALSE)</f>
        <v>#N/A</v>
      </c>
      <c r="I445" s="236" t="str">
        <f>IFERROR(VLOOKUP($C445,Full_data!$B$8:$J$932,7,FALSE),"")</f>
        <v/>
      </c>
      <c r="J445" s="354" t="str">
        <f>IFERROR(VLOOKUP($C445,Full_data!$B$8:$J$932,8,FALSE),"")</f>
        <v/>
      </c>
      <c r="K445" s="357"/>
      <c r="L445" s="230" t="str">
        <f t="shared" si="22"/>
        <v/>
      </c>
      <c r="M445" s="351"/>
      <c r="N445" s="236" t="str">
        <f t="shared" si="21"/>
        <v/>
      </c>
      <c r="O445" s="236">
        <f>M445*IFERROR(VLOOKUP($C445,Logistics!$A$1:$O$534,10,FALSE),0)</f>
        <v>0</v>
      </c>
      <c r="P445" s="238">
        <f>M445*IFERROR(VLOOKUP($C445,Logistics!$A$1:$O$534,11,FALSE),0)</f>
        <v>0</v>
      </c>
      <c r="AA445" s="247">
        <f t="shared" si="20"/>
        <v>0.4</v>
      </c>
    </row>
    <row r="446" spans="2:27" ht="15" x14ac:dyDescent="0.2">
      <c r="B446" s="225">
        <v>442</v>
      </c>
      <c r="C446" s="259"/>
      <c r="D446" s="227" t="str">
        <f>IFERROR(VLOOKUP($C446,Full_data!$B$8:$J$932,2,FALSE),"")</f>
        <v/>
      </c>
      <c r="E446" s="227" t="str">
        <f>IFERROR(VLOOKUP($C446,Full_data!$B$8:$J$932,3,FALSE),"")</f>
        <v/>
      </c>
      <c r="F446" s="226" t="str">
        <f>IFERROR(VLOOKUP($C446,Full_data!$B$8:$J$932,4,FALSE),"")</f>
        <v/>
      </c>
      <c r="G446" s="226" t="e">
        <f>VLOOKUP($C446,Full_data!$B$8:$J$932,5,FALSE)</f>
        <v>#N/A</v>
      </c>
      <c r="H446" s="226" t="e">
        <f>VLOOKUP($C446,Full_data!$B$8:$J$932,6,FALSE)</f>
        <v>#N/A</v>
      </c>
      <c r="I446" s="237" t="str">
        <f>IFERROR(VLOOKUP($C446,Full_data!$B$8:$J$932,7,FALSE),"")</f>
        <v/>
      </c>
      <c r="J446" s="355" t="str">
        <f>IFERROR(VLOOKUP($C446,Full_data!$B$8:$J$932,8,FALSE),"")</f>
        <v/>
      </c>
      <c r="K446" s="358"/>
      <c r="L446" s="229" t="str">
        <f t="shared" si="22"/>
        <v/>
      </c>
      <c r="M446" s="352"/>
      <c r="N446" s="237" t="str">
        <f t="shared" si="21"/>
        <v/>
      </c>
      <c r="O446" s="237">
        <f>M446*IFERROR(VLOOKUP($C446,Logistics!$A$1:$O$534,10,FALSE),0)</f>
        <v>0</v>
      </c>
      <c r="P446" s="239">
        <f>M446*IFERROR(VLOOKUP($C446,Logistics!$A$1:$O$534,11,FALSE),0)</f>
        <v>0</v>
      </c>
      <c r="AA446" s="247">
        <f t="shared" si="20"/>
        <v>0.4</v>
      </c>
    </row>
    <row r="447" spans="2:27" ht="15" x14ac:dyDescent="0.2">
      <c r="B447" s="223">
        <v>443</v>
      </c>
      <c r="C447" s="258"/>
      <c r="D447" s="228" t="str">
        <f>IFERROR(VLOOKUP($C447,Full_data!$B$8:$J$932,2,FALSE),"")</f>
        <v/>
      </c>
      <c r="E447" s="228" t="str">
        <f>IFERROR(VLOOKUP($C447,Full_data!$B$8:$J$932,3,FALSE),"")</f>
        <v/>
      </c>
      <c r="F447" s="224" t="str">
        <f>IFERROR(VLOOKUP($C447,Full_data!$B$8:$J$932,4,FALSE),"")</f>
        <v/>
      </c>
      <c r="G447" s="224" t="e">
        <f>VLOOKUP($C447,Full_data!$B$8:$J$932,5,FALSE)</f>
        <v>#N/A</v>
      </c>
      <c r="H447" s="224" t="e">
        <f>VLOOKUP($C447,Full_data!$B$8:$J$932,6,FALSE)</f>
        <v>#N/A</v>
      </c>
      <c r="I447" s="236" t="str">
        <f>IFERROR(VLOOKUP($C447,Full_data!$B$8:$J$932,7,FALSE),"")</f>
        <v/>
      </c>
      <c r="J447" s="354" t="str">
        <f>IFERROR(VLOOKUP($C447,Full_data!$B$8:$J$932,8,FALSE),"")</f>
        <v/>
      </c>
      <c r="K447" s="357"/>
      <c r="L447" s="230" t="str">
        <f t="shared" si="22"/>
        <v/>
      </c>
      <c r="M447" s="351"/>
      <c r="N447" s="236" t="str">
        <f t="shared" si="21"/>
        <v/>
      </c>
      <c r="O447" s="236">
        <f>M447*IFERROR(VLOOKUP($C447,Logistics!$A$1:$O$534,10,FALSE),0)</f>
        <v>0</v>
      </c>
      <c r="P447" s="238">
        <f>M447*IFERROR(VLOOKUP($C447,Logistics!$A$1:$O$534,11,FALSE),0)</f>
        <v>0</v>
      </c>
      <c r="AA447" s="247">
        <f t="shared" si="20"/>
        <v>0.4</v>
      </c>
    </row>
    <row r="448" spans="2:27" ht="15" x14ac:dyDescent="0.2">
      <c r="B448" s="225">
        <v>444</v>
      </c>
      <c r="C448" s="259"/>
      <c r="D448" s="227" t="str">
        <f>IFERROR(VLOOKUP($C448,Full_data!$B$8:$J$932,2,FALSE),"")</f>
        <v/>
      </c>
      <c r="E448" s="227" t="str">
        <f>IFERROR(VLOOKUP($C448,Full_data!$B$8:$J$932,3,FALSE),"")</f>
        <v/>
      </c>
      <c r="F448" s="226" t="str">
        <f>IFERROR(VLOOKUP($C448,Full_data!$B$8:$J$932,4,FALSE),"")</f>
        <v/>
      </c>
      <c r="G448" s="226" t="e">
        <f>VLOOKUP($C448,Full_data!$B$8:$J$932,5,FALSE)</f>
        <v>#N/A</v>
      </c>
      <c r="H448" s="226" t="e">
        <f>VLOOKUP($C448,Full_data!$B$8:$J$932,6,FALSE)</f>
        <v>#N/A</v>
      </c>
      <c r="I448" s="237" t="str">
        <f>IFERROR(VLOOKUP($C448,Full_data!$B$8:$J$932,7,FALSE),"")</f>
        <v/>
      </c>
      <c r="J448" s="355" t="str">
        <f>IFERROR(VLOOKUP($C448,Full_data!$B$8:$J$932,8,FALSE),"")</f>
        <v/>
      </c>
      <c r="K448" s="358"/>
      <c r="L448" s="229" t="str">
        <f t="shared" si="22"/>
        <v/>
      </c>
      <c r="M448" s="352"/>
      <c r="N448" s="237" t="str">
        <f t="shared" si="21"/>
        <v/>
      </c>
      <c r="O448" s="237">
        <f>M448*IFERROR(VLOOKUP($C448,Logistics!$A$1:$O$534,10,FALSE),0)</f>
        <v>0</v>
      </c>
      <c r="P448" s="239">
        <f>M448*IFERROR(VLOOKUP($C448,Logistics!$A$1:$O$534,11,FALSE),0)</f>
        <v>0</v>
      </c>
      <c r="AA448" s="247">
        <f t="shared" si="20"/>
        <v>0.4</v>
      </c>
    </row>
    <row r="449" spans="2:27" ht="15" x14ac:dyDescent="0.2">
      <c r="B449" s="223">
        <v>445</v>
      </c>
      <c r="C449" s="258"/>
      <c r="D449" s="228" t="str">
        <f>IFERROR(VLOOKUP($C449,Full_data!$B$8:$J$932,2,FALSE),"")</f>
        <v/>
      </c>
      <c r="E449" s="228" t="str">
        <f>IFERROR(VLOOKUP($C449,Full_data!$B$8:$J$932,3,FALSE),"")</f>
        <v/>
      </c>
      <c r="F449" s="224" t="str">
        <f>IFERROR(VLOOKUP($C449,Full_data!$B$8:$J$932,4,FALSE),"")</f>
        <v/>
      </c>
      <c r="G449" s="224" t="e">
        <f>VLOOKUP($C449,Full_data!$B$8:$J$932,5,FALSE)</f>
        <v>#N/A</v>
      </c>
      <c r="H449" s="224" t="e">
        <f>VLOOKUP($C449,Full_data!$B$8:$J$932,6,FALSE)</f>
        <v>#N/A</v>
      </c>
      <c r="I449" s="236" t="str">
        <f>IFERROR(VLOOKUP($C449,Full_data!$B$8:$J$932,7,FALSE),"")</f>
        <v/>
      </c>
      <c r="J449" s="354" t="str">
        <f>IFERROR(VLOOKUP($C449,Full_data!$B$8:$J$932,8,FALSE),"")</f>
        <v/>
      </c>
      <c r="K449" s="357"/>
      <c r="L449" s="230" t="str">
        <f t="shared" si="22"/>
        <v/>
      </c>
      <c r="M449" s="351"/>
      <c r="N449" s="236" t="str">
        <f t="shared" si="21"/>
        <v/>
      </c>
      <c r="O449" s="236">
        <f>M449*IFERROR(VLOOKUP($C449,Logistics!$A$1:$O$534,10,FALSE),0)</f>
        <v>0</v>
      </c>
      <c r="P449" s="238">
        <f>M449*IFERROR(VLOOKUP($C449,Logistics!$A$1:$O$534,11,FALSE),0)</f>
        <v>0</v>
      </c>
      <c r="AA449" s="247">
        <f t="shared" si="20"/>
        <v>0.4</v>
      </c>
    </row>
    <row r="450" spans="2:27" ht="15" x14ac:dyDescent="0.2">
      <c r="B450" s="225">
        <v>446</v>
      </c>
      <c r="C450" s="259"/>
      <c r="D450" s="227" t="str">
        <f>IFERROR(VLOOKUP($C450,Full_data!$B$8:$J$932,2,FALSE),"")</f>
        <v/>
      </c>
      <c r="E450" s="227" t="str">
        <f>IFERROR(VLOOKUP($C450,Full_data!$B$8:$J$932,3,FALSE),"")</f>
        <v/>
      </c>
      <c r="F450" s="226" t="str">
        <f>IFERROR(VLOOKUP($C450,Full_data!$B$8:$J$932,4,FALSE),"")</f>
        <v/>
      </c>
      <c r="G450" s="226" t="e">
        <f>VLOOKUP($C450,Full_data!$B$8:$J$932,5,FALSE)</f>
        <v>#N/A</v>
      </c>
      <c r="H450" s="226" t="e">
        <f>VLOOKUP($C450,Full_data!$B$8:$J$932,6,FALSE)</f>
        <v>#N/A</v>
      </c>
      <c r="I450" s="237" t="str">
        <f>IFERROR(VLOOKUP($C450,Full_data!$B$8:$J$932,7,FALSE),"")</f>
        <v/>
      </c>
      <c r="J450" s="355" t="str">
        <f>IFERROR(VLOOKUP($C450,Full_data!$B$8:$J$932,8,FALSE),"")</f>
        <v/>
      </c>
      <c r="K450" s="358"/>
      <c r="L450" s="229" t="str">
        <f t="shared" si="22"/>
        <v/>
      </c>
      <c r="M450" s="352"/>
      <c r="N450" s="237" t="str">
        <f t="shared" si="21"/>
        <v/>
      </c>
      <c r="O450" s="237">
        <f>M450*IFERROR(VLOOKUP($C450,Logistics!$A$1:$O$534,10,FALSE),0)</f>
        <v>0</v>
      </c>
      <c r="P450" s="239">
        <f>M450*IFERROR(VLOOKUP($C450,Logistics!$A$1:$O$534,11,FALSE),0)</f>
        <v>0</v>
      </c>
      <c r="AA450" s="247">
        <f t="shared" si="20"/>
        <v>0.4</v>
      </c>
    </row>
    <row r="451" spans="2:27" ht="15" x14ac:dyDescent="0.2">
      <c r="B451" s="223">
        <v>447</v>
      </c>
      <c r="C451" s="258"/>
      <c r="D451" s="228" t="str">
        <f>IFERROR(VLOOKUP($C451,Full_data!$B$8:$J$932,2,FALSE),"")</f>
        <v/>
      </c>
      <c r="E451" s="228" t="str">
        <f>IFERROR(VLOOKUP($C451,Full_data!$B$8:$J$932,3,FALSE),"")</f>
        <v/>
      </c>
      <c r="F451" s="224" t="str">
        <f>IFERROR(VLOOKUP($C451,Full_data!$B$8:$J$932,4,FALSE),"")</f>
        <v/>
      </c>
      <c r="G451" s="224" t="e">
        <f>VLOOKUP($C451,Full_data!$B$8:$J$932,5,FALSE)</f>
        <v>#N/A</v>
      </c>
      <c r="H451" s="224" t="e">
        <f>VLOOKUP($C451,Full_data!$B$8:$J$932,6,FALSE)</f>
        <v>#N/A</v>
      </c>
      <c r="I451" s="236" t="str">
        <f>IFERROR(VLOOKUP($C451,Full_data!$B$8:$J$932,7,FALSE),"")</f>
        <v/>
      </c>
      <c r="J451" s="354" t="str">
        <f>IFERROR(VLOOKUP($C451,Full_data!$B$8:$J$932,8,FALSE),"")</f>
        <v/>
      </c>
      <c r="K451" s="357"/>
      <c r="L451" s="230" t="str">
        <f t="shared" si="22"/>
        <v/>
      </c>
      <c r="M451" s="351"/>
      <c r="N451" s="236" t="str">
        <f t="shared" si="21"/>
        <v/>
      </c>
      <c r="O451" s="236">
        <f>M451*IFERROR(VLOOKUP($C451,Logistics!$A$1:$O$534,10,FALSE),0)</f>
        <v>0</v>
      </c>
      <c r="P451" s="238">
        <f>M451*IFERROR(VLOOKUP($C451,Logistics!$A$1:$O$534,11,FALSE),0)</f>
        <v>0</v>
      </c>
      <c r="AA451" s="247">
        <f t="shared" si="20"/>
        <v>0.4</v>
      </c>
    </row>
    <row r="452" spans="2:27" ht="15" x14ac:dyDescent="0.2">
      <c r="B452" s="225">
        <v>448</v>
      </c>
      <c r="C452" s="259"/>
      <c r="D452" s="227" t="str">
        <f>IFERROR(VLOOKUP($C452,Full_data!$B$8:$J$932,2,FALSE),"")</f>
        <v/>
      </c>
      <c r="E452" s="227" t="str">
        <f>IFERROR(VLOOKUP($C452,Full_data!$B$8:$J$932,3,FALSE),"")</f>
        <v/>
      </c>
      <c r="F452" s="226" t="str">
        <f>IFERROR(VLOOKUP($C452,Full_data!$B$8:$J$932,4,FALSE),"")</f>
        <v/>
      </c>
      <c r="G452" s="226" t="e">
        <f>VLOOKUP($C452,Full_data!$B$8:$J$932,5,FALSE)</f>
        <v>#N/A</v>
      </c>
      <c r="H452" s="226" t="e">
        <f>VLOOKUP($C452,Full_data!$B$8:$J$932,6,FALSE)</f>
        <v>#N/A</v>
      </c>
      <c r="I452" s="237" t="str">
        <f>IFERROR(VLOOKUP($C452,Full_data!$B$8:$J$932,7,FALSE),"")</f>
        <v/>
      </c>
      <c r="J452" s="355" t="str">
        <f>IFERROR(VLOOKUP($C452,Full_data!$B$8:$J$932,8,FALSE),"")</f>
        <v/>
      </c>
      <c r="K452" s="358"/>
      <c r="L452" s="229" t="str">
        <f t="shared" si="22"/>
        <v/>
      </c>
      <c r="M452" s="352"/>
      <c r="N452" s="237" t="str">
        <f t="shared" si="21"/>
        <v/>
      </c>
      <c r="O452" s="237">
        <f>M452*IFERROR(VLOOKUP($C452,Logistics!$A$1:$O$534,10,FALSE),0)</f>
        <v>0</v>
      </c>
      <c r="P452" s="239">
        <f>M452*IFERROR(VLOOKUP($C452,Logistics!$A$1:$O$534,11,FALSE),0)</f>
        <v>0</v>
      </c>
      <c r="AA452" s="247">
        <f t="shared" si="20"/>
        <v>0.4</v>
      </c>
    </row>
    <row r="453" spans="2:27" ht="15" x14ac:dyDescent="0.2">
      <c r="B453" s="223">
        <v>449</v>
      </c>
      <c r="C453" s="258"/>
      <c r="D453" s="228" t="str">
        <f>IFERROR(VLOOKUP($C453,Full_data!$B$8:$J$932,2,FALSE),"")</f>
        <v/>
      </c>
      <c r="E453" s="228" t="str">
        <f>IFERROR(VLOOKUP($C453,Full_data!$B$8:$J$932,3,FALSE),"")</f>
        <v/>
      </c>
      <c r="F453" s="224" t="str">
        <f>IFERROR(VLOOKUP($C453,Full_data!$B$8:$J$932,4,FALSE),"")</f>
        <v/>
      </c>
      <c r="G453" s="224" t="e">
        <f>VLOOKUP($C453,Full_data!$B$8:$J$932,5,FALSE)</f>
        <v>#N/A</v>
      </c>
      <c r="H453" s="224" t="e">
        <f>VLOOKUP($C453,Full_data!$B$8:$J$932,6,FALSE)</f>
        <v>#N/A</v>
      </c>
      <c r="I453" s="236" t="str">
        <f>IFERROR(VLOOKUP($C453,Full_data!$B$8:$J$932,7,FALSE),"")</f>
        <v/>
      </c>
      <c r="J453" s="354" t="str">
        <f>IFERROR(VLOOKUP($C453,Full_data!$B$8:$J$932,8,FALSE),"")</f>
        <v/>
      </c>
      <c r="K453" s="357"/>
      <c r="L453" s="230" t="str">
        <f t="shared" si="22"/>
        <v/>
      </c>
      <c r="M453" s="351"/>
      <c r="N453" s="236" t="str">
        <f t="shared" si="21"/>
        <v/>
      </c>
      <c r="O453" s="236">
        <f>M453*IFERROR(VLOOKUP($C453,Logistics!$A$1:$O$534,10,FALSE),0)</f>
        <v>0</v>
      </c>
      <c r="P453" s="238">
        <f>M453*IFERROR(VLOOKUP($C453,Logistics!$A$1:$O$534,11,FALSE),0)</f>
        <v>0</v>
      </c>
      <c r="AA453" s="247">
        <f t="shared" si="20"/>
        <v>0.4</v>
      </c>
    </row>
    <row r="454" spans="2:27" ht="15" x14ac:dyDescent="0.2">
      <c r="B454" s="225">
        <v>450</v>
      </c>
      <c r="C454" s="259"/>
      <c r="D454" s="227" t="str">
        <f>IFERROR(VLOOKUP($C454,Full_data!$B$8:$J$932,2,FALSE),"")</f>
        <v/>
      </c>
      <c r="E454" s="227" t="str">
        <f>IFERROR(VLOOKUP($C454,Full_data!$B$8:$J$932,3,FALSE),"")</f>
        <v/>
      </c>
      <c r="F454" s="226" t="str">
        <f>IFERROR(VLOOKUP($C454,Full_data!$B$8:$J$932,4,FALSE),"")</f>
        <v/>
      </c>
      <c r="G454" s="226" t="e">
        <f>VLOOKUP($C454,Full_data!$B$8:$J$932,5,FALSE)</f>
        <v>#N/A</v>
      </c>
      <c r="H454" s="226" t="e">
        <f>VLOOKUP($C454,Full_data!$B$8:$J$932,6,FALSE)</f>
        <v>#N/A</v>
      </c>
      <c r="I454" s="237" t="str">
        <f>IFERROR(VLOOKUP($C454,Full_data!$B$8:$J$932,7,FALSE),"")</f>
        <v/>
      </c>
      <c r="J454" s="355" t="str">
        <f>IFERROR(VLOOKUP($C454,Full_data!$B$8:$J$932,8,FALSE),"")</f>
        <v/>
      </c>
      <c r="K454" s="358"/>
      <c r="L454" s="229" t="str">
        <f t="shared" si="22"/>
        <v/>
      </c>
      <c r="M454" s="352"/>
      <c r="N454" s="237" t="str">
        <f t="shared" si="21"/>
        <v/>
      </c>
      <c r="O454" s="237">
        <f>M454*IFERROR(VLOOKUP($C454,Logistics!$A$1:$O$534,10,FALSE),0)</f>
        <v>0</v>
      </c>
      <c r="P454" s="239">
        <f>M454*IFERROR(VLOOKUP($C454,Logistics!$A$1:$O$534,11,FALSE),0)</f>
        <v>0</v>
      </c>
      <c r="AA454" s="247">
        <f t="shared" ref="AA454:AA505" si="23">IF(ISBLANK(K454),40%,100%)</f>
        <v>0.4</v>
      </c>
    </row>
    <row r="455" spans="2:27" ht="15" x14ac:dyDescent="0.2">
      <c r="B455" s="223">
        <v>451</v>
      </c>
      <c r="C455" s="258"/>
      <c r="D455" s="228" t="str">
        <f>IFERROR(VLOOKUP($C455,Full_data!$B$8:$J$932,2,FALSE),"")</f>
        <v/>
      </c>
      <c r="E455" s="228" t="str">
        <f>IFERROR(VLOOKUP($C455,Full_data!$B$8:$J$932,3,FALSE),"")</f>
        <v/>
      </c>
      <c r="F455" s="224" t="str">
        <f>IFERROR(VLOOKUP($C455,Full_data!$B$8:$J$932,4,FALSE),"")</f>
        <v/>
      </c>
      <c r="G455" s="224" t="e">
        <f>VLOOKUP($C455,Full_data!$B$8:$J$932,5,FALSE)</f>
        <v>#N/A</v>
      </c>
      <c r="H455" s="224" t="e">
        <f>VLOOKUP($C455,Full_data!$B$8:$J$932,6,FALSE)</f>
        <v>#N/A</v>
      </c>
      <c r="I455" s="236" t="str">
        <f>IFERROR(VLOOKUP($C455,Full_data!$B$8:$J$932,7,FALSE),"")</f>
        <v/>
      </c>
      <c r="J455" s="354" t="str">
        <f>IFERROR(VLOOKUP($C455,Full_data!$B$8:$J$932,8,FALSE),"")</f>
        <v/>
      </c>
      <c r="K455" s="357"/>
      <c r="L455" s="230" t="str">
        <f t="shared" si="22"/>
        <v/>
      </c>
      <c r="M455" s="351"/>
      <c r="N455" s="236" t="str">
        <f t="shared" si="21"/>
        <v/>
      </c>
      <c r="O455" s="236">
        <f>M455*IFERROR(VLOOKUP($C455,Logistics!$A$1:$O$534,10,FALSE),0)</f>
        <v>0</v>
      </c>
      <c r="P455" s="238">
        <f>M455*IFERROR(VLOOKUP($C455,Logistics!$A$1:$O$534,11,FALSE),0)</f>
        <v>0</v>
      </c>
      <c r="AA455" s="247">
        <f t="shared" si="23"/>
        <v>0.4</v>
      </c>
    </row>
    <row r="456" spans="2:27" ht="15" x14ac:dyDescent="0.2">
      <c r="B456" s="225">
        <v>452</v>
      </c>
      <c r="C456" s="259"/>
      <c r="D456" s="227" t="str">
        <f>IFERROR(VLOOKUP($C456,Full_data!$B$8:$J$932,2,FALSE),"")</f>
        <v/>
      </c>
      <c r="E456" s="227" t="str">
        <f>IFERROR(VLOOKUP($C456,Full_data!$B$8:$J$932,3,FALSE),"")</f>
        <v/>
      </c>
      <c r="F456" s="226" t="str">
        <f>IFERROR(VLOOKUP($C456,Full_data!$B$8:$J$932,4,FALSE),"")</f>
        <v/>
      </c>
      <c r="G456" s="226" t="e">
        <f>VLOOKUP($C456,Full_data!$B$8:$J$932,5,FALSE)</f>
        <v>#N/A</v>
      </c>
      <c r="H456" s="226" t="e">
        <f>VLOOKUP($C456,Full_data!$B$8:$J$932,6,FALSE)</f>
        <v>#N/A</v>
      </c>
      <c r="I456" s="237" t="str">
        <f>IFERROR(VLOOKUP($C456,Full_data!$B$8:$J$932,7,FALSE),"")</f>
        <v/>
      </c>
      <c r="J456" s="355" t="str">
        <f>IFERROR(VLOOKUP($C456,Full_data!$B$8:$J$932,8,FALSE),"")</f>
        <v/>
      </c>
      <c r="K456" s="358"/>
      <c r="L456" s="229" t="str">
        <f t="shared" si="22"/>
        <v/>
      </c>
      <c r="M456" s="352"/>
      <c r="N456" s="237" t="str">
        <f t="shared" si="21"/>
        <v/>
      </c>
      <c r="O456" s="237">
        <f>M456*IFERROR(VLOOKUP($C456,Logistics!$A$1:$O$534,10,FALSE),0)</f>
        <v>0</v>
      </c>
      <c r="P456" s="239">
        <f>M456*IFERROR(VLOOKUP($C456,Logistics!$A$1:$O$534,11,FALSE),0)</f>
        <v>0</v>
      </c>
      <c r="AA456" s="247">
        <f t="shared" si="23"/>
        <v>0.4</v>
      </c>
    </row>
    <row r="457" spans="2:27" ht="15" x14ac:dyDescent="0.2">
      <c r="B457" s="223">
        <v>453</v>
      </c>
      <c r="C457" s="258"/>
      <c r="D457" s="228" t="str">
        <f>IFERROR(VLOOKUP($C457,Full_data!$B$8:$J$932,2,FALSE),"")</f>
        <v/>
      </c>
      <c r="E457" s="228" t="str">
        <f>IFERROR(VLOOKUP($C457,Full_data!$B$8:$J$932,3,FALSE),"")</f>
        <v/>
      </c>
      <c r="F457" s="224" t="str">
        <f>IFERROR(VLOOKUP($C457,Full_data!$B$8:$J$932,4,FALSE),"")</f>
        <v/>
      </c>
      <c r="G457" s="224" t="e">
        <f>VLOOKUP($C457,Full_data!$B$8:$J$932,5,FALSE)</f>
        <v>#N/A</v>
      </c>
      <c r="H457" s="224" t="e">
        <f>VLOOKUP($C457,Full_data!$B$8:$J$932,6,FALSE)</f>
        <v>#N/A</v>
      </c>
      <c r="I457" s="236" t="str">
        <f>IFERROR(VLOOKUP($C457,Full_data!$B$8:$J$932,7,FALSE),"")</f>
        <v/>
      </c>
      <c r="J457" s="354" t="str">
        <f>IFERROR(VLOOKUP($C457,Full_data!$B$8:$J$932,8,FALSE),"")</f>
        <v/>
      </c>
      <c r="K457" s="357"/>
      <c r="L457" s="230" t="str">
        <f t="shared" si="22"/>
        <v/>
      </c>
      <c r="M457" s="351"/>
      <c r="N457" s="236" t="str">
        <f t="shared" ref="N457:N504" si="24">IF(ISERROR(L457*M457),"",(L457*M457))</f>
        <v/>
      </c>
      <c r="O457" s="236">
        <f>M457*IFERROR(VLOOKUP($C457,Logistics!$A$1:$O$534,10,FALSE),0)</f>
        <v>0</v>
      </c>
      <c r="P457" s="238">
        <f>M457*IFERROR(VLOOKUP($C457,Logistics!$A$1:$O$534,11,FALSE),0)</f>
        <v>0</v>
      </c>
      <c r="AA457" s="247">
        <f t="shared" si="23"/>
        <v>0.4</v>
      </c>
    </row>
    <row r="458" spans="2:27" ht="15" x14ac:dyDescent="0.2">
      <c r="B458" s="225">
        <v>454</v>
      </c>
      <c r="C458" s="259"/>
      <c r="D458" s="227" t="str">
        <f>IFERROR(VLOOKUP($C458,Full_data!$B$8:$J$932,2,FALSE),"")</f>
        <v/>
      </c>
      <c r="E458" s="227" t="str">
        <f>IFERROR(VLOOKUP($C458,Full_data!$B$8:$J$932,3,FALSE),"")</f>
        <v/>
      </c>
      <c r="F458" s="226" t="str">
        <f>IFERROR(VLOOKUP($C458,Full_data!$B$8:$J$932,4,FALSE),"")</f>
        <v/>
      </c>
      <c r="G458" s="226" t="e">
        <f>VLOOKUP($C458,Full_data!$B$8:$J$932,5,FALSE)</f>
        <v>#N/A</v>
      </c>
      <c r="H458" s="226" t="e">
        <f>VLOOKUP($C458,Full_data!$B$8:$J$932,6,FALSE)</f>
        <v>#N/A</v>
      </c>
      <c r="I458" s="237" t="str">
        <f>IFERROR(VLOOKUP($C458,Full_data!$B$8:$J$932,7,FALSE),"")</f>
        <v/>
      </c>
      <c r="J458" s="355" t="str">
        <f>IFERROR(VLOOKUP($C458,Full_data!$B$8:$J$932,8,FALSE),"")</f>
        <v/>
      </c>
      <c r="K458" s="358"/>
      <c r="L458" s="229" t="str">
        <f t="shared" si="22"/>
        <v/>
      </c>
      <c r="M458" s="352"/>
      <c r="N458" s="237" t="str">
        <f t="shared" si="24"/>
        <v/>
      </c>
      <c r="O458" s="237">
        <f>M458*IFERROR(VLOOKUP($C458,Logistics!$A$1:$O$534,10,FALSE),0)</f>
        <v>0</v>
      </c>
      <c r="P458" s="239">
        <f>M458*IFERROR(VLOOKUP($C458,Logistics!$A$1:$O$534,11,FALSE),0)</f>
        <v>0</v>
      </c>
      <c r="AA458" s="247">
        <f t="shared" si="23"/>
        <v>0.4</v>
      </c>
    </row>
    <row r="459" spans="2:27" ht="15" x14ac:dyDescent="0.2">
      <c r="B459" s="223">
        <v>455</v>
      </c>
      <c r="C459" s="258"/>
      <c r="D459" s="228" t="str">
        <f>IFERROR(VLOOKUP($C459,Full_data!$B$8:$J$932,2,FALSE),"")</f>
        <v/>
      </c>
      <c r="E459" s="228" t="str">
        <f>IFERROR(VLOOKUP($C459,Full_data!$B$8:$J$932,3,FALSE),"")</f>
        <v/>
      </c>
      <c r="F459" s="224" t="str">
        <f>IFERROR(VLOOKUP($C459,Full_data!$B$8:$J$932,4,FALSE),"")</f>
        <v/>
      </c>
      <c r="G459" s="224" t="e">
        <f>VLOOKUP($C459,Full_data!$B$8:$J$932,5,FALSE)</f>
        <v>#N/A</v>
      </c>
      <c r="H459" s="224" t="e">
        <f>VLOOKUP($C459,Full_data!$B$8:$J$932,6,FALSE)</f>
        <v>#N/A</v>
      </c>
      <c r="I459" s="236" t="str">
        <f>IFERROR(VLOOKUP($C459,Full_data!$B$8:$J$932,7,FALSE),"")</f>
        <v/>
      </c>
      <c r="J459" s="354" t="str">
        <f>IFERROR(VLOOKUP($C459,Full_data!$B$8:$J$932,8,FALSE),"")</f>
        <v/>
      </c>
      <c r="K459" s="357"/>
      <c r="L459" s="230" t="str">
        <f t="shared" si="22"/>
        <v/>
      </c>
      <c r="M459" s="351"/>
      <c r="N459" s="236" t="str">
        <f t="shared" si="24"/>
        <v/>
      </c>
      <c r="O459" s="236">
        <f>M459*IFERROR(VLOOKUP($C459,Logistics!$A$1:$O$534,10,FALSE),0)</f>
        <v>0</v>
      </c>
      <c r="P459" s="238">
        <f>M459*IFERROR(VLOOKUP($C459,Logistics!$A$1:$O$534,11,FALSE),0)</f>
        <v>0</v>
      </c>
      <c r="AA459" s="247">
        <f t="shared" si="23"/>
        <v>0.4</v>
      </c>
    </row>
    <row r="460" spans="2:27" ht="15" x14ac:dyDescent="0.2">
      <c r="B460" s="225">
        <v>456</v>
      </c>
      <c r="C460" s="259"/>
      <c r="D460" s="227" t="str">
        <f>IFERROR(VLOOKUP($C460,Full_data!$B$8:$J$932,2,FALSE),"")</f>
        <v/>
      </c>
      <c r="E460" s="227" t="str">
        <f>IFERROR(VLOOKUP($C460,Full_data!$B$8:$J$932,3,FALSE),"")</f>
        <v/>
      </c>
      <c r="F460" s="226" t="str">
        <f>IFERROR(VLOOKUP($C460,Full_data!$B$8:$J$932,4,FALSE),"")</f>
        <v/>
      </c>
      <c r="G460" s="226" t="e">
        <f>VLOOKUP($C460,Full_data!$B$8:$J$932,5,FALSE)</f>
        <v>#N/A</v>
      </c>
      <c r="H460" s="226" t="e">
        <f>VLOOKUP($C460,Full_data!$B$8:$J$932,6,FALSE)</f>
        <v>#N/A</v>
      </c>
      <c r="I460" s="237" t="str">
        <f>IFERROR(VLOOKUP($C460,Full_data!$B$8:$J$932,7,FALSE),"")</f>
        <v/>
      </c>
      <c r="J460" s="355" t="str">
        <f>IFERROR(VLOOKUP($C460,Full_data!$B$8:$J$932,8,FALSE),"")</f>
        <v/>
      </c>
      <c r="K460" s="358"/>
      <c r="L460" s="229" t="str">
        <f t="shared" si="22"/>
        <v/>
      </c>
      <c r="M460" s="352"/>
      <c r="N460" s="237" t="str">
        <f t="shared" si="24"/>
        <v/>
      </c>
      <c r="O460" s="237">
        <f>M460*IFERROR(VLOOKUP($C460,Logistics!$A$1:$O$534,10,FALSE),0)</f>
        <v>0</v>
      </c>
      <c r="P460" s="239">
        <f>M460*IFERROR(VLOOKUP($C460,Logistics!$A$1:$O$534,11,FALSE),0)</f>
        <v>0</v>
      </c>
      <c r="AA460" s="247">
        <f t="shared" si="23"/>
        <v>0.4</v>
      </c>
    </row>
    <row r="461" spans="2:27" ht="15" x14ac:dyDescent="0.2">
      <c r="B461" s="223">
        <v>457</v>
      </c>
      <c r="C461" s="258"/>
      <c r="D461" s="228" t="str">
        <f>IFERROR(VLOOKUP($C461,Full_data!$B$8:$J$932,2,FALSE),"")</f>
        <v/>
      </c>
      <c r="E461" s="228" t="str">
        <f>IFERROR(VLOOKUP($C461,Full_data!$B$8:$J$932,3,FALSE),"")</f>
        <v/>
      </c>
      <c r="F461" s="224" t="str">
        <f>IFERROR(VLOOKUP($C461,Full_data!$B$8:$J$932,4,FALSE),"")</f>
        <v/>
      </c>
      <c r="G461" s="224" t="e">
        <f>VLOOKUP($C461,Full_data!$B$8:$J$932,5,FALSE)</f>
        <v>#N/A</v>
      </c>
      <c r="H461" s="224" t="e">
        <f>VLOOKUP($C461,Full_data!$B$8:$J$932,6,FALSE)</f>
        <v>#N/A</v>
      </c>
      <c r="I461" s="236" t="str">
        <f>IFERROR(VLOOKUP($C461,Full_data!$B$8:$J$932,7,FALSE),"")</f>
        <v/>
      </c>
      <c r="J461" s="354" t="str">
        <f>IFERROR(VLOOKUP($C461,Full_data!$B$8:$J$932,8,FALSE),"")</f>
        <v/>
      </c>
      <c r="K461" s="357"/>
      <c r="L461" s="230" t="str">
        <f t="shared" si="22"/>
        <v/>
      </c>
      <c r="M461" s="351"/>
      <c r="N461" s="236" t="str">
        <f t="shared" si="24"/>
        <v/>
      </c>
      <c r="O461" s="236">
        <f>M461*IFERROR(VLOOKUP($C461,Logistics!$A$1:$O$534,10,FALSE),0)</f>
        <v>0</v>
      </c>
      <c r="P461" s="238">
        <f>M461*IFERROR(VLOOKUP($C461,Logistics!$A$1:$O$534,11,FALSE),0)</f>
        <v>0</v>
      </c>
      <c r="AA461" s="247">
        <f t="shared" si="23"/>
        <v>0.4</v>
      </c>
    </row>
    <row r="462" spans="2:27" ht="15" x14ac:dyDescent="0.2">
      <c r="B462" s="225">
        <v>458</v>
      </c>
      <c r="C462" s="259"/>
      <c r="D462" s="227" t="str">
        <f>IFERROR(VLOOKUP($C462,Full_data!$B$8:$J$932,2,FALSE),"")</f>
        <v/>
      </c>
      <c r="E462" s="227" t="str">
        <f>IFERROR(VLOOKUP($C462,Full_data!$B$8:$J$932,3,FALSE),"")</f>
        <v/>
      </c>
      <c r="F462" s="226" t="str">
        <f>IFERROR(VLOOKUP($C462,Full_data!$B$8:$J$932,4,FALSE),"")</f>
        <v/>
      </c>
      <c r="G462" s="226" t="e">
        <f>VLOOKUP($C462,Full_data!$B$8:$J$932,5,FALSE)</f>
        <v>#N/A</v>
      </c>
      <c r="H462" s="226" t="e">
        <f>VLOOKUP($C462,Full_data!$B$8:$J$932,6,FALSE)</f>
        <v>#N/A</v>
      </c>
      <c r="I462" s="237" t="str">
        <f>IFERROR(VLOOKUP($C462,Full_data!$B$8:$J$932,7,FALSE),"")</f>
        <v/>
      </c>
      <c r="J462" s="355" t="str">
        <f>IFERROR(VLOOKUP($C462,Full_data!$B$8:$J$932,8,FALSE),"")</f>
        <v/>
      </c>
      <c r="K462" s="358"/>
      <c r="L462" s="229" t="str">
        <f t="shared" si="22"/>
        <v/>
      </c>
      <c r="M462" s="352"/>
      <c r="N462" s="237" t="str">
        <f t="shared" si="24"/>
        <v/>
      </c>
      <c r="O462" s="237">
        <f>M462*IFERROR(VLOOKUP($C462,Logistics!$A$1:$O$534,10,FALSE),0)</f>
        <v>0</v>
      </c>
      <c r="P462" s="239">
        <f>M462*IFERROR(VLOOKUP($C462,Logistics!$A$1:$O$534,11,FALSE),0)</f>
        <v>0</v>
      </c>
      <c r="AA462" s="247">
        <f t="shared" si="23"/>
        <v>0.4</v>
      </c>
    </row>
    <row r="463" spans="2:27" ht="15" x14ac:dyDescent="0.2">
      <c r="B463" s="223">
        <v>459</v>
      </c>
      <c r="C463" s="258"/>
      <c r="D463" s="228" t="str">
        <f>IFERROR(VLOOKUP($C463,Full_data!$B$8:$J$932,2,FALSE),"")</f>
        <v/>
      </c>
      <c r="E463" s="228" t="str">
        <f>IFERROR(VLOOKUP($C463,Full_data!$B$8:$J$932,3,FALSE),"")</f>
        <v/>
      </c>
      <c r="F463" s="224" t="str">
        <f>IFERROR(VLOOKUP($C463,Full_data!$B$8:$J$932,4,FALSE),"")</f>
        <v/>
      </c>
      <c r="G463" s="224" t="e">
        <f>VLOOKUP($C463,Full_data!$B$8:$J$932,5,FALSE)</f>
        <v>#N/A</v>
      </c>
      <c r="H463" s="224" t="e">
        <f>VLOOKUP($C463,Full_data!$B$8:$J$932,6,FALSE)</f>
        <v>#N/A</v>
      </c>
      <c r="I463" s="236" t="str">
        <f>IFERROR(VLOOKUP($C463,Full_data!$B$8:$J$932,7,FALSE),"")</f>
        <v/>
      </c>
      <c r="J463" s="354" t="str">
        <f>IFERROR(VLOOKUP($C463,Full_data!$B$8:$J$932,8,FALSE),"")</f>
        <v/>
      </c>
      <c r="K463" s="357"/>
      <c r="L463" s="230" t="str">
        <f t="shared" si="22"/>
        <v/>
      </c>
      <c r="M463" s="351"/>
      <c r="N463" s="236" t="str">
        <f t="shared" si="24"/>
        <v/>
      </c>
      <c r="O463" s="236">
        <f>M463*IFERROR(VLOOKUP($C463,Logistics!$A$1:$O$534,10,FALSE),0)</f>
        <v>0</v>
      </c>
      <c r="P463" s="238">
        <f>M463*IFERROR(VLOOKUP($C463,Logistics!$A$1:$O$534,11,FALSE),0)</f>
        <v>0</v>
      </c>
      <c r="AA463" s="247">
        <f t="shared" si="23"/>
        <v>0.4</v>
      </c>
    </row>
    <row r="464" spans="2:27" ht="15" x14ac:dyDescent="0.2">
      <c r="B464" s="225">
        <v>460</v>
      </c>
      <c r="C464" s="259"/>
      <c r="D464" s="227" t="str">
        <f>IFERROR(VLOOKUP($C464,Full_data!$B$8:$J$932,2,FALSE),"")</f>
        <v/>
      </c>
      <c r="E464" s="227" t="str">
        <f>IFERROR(VLOOKUP($C464,Full_data!$B$8:$J$932,3,FALSE),"")</f>
        <v/>
      </c>
      <c r="F464" s="226" t="str">
        <f>IFERROR(VLOOKUP($C464,Full_data!$B$8:$J$932,4,FALSE),"")</f>
        <v/>
      </c>
      <c r="G464" s="226" t="e">
        <f>VLOOKUP($C464,Full_data!$B$8:$J$932,5,FALSE)</f>
        <v>#N/A</v>
      </c>
      <c r="H464" s="226" t="e">
        <f>VLOOKUP($C464,Full_data!$B$8:$J$932,6,FALSE)</f>
        <v>#N/A</v>
      </c>
      <c r="I464" s="237" t="str">
        <f>IFERROR(VLOOKUP($C464,Full_data!$B$8:$J$932,7,FALSE),"")</f>
        <v/>
      </c>
      <c r="J464" s="355" t="str">
        <f>IFERROR(VLOOKUP($C464,Full_data!$B$8:$J$932,8,FALSE),"")</f>
        <v/>
      </c>
      <c r="K464" s="358"/>
      <c r="L464" s="229" t="str">
        <f t="shared" si="22"/>
        <v/>
      </c>
      <c r="M464" s="352"/>
      <c r="N464" s="237" t="str">
        <f t="shared" si="24"/>
        <v/>
      </c>
      <c r="O464" s="237">
        <f>M464*IFERROR(VLOOKUP($C464,Logistics!$A$1:$O$534,10,FALSE),0)</f>
        <v>0</v>
      </c>
      <c r="P464" s="239">
        <f>M464*IFERROR(VLOOKUP($C464,Logistics!$A$1:$O$534,11,FALSE),0)</f>
        <v>0</v>
      </c>
      <c r="AA464" s="247">
        <f t="shared" si="23"/>
        <v>0.4</v>
      </c>
    </row>
    <row r="465" spans="2:27" ht="15" x14ac:dyDescent="0.2">
      <c r="B465" s="223">
        <v>461</v>
      </c>
      <c r="C465" s="258"/>
      <c r="D465" s="228" t="str">
        <f>IFERROR(VLOOKUP($C465,Full_data!$B$8:$J$932,2,FALSE),"")</f>
        <v/>
      </c>
      <c r="E465" s="228" t="str">
        <f>IFERROR(VLOOKUP($C465,Full_data!$B$8:$J$932,3,FALSE),"")</f>
        <v/>
      </c>
      <c r="F465" s="224" t="str">
        <f>IFERROR(VLOOKUP($C465,Full_data!$B$8:$J$932,4,FALSE),"")</f>
        <v/>
      </c>
      <c r="G465" s="224" t="e">
        <f>VLOOKUP($C465,Full_data!$B$8:$J$932,5,FALSE)</f>
        <v>#N/A</v>
      </c>
      <c r="H465" s="224" t="e">
        <f>VLOOKUP($C465,Full_data!$B$8:$J$932,6,FALSE)</f>
        <v>#N/A</v>
      </c>
      <c r="I465" s="236" t="str">
        <f>IFERROR(VLOOKUP($C465,Full_data!$B$8:$J$932,7,FALSE),"")</f>
        <v/>
      </c>
      <c r="J465" s="354" t="str">
        <f>IFERROR(VLOOKUP($C465,Full_data!$B$8:$J$932,8,FALSE),"")</f>
        <v/>
      </c>
      <c r="K465" s="357"/>
      <c r="L465" s="230" t="str">
        <f t="shared" si="22"/>
        <v/>
      </c>
      <c r="M465" s="351"/>
      <c r="N465" s="236" t="str">
        <f t="shared" si="24"/>
        <v/>
      </c>
      <c r="O465" s="236">
        <f>M465*IFERROR(VLOOKUP($C465,Logistics!$A$1:$O$534,10,FALSE),0)</f>
        <v>0</v>
      </c>
      <c r="P465" s="238">
        <f>M465*IFERROR(VLOOKUP($C465,Logistics!$A$1:$O$534,11,FALSE),0)</f>
        <v>0</v>
      </c>
      <c r="AA465" s="247">
        <f t="shared" si="23"/>
        <v>0.4</v>
      </c>
    </row>
    <row r="466" spans="2:27" ht="15" x14ac:dyDescent="0.2">
      <c r="B466" s="225">
        <v>462</v>
      </c>
      <c r="C466" s="259"/>
      <c r="D466" s="227" t="str">
        <f>IFERROR(VLOOKUP($C466,Full_data!$B$8:$J$932,2,FALSE),"")</f>
        <v/>
      </c>
      <c r="E466" s="227" t="str">
        <f>IFERROR(VLOOKUP($C466,Full_data!$B$8:$J$932,3,FALSE),"")</f>
        <v/>
      </c>
      <c r="F466" s="226" t="str">
        <f>IFERROR(VLOOKUP($C466,Full_data!$B$8:$J$932,4,FALSE),"")</f>
        <v/>
      </c>
      <c r="G466" s="226" t="e">
        <f>VLOOKUP($C466,Full_data!$B$8:$J$932,5,FALSE)</f>
        <v>#N/A</v>
      </c>
      <c r="H466" s="226" t="e">
        <f>VLOOKUP($C466,Full_data!$B$8:$J$932,6,FALSE)</f>
        <v>#N/A</v>
      </c>
      <c r="I466" s="237" t="str">
        <f>IFERROR(VLOOKUP($C466,Full_data!$B$8:$J$932,7,FALSE),"")</f>
        <v/>
      </c>
      <c r="J466" s="355" t="str">
        <f>IFERROR(VLOOKUP($C466,Full_data!$B$8:$J$932,8,FALSE),"")</f>
        <v/>
      </c>
      <c r="K466" s="358"/>
      <c r="L466" s="229" t="str">
        <f t="shared" si="22"/>
        <v/>
      </c>
      <c r="M466" s="352"/>
      <c r="N466" s="237" t="str">
        <f t="shared" si="24"/>
        <v/>
      </c>
      <c r="O466" s="237">
        <f>M466*IFERROR(VLOOKUP($C466,Logistics!$A$1:$O$534,10,FALSE),0)</f>
        <v>0</v>
      </c>
      <c r="P466" s="239">
        <f>M466*IFERROR(VLOOKUP($C466,Logistics!$A$1:$O$534,11,FALSE),0)</f>
        <v>0</v>
      </c>
      <c r="AA466" s="247">
        <f t="shared" si="23"/>
        <v>0.4</v>
      </c>
    </row>
    <row r="467" spans="2:27" ht="15" x14ac:dyDescent="0.2">
      <c r="B467" s="223">
        <v>463</v>
      </c>
      <c r="C467" s="258"/>
      <c r="D467" s="228" t="str">
        <f>IFERROR(VLOOKUP($C467,Full_data!$B$8:$J$932,2,FALSE),"")</f>
        <v/>
      </c>
      <c r="E467" s="228" t="str">
        <f>IFERROR(VLOOKUP($C467,Full_data!$B$8:$J$932,3,FALSE),"")</f>
        <v/>
      </c>
      <c r="F467" s="224" t="str">
        <f>IFERROR(VLOOKUP($C467,Full_data!$B$8:$J$932,4,FALSE),"")</f>
        <v/>
      </c>
      <c r="G467" s="224" t="e">
        <f>VLOOKUP($C467,Full_data!$B$8:$J$932,5,FALSE)</f>
        <v>#N/A</v>
      </c>
      <c r="H467" s="224" t="e">
        <f>VLOOKUP($C467,Full_data!$B$8:$J$932,6,FALSE)</f>
        <v>#N/A</v>
      </c>
      <c r="I467" s="236" t="str">
        <f>IFERROR(VLOOKUP($C467,Full_data!$B$8:$J$932,7,FALSE),"")</f>
        <v/>
      </c>
      <c r="J467" s="354" t="str">
        <f>IFERROR(VLOOKUP($C467,Full_data!$B$8:$J$932,8,FALSE),"")</f>
        <v/>
      </c>
      <c r="K467" s="357"/>
      <c r="L467" s="230" t="str">
        <f t="shared" si="22"/>
        <v/>
      </c>
      <c r="M467" s="351"/>
      <c r="N467" s="236" t="str">
        <f t="shared" si="24"/>
        <v/>
      </c>
      <c r="O467" s="236">
        <f>M467*IFERROR(VLOOKUP($C467,Logistics!$A$1:$O$534,10,FALSE),0)</f>
        <v>0</v>
      </c>
      <c r="P467" s="238">
        <f>M467*IFERROR(VLOOKUP($C467,Logistics!$A$1:$O$534,11,FALSE),0)</f>
        <v>0</v>
      </c>
      <c r="AA467" s="247">
        <f t="shared" si="23"/>
        <v>0.4</v>
      </c>
    </row>
    <row r="468" spans="2:27" ht="15" x14ac:dyDescent="0.2">
      <c r="B468" s="225">
        <v>464</v>
      </c>
      <c r="C468" s="259"/>
      <c r="D468" s="227" t="str">
        <f>IFERROR(VLOOKUP($C468,Full_data!$B$8:$J$932,2,FALSE),"")</f>
        <v/>
      </c>
      <c r="E468" s="227" t="str">
        <f>IFERROR(VLOOKUP($C468,Full_data!$B$8:$J$932,3,FALSE),"")</f>
        <v/>
      </c>
      <c r="F468" s="226" t="str">
        <f>IFERROR(VLOOKUP($C468,Full_data!$B$8:$J$932,4,FALSE),"")</f>
        <v/>
      </c>
      <c r="G468" s="226" t="e">
        <f>VLOOKUP($C468,Full_data!$B$8:$J$932,5,FALSE)</f>
        <v>#N/A</v>
      </c>
      <c r="H468" s="226" t="e">
        <f>VLOOKUP($C468,Full_data!$B$8:$J$932,6,FALSE)</f>
        <v>#N/A</v>
      </c>
      <c r="I468" s="237" t="str">
        <f>IFERROR(VLOOKUP($C468,Full_data!$B$8:$J$932,7,FALSE),"")</f>
        <v/>
      </c>
      <c r="J468" s="355" t="str">
        <f>IFERROR(VLOOKUP($C468,Full_data!$B$8:$J$932,8,FALSE),"")</f>
        <v/>
      </c>
      <c r="K468" s="358"/>
      <c r="L468" s="229" t="str">
        <f t="shared" si="22"/>
        <v/>
      </c>
      <c r="M468" s="352"/>
      <c r="N468" s="237" t="str">
        <f t="shared" si="24"/>
        <v/>
      </c>
      <c r="O468" s="237">
        <f>M468*IFERROR(VLOOKUP($C468,Logistics!$A$1:$O$534,10,FALSE),0)</f>
        <v>0</v>
      </c>
      <c r="P468" s="239">
        <f>M468*IFERROR(VLOOKUP($C468,Logistics!$A$1:$O$534,11,FALSE),0)</f>
        <v>0</v>
      </c>
      <c r="AA468" s="247">
        <f t="shared" si="23"/>
        <v>0.4</v>
      </c>
    </row>
    <row r="469" spans="2:27" ht="15" x14ac:dyDescent="0.2">
      <c r="B469" s="223">
        <v>465</v>
      </c>
      <c r="C469" s="258"/>
      <c r="D469" s="228" t="str">
        <f>IFERROR(VLOOKUP($C469,Full_data!$B$8:$J$932,2,FALSE),"")</f>
        <v/>
      </c>
      <c r="E469" s="228" t="str">
        <f>IFERROR(VLOOKUP($C469,Full_data!$B$8:$J$932,3,FALSE),"")</f>
        <v/>
      </c>
      <c r="F469" s="224" t="str">
        <f>IFERROR(VLOOKUP($C469,Full_data!$B$8:$J$932,4,FALSE),"")</f>
        <v/>
      </c>
      <c r="G469" s="224" t="e">
        <f>VLOOKUP($C469,Full_data!$B$8:$J$932,5,FALSE)</f>
        <v>#N/A</v>
      </c>
      <c r="H469" s="224" t="e">
        <f>VLOOKUP($C469,Full_data!$B$8:$J$932,6,FALSE)</f>
        <v>#N/A</v>
      </c>
      <c r="I469" s="236" t="str">
        <f>IFERROR(VLOOKUP($C469,Full_data!$B$8:$J$932,7,FALSE),"")</f>
        <v/>
      </c>
      <c r="J469" s="354" t="str">
        <f>IFERROR(VLOOKUP($C469,Full_data!$B$8:$J$932,8,FALSE),"")</f>
        <v/>
      </c>
      <c r="K469" s="357"/>
      <c r="L469" s="230" t="str">
        <f t="shared" si="22"/>
        <v/>
      </c>
      <c r="M469" s="351"/>
      <c r="N469" s="236" t="str">
        <f t="shared" si="24"/>
        <v/>
      </c>
      <c r="O469" s="236">
        <f>M469*IFERROR(VLOOKUP($C469,Logistics!$A$1:$O$534,10,FALSE),0)</f>
        <v>0</v>
      </c>
      <c r="P469" s="238">
        <f>M469*IFERROR(VLOOKUP($C469,Logistics!$A$1:$O$534,11,FALSE),0)</f>
        <v>0</v>
      </c>
      <c r="AA469" s="247">
        <f t="shared" si="23"/>
        <v>0.4</v>
      </c>
    </row>
    <row r="470" spans="2:27" ht="15" x14ac:dyDescent="0.2">
      <c r="B470" s="225">
        <v>466</v>
      </c>
      <c r="C470" s="259"/>
      <c r="D470" s="227" t="str">
        <f>IFERROR(VLOOKUP($C470,Full_data!$B$8:$J$932,2,FALSE),"")</f>
        <v/>
      </c>
      <c r="E470" s="227" t="str">
        <f>IFERROR(VLOOKUP($C470,Full_data!$B$8:$J$932,3,FALSE),"")</f>
        <v/>
      </c>
      <c r="F470" s="226" t="str">
        <f>IFERROR(VLOOKUP($C470,Full_data!$B$8:$J$932,4,FALSE),"")</f>
        <v/>
      </c>
      <c r="G470" s="226" t="e">
        <f>VLOOKUP($C470,Full_data!$B$8:$J$932,5,FALSE)</f>
        <v>#N/A</v>
      </c>
      <c r="H470" s="226" t="e">
        <f>VLOOKUP($C470,Full_data!$B$8:$J$932,6,FALSE)</f>
        <v>#N/A</v>
      </c>
      <c r="I470" s="237" t="str">
        <f>IFERROR(VLOOKUP($C470,Full_data!$B$8:$J$932,7,FALSE),"")</f>
        <v/>
      </c>
      <c r="J470" s="355" t="str">
        <f>IFERROR(VLOOKUP($C470,Full_data!$B$8:$J$932,8,FALSE),"")</f>
        <v/>
      </c>
      <c r="K470" s="358"/>
      <c r="L470" s="229" t="str">
        <f t="shared" si="22"/>
        <v/>
      </c>
      <c r="M470" s="352"/>
      <c r="N470" s="237" t="str">
        <f t="shared" si="24"/>
        <v/>
      </c>
      <c r="O470" s="237">
        <f>M470*IFERROR(VLOOKUP($C470,Logistics!$A$1:$O$534,10,FALSE),0)</f>
        <v>0</v>
      </c>
      <c r="P470" s="239">
        <f>M470*IFERROR(VLOOKUP($C470,Logistics!$A$1:$O$534,11,FALSE),0)</f>
        <v>0</v>
      </c>
      <c r="AA470" s="247">
        <f t="shared" si="23"/>
        <v>0.4</v>
      </c>
    </row>
    <row r="471" spans="2:27" ht="15" x14ac:dyDescent="0.2">
      <c r="B471" s="223">
        <v>467</v>
      </c>
      <c r="C471" s="258"/>
      <c r="D471" s="228" t="str">
        <f>IFERROR(VLOOKUP($C471,Full_data!$B$8:$J$932,2,FALSE),"")</f>
        <v/>
      </c>
      <c r="E471" s="228" t="str">
        <f>IFERROR(VLOOKUP($C471,Full_data!$B$8:$J$932,3,FALSE),"")</f>
        <v/>
      </c>
      <c r="F471" s="224" t="str">
        <f>IFERROR(VLOOKUP($C471,Full_data!$B$8:$J$932,4,FALSE),"")</f>
        <v/>
      </c>
      <c r="G471" s="224" t="e">
        <f>VLOOKUP($C471,Full_data!$B$8:$J$932,5,FALSE)</f>
        <v>#N/A</v>
      </c>
      <c r="H471" s="224" t="e">
        <f>VLOOKUP($C471,Full_data!$B$8:$J$932,6,FALSE)</f>
        <v>#N/A</v>
      </c>
      <c r="I471" s="236" t="str">
        <f>IFERROR(VLOOKUP($C471,Full_data!$B$8:$J$932,7,FALSE),"")</f>
        <v/>
      </c>
      <c r="J471" s="354" t="str">
        <f>IFERROR(VLOOKUP($C471,Full_data!$B$8:$J$932,8,FALSE),"")</f>
        <v/>
      </c>
      <c r="K471" s="357"/>
      <c r="L471" s="230" t="str">
        <f t="shared" si="22"/>
        <v/>
      </c>
      <c r="M471" s="351"/>
      <c r="N471" s="236" t="str">
        <f t="shared" si="24"/>
        <v/>
      </c>
      <c r="O471" s="236">
        <f>M471*IFERROR(VLOOKUP($C471,Logistics!$A$1:$O$534,10,FALSE),0)</f>
        <v>0</v>
      </c>
      <c r="P471" s="238">
        <f>M471*IFERROR(VLOOKUP($C471,Logistics!$A$1:$O$534,11,FALSE),0)</f>
        <v>0</v>
      </c>
      <c r="AA471" s="247">
        <f t="shared" si="23"/>
        <v>0.4</v>
      </c>
    </row>
    <row r="472" spans="2:27" ht="15" x14ac:dyDescent="0.2">
      <c r="B472" s="225">
        <v>468</v>
      </c>
      <c r="C472" s="259"/>
      <c r="D472" s="227" t="str">
        <f>IFERROR(VLOOKUP($C472,Full_data!$B$8:$J$932,2,FALSE),"")</f>
        <v/>
      </c>
      <c r="E472" s="227" t="str">
        <f>IFERROR(VLOOKUP($C472,Full_data!$B$8:$J$932,3,FALSE),"")</f>
        <v/>
      </c>
      <c r="F472" s="226" t="str">
        <f>IFERROR(VLOOKUP($C472,Full_data!$B$8:$J$932,4,FALSE),"")</f>
        <v/>
      </c>
      <c r="G472" s="226" t="e">
        <f>VLOOKUP($C472,Full_data!$B$8:$J$932,5,FALSE)</f>
        <v>#N/A</v>
      </c>
      <c r="H472" s="226" t="e">
        <f>VLOOKUP($C472,Full_data!$B$8:$J$932,6,FALSE)</f>
        <v>#N/A</v>
      </c>
      <c r="I472" s="237" t="str">
        <f>IFERROR(VLOOKUP($C472,Full_data!$B$8:$J$932,7,FALSE),"")</f>
        <v/>
      </c>
      <c r="J472" s="355" t="str">
        <f>IFERROR(VLOOKUP($C472,Full_data!$B$8:$J$932,8,FALSE),"")</f>
        <v/>
      </c>
      <c r="K472" s="358"/>
      <c r="L472" s="229" t="str">
        <f t="shared" si="22"/>
        <v/>
      </c>
      <c r="M472" s="352"/>
      <c r="N472" s="237" t="str">
        <f t="shared" si="24"/>
        <v/>
      </c>
      <c r="O472" s="237">
        <f>M472*IFERROR(VLOOKUP($C472,Logistics!$A$1:$O$534,10,FALSE),0)</f>
        <v>0</v>
      </c>
      <c r="P472" s="239">
        <f>M472*IFERROR(VLOOKUP($C472,Logistics!$A$1:$O$534,11,FALSE),0)</f>
        <v>0</v>
      </c>
      <c r="AA472" s="247">
        <f t="shared" si="23"/>
        <v>0.4</v>
      </c>
    </row>
    <row r="473" spans="2:27" ht="15" x14ac:dyDescent="0.2">
      <c r="B473" s="223">
        <v>469</v>
      </c>
      <c r="C473" s="258"/>
      <c r="D473" s="228" t="str">
        <f>IFERROR(VLOOKUP($C473,Full_data!$B$8:$J$932,2,FALSE),"")</f>
        <v/>
      </c>
      <c r="E473" s="228" t="str">
        <f>IFERROR(VLOOKUP($C473,Full_data!$B$8:$J$932,3,FALSE),"")</f>
        <v/>
      </c>
      <c r="F473" s="224" t="str">
        <f>IFERROR(VLOOKUP($C473,Full_data!$B$8:$J$932,4,FALSE),"")</f>
        <v/>
      </c>
      <c r="G473" s="224" t="e">
        <f>VLOOKUP($C473,Full_data!$B$8:$J$932,5,FALSE)</f>
        <v>#N/A</v>
      </c>
      <c r="H473" s="224" t="e">
        <f>VLOOKUP($C473,Full_data!$B$8:$J$932,6,FALSE)</f>
        <v>#N/A</v>
      </c>
      <c r="I473" s="236" t="str">
        <f>IFERROR(VLOOKUP($C473,Full_data!$B$8:$J$932,7,FALSE),"")</f>
        <v/>
      </c>
      <c r="J473" s="354" t="str">
        <f>IFERROR(VLOOKUP($C473,Full_data!$B$8:$J$932,8,FALSE),"")</f>
        <v/>
      </c>
      <c r="K473" s="357"/>
      <c r="L473" s="230" t="str">
        <f t="shared" si="22"/>
        <v/>
      </c>
      <c r="M473" s="351"/>
      <c r="N473" s="236" t="str">
        <f t="shared" si="24"/>
        <v/>
      </c>
      <c r="O473" s="236">
        <f>M473*IFERROR(VLOOKUP($C473,Logistics!$A$1:$O$534,10,FALSE),0)</f>
        <v>0</v>
      </c>
      <c r="P473" s="238">
        <f>M473*IFERROR(VLOOKUP($C473,Logistics!$A$1:$O$534,11,FALSE),0)</f>
        <v>0</v>
      </c>
      <c r="AA473" s="247">
        <f t="shared" si="23"/>
        <v>0.4</v>
      </c>
    </row>
    <row r="474" spans="2:27" ht="15" x14ac:dyDescent="0.2">
      <c r="B474" s="225">
        <v>470</v>
      </c>
      <c r="C474" s="259"/>
      <c r="D474" s="227" t="str">
        <f>IFERROR(VLOOKUP($C474,Full_data!$B$8:$J$932,2,FALSE),"")</f>
        <v/>
      </c>
      <c r="E474" s="227" t="str">
        <f>IFERROR(VLOOKUP($C474,Full_data!$B$8:$J$932,3,FALSE),"")</f>
        <v/>
      </c>
      <c r="F474" s="226" t="str">
        <f>IFERROR(VLOOKUP($C474,Full_data!$B$8:$J$932,4,FALSE),"")</f>
        <v/>
      </c>
      <c r="G474" s="226" t="e">
        <f>VLOOKUP($C474,Full_data!$B$8:$J$932,5,FALSE)</f>
        <v>#N/A</v>
      </c>
      <c r="H474" s="226" t="e">
        <f>VLOOKUP($C474,Full_data!$B$8:$J$932,6,FALSE)</f>
        <v>#N/A</v>
      </c>
      <c r="I474" s="237" t="str">
        <f>IFERROR(VLOOKUP($C474,Full_data!$B$8:$J$932,7,FALSE),"")</f>
        <v/>
      </c>
      <c r="J474" s="355" t="str">
        <f>IFERROR(VLOOKUP($C474,Full_data!$B$8:$J$932,8,FALSE),"")</f>
        <v/>
      </c>
      <c r="K474" s="358"/>
      <c r="L474" s="229" t="str">
        <f t="shared" si="22"/>
        <v/>
      </c>
      <c r="M474" s="352"/>
      <c r="N474" s="237" t="str">
        <f t="shared" si="24"/>
        <v/>
      </c>
      <c r="O474" s="237">
        <f>M474*IFERROR(VLOOKUP($C474,Logistics!$A$1:$O$534,10,FALSE),0)</f>
        <v>0</v>
      </c>
      <c r="P474" s="239">
        <f>M474*IFERROR(VLOOKUP($C474,Logistics!$A$1:$O$534,11,FALSE),0)</f>
        <v>0</v>
      </c>
      <c r="AA474" s="247">
        <f t="shared" si="23"/>
        <v>0.4</v>
      </c>
    </row>
    <row r="475" spans="2:27" ht="15" x14ac:dyDescent="0.2">
      <c r="B475" s="223">
        <v>471</v>
      </c>
      <c r="C475" s="258"/>
      <c r="D475" s="228" t="str">
        <f>IFERROR(VLOOKUP($C475,Full_data!$B$8:$J$932,2,FALSE),"")</f>
        <v/>
      </c>
      <c r="E475" s="228" t="str">
        <f>IFERROR(VLOOKUP($C475,Full_data!$B$8:$J$932,3,FALSE),"")</f>
        <v/>
      </c>
      <c r="F475" s="224" t="str">
        <f>IFERROR(VLOOKUP($C475,Full_data!$B$8:$J$932,4,FALSE),"")</f>
        <v/>
      </c>
      <c r="G475" s="224" t="e">
        <f>VLOOKUP($C475,Full_data!$B$8:$J$932,5,FALSE)</f>
        <v>#N/A</v>
      </c>
      <c r="H475" s="224" t="e">
        <f>VLOOKUP($C475,Full_data!$B$8:$J$932,6,FALSE)</f>
        <v>#N/A</v>
      </c>
      <c r="I475" s="236" t="str">
        <f>IFERROR(VLOOKUP($C475,Full_data!$B$8:$J$932,7,FALSE),"")</f>
        <v/>
      </c>
      <c r="J475" s="354" t="str">
        <f>IFERROR(VLOOKUP($C475,Full_data!$B$8:$J$932,8,FALSE),"")</f>
        <v/>
      </c>
      <c r="K475" s="357"/>
      <c r="L475" s="230" t="str">
        <f t="shared" si="22"/>
        <v/>
      </c>
      <c r="M475" s="351"/>
      <c r="N475" s="236" t="str">
        <f t="shared" si="24"/>
        <v/>
      </c>
      <c r="O475" s="236">
        <f>M475*IFERROR(VLOOKUP($C475,Logistics!$A$1:$O$534,10,FALSE),0)</f>
        <v>0</v>
      </c>
      <c r="P475" s="238">
        <f>M475*IFERROR(VLOOKUP($C475,Logistics!$A$1:$O$534,11,FALSE),0)</f>
        <v>0</v>
      </c>
      <c r="AA475" s="247">
        <f t="shared" si="23"/>
        <v>0.4</v>
      </c>
    </row>
    <row r="476" spans="2:27" ht="15" x14ac:dyDescent="0.2">
      <c r="B476" s="225">
        <v>472</v>
      </c>
      <c r="C476" s="259"/>
      <c r="D476" s="227" t="str">
        <f>IFERROR(VLOOKUP($C476,Full_data!$B$8:$J$932,2,FALSE),"")</f>
        <v/>
      </c>
      <c r="E476" s="227" t="str">
        <f>IFERROR(VLOOKUP($C476,Full_data!$B$8:$J$932,3,FALSE),"")</f>
        <v/>
      </c>
      <c r="F476" s="226" t="str">
        <f>IFERROR(VLOOKUP($C476,Full_data!$B$8:$J$932,4,FALSE),"")</f>
        <v/>
      </c>
      <c r="G476" s="226" t="e">
        <f>VLOOKUP($C476,Full_data!$B$8:$J$932,5,FALSE)</f>
        <v>#N/A</v>
      </c>
      <c r="H476" s="226" t="e">
        <f>VLOOKUP($C476,Full_data!$B$8:$J$932,6,FALSE)</f>
        <v>#N/A</v>
      </c>
      <c r="I476" s="237" t="str">
        <f>IFERROR(VLOOKUP($C476,Full_data!$B$8:$J$932,7,FALSE),"")</f>
        <v/>
      </c>
      <c r="J476" s="355" t="str">
        <f>IFERROR(VLOOKUP($C476,Full_data!$B$8:$J$932,8,FALSE),"")</f>
        <v/>
      </c>
      <c r="K476" s="358"/>
      <c r="L476" s="229" t="str">
        <f t="shared" si="22"/>
        <v/>
      </c>
      <c r="M476" s="352"/>
      <c r="N476" s="237" t="str">
        <f t="shared" si="24"/>
        <v/>
      </c>
      <c r="O476" s="237">
        <f>M476*IFERROR(VLOOKUP($C476,Logistics!$A$1:$O$534,10,FALSE),0)</f>
        <v>0</v>
      </c>
      <c r="P476" s="239">
        <f>M476*IFERROR(VLOOKUP($C476,Logistics!$A$1:$O$534,11,FALSE),0)</f>
        <v>0</v>
      </c>
      <c r="AA476" s="247">
        <f t="shared" si="23"/>
        <v>0.4</v>
      </c>
    </row>
    <row r="477" spans="2:27" ht="15" x14ac:dyDescent="0.2">
      <c r="B477" s="223">
        <v>473</v>
      </c>
      <c r="C477" s="258"/>
      <c r="D477" s="228" t="str">
        <f>IFERROR(VLOOKUP($C477,Full_data!$B$8:$J$932,2,FALSE),"")</f>
        <v/>
      </c>
      <c r="E477" s="228" t="str">
        <f>IFERROR(VLOOKUP($C477,Full_data!$B$8:$J$932,3,FALSE),"")</f>
        <v/>
      </c>
      <c r="F477" s="224" t="str">
        <f>IFERROR(VLOOKUP($C477,Full_data!$B$8:$J$932,4,FALSE),"")</f>
        <v/>
      </c>
      <c r="G477" s="224" t="e">
        <f>VLOOKUP($C477,Full_data!$B$8:$J$932,5,FALSE)</f>
        <v>#N/A</v>
      </c>
      <c r="H477" s="224" t="e">
        <f>VLOOKUP($C477,Full_data!$B$8:$J$932,6,FALSE)</f>
        <v>#N/A</v>
      </c>
      <c r="I477" s="236" t="str">
        <f>IFERROR(VLOOKUP($C477,Full_data!$B$8:$J$932,7,FALSE),"")</f>
        <v/>
      </c>
      <c r="J477" s="354" t="str">
        <f>IFERROR(VLOOKUP($C477,Full_data!$B$8:$J$932,8,FALSE),"")</f>
        <v/>
      </c>
      <c r="K477" s="357"/>
      <c r="L477" s="230" t="str">
        <f t="shared" si="22"/>
        <v/>
      </c>
      <c r="M477" s="351"/>
      <c r="N477" s="236" t="str">
        <f t="shared" si="24"/>
        <v/>
      </c>
      <c r="O477" s="236">
        <f>M477*IFERROR(VLOOKUP($C477,Logistics!$A$1:$O$534,10,FALSE),0)</f>
        <v>0</v>
      </c>
      <c r="P477" s="238">
        <f>M477*IFERROR(VLOOKUP($C477,Logistics!$A$1:$O$534,11,FALSE),0)</f>
        <v>0</v>
      </c>
      <c r="AA477" s="247">
        <f t="shared" si="23"/>
        <v>0.4</v>
      </c>
    </row>
    <row r="478" spans="2:27" ht="15" x14ac:dyDescent="0.2">
      <c r="B478" s="225">
        <v>474</v>
      </c>
      <c r="C478" s="259"/>
      <c r="D478" s="227" t="str">
        <f>IFERROR(VLOOKUP($C478,Full_data!$B$8:$J$932,2,FALSE),"")</f>
        <v/>
      </c>
      <c r="E478" s="227" t="str">
        <f>IFERROR(VLOOKUP($C478,Full_data!$B$8:$J$932,3,FALSE),"")</f>
        <v/>
      </c>
      <c r="F478" s="226" t="str">
        <f>IFERROR(VLOOKUP($C478,Full_data!$B$8:$J$932,4,FALSE),"")</f>
        <v/>
      </c>
      <c r="G478" s="226" t="e">
        <f>VLOOKUP($C478,Full_data!$B$8:$J$932,5,FALSE)</f>
        <v>#N/A</v>
      </c>
      <c r="H478" s="226" t="e">
        <f>VLOOKUP($C478,Full_data!$B$8:$J$932,6,FALSE)</f>
        <v>#N/A</v>
      </c>
      <c r="I478" s="237" t="str">
        <f>IFERROR(VLOOKUP($C478,Full_data!$B$8:$J$932,7,FALSE),"")</f>
        <v/>
      </c>
      <c r="J478" s="355" t="str">
        <f>IFERROR(VLOOKUP($C478,Full_data!$B$8:$J$932,8,FALSE),"")</f>
        <v/>
      </c>
      <c r="K478" s="358"/>
      <c r="L478" s="229" t="str">
        <f t="shared" si="22"/>
        <v/>
      </c>
      <c r="M478" s="352"/>
      <c r="N478" s="237" t="str">
        <f t="shared" si="24"/>
        <v/>
      </c>
      <c r="O478" s="237">
        <f>M478*IFERROR(VLOOKUP($C478,Logistics!$A$1:$O$534,10,FALSE),0)</f>
        <v>0</v>
      </c>
      <c r="P478" s="239">
        <f>M478*IFERROR(VLOOKUP($C478,Logistics!$A$1:$O$534,11,FALSE),0)</f>
        <v>0</v>
      </c>
      <c r="AA478" s="247">
        <f t="shared" si="23"/>
        <v>0.4</v>
      </c>
    </row>
    <row r="479" spans="2:27" ht="15" x14ac:dyDescent="0.2">
      <c r="B479" s="223">
        <v>475</v>
      </c>
      <c r="C479" s="258"/>
      <c r="D479" s="228" t="str">
        <f>IFERROR(VLOOKUP($C479,Full_data!$B$8:$J$932,2,FALSE),"")</f>
        <v/>
      </c>
      <c r="E479" s="228" t="str">
        <f>IFERROR(VLOOKUP($C479,Full_data!$B$8:$J$932,3,FALSE),"")</f>
        <v/>
      </c>
      <c r="F479" s="224" t="str">
        <f>IFERROR(VLOOKUP($C479,Full_data!$B$8:$J$932,4,FALSE),"")</f>
        <v/>
      </c>
      <c r="G479" s="224" t="e">
        <f>VLOOKUP($C479,Full_data!$B$8:$J$932,5,FALSE)</f>
        <v>#N/A</v>
      </c>
      <c r="H479" s="224" t="e">
        <f>VLOOKUP($C479,Full_data!$B$8:$J$932,6,FALSE)</f>
        <v>#N/A</v>
      </c>
      <c r="I479" s="236" t="str">
        <f>IFERROR(VLOOKUP($C479,Full_data!$B$8:$J$932,7,FALSE),"")</f>
        <v/>
      </c>
      <c r="J479" s="354" t="str">
        <f>IFERROR(VLOOKUP($C479,Full_data!$B$8:$J$932,8,FALSE),"")</f>
        <v/>
      </c>
      <c r="K479" s="357"/>
      <c r="L479" s="230" t="str">
        <f t="shared" si="22"/>
        <v/>
      </c>
      <c r="M479" s="351"/>
      <c r="N479" s="236" t="str">
        <f t="shared" si="24"/>
        <v/>
      </c>
      <c r="O479" s="236">
        <f>M479*IFERROR(VLOOKUP($C479,Logistics!$A$1:$O$534,10,FALSE),0)</f>
        <v>0</v>
      </c>
      <c r="P479" s="238">
        <f>M479*IFERROR(VLOOKUP($C479,Logistics!$A$1:$O$534,11,FALSE),0)</f>
        <v>0</v>
      </c>
      <c r="AA479" s="247">
        <f t="shared" si="23"/>
        <v>0.4</v>
      </c>
    </row>
    <row r="480" spans="2:27" ht="15" x14ac:dyDescent="0.2">
      <c r="B480" s="225">
        <v>476</v>
      </c>
      <c r="C480" s="259"/>
      <c r="D480" s="227" t="str">
        <f>IFERROR(VLOOKUP($C480,Full_data!$B$8:$J$932,2,FALSE),"")</f>
        <v/>
      </c>
      <c r="E480" s="227" t="str">
        <f>IFERROR(VLOOKUP($C480,Full_data!$B$8:$J$932,3,FALSE),"")</f>
        <v/>
      </c>
      <c r="F480" s="226" t="str">
        <f>IFERROR(VLOOKUP($C480,Full_data!$B$8:$J$932,4,FALSE),"")</f>
        <v/>
      </c>
      <c r="G480" s="226" t="e">
        <f>VLOOKUP($C480,Full_data!$B$8:$J$932,5,FALSE)</f>
        <v>#N/A</v>
      </c>
      <c r="H480" s="226" t="e">
        <f>VLOOKUP($C480,Full_data!$B$8:$J$932,6,FALSE)</f>
        <v>#N/A</v>
      </c>
      <c r="I480" s="237" t="str">
        <f>IFERROR(VLOOKUP($C480,Full_data!$B$8:$J$932,7,FALSE),"")</f>
        <v/>
      </c>
      <c r="J480" s="355" t="str">
        <f>IFERROR(VLOOKUP($C480,Full_data!$B$8:$J$932,8,FALSE),"")</f>
        <v/>
      </c>
      <c r="K480" s="358"/>
      <c r="L480" s="229" t="str">
        <f t="shared" si="22"/>
        <v/>
      </c>
      <c r="M480" s="352"/>
      <c r="N480" s="237" t="str">
        <f t="shared" si="24"/>
        <v/>
      </c>
      <c r="O480" s="237">
        <f>M480*IFERROR(VLOOKUP($C480,Logistics!$A$1:$O$534,10,FALSE),0)</f>
        <v>0</v>
      </c>
      <c r="P480" s="239">
        <f>M480*IFERROR(VLOOKUP($C480,Logistics!$A$1:$O$534,11,FALSE),0)</f>
        <v>0</v>
      </c>
      <c r="AA480" s="247">
        <f t="shared" si="23"/>
        <v>0.4</v>
      </c>
    </row>
    <row r="481" spans="2:27" ht="15" x14ac:dyDescent="0.2">
      <c r="B481" s="223">
        <v>477</v>
      </c>
      <c r="C481" s="258"/>
      <c r="D481" s="228" t="str">
        <f>IFERROR(VLOOKUP($C481,Full_data!$B$8:$J$932,2,FALSE),"")</f>
        <v/>
      </c>
      <c r="E481" s="228" t="str">
        <f>IFERROR(VLOOKUP($C481,Full_data!$B$8:$J$932,3,FALSE),"")</f>
        <v/>
      </c>
      <c r="F481" s="224" t="str">
        <f>IFERROR(VLOOKUP($C481,Full_data!$B$8:$J$932,4,FALSE),"")</f>
        <v/>
      </c>
      <c r="G481" s="224" t="e">
        <f>VLOOKUP($C481,Full_data!$B$8:$J$932,5,FALSE)</f>
        <v>#N/A</v>
      </c>
      <c r="H481" s="224" t="e">
        <f>VLOOKUP($C481,Full_data!$B$8:$J$932,6,FALSE)</f>
        <v>#N/A</v>
      </c>
      <c r="I481" s="236" t="str">
        <f>IFERROR(VLOOKUP($C481,Full_data!$B$8:$J$932,7,FALSE),"")</f>
        <v/>
      </c>
      <c r="J481" s="354" t="str">
        <f>IFERROR(VLOOKUP($C481,Full_data!$B$8:$J$932,8,FALSE),"")</f>
        <v/>
      </c>
      <c r="K481" s="357"/>
      <c r="L481" s="230" t="str">
        <f t="shared" si="22"/>
        <v/>
      </c>
      <c r="M481" s="351"/>
      <c r="N481" s="236" t="str">
        <f t="shared" si="24"/>
        <v/>
      </c>
      <c r="O481" s="236">
        <f>M481*IFERROR(VLOOKUP($C481,Logistics!$A$1:$O$534,10,FALSE),0)</f>
        <v>0</v>
      </c>
      <c r="P481" s="238">
        <f>M481*IFERROR(VLOOKUP($C481,Logistics!$A$1:$O$534,11,FALSE),0)</f>
        <v>0</v>
      </c>
      <c r="AA481" s="247">
        <f t="shared" si="23"/>
        <v>0.4</v>
      </c>
    </row>
    <row r="482" spans="2:27" ht="15" x14ac:dyDescent="0.2">
      <c r="B482" s="225">
        <v>478</v>
      </c>
      <c r="C482" s="259"/>
      <c r="D482" s="227" t="str">
        <f>IFERROR(VLOOKUP($C482,Full_data!$B$8:$J$932,2,FALSE),"")</f>
        <v/>
      </c>
      <c r="E482" s="227" t="str">
        <f>IFERROR(VLOOKUP($C482,Full_data!$B$8:$J$932,3,FALSE),"")</f>
        <v/>
      </c>
      <c r="F482" s="226" t="str">
        <f>IFERROR(VLOOKUP($C482,Full_data!$B$8:$J$932,4,FALSE),"")</f>
        <v/>
      </c>
      <c r="G482" s="226" t="e">
        <f>VLOOKUP($C482,Full_data!$B$8:$J$932,5,FALSE)</f>
        <v>#N/A</v>
      </c>
      <c r="H482" s="226" t="e">
        <f>VLOOKUP($C482,Full_data!$B$8:$J$932,6,FALSE)</f>
        <v>#N/A</v>
      </c>
      <c r="I482" s="237" t="str">
        <f>IFERROR(VLOOKUP($C482,Full_data!$B$8:$J$932,7,FALSE),"")</f>
        <v/>
      </c>
      <c r="J482" s="355" t="str">
        <f>IFERROR(VLOOKUP($C482,Full_data!$B$8:$J$932,8,FALSE),"")</f>
        <v/>
      </c>
      <c r="K482" s="358"/>
      <c r="L482" s="229" t="str">
        <f t="shared" si="22"/>
        <v/>
      </c>
      <c r="M482" s="352"/>
      <c r="N482" s="237" t="str">
        <f t="shared" si="24"/>
        <v/>
      </c>
      <c r="O482" s="237">
        <f>M482*IFERROR(VLOOKUP($C482,Logistics!$A$1:$O$534,10,FALSE),0)</f>
        <v>0</v>
      </c>
      <c r="P482" s="239">
        <f>M482*IFERROR(VLOOKUP($C482,Logistics!$A$1:$O$534,11,FALSE),0)</f>
        <v>0</v>
      </c>
      <c r="AA482" s="247">
        <f t="shared" si="23"/>
        <v>0.4</v>
      </c>
    </row>
    <row r="483" spans="2:27" ht="15" x14ac:dyDescent="0.2">
      <c r="B483" s="223">
        <v>479</v>
      </c>
      <c r="C483" s="258"/>
      <c r="D483" s="228" t="str">
        <f>IFERROR(VLOOKUP($C483,Full_data!$B$8:$J$932,2,FALSE),"")</f>
        <v/>
      </c>
      <c r="E483" s="228" t="str">
        <f>IFERROR(VLOOKUP($C483,Full_data!$B$8:$J$932,3,FALSE),"")</f>
        <v/>
      </c>
      <c r="F483" s="224" t="str">
        <f>IFERROR(VLOOKUP($C483,Full_data!$B$8:$J$932,4,FALSE),"")</f>
        <v/>
      </c>
      <c r="G483" s="224" t="e">
        <f>VLOOKUP($C483,Full_data!$B$8:$J$932,5,FALSE)</f>
        <v>#N/A</v>
      </c>
      <c r="H483" s="224" t="e">
        <f>VLOOKUP($C483,Full_data!$B$8:$J$932,6,FALSE)</f>
        <v>#N/A</v>
      </c>
      <c r="I483" s="236" t="str">
        <f>IFERROR(VLOOKUP($C483,Full_data!$B$8:$J$932,7,FALSE),"")</f>
        <v/>
      </c>
      <c r="J483" s="354" t="str">
        <f>IFERROR(VLOOKUP($C483,Full_data!$B$8:$J$932,8,FALSE),"")</f>
        <v/>
      </c>
      <c r="K483" s="357"/>
      <c r="L483" s="230" t="str">
        <f t="shared" si="22"/>
        <v/>
      </c>
      <c r="M483" s="351"/>
      <c r="N483" s="236" t="str">
        <f t="shared" si="24"/>
        <v/>
      </c>
      <c r="O483" s="236">
        <f>M483*IFERROR(VLOOKUP($C483,Logistics!$A$1:$O$534,10,FALSE),0)</f>
        <v>0</v>
      </c>
      <c r="P483" s="238">
        <f>M483*IFERROR(VLOOKUP($C483,Logistics!$A$1:$O$534,11,FALSE),0)</f>
        <v>0</v>
      </c>
      <c r="AA483" s="247">
        <f t="shared" si="23"/>
        <v>0.4</v>
      </c>
    </row>
    <row r="484" spans="2:27" ht="15" x14ac:dyDescent="0.2">
      <c r="B484" s="225">
        <v>480</v>
      </c>
      <c r="C484" s="259"/>
      <c r="D484" s="227" t="str">
        <f>IFERROR(VLOOKUP($C484,Full_data!$B$8:$J$932,2,FALSE),"")</f>
        <v/>
      </c>
      <c r="E484" s="227" t="str">
        <f>IFERROR(VLOOKUP($C484,Full_data!$B$8:$J$932,3,FALSE),"")</f>
        <v/>
      </c>
      <c r="F484" s="226" t="str">
        <f>IFERROR(VLOOKUP($C484,Full_data!$B$8:$J$932,4,FALSE),"")</f>
        <v/>
      </c>
      <c r="G484" s="226" t="e">
        <f>VLOOKUP($C484,Full_data!$B$8:$J$932,5,FALSE)</f>
        <v>#N/A</v>
      </c>
      <c r="H484" s="226" t="e">
        <f>VLOOKUP($C484,Full_data!$B$8:$J$932,6,FALSE)</f>
        <v>#N/A</v>
      </c>
      <c r="I484" s="237" t="str">
        <f>IFERROR(VLOOKUP($C484,Full_data!$B$8:$J$932,7,FALSE),"")</f>
        <v/>
      </c>
      <c r="J484" s="355" t="str">
        <f>IFERROR(VLOOKUP($C484,Full_data!$B$8:$J$932,8,FALSE),"")</f>
        <v/>
      </c>
      <c r="K484" s="358"/>
      <c r="L484" s="229" t="str">
        <f t="shared" ref="L484:L504" si="25">IFERROR(IF(ISBLANK(K484),I484-I484*J484,I484-I484*K484),"")</f>
        <v/>
      </c>
      <c r="M484" s="352"/>
      <c r="N484" s="237" t="str">
        <f t="shared" si="24"/>
        <v/>
      </c>
      <c r="O484" s="237">
        <f>M484*IFERROR(VLOOKUP($C484,Logistics!$A$1:$O$534,10,FALSE),0)</f>
        <v>0</v>
      </c>
      <c r="P484" s="239">
        <f>M484*IFERROR(VLOOKUP($C484,Logistics!$A$1:$O$534,11,FALSE),0)</f>
        <v>0</v>
      </c>
      <c r="AA484" s="247">
        <f t="shared" si="23"/>
        <v>0.4</v>
      </c>
    </row>
    <row r="485" spans="2:27" ht="15" x14ac:dyDescent="0.2">
      <c r="B485" s="223">
        <v>481</v>
      </c>
      <c r="C485" s="258"/>
      <c r="D485" s="228" t="str">
        <f>IFERROR(VLOOKUP($C485,Full_data!$B$8:$J$932,2,FALSE),"")</f>
        <v/>
      </c>
      <c r="E485" s="228" t="str">
        <f>IFERROR(VLOOKUP($C485,Full_data!$B$8:$J$932,3,FALSE),"")</f>
        <v/>
      </c>
      <c r="F485" s="224" t="str">
        <f>IFERROR(VLOOKUP($C485,Full_data!$B$8:$J$932,4,FALSE),"")</f>
        <v/>
      </c>
      <c r="G485" s="224" t="e">
        <f>VLOOKUP($C485,Full_data!$B$8:$J$932,5,FALSE)</f>
        <v>#N/A</v>
      </c>
      <c r="H485" s="224" t="e">
        <f>VLOOKUP($C485,Full_data!$B$8:$J$932,6,FALSE)</f>
        <v>#N/A</v>
      </c>
      <c r="I485" s="236" t="str">
        <f>IFERROR(VLOOKUP($C485,Full_data!$B$8:$J$932,7,FALSE),"")</f>
        <v/>
      </c>
      <c r="J485" s="354" t="str">
        <f>IFERROR(VLOOKUP($C485,Full_data!$B$8:$J$932,8,FALSE),"")</f>
        <v/>
      </c>
      <c r="K485" s="357"/>
      <c r="L485" s="230" t="str">
        <f t="shared" si="25"/>
        <v/>
      </c>
      <c r="M485" s="351"/>
      <c r="N485" s="236" t="str">
        <f t="shared" si="24"/>
        <v/>
      </c>
      <c r="O485" s="236">
        <f>M485*IFERROR(VLOOKUP($C485,Logistics!$A$1:$O$534,10,FALSE),0)</f>
        <v>0</v>
      </c>
      <c r="P485" s="238">
        <f>M485*IFERROR(VLOOKUP($C485,Logistics!$A$1:$O$534,11,FALSE),0)</f>
        <v>0</v>
      </c>
      <c r="AA485" s="247">
        <f t="shared" si="23"/>
        <v>0.4</v>
      </c>
    </row>
    <row r="486" spans="2:27" ht="15" x14ac:dyDescent="0.2">
      <c r="B486" s="225">
        <v>482</v>
      </c>
      <c r="C486" s="259"/>
      <c r="D486" s="227" t="str">
        <f>IFERROR(VLOOKUP($C486,Full_data!$B$8:$J$932,2,FALSE),"")</f>
        <v/>
      </c>
      <c r="E486" s="227" t="str">
        <f>IFERROR(VLOOKUP($C486,Full_data!$B$8:$J$932,3,FALSE),"")</f>
        <v/>
      </c>
      <c r="F486" s="226" t="str">
        <f>IFERROR(VLOOKUP($C486,Full_data!$B$8:$J$932,4,FALSE),"")</f>
        <v/>
      </c>
      <c r="G486" s="226" t="e">
        <f>VLOOKUP($C486,Full_data!$B$8:$J$932,5,FALSE)</f>
        <v>#N/A</v>
      </c>
      <c r="H486" s="226" t="e">
        <f>VLOOKUP($C486,Full_data!$B$8:$J$932,6,FALSE)</f>
        <v>#N/A</v>
      </c>
      <c r="I486" s="237" t="str">
        <f>IFERROR(VLOOKUP($C486,Full_data!$B$8:$J$932,7,FALSE),"")</f>
        <v/>
      </c>
      <c r="J486" s="355" t="str">
        <f>IFERROR(VLOOKUP($C486,Full_data!$B$8:$J$932,8,FALSE),"")</f>
        <v/>
      </c>
      <c r="K486" s="358"/>
      <c r="L486" s="229" t="str">
        <f t="shared" si="25"/>
        <v/>
      </c>
      <c r="M486" s="352"/>
      <c r="N486" s="237" t="str">
        <f t="shared" si="24"/>
        <v/>
      </c>
      <c r="O486" s="237">
        <f>M486*IFERROR(VLOOKUP($C486,Logistics!$A$1:$O$534,10,FALSE),0)</f>
        <v>0</v>
      </c>
      <c r="P486" s="239">
        <f>M486*IFERROR(VLOOKUP($C486,Logistics!$A$1:$O$534,11,FALSE),0)</f>
        <v>0</v>
      </c>
      <c r="AA486" s="247">
        <f t="shared" si="23"/>
        <v>0.4</v>
      </c>
    </row>
    <row r="487" spans="2:27" ht="15" x14ac:dyDescent="0.2">
      <c r="B487" s="223">
        <v>483</v>
      </c>
      <c r="C487" s="258"/>
      <c r="D487" s="228" t="str">
        <f>IFERROR(VLOOKUP($C487,Full_data!$B$8:$J$932,2,FALSE),"")</f>
        <v/>
      </c>
      <c r="E487" s="228" t="str">
        <f>IFERROR(VLOOKUP($C487,Full_data!$B$8:$J$932,3,FALSE),"")</f>
        <v/>
      </c>
      <c r="F487" s="224" t="str">
        <f>IFERROR(VLOOKUP($C487,Full_data!$B$8:$J$932,4,FALSE),"")</f>
        <v/>
      </c>
      <c r="G487" s="224" t="e">
        <f>VLOOKUP($C487,Full_data!$B$8:$J$932,5,FALSE)</f>
        <v>#N/A</v>
      </c>
      <c r="H487" s="224" t="e">
        <f>VLOOKUP($C487,Full_data!$B$8:$J$932,6,FALSE)</f>
        <v>#N/A</v>
      </c>
      <c r="I487" s="236" t="str">
        <f>IFERROR(VLOOKUP($C487,Full_data!$B$8:$J$932,7,FALSE),"")</f>
        <v/>
      </c>
      <c r="J487" s="354" t="str">
        <f>IFERROR(VLOOKUP($C487,Full_data!$B$8:$J$932,8,FALSE),"")</f>
        <v/>
      </c>
      <c r="K487" s="357"/>
      <c r="L487" s="230" t="str">
        <f t="shared" si="25"/>
        <v/>
      </c>
      <c r="M487" s="351"/>
      <c r="N487" s="236" t="str">
        <f t="shared" si="24"/>
        <v/>
      </c>
      <c r="O487" s="236">
        <f>M487*IFERROR(VLOOKUP($C487,Logistics!$A$1:$O$534,10,FALSE),0)</f>
        <v>0</v>
      </c>
      <c r="P487" s="238">
        <f>M487*IFERROR(VLOOKUP($C487,Logistics!$A$1:$O$534,11,FALSE),0)</f>
        <v>0</v>
      </c>
      <c r="AA487" s="247">
        <f t="shared" si="23"/>
        <v>0.4</v>
      </c>
    </row>
    <row r="488" spans="2:27" ht="15" x14ac:dyDescent="0.2">
      <c r="B488" s="225">
        <v>484</v>
      </c>
      <c r="C488" s="259"/>
      <c r="D488" s="227" t="str">
        <f>IFERROR(VLOOKUP($C488,Full_data!$B$8:$J$932,2,FALSE),"")</f>
        <v/>
      </c>
      <c r="E488" s="227" t="str">
        <f>IFERROR(VLOOKUP($C488,Full_data!$B$8:$J$932,3,FALSE),"")</f>
        <v/>
      </c>
      <c r="F488" s="226" t="str">
        <f>IFERROR(VLOOKUP($C488,Full_data!$B$8:$J$932,4,FALSE),"")</f>
        <v/>
      </c>
      <c r="G488" s="226" t="e">
        <f>VLOOKUP($C488,Full_data!$B$8:$J$932,5,FALSE)</f>
        <v>#N/A</v>
      </c>
      <c r="H488" s="226" t="e">
        <f>VLOOKUP($C488,Full_data!$B$8:$J$932,6,FALSE)</f>
        <v>#N/A</v>
      </c>
      <c r="I488" s="237" t="str">
        <f>IFERROR(VLOOKUP($C488,Full_data!$B$8:$J$932,7,FALSE),"")</f>
        <v/>
      </c>
      <c r="J488" s="355" t="str">
        <f>IFERROR(VLOOKUP($C488,Full_data!$B$8:$J$932,8,FALSE),"")</f>
        <v/>
      </c>
      <c r="K488" s="358"/>
      <c r="L488" s="229" t="str">
        <f t="shared" si="25"/>
        <v/>
      </c>
      <c r="M488" s="352"/>
      <c r="N488" s="237" t="str">
        <f t="shared" si="24"/>
        <v/>
      </c>
      <c r="O488" s="237">
        <f>M488*IFERROR(VLOOKUP($C488,Logistics!$A$1:$O$534,10,FALSE),0)</f>
        <v>0</v>
      </c>
      <c r="P488" s="239">
        <f>M488*IFERROR(VLOOKUP($C488,Logistics!$A$1:$O$534,11,FALSE),0)</f>
        <v>0</v>
      </c>
      <c r="AA488" s="247">
        <f t="shared" si="23"/>
        <v>0.4</v>
      </c>
    </row>
    <row r="489" spans="2:27" ht="15" x14ac:dyDescent="0.2">
      <c r="B489" s="223">
        <v>485</v>
      </c>
      <c r="C489" s="258"/>
      <c r="D489" s="228" t="str">
        <f>IFERROR(VLOOKUP($C489,Full_data!$B$8:$J$932,2,FALSE),"")</f>
        <v/>
      </c>
      <c r="E489" s="228" t="str">
        <f>IFERROR(VLOOKUP($C489,Full_data!$B$8:$J$932,3,FALSE),"")</f>
        <v/>
      </c>
      <c r="F489" s="224" t="str">
        <f>IFERROR(VLOOKUP($C489,Full_data!$B$8:$J$932,4,FALSE),"")</f>
        <v/>
      </c>
      <c r="G489" s="224" t="e">
        <f>VLOOKUP($C489,Full_data!$B$8:$J$932,5,FALSE)</f>
        <v>#N/A</v>
      </c>
      <c r="H489" s="224" t="e">
        <f>VLOOKUP($C489,Full_data!$B$8:$J$932,6,FALSE)</f>
        <v>#N/A</v>
      </c>
      <c r="I489" s="236" t="str">
        <f>IFERROR(VLOOKUP($C489,Full_data!$B$8:$J$932,7,FALSE),"")</f>
        <v/>
      </c>
      <c r="J489" s="354" t="str">
        <f>IFERROR(VLOOKUP($C489,Full_data!$B$8:$J$932,8,FALSE),"")</f>
        <v/>
      </c>
      <c r="K489" s="357"/>
      <c r="L489" s="230" t="str">
        <f t="shared" si="25"/>
        <v/>
      </c>
      <c r="M489" s="351"/>
      <c r="N489" s="236" t="str">
        <f t="shared" si="24"/>
        <v/>
      </c>
      <c r="O489" s="236">
        <f>M489*IFERROR(VLOOKUP($C489,Logistics!$A$1:$O$534,10,FALSE),0)</f>
        <v>0</v>
      </c>
      <c r="P489" s="238">
        <f>M489*IFERROR(VLOOKUP($C489,Logistics!$A$1:$O$534,11,FALSE),0)</f>
        <v>0</v>
      </c>
      <c r="AA489" s="247">
        <f t="shared" si="23"/>
        <v>0.4</v>
      </c>
    </row>
    <row r="490" spans="2:27" ht="15" x14ac:dyDescent="0.2">
      <c r="B490" s="225">
        <v>486</v>
      </c>
      <c r="C490" s="259"/>
      <c r="D490" s="227" t="str">
        <f>IFERROR(VLOOKUP($C490,Full_data!$B$8:$J$932,2,FALSE),"")</f>
        <v/>
      </c>
      <c r="E490" s="227" t="str">
        <f>IFERROR(VLOOKUP($C490,Full_data!$B$8:$J$932,3,FALSE),"")</f>
        <v/>
      </c>
      <c r="F490" s="226" t="str">
        <f>IFERROR(VLOOKUP($C490,Full_data!$B$8:$J$932,4,FALSE),"")</f>
        <v/>
      </c>
      <c r="G490" s="226" t="e">
        <f>VLOOKUP($C490,Full_data!$B$8:$J$932,5,FALSE)</f>
        <v>#N/A</v>
      </c>
      <c r="H490" s="226" t="e">
        <f>VLOOKUP($C490,Full_data!$B$8:$J$932,6,FALSE)</f>
        <v>#N/A</v>
      </c>
      <c r="I490" s="237" t="str">
        <f>IFERROR(VLOOKUP($C490,Full_data!$B$8:$J$932,7,FALSE),"")</f>
        <v/>
      </c>
      <c r="J490" s="355" t="str">
        <f>IFERROR(VLOOKUP($C490,Full_data!$B$8:$J$932,8,FALSE),"")</f>
        <v/>
      </c>
      <c r="K490" s="358"/>
      <c r="L490" s="229" t="str">
        <f t="shared" si="25"/>
        <v/>
      </c>
      <c r="M490" s="352"/>
      <c r="N490" s="237" t="str">
        <f t="shared" si="24"/>
        <v/>
      </c>
      <c r="O490" s="237">
        <f>M490*IFERROR(VLOOKUP($C490,Logistics!$A$1:$O$534,10,FALSE),0)</f>
        <v>0</v>
      </c>
      <c r="P490" s="239">
        <f>M490*IFERROR(VLOOKUP($C490,Logistics!$A$1:$O$534,11,FALSE),0)</f>
        <v>0</v>
      </c>
      <c r="AA490" s="247">
        <f t="shared" si="23"/>
        <v>0.4</v>
      </c>
    </row>
    <row r="491" spans="2:27" ht="15" x14ac:dyDescent="0.2">
      <c r="B491" s="223">
        <v>487</v>
      </c>
      <c r="C491" s="258"/>
      <c r="D491" s="228" t="str">
        <f>IFERROR(VLOOKUP($C491,Full_data!$B$8:$J$932,2,FALSE),"")</f>
        <v/>
      </c>
      <c r="E491" s="228" t="str">
        <f>IFERROR(VLOOKUP($C491,Full_data!$B$8:$J$932,3,FALSE),"")</f>
        <v/>
      </c>
      <c r="F491" s="224" t="str">
        <f>IFERROR(VLOOKUP($C491,Full_data!$B$8:$J$932,4,FALSE),"")</f>
        <v/>
      </c>
      <c r="G491" s="224" t="e">
        <f>VLOOKUP($C491,Full_data!$B$8:$J$932,5,FALSE)</f>
        <v>#N/A</v>
      </c>
      <c r="H491" s="224" t="e">
        <f>VLOOKUP($C491,Full_data!$B$8:$J$932,6,FALSE)</f>
        <v>#N/A</v>
      </c>
      <c r="I491" s="236" t="str">
        <f>IFERROR(VLOOKUP($C491,Full_data!$B$8:$J$932,7,FALSE),"")</f>
        <v/>
      </c>
      <c r="J491" s="354" t="str">
        <f>IFERROR(VLOOKUP($C491,Full_data!$B$8:$J$932,8,FALSE),"")</f>
        <v/>
      </c>
      <c r="K491" s="357"/>
      <c r="L491" s="230" t="str">
        <f t="shared" si="25"/>
        <v/>
      </c>
      <c r="M491" s="351"/>
      <c r="N491" s="236" t="str">
        <f t="shared" si="24"/>
        <v/>
      </c>
      <c r="O491" s="236">
        <f>M491*IFERROR(VLOOKUP($C491,Logistics!$A$1:$O$534,10,FALSE),0)</f>
        <v>0</v>
      </c>
      <c r="P491" s="238">
        <f>M491*IFERROR(VLOOKUP($C491,Logistics!$A$1:$O$534,11,FALSE),0)</f>
        <v>0</v>
      </c>
      <c r="AA491" s="247">
        <f t="shared" si="23"/>
        <v>0.4</v>
      </c>
    </row>
    <row r="492" spans="2:27" ht="15" x14ac:dyDescent="0.2">
      <c r="B492" s="225">
        <v>488</v>
      </c>
      <c r="C492" s="259"/>
      <c r="D492" s="227" t="str">
        <f>IFERROR(VLOOKUP($C492,Full_data!$B$8:$J$932,2,FALSE),"")</f>
        <v/>
      </c>
      <c r="E492" s="227" t="str">
        <f>IFERROR(VLOOKUP($C492,Full_data!$B$8:$J$932,3,FALSE),"")</f>
        <v/>
      </c>
      <c r="F492" s="226" t="str">
        <f>IFERROR(VLOOKUP($C492,Full_data!$B$8:$J$932,4,FALSE),"")</f>
        <v/>
      </c>
      <c r="G492" s="226" t="e">
        <f>VLOOKUP($C492,Full_data!$B$8:$J$932,5,FALSE)</f>
        <v>#N/A</v>
      </c>
      <c r="H492" s="226" t="e">
        <f>VLOOKUP($C492,Full_data!$B$8:$J$932,6,FALSE)</f>
        <v>#N/A</v>
      </c>
      <c r="I492" s="237" t="str">
        <f>IFERROR(VLOOKUP($C492,Full_data!$B$8:$J$932,7,FALSE),"")</f>
        <v/>
      </c>
      <c r="J492" s="355" t="str">
        <f>IFERROR(VLOOKUP($C492,Full_data!$B$8:$J$932,8,FALSE),"")</f>
        <v/>
      </c>
      <c r="K492" s="358"/>
      <c r="L492" s="229" t="str">
        <f t="shared" si="25"/>
        <v/>
      </c>
      <c r="M492" s="352"/>
      <c r="N492" s="237" t="str">
        <f t="shared" si="24"/>
        <v/>
      </c>
      <c r="O492" s="237">
        <f>M492*IFERROR(VLOOKUP($C492,Logistics!$A$1:$O$534,10,FALSE),0)</f>
        <v>0</v>
      </c>
      <c r="P492" s="239">
        <f>M492*IFERROR(VLOOKUP($C492,Logistics!$A$1:$O$534,11,FALSE),0)</f>
        <v>0</v>
      </c>
      <c r="AA492" s="247">
        <f t="shared" si="23"/>
        <v>0.4</v>
      </c>
    </row>
    <row r="493" spans="2:27" ht="15" x14ac:dyDescent="0.2">
      <c r="B493" s="223">
        <v>489</v>
      </c>
      <c r="C493" s="258"/>
      <c r="D493" s="228" t="str">
        <f>IFERROR(VLOOKUP($C493,Full_data!$B$8:$J$932,2,FALSE),"")</f>
        <v/>
      </c>
      <c r="E493" s="228" t="str">
        <f>IFERROR(VLOOKUP($C493,Full_data!$B$8:$J$932,3,FALSE),"")</f>
        <v/>
      </c>
      <c r="F493" s="224" t="str">
        <f>IFERROR(VLOOKUP($C493,Full_data!$B$8:$J$932,4,FALSE),"")</f>
        <v/>
      </c>
      <c r="G493" s="224" t="e">
        <f>VLOOKUP($C493,Full_data!$B$8:$J$932,5,FALSE)</f>
        <v>#N/A</v>
      </c>
      <c r="H493" s="224" t="e">
        <f>VLOOKUP($C493,Full_data!$B$8:$J$932,6,FALSE)</f>
        <v>#N/A</v>
      </c>
      <c r="I493" s="236" t="str">
        <f>IFERROR(VLOOKUP($C493,Full_data!$B$8:$J$932,7,FALSE),"")</f>
        <v/>
      </c>
      <c r="J493" s="354" t="str">
        <f>IFERROR(VLOOKUP($C493,Full_data!$B$8:$J$932,8,FALSE),"")</f>
        <v/>
      </c>
      <c r="K493" s="357"/>
      <c r="L493" s="230" t="str">
        <f t="shared" si="25"/>
        <v/>
      </c>
      <c r="M493" s="351"/>
      <c r="N493" s="236" t="str">
        <f t="shared" si="24"/>
        <v/>
      </c>
      <c r="O493" s="236">
        <f>M493*IFERROR(VLOOKUP($C493,Logistics!$A$1:$O$534,10,FALSE),0)</f>
        <v>0</v>
      </c>
      <c r="P493" s="238">
        <f>M493*IFERROR(VLOOKUP($C493,Logistics!$A$1:$O$534,11,FALSE),0)</f>
        <v>0</v>
      </c>
      <c r="AA493" s="247">
        <f t="shared" si="23"/>
        <v>0.4</v>
      </c>
    </row>
    <row r="494" spans="2:27" ht="15" x14ac:dyDescent="0.2">
      <c r="B494" s="225">
        <v>490</v>
      </c>
      <c r="C494" s="259"/>
      <c r="D494" s="227" t="str">
        <f>IFERROR(VLOOKUP($C494,Full_data!$B$8:$J$932,2,FALSE),"")</f>
        <v/>
      </c>
      <c r="E494" s="227" t="str">
        <f>IFERROR(VLOOKUP($C494,Full_data!$B$8:$J$932,3,FALSE),"")</f>
        <v/>
      </c>
      <c r="F494" s="226" t="str">
        <f>IFERROR(VLOOKUP($C494,Full_data!$B$8:$J$932,4,FALSE),"")</f>
        <v/>
      </c>
      <c r="G494" s="226" t="e">
        <f>VLOOKUP($C494,Full_data!$B$8:$J$932,5,FALSE)</f>
        <v>#N/A</v>
      </c>
      <c r="H494" s="226" t="e">
        <f>VLOOKUP($C494,Full_data!$B$8:$J$932,6,FALSE)</f>
        <v>#N/A</v>
      </c>
      <c r="I494" s="237" t="str">
        <f>IFERROR(VLOOKUP($C494,Full_data!$B$8:$J$932,7,FALSE),"")</f>
        <v/>
      </c>
      <c r="J494" s="355" t="str">
        <f>IFERROR(VLOOKUP($C494,Full_data!$B$8:$J$932,8,FALSE),"")</f>
        <v/>
      </c>
      <c r="K494" s="358"/>
      <c r="L494" s="229" t="str">
        <f t="shared" si="25"/>
        <v/>
      </c>
      <c r="M494" s="352"/>
      <c r="N494" s="237" t="str">
        <f t="shared" si="24"/>
        <v/>
      </c>
      <c r="O494" s="237">
        <f>M494*IFERROR(VLOOKUP($C494,Logistics!$A$1:$O$534,10,FALSE),0)</f>
        <v>0</v>
      </c>
      <c r="P494" s="239">
        <f>M494*IFERROR(VLOOKUP($C494,Logistics!$A$1:$O$534,11,FALSE),0)</f>
        <v>0</v>
      </c>
      <c r="AA494" s="247">
        <f t="shared" si="23"/>
        <v>0.4</v>
      </c>
    </row>
    <row r="495" spans="2:27" ht="15" x14ac:dyDescent="0.2">
      <c r="B495" s="223">
        <v>491</v>
      </c>
      <c r="C495" s="258"/>
      <c r="D495" s="228" t="str">
        <f>IFERROR(VLOOKUP($C495,Full_data!$B$8:$J$932,2,FALSE),"")</f>
        <v/>
      </c>
      <c r="E495" s="228" t="str">
        <f>IFERROR(VLOOKUP($C495,Full_data!$B$8:$J$932,3,FALSE),"")</f>
        <v/>
      </c>
      <c r="F495" s="224" t="str">
        <f>IFERROR(VLOOKUP($C495,Full_data!$B$8:$J$932,4,FALSE),"")</f>
        <v/>
      </c>
      <c r="G495" s="224" t="e">
        <f>VLOOKUP($C495,Full_data!$B$8:$J$932,5,FALSE)</f>
        <v>#N/A</v>
      </c>
      <c r="H495" s="224" t="e">
        <f>VLOOKUP($C495,Full_data!$B$8:$J$932,6,FALSE)</f>
        <v>#N/A</v>
      </c>
      <c r="I495" s="236" t="str">
        <f>IFERROR(VLOOKUP($C495,Full_data!$B$8:$J$932,7,FALSE),"")</f>
        <v/>
      </c>
      <c r="J495" s="354" t="str">
        <f>IFERROR(VLOOKUP($C495,Full_data!$B$8:$J$932,8,FALSE),"")</f>
        <v/>
      </c>
      <c r="K495" s="357"/>
      <c r="L495" s="230" t="str">
        <f t="shared" si="25"/>
        <v/>
      </c>
      <c r="M495" s="351"/>
      <c r="N495" s="236" t="str">
        <f t="shared" si="24"/>
        <v/>
      </c>
      <c r="O495" s="236">
        <f>M495*IFERROR(VLOOKUP($C495,Logistics!$A$1:$O$534,10,FALSE),0)</f>
        <v>0</v>
      </c>
      <c r="P495" s="238">
        <f>M495*IFERROR(VLOOKUP($C495,Logistics!$A$1:$O$534,11,FALSE),0)</f>
        <v>0</v>
      </c>
      <c r="AA495" s="247">
        <f t="shared" si="23"/>
        <v>0.4</v>
      </c>
    </row>
    <row r="496" spans="2:27" ht="15" x14ac:dyDescent="0.2">
      <c r="B496" s="225">
        <v>492</v>
      </c>
      <c r="C496" s="259"/>
      <c r="D496" s="227" t="str">
        <f>IFERROR(VLOOKUP($C496,Full_data!$B$8:$J$932,2,FALSE),"")</f>
        <v/>
      </c>
      <c r="E496" s="227" t="str">
        <f>IFERROR(VLOOKUP($C496,Full_data!$B$8:$J$932,3,FALSE),"")</f>
        <v/>
      </c>
      <c r="F496" s="226" t="str">
        <f>IFERROR(VLOOKUP($C496,Full_data!$B$8:$J$932,4,FALSE),"")</f>
        <v/>
      </c>
      <c r="G496" s="226" t="e">
        <f>VLOOKUP($C496,Full_data!$B$8:$J$932,5,FALSE)</f>
        <v>#N/A</v>
      </c>
      <c r="H496" s="226" t="e">
        <f>VLOOKUP($C496,Full_data!$B$8:$J$932,6,FALSE)</f>
        <v>#N/A</v>
      </c>
      <c r="I496" s="237" t="str">
        <f>IFERROR(VLOOKUP($C496,Full_data!$B$8:$J$932,7,FALSE),"")</f>
        <v/>
      </c>
      <c r="J496" s="355" t="str">
        <f>IFERROR(VLOOKUP($C496,Full_data!$B$8:$J$932,8,FALSE),"")</f>
        <v/>
      </c>
      <c r="K496" s="358"/>
      <c r="L496" s="229" t="str">
        <f t="shared" si="25"/>
        <v/>
      </c>
      <c r="M496" s="352"/>
      <c r="N496" s="237" t="str">
        <f t="shared" si="24"/>
        <v/>
      </c>
      <c r="O496" s="237">
        <f>M496*IFERROR(VLOOKUP($C496,Logistics!$A$1:$O$534,10,FALSE),0)</f>
        <v>0</v>
      </c>
      <c r="P496" s="239">
        <f>M496*IFERROR(VLOOKUP($C496,Logistics!$A$1:$O$534,11,FALSE),0)</f>
        <v>0</v>
      </c>
      <c r="AA496" s="247">
        <f t="shared" si="23"/>
        <v>0.4</v>
      </c>
    </row>
    <row r="497" spans="2:27" ht="15" x14ac:dyDescent="0.2">
      <c r="B497" s="223">
        <v>493</v>
      </c>
      <c r="C497" s="258"/>
      <c r="D497" s="228" t="str">
        <f>IFERROR(VLOOKUP($C497,Full_data!$B$8:$J$932,2,FALSE),"")</f>
        <v/>
      </c>
      <c r="E497" s="228" t="str">
        <f>IFERROR(VLOOKUP($C497,Full_data!$B$8:$J$932,3,FALSE),"")</f>
        <v/>
      </c>
      <c r="F497" s="224" t="str">
        <f>IFERROR(VLOOKUP($C497,Full_data!$B$8:$J$932,4,FALSE),"")</f>
        <v/>
      </c>
      <c r="G497" s="224" t="e">
        <f>VLOOKUP($C497,Full_data!$B$8:$J$932,5,FALSE)</f>
        <v>#N/A</v>
      </c>
      <c r="H497" s="224" t="e">
        <f>VLOOKUP($C497,Full_data!$B$8:$J$932,6,FALSE)</f>
        <v>#N/A</v>
      </c>
      <c r="I497" s="236" t="str">
        <f>IFERROR(VLOOKUP($C497,Full_data!$B$8:$J$932,7,FALSE),"")</f>
        <v/>
      </c>
      <c r="J497" s="354" t="str">
        <f>IFERROR(VLOOKUP($C497,Full_data!$B$8:$J$932,8,FALSE),"")</f>
        <v/>
      </c>
      <c r="K497" s="357"/>
      <c r="L497" s="230" t="str">
        <f t="shared" si="25"/>
        <v/>
      </c>
      <c r="M497" s="351"/>
      <c r="N497" s="236" t="str">
        <f t="shared" si="24"/>
        <v/>
      </c>
      <c r="O497" s="236">
        <f>M497*IFERROR(VLOOKUP($C497,Logistics!$A$1:$O$534,10,FALSE),0)</f>
        <v>0</v>
      </c>
      <c r="P497" s="238">
        <f>M497*IFERROR(VLOOKUP($C497,Logistics!$A$1:$O$534,11,FALSE),0)</f>
        <v>0</v>
      </c>
      <c r="AA497" s="247">
        <f t="shared" si="23"/>
        <v>0.4</v>
      </c>
    </row>
    <row r="498" spans="2:27" ht="15" x14ac:dyDescent="0.2">
      <c r="B498" s="225">
        <v>494</v>
      </c>
      <c r="C498" s="259"/>
      <c r="D498" s="227" t="str">
        <f>IFERROR(VLOOKUP($C498,Full_data!$B$8:$J$932,2,FALSE),"")</f>
        <v/>
      </c>
      <c r="E498" s="227" t="str">
        <f>IFERROR(VLOOKUP($C498,Full_data!$B$8:$J$932,3,FALSE),"")</f>
        <v/>
      </c>
      <c r="F498" s="226" t="str">
        <f>IFERROR(VLOOKUP($C498,Full_data!$B$8:$J$932,4,FALSE),"")</f>
        <v/>
      </c>
      <c r="G498" s="226" t="e">
        <f>VLOOKUP($C498,Full_data!$B$8:$J$932,5,FALSE)</f>
        <v>#N/A</v>
      </c>
      <c r="H498" s="226" t="e">
        <f>VLOOKUP($C498,Full_data!$B$8:$J$932,6,FALSE)</f>
        <v>#N/A</v>
      </c>
      <c r="I498" s="237" t="str">
        <f>IFERROR(VLOOKUP($C498,Full_data!$B$8:$J$932,7,FALSE),"")</f>
        <v/>
      </c>
      <c r="J498" s="355" t="str">
        <f>IFERROR(VLOOKUP($C498,Full_data!$B$8:$J$932,8,FALSE),"")</f>
        <v/>
      </c>
      <c r="K498" s="358"/>
      <c r="L498" s="229" t="str">
        <f t="shared" si="25"/>
        <v/>
      </c>
      <c r="M498" s="352"/>
      <c r="N498" s="237" t="str">
        <f t="shared" si="24"/>
        <v/>
      </c>
      <c r="O498" s="237">
        <f>M498*IFERROR(VLOOKUP($C498,Logistics!$A$1:$O$534,10,FALSE),0)</f>
        <v>0</v>
      </c>
      <c r="P498" s="239">
        <f>M498*IFERROR(VLOOKUP($C498,Logistics!$A$1:$O$534,11,FALSE),0)</f>
        <v>0</v>
      </c>
      <c r="AA498" s="247">
        <f t="shared" si="23"/>
        <v>0.4</v>
      </c>
    </row>
    <row r="499" spans="2:27" ht="15" x14ac:dyDescent="0.2">
      <c r="B499" s="223">
        <v>495</v>
      </c>
      <c r="C499" s="258"/>
      <c r="D499" s="228" t="str">
        <f>IFERROR(VLOOKUP($C499,Full_data!$B$8:$J$932,2,FALSE),"")</f>
        <v/>
      </c>
      <c r="E499" s="228" t="str">
        <f>IFERROR(VLOOKUP($C499,Full_data!$B$8:$J$932,3,FALSE),"")</f>
        <v/>
      </c>
      <c r="F499" s="224" t="str">
        <f>IFERROR(VLOOKUP($C499,Full_data!$B$8:$J$932,4,FALSE),"")</f>
        <v/>
      </c>
      <c r="G499" s="224" t="e">
        <f>VLOOKUP($C499,Full_data!$B$8:$J$932,5,FALSE)</f>
        <v>#N/A</v>
      </c>
      <c r="H499" s="224" t="e">
        <f>VLOOKUP($C499,Full_data!$B$8:$J$932,6,FALSE)</f>
        <v>#N/A</v>
      </c>
      <c r="I499" s="236" t="str">
        <f>IFERROR(VLOOKUP($C499,Full_data!$B$8:$J$932,7,FALSE),"")</f>
        <v/>
      </c>
      <c r="J499" s="354" t="str">
        <f>IFERROR(VLOOKUP($C499,Full_data!$B$8:$J$932,8,FALSE),"")</f>
        <v/>
      </c>
      <c r="K499" s="357"/>
      <c r="L499" s="230" t="str">
        <f t="shared" si="25"/>
        <v/>
      </c>
      <c r="M499" s="351"/>
      <c r="N499" s="236" t="str">
        <f t="shared" si="24"/>
        <v/>
      </c>
      <c r="O499" s="236">
        <f>M499*IFERROR(VLOOKUP($C499,Logistics!$A$1:$O$534,10,FALSE),0)</f>
        <v>0</v>
      </c>
      <c r="P499" s="238">
        <f>M499*IFERROR(VLOOKUP($C499,Logistics!$A$1:$O$534,11,FALSE),0)</f>
        <v>0</v>
      </c>
      <c r="AA499" s="247">
        <f t="shared" si="23"/>
        <v>0.4</v>
      </c>
    </row>
    <row r="500" spans="2:27" ht="15" x14ac:dyDescent="0.2">
      <c r="B500" s="225">
        <v>496</v>
      </c>
      <c r="C500" s="259"/>
      <c r="D500" s="227" t="str">
        <f>IFERROR(VLOOKUP($C500,Full_data!$B$8:$J$932,2,FALSE),"")</f>
        <v/>
      </c>
      <c r="E500" s="227" t="str">
        <f>IFERROR(VLOOKUP($C500,Full_data!$B$8:$J$932,3,FALSE),"")</f>
        <v/>
      </c>
      <c r="F500" s="226" t="str">
        <f>IFERROR(VLOOKUP($C500,Full_data!$B$8:$J$932,4,FALSE),"")</f>
        <v/>
      </c>
      <c r="G500" s="226" t="e">
        <f>VLOOKUP($C500,Full_data!$B$8:$J$932,5,FALSE)</f>
        <v>#N/A</v>
      </c>
      <c r="H500" s="226" t="e">
        <f>VLOOKUP($C500,Full_data!$B$8:$J$932,6,FALSE)</f>
        <v>#N/A</v>
      </c>
      <c r="I500" s="237" t="str">
        <f>IFERROR(VLOOKUP($C500,Full_data!$B$8:$J$932,7,FALSE),"")</f>
        <v/>
      </c>
      <c r="J500" s="355" t="str">
        <f>IFERROR(VLOOKUP($C500,Full_data!$B$8:$J$932,8,FALSE),"")</f>
        <v/>
      </c>
      <c r="K500" s="358"/>
      <c r="L500" s="229" t="str">
        <f t="shared" si="25"/>
        <v/>
      </c>
      <c r="M500" s="352"/>
      <c r="N500" s="237" t="str">
        <f t="shared" si="24"/>
        <v/>
      </c>
      <c r="O500" s="237">
        <f>M500*IFERROR(VLOOKUP($C500,Logistics!$A$1:$O$534,10,FALSE),0)</f>
        <v>0</v>
      </c>
      <c r="P500" s="239">
        <f>M500*IFERROR(VLOOKUP($C500,Logistics!$A$1:$O$534,11,FALSE),0)</f>
        <v>0</v>
      </c>
      <c r="AA500" s="247">
        <f t="shared" si="23"/>
        <v>0.4</v>
      </c>
    </row>
    <row r="501" spans="2:27" ht="15" x14ac:dyDescent="0.2">
      <c r="B501" s="223">
        <v>497</v>
      </c>
      <c r="C501" s="258"/>
      <c r="D501" s="228" t="str">
        <f>IFERROR(VLOOKUP($C501,Full_data!$B$8:$J$932,2,FALSE),"")</f>
        <v/>
      </c>
      <c r="E501" s="228" t="str">
        <f>IFERROR(VLOOKUP($C501,Full_data!$B$8:$J$932,3,FALSE),"")</f>
        <v/>
      </c>
      <c r="F501" s="224" t="str">
        <f>IFERROR(VLOOKUP($C501,Full_data!$B$8:$J$932,4,FALSE),"")</f>
        <v/>
      </c>
      <c r="G501" s="224" t="e">
        <f>VLOOKUP($C501,Full_data!$B$8:$J$932,5,FALSE)</f>
        <v>#N/A</v>
      </c>
      <c r="H501" s="224" t="e">
        <f>VLOOKUP($C501,Full_data!$B$8:$J$932,6,FALSE)</f>
        <v>#N/A</v>
      </c>
      <c r="I501" s="236" t="str">
        <f>IFERROR(VLOOKUP($C501,Full_data!$B$8:$J$932,7,FALSE),"")</f>
        <v/>
      </c>
      <c r="J501" s="354" t="str">
        <f>IFERROR(VLOOKUP($C501,Full_data!$B$8:$J$932,8,FALSE),"")</f>
        <v/>
      </c>
      <c r="K501" s="357"/>
      <c r="L501" s="230" t="str">
        <f t="shared" si="25"/>
        <v/>
      </c>
      <c r="M501" s="351"/>
      <c r="N501" s="236" t="str">
        <f t="shared" si="24"/>
        <v/>
      </c>
      <c r="O501" s="236">
        <f>M501*IFERROR(VLOOKUP($C501,Logistics!$A$1:$O$534,10,FALSE),0)</f>
        <v>0</v>
      </c>
      <c r="P501" s="238">
        <f>M501*IFERROR(VLOOKUP($C501,Logistics!$A$1:$O$534,11,FALSE),0)</f>
        <v>0</v>
      </c>
      <c r="AA501" s="247">
        <f t="shared" si="23"/>
        <v>0.4</v>
      </c>
    </row>
    <row r="502" spans="2:27" ht="15" x14ac:dyDescent="0.2">
      <c r="B502" s="225">
        <v>498</v>
      </c>
      <c r="C502" s="259"/>
      <c r="D502" s="227" t="str">
        <f>IFERROR(VLOOKUP($C502,Full_data!$B$8:$J$932,2,FALSE),"")</f>
        <v/>
      </c>
      <c r="E502" s="227" t="str">
        <f>IFERROR(VLOOKUP($C502,Full_data!$B$8:$J$932,3,FALSE),"")</f>
        <v/>
      </c>
      <c r="F502" s="226" t="str">
        <f>IFERROR(VLOOKUP($C502,Full_data!$B$8:$J$932,4,FALSE),"")</f>
        <v/>
      </c>
      <c r="G502" s="226" t="e">
        <f>VLOOKUP($C502,Full_data!$B$8:$J$932,5,FALSE)</f>
        <v>#N/A</v>
      </c>
      <c r="H502" s="226" t="e">
        <f>VLOOKUP($C502,Full_data!$B$8:$J$932,6,FALSE)</f>
        <v>#N/A</v>
      </c>
      <c r="I502" s="237" t="str">
        <f>IFERROR(VLOOKUP($C502,Full_data!$B$8:$J$932,7,FALSE),"")</f>
        <v/>
      </c>
      <c r="J502" s="355" t="str">
        <f>IFERROR(VLOOKUP($C502,Full_data!$B$8:$J$932,8,FALSE),"")</f>
        <v/>
      </c>
      <c r="K502" s="358"/>
      <c r="L502" s="229" t="str">
        <f t="shared" si="25"/>
        <v/>
      </c>
      <c r="M502" s="352"/>
      <c r="N502" s="237" t="str">
        <f t="shared" si="24"/>
        <v/>
      </c>
      <c r="O502" s="237">
        <f>M502*IFERROR(VLOOKUP($C502,Logistics!$A$1:$O$534,10,FALSE),0)</f>
        <v>0</v>
      </c>
      <c r="P502" s="239">
        <f>M502*IFERROR(VLOOKUP($C502,Logistics!$A$1:$O$534,11,FALSE),0)</f>
        <v>0</v>
      </c>
      <c r="AA502" s="247">
        <f t="shared" si="23"/>
        <v>0.4</v>
      </c>
    </row>
    <row r="503" spans="2:27" ht="15" x14ac:dyDescent="0.2">
      <c r="B503" s="223">
        <v>499</v>
      </c>
      <c r="C503" s="258"/>
      <c r="D503" s="228" t="str">
        <f>IFERROR(VLOOKUP($C503,Full_data!$B$8:$J$932,2,FALSE),"")</f>
        <v/>
      </c>
      <c r="E503" s="228" t="str">
        <f>IFERROR(VLOOKUP($C503,Full_data!$B$8:$J$932,3,FALSE),"")</f>
        <v/>
      </c>
      <c r="F503" s="224" t="str">
        <f>IFERROR(VLOOKUP($C503,Full_data!$B$8:$J$932,4,FALSE),"")</f>
        <v/>
      </c>
      <c r="G503" s="224" t="e">
        <f>VLOOKUP($C503,Full_data!$B$8:$J$932,5,FALSE)</f>
        <v>#N/A</v>
      </c>
      <c r="H503" s="224" t="e">
        <f>VLOOKUP($C503,Full_data!$B$8:$J$932,6,FALSE)</f>
        <v>#N/A</v>
      </c>
      <c r="I503" s="236" t="str">
        <f>IFERROR(VLOOKUP($C503,Full_data!$B$8:$J$932,7,FALSE),"")</f>
        <v/>
      </c>
      <c r="J503" s="354" t="str">
        <f>IFERROR(VLOOKUP($C503,Full_data!$B$8:$J$932,8,FALSE),"")</f>
        <v/>
      </c>
      <c r="K503" s="357"/>
      <c r="L503" s="230" t="str">
        <f t="shared" si="25"/>
        <v/>
      </c>
      <c r="M503" s="351"/>
      <c r="N503" s="236" t="str">
        <f t="shared" si="24"/>
        <v/>
      </c>
      <c r="O503" s="236">
        <f>M503*IFERROR(VLOOKUP($C503,Logistics!$A$1:$O$534,10,FALSE),0)</f>
        <v>0</v>
      </c>
      <c r="P503" s="238">
        <f>M503*IFERROR(VLOOKUP($C503,Logistics!$A$1:$O$534,11,FALSE),0)</f>
        <v>0</v>
      </c>
      <c r="AA503" s="247">
        <f t="shared" si="23"/>
        <v>0.4</v>
      </c>
    </row>
    <row r="504" spans="2:27" ht="15" x14ac:dyDescent="0.2">
      <c r="B504" s="225">
        <v>500</v>
      </c>
      <c r="C504" s="259"/>
      <c r="D504" s="227" t="str">
        <f>IFERROR(VLOOKUP($C504,Full_data!$B$8:$J$932,2,FALSE),"")</f>
        <v/>
      </c>
      <c r="E504" s="227" t="str">
        <f>IFERROR(VLOOKUP($C504,Full_data!$B$8:$J$932,3,FALSE),"")</f>
        <v/>
      </c>
      <c r="F504" s="226" t="str">
        <f>IFERROR(VLOOKUP($C504,Full_data!$B$8:$J$932,4,FALSE),"")</f>
        <v/>
      </c>
      <c r="G504" s="226" t="e">
        <f>VLOOKUP($C504,Full_data!$B$8:$J$932,5,FALSE)</f>
        <v>#N/A</v>
      </c>
      <c r="H504" s="226" t="e">
        <f>VLOOKUP($C504,Full_data!$B$8:$J$932,6,FALSE)</f>
        <v>#N/A</v>
      </c>
      <c r="I504" s="237" t="str">
        <f>IFERROR(VLOOKUP($C504,Full_data!$B$8:$J$932,7,FALSE),"")</f>
        <v/>
      </c>
      <c r="J504" s="355" t="str">
        <f>IFERROR(VLOOKUP($C504,Full_data!$B$8:$J$932,8,FALSE),"")</f>
        <v/>
      </c>
      <c r="K504" s="358"/>
      <c r="L504" s="229" t="str">
        <f t="shared" si="25"/>
        <v/>
      </c>
      <c r="M504" s="352"/>
      <c r="N504" s="237" t="str">
        <f t="shared" si="24"/>
        <v/>
      </c>
      <c r="O504" s="237">
        <f>M504*IFERROR(VLOOKUP($C504,Logistics!$A$1:$O$534,10,FALSE),0)</f>
        <v>0</v>
      </c>
      <c r="P504" s="239">
        <f>M504*IFERROR(VLOOKUP($C504,Logistics!$A$1:$O$534,11,FALSE),0)</f>
        <v>0</v>
      </c>
      <c r="AA504" s="247">
        <f t="shared" si="23"/>
        <v>0.4</v>
      </c>
    </row>
    <row r="505" spans="2:27" ht="15" x14ac:dyDescent="0.25">
      <c r="B505" s="248"/>
      <c r="C505" s="249"/>
      <c r="D505" s="250"/>
      <c r="E505" s="251"/>
      <c r="F505" s="250"/>
      <c r="G505" s="250"/>
      <c r="H505" s="250"/>
      <c r="I505" s="252"/>
      <c r="J505" s="356"/>
      <c r="K505" s="359"/>
      <c r="L505" s="252"/>
      <c r="M505" s="353"/>
      <c r="N505" s="252"/>
      <c r="O505" s="427">
        <f>SUM(O5:O504)</f>
        <v>0</v>
      </c>
      <c r="P505" s="428">
        <f>SUM(P5:P504)</f>
        <v>0</v>
      </c>
      <c r="AA505" s="247">
        <f t="shared" si="23"/>
        <v>0.4</v>
      </c>
    </row>
  </sheetData>
  <sheetProtection algorithmName="SHA-512" hashValue="TgrjbuKt4Yrlx7Xd8krZtW7ycSKXUy2ArhD0sUGU5AcNHFBE5bA7zyhk9lsjU/x7ZzgFzlB7/kuPKD/dK605Ew==" saltValue="D6SFn9bAwo5AgXBg8Gq8Rg==" spinCount="100000" sheet="1" objects="1" scenarios="1" selectLockedCells="1"/>
  <mergeCells count="3">
    <mergeCell ref="B2:N2"/>
    <mergeCell ref="B3:N3"/>
    <mergeCell ref="B1:N1"/>
  </mergeCells>
  <conditionalFormatting sqref="J505">
    <cfRule type="cellIs" dxfId="66" priority="50" operator="lessThan">
      <formula>$AA$505</formula>
    </cfRule>
  </conditionalFormatting>
  <conditionalFormatting sqref="J506">
    <cfRule type="cellIs" dxfId="65" priority="49" operator="lessThan">
      <formula>$AA$506</formula>
    </cfRule>
  </conditionalFormatting>
  <conditionalFormatting sqref="J507">
    <cfRule type="cellIs" dxfId="64" priority="48" operator="lessThan">
      <formula>$AA$507</formula>
    </cfRule>
  </conditionalFormatting>
  <conditionalFormatting sqref="J508">
    <cfRule type="cellIs" dxfId="63" priority="45" operator="lessThan">
      <formula>$AA$508</formula>
    </cfRule>
  </conditionalFormatting>
  <conditionalFormatting sqref="J509">
    <cfRule type="cellIs" dxfId="62" priority="44" operator="lessThan">
      <formula>$AA$509</formula>
    </cfRule>
  </conditionalFormatting>
  <conditionalFormatting sqref="J510">
    <cfRule type="cellIs" dxfId="61" priority="43" operator="lessThan">
      <formula>$AA$510</formula>
    </cfRule>
  </conditionalFormatting>
  <conditionalFormatting sqref="J511">
    <cfRule type="cellIs" dxfId="60" priority="42" operator="lessThan">
      <formula>$AA$511</formula>
    </cfRule>
  </conditionalFormatting>
  <conditionalFormatting sqref="J512">
    <cfRule type="cellIs" dxfId="59" priority="41" operator="lessThan">
      <formula>$AA$512</formula>
    </cfRule>
  </conditionalFormatting>
  <conditionalFormatting sqref="J513">
    <cfRule type="cellIs" dxfId="58" priority="40" operator="lessThan">
      <formula>$AA$513</formula>
    </cfRule>
  </conditionalFormatting>
  <conditionalFormatting sqref="J514">
    <cfRule type="cellIs" dxfId="57" priority="39" operator="lessThan">
      <formula>$AA$514</formula>
    </cfRule>
  </conditionalFormatting>
  <conditionalFormatting sqref="J515">
    <cfRule type="cellIs" dxfId="56" priority="38" operator="lessThan">
      <formula>$AA$515</formula>
    </cfRule>
  </conditionalFormatting>
  <conditionalFormatting sqref="J516">
    <cfRule type="cellIs" dxfId="55" priority="37" operator="lessThan">
      <formula>$AA$516</formula>
    </cfRule>
  </conditionalFormatting>
  <conditionalFormatting sqref="J517">
    <cfRule type="cellIs" dxfId="54" priority="36" operator="lessThan">
      <formula>$AA$517</formula>
    </cfRule>
  </conditionalFormatting>
  <conditionalFormatting sqref="J518">
    <cfRule type="cellIs" dxfId="53" priority="35" operator="lessThan">
      <formula>$AA$518</formula>
    </cfRule>
  </conditionalFormatting>
  <conditionalFormatting sqref="J519">
    <cfRule type="cellIs" dxfId="52" priority="34" operator="lessThan">
      <formula>$AA$519</formula>
    </cfRule>
  </conditionalFormatting>
  <conditionalFormatting sqref="J520">
    <cfRule type="cellIs" dxfId="51" priority="33" operator="lessThan">
      <formula>$AA$520</formula>
    </cfRule>
  </conditionalFormatting>
  <conditionalFormatting sqref="J521">
    <cfRule type="cellIs" dxfId="50" priority="32" operator="lessThan">
      <formula>$AA$521</formula>
    </cfRule>
  </conditionalFormatting>
  <conditionalFormatting sqref="J522">
    <cfRule type="cellIs" dxfId="49" priority="31" operator="lessThan">
      <formula>$AA$522</formula>
    </cfRule>
  </conditionalFormatting>
  <conditionalFormatting sqref="J523">
    <cfRule type="cellIs" dxfId="48" priority="30" operator="lessThan">
      <formula>$AA$523</formula>
    </cfRule>
  </conditionalFormatting>
  <conditionalFormatting sqref="J524">
    <cfRule type="cellIs" dxfId="47" priority="29" operator="lessThan">
      <formula>$AA$524</formula>
    </cfRule>
  </conditionalFormatting>
  <conditionalFormatting sqref="J525">
    <cfRule type="cellIs" dxfId="46" priority="28" operator="lessThan">
      <formula>$AA$525</formula>
    </cfRule>
  </conditionalFormatting>
  <conditionalFormatting sqref="J526">
    <cfRule type="cellIs" dxfId="45" priority="27" operator="lessThan">
      <formula>$AA$526</formula>
    </cfRule>
  </conditionalFormatting>
  <conditionalFormatting sqref="J527">
    <cfRule type="cellIs" dxfId="44" priority="26" operator="lessThan">
      <formula>$AA$527</formula>
    </cfRule>
  </conditionalFormatting>
  <conditionalFormatting sqref="J528">
    <cfRule type="cellIs" dxfId="43" priority="25" operator="lessThan">
      <formula>$AA$528</formula>
    </cfRule>
  </conditionalFormatting>
  <conditionalFormatting sqref="J529">
    <cfRule type="cellIs" dxfId="42" priority="24" operator="lessThan">
      <formula>$AA$529</formula>
    </cfRule>
  </conditionalFormatting>
  <conditionalFormatting sqref="J530">
    <cfRule type="cellIs" dxfId="41" priority="23" operator="lessThan">
      <formula>$AA$530</formula>
    </cfRule>
  </conditionalFormatting>
  <conditionalFormatting sqref="J531">
    <cfRule type="cellIs" dxfId="40" priority="22" operator="lessThan">
      <formula>$AA$531</formula>
    </cfRule>
  </conditionalFormatting>
  <conditionalFormatting sqref="J532">
    <cfRule type="cellIs" dxfId="39" priority="21" operator="lessThan">
      <formula>$AA$532</formula>
    </cfRule>
  </conditionalFormatting>
  <conditionalFormatting sqref="J533">
    <cfRule type="cellIs" dxfId="38" priority="20" operator="lessThan">
      <formula>$AA$533</formula>
    </cfRule>
  </conditionalFormatting>
  <conditionalFormatting sqref="J534">
    <cfRule type="cellIs" dxfId="37" priority="19" operator="lessThan">
      <formula>$AA$534</formula>
    </cfRule>
  </conditionalFormatting>
  <conditionalFormatting sqref="J535">
    <cfRule type="cellIs" dxfId="36" priority="18" operator="lessThan">
      <formula>$AA$535</formula>
    </cfRule>
  </conditionalFormatting>
  <conditionalFormatting sqref="J536">
    <cfRule type="cellIs" dxfId="35" priority="17" operator="lessThan">
      <formula>$AA$536</formula>
    </cfRule>
  </conditionalFormatting>
  <conditionalFormatting sqref="J537">
    <cfRule type="cellIs" dxfId="34" priority="16" operator="lessThan">
      <formula>$AA$537</formula>
    </cfRule>
  </conditionalFormatting>
  <conditionalFormatting sqref="J538">
    <cfRule type="cellIs" dxfId="33" priority="15" operator="lessThan">
      <formula>$AA$538</formula>
    </cfRule>
  </conditionalFormatting>
  <conditionalFormatting sqref="J539">
    <cfRule type="cellIs" dxfId="32" priority="14" operator="lessThan">
      <formula>$AA$539</formula>
    </cfRule>
  </conditionalFormatting>
  <conditionalFormatting sqref="J540">
    <cfRule type="cellIs" dxfId="31" priority="13" operator="lessThan">
      <formula>$AA$540</formula>
    </cfRule>
  </conditionalFormatting>
  <conditionalFormatting sqref="J541">
    <cfRule type="cellIs" dxfId="30" priority="12" operator="lessThan">
      <formula>$AA$541</formula>
    </cfRule>
  </conditionalFormatting>
  <conditionalFormatting sqref="J542">
    <cfRule type="cellIs" dxfId="29" priority="11" operator="lessThan">
      <formula>$AA$542</formula>
    </cfRule>
  </conditionalFormatting>
  <conditionalFormatting sqref="J543">
    <cfRule type="cellIs" dxfId="28" priority="10" operator="lessThan">
      <formula>$AA$543</formula>
    </cfRule>
  </conditionalFormatting>
  <conditionalFormatting sqref="J544">
    <cfRule type="cellIs" dxfId="27" priority="9" operator="lessThan">
      <formula>$AA$544</formula>
    </cfRule>
  </conditionalFormatting>
  <conditionalFormatting sqref="J545">
    <cfRule type="cellIs" dxfId="26" priority="8" operator="lessThan">
      <formula>$AA$545</formula>
    </cfRule>
  </conditionalFormatting>
  <conditionalFormatting sqref="J546">
    <cfRule type="cellIs" dxfId="25" priority="7" operator="lessThan">
      <formula>$AA$546</formula>
    </cfRule>
  </conditionalFormatting>
  <conditionalFormatting sqref="J547">
    <cfRule type="cellIs" dxfId="24" priority="6" operator="lessThan">
      <formula>$AA$547</formula>
    </cfRule>
  </conditionalFormatting>
  <conditionalFormatting sqref="J548">
    <cfRule type="cellIs" dxfId="23" priority="5" operator="lessThan">
      <formula>$AA$548</formula>
    </cfRule>
  </conditionalFormatting>
  <conditionalFormatting sqref="C505">
    <cfRule type="duplicateValues" dxfId="22" priority="4"/>
  </conditionalFormatting>
  <conditionalFormatting sqref="C5:C504">
    <cfRule type="duplicateValues" dxfId="21" priority="3"/>
  </conditionalFormatting>
  <conditionalFormatting sqref="J6 J8 J10 J12 J14 J16 J18 J20 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J304 J306 J308 J310 J312 J314 J316 J318 J320 J322 J324 J326 J328 J330 J332 J334 J336 J338 J340 J342 J344 J346 J348 J350 J352 J354 J356 J358 J360 J362 J364 J366 J368 J370 J372 J374 J376 J378 J380 J382 J384 J386 J388 J390 J392 J394 J396 J398 J400 J402 J404 J406 J408 J410 J412 J414 J416 J418 J420 J422 J424 J426 J428 J430 J432 J434 J436 J438 J440 J442 J444 J446 J448 J450 J452 J454 J456 J458 J460 J462 J464 J466 J468 J470 J472 J474 J476 J478 J480 J482 J484 J486 J488 J490 J492 J494 J496 J498 J500 J502 J504">
    <cfRule type="expression" dxfId="20" priority="2">
      <formula>$AA6=100%</formula>
    </cfRule>
  </conditionalFormatting>
  <conditionalFormatting sqref="J5 J7 J9 J11 J13 J15 J17 J19 J21 J23 J25 J27 J29 J31 J33 J35 J37 J39 J41 J43 J45 J47 J49 J51 J53 J55 J57 J59 J61 J63 J65 J67 J69 J71 J73 J75 J77 J79 J81 J83 J85 J87 J89 J91 J93 J95 J97 J99 J101 J103 J105 J107 J109 J111 J113 J115 J117 J119 J121 J123 J125 J127 J129 J131 J133 J135 J137 J139 J141 J143 J145 J147 J149 J151 J153 J155 J157 J159 J161 J163 J165 J167 J169 J171 J173 J175 J177 J179 J181 J183 J185 J187 J189 J191 J193 J195 J197 J199 J201 J203 J205 J207 J209 J211 J213 J215 J217 J219 J221 J223 J225 J227 J229 J231 J233 J235 J237 J239 J241 J243 J245 J247 J249 J251 J253 J255 J257 J259 J261 J263 J265 J267 J269 J271 J273 J275 J277 J279 J281 J283 J285 J287 J289 J291 J293 J295 J297 J299 J301 J303 J305 J307 J309 J311 J313 J315 J317 J319 J321 J323 J325 J327 J329 J331 J333 J335 J337 J339 J341 J343 J345 J347 J349 J351 J353 J355 J357 J359 J361 J363 J365 J367 J369 J371 J373 J375 J377 J379 J381 J383 J385 J387 J389 J391 J393 J395 J397 J399 J401 J403 J405 J407 J409 J411 J413 J415 J417 J419 J421 J423 J425 J427 J429 J431 J433 J435 J437 J439 J441 J443 J445 J447 J449 J451 J453 J455 J457 J459 J461 J463 J465 J467 J469 J471 J473 J475 J477 J479 J481 J483 J485 J487 J489 J491 J493 J495 J497 J499 J501 J503">
    <cfRule type="expression" dxfId="19" priority="1">
      <formula>$AA5=100%</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198"/>
  <sheetViews>
    <sheetView showGridLines="0" showRowColHeaders="0" tabSelected="1" zoomScale="90" zoomScaleNormal="90" workbookViewId="0">
      <pane xSplit="10" ySplit="5" topLeftCell="K6" activePane="bottomRight" state="frozen"/>
      <selection pane="topRight" activeCell="K1" sqref="K1"/>
      <selection pane="bottomLeft" activeCell="A11" sqref="A11"/>
      <selection pane="bottomRight" activeCell="B4" sqref="B4:C4"/>
    </sheetView>
  </sheetViews>
  <sheetFormatPr defaultRowHeight="15" x14ac:dyDescent="0.2"/>
  <cols>
    <col min="1" max="1" width="4.375" style="234" customWidth="1"/>
    <col min="2" max="3" width="17.375" style="231" customWidth="1"/>
    <col min="4" max="4" width="109.125" style="232" customWidth="1"/>
    <col min="5" max="8" width="16.25" style="231" customWidth="1"/>
    <col min="9" max="9" width="13.625" style="231" hidden="1" customWidth="1"/>
    <col min="10" max="10" width="7.125" style="231" hidden="1" customWidth="1"/>
    <col min="11" max="11" width="6.25" style="231" bestFit="1" customWidth="1"/>
    <col min="12" max="13" width="9.25" style="231" customWidth="1"/>
    <col min="14" max="23" width="9" style="231"/>
    <col min="24" max="24" width="9.875" style="231" bestFit="1" customWidth="1"/>
    <col min="25" max="25" width="16.25" style="231" bestFit="1" customWidth="1"/>
    <col min="26" max="26" width="11.125" style="231" bestFit="1" customWidth="1"/>
    <col min="27" max="16384" width="9" style="231"/>
  </cols>
  <sheetData>
    <row r="1" spans="1:28" ht="42.75" customHeight="1" x14ac:dyDescent="0.2">
      <c r="A1" s="231"/>
      <c r="B1" s="439" t="s">
        <v>2112</v>
      </c>
      <c r="C1" s="440"/>
      <c r="D1" s="373"/>
      <c r="N1" s="361"/>
      <c r="O1" s="361"/>
      <c r="P1" s="361"/>
      <c r="Q1" s="361"/>
      <c r="R1" s="361"/>
      <c r="S1" s="361"/>
      <c r="T1" s="362"/>
      <c r="U1" s="362" t="s">
        <v>2111</v>
      </c>
      <c r="V1" s="362"/>
      <c r="W1" s="363"/>
      <c r="X1" s="363"/>
      <c r="Y1" s="363"/>
      <c r="Z1" s="363"/>
      <c r="AA1" s="261"/>
      <c r="AB1" s="260"/>
    </row>
    <row r="2" spans="1:28" ht="18.75" customHeight="1" x14ac:dyDescent="0.2">
      <c r="A2" s="231"/>
      <c r="B2" s="444" t="s">
        <v>2114</v>
      </c>
      <c r="C2" s="444"/>
      <c r="D2" s="374" t="s">
        <v>2157</v>
      </c>
      <c r="E2" s="231" t="s">
        <v>2113</v>
      </c>
      <c r="N2" s="361"/>
      <c r="O2" s="361"/>
      <c r="P2" s="361"/>
      <c r="Q2" s="361"/>
      <c r="R2" s="361"/>
      <c r="S2" s="361"/>
      <c r="T2" s="362" t="s">
        <v>2110</v>
      </c>
      <c r="U2" s="262">
        <v>175</v>
      </c>
      <c r="V2" s="362"/>
      <c r="W2" s="363"/>
      <c r="X2" s="263" t="s">
        <v>949</v>
      </c>
      <c r="Y2" s="263" t="s">
        <v>949</v>
      </c>
      <c r="Z2" s="263" t="s">
        <v>949</v>
      </c>
      <c r="AA2" s="261"/>
      <c r="AB2" s="260"/>
    </row>
    <row r="3" spans="1:28" ht="54" customHeight="1" x14ac:dyDescent="0.2">
      <c r="A3" s="231"/>
      <c r="N3" s="361"/>
      <c r="O3" s="361"/>
      <c r="P3" s="361"/>
      <c r="Q3" s="361"/>
      <c r="R3" s="361"/>
      <c r="S3" s="361"/>
      <c r="T3" s="362" t="s">
        <v>2109</v>
      </c>
      <c r="U3" s="262">
        <v>651558</v>
      </c>
      <c r="V3" s="362"/>
      <c r="W3" s="363">
        <v>1</v>
      </c>
      <c r="X3" s="263">
        <v>1</v>
      </c>
      <c r="Y3" s="263">
        <v>1</v>
      </c>
      <c r="Z3" s="263">
        <v>1</v>
      </c>
      <c r="AA3" s="261">
        <v>1</v>
      </c>
      <c r="AB3" s="260"/>
    </row>
    <row r="4" spans="1:28" s="233" customFormat="1" ht="32.25" customHeight="1" x14ac:dyDescent="0.2">
      <c r="A4" s="231"/>
      <c r="B4" s="442">
        <v>651558</v>
      </c>
      <c r="C4" s="443"/>
      <c r="D4" s="441"/>
      <c r="E4" s="441"/>
      <c r="F4" s="441"/>
      <c r="G4" s="441"/>
      <c r="H4" s="441"/>
      <c r="I4" s="381">
        <f>VLOOKUP($B$4,Full_data!$B$8:$J$932,8,FALSE)</f>
        <v>0.56000000000000005</v>
      </c>
      <c r="J4" s="382">
        <f>VLOOKUP($B$4,Full_data!$B$8:$J$932,9,FALSE)</f>
        <v>4.1386376021798359</v>
      </c>
      <c r="N4" s="364"/>
      <c r="O4" s="364"/>
      <c r="P4" s="364"/>
      <c r="Q4" s="364"/>
      <c r="R4" s="364"/>
      <c r="S4" s="364"/>
      <c r="T4" s="365"/>
      <c r="U4" s="365"/>
      <c r="V4" s="365"/>
      <c r="W4" s="363"/>
      <c r="X4" s="265" t="s">
        <v>32</v>
      </c>
      <c r="Y4" s="265" t="s">
        <v>30</v>
      </c>
      <c r="Z4" s="266" t="s">
        <v>934</v>
      </c>
      <c r="AA4" s="261"/>
      <c r="AB4" s="264"/>
    </row>
    <row r="5" spans="1:28" s="233" customFormat="1" ht="29.25" customHeight="1" x14ac:dyDescent="0.2">
      <c r="A5" s="231"/>
      <c r="B5" s="375" t="s">
        <v>2121</v>
      </c>
      <c r="C5" s="376" t="s">
        <v>31</v>
      </c>
      <c r="D5" s="376" t="s">
        <v>2122</v>
      </c>
      <c r="E5" s="376" t="s">
        <v>2114</v>
      </c>
      <c r="F5" s="376" t="s">
        <v>2123</v>
      </c>
      <c r="G5" s="376" t="s">
        <v>2124</v>
      </c>
      <c r="H5" s="377" t="s">
        <v>2125</v>
      </c>
      <c r="I5" s="383" t="s">
        <v>932</v>
      </c>
      <c r="J5" s="384" t="s">
        <v>933</v>
      </c>
      <c r="N5" s="364"/>
      <c r="O5" s="364"/>
      <c r="P5" s="364"/>
      <c r="Q5" s="364"/>
      <c r="R5" s="364"/>
      <c r="S5" s="364"/>
      <c r="T5" s="365"/>
      <c r="U5" s="365"/>
      <c r="V5" s="365"/>
      <c r="W5" s="363"/>
      <c r="X5" s="363" t="s">
        <v>949</v>
      </c>
      <c r="Y5" s="363" t="s">
        <v>949</v>
      </c>
      <c r="Z5" s="363" t="s">
        <v>949</v>
      </c>
      <c r="AA5" s="261"/>
      <c r="AB5" s="264"/>
    </row>
    <row r="6" spans="1:28" ht="17.25" customHeight="1" x14ac:dyDescent="0.2">
      <c r="A6" s="231"/>
      <c r="B6" s="322">
        <v>4000682</v>
      </c>
      <c r="C6" s="224" t="s">
        <v>0</v>
      </c>
      <c r="D6" s="228" t="s">
        <v>589</v>
      </c>
      <c r="E6" s="224" t="s">
        <v>590</v>
      </c>
      <c r="F6" s="224" t="s">
        <v>952</v>
      </c>
      <c r="G6" s="224" t="s">
        <v>1830</v>
      </c>
      <c r="H6" s="230">
        <v>934.61538461538464</v>
      </c>
      <c r="I6" s="224" t="e">
        <f>#REF!</f>
        <v>#REF!</v>
      </c>
      <c r="J6" s="385" t="e">
        <f t="shared" ref="J6:J69" si="0">H6-H6*I6</f>
        <v>#REF!</v>
      </c>
      <c r="N6" s="361"/>
      <c r="O6" s="361"/>
      <c r="P6" s="361"/>
      <c r="Q6" s="361"/>
      <c r="R6" s="361"/>
      <c r="S6" s="361"/>
      <c r="T6" s="362"/>
      <c r="U6" s="362"/>
      <c r="V6" s="362"/>
      <c r="W6" s="363"/>
      <c r="X6" s="363" t="s">
        <v>600</v>
      </c>
      <c r="Y6" s="363" t="s">
        <v>936</v>
      </c>
      <c r="Z6" s="363" t="s">
        <v>946</v>
      </c>
      <c r="AA6" s="261"/>
      <c r="AB6" s="260"/>
    </row>
    <row r="7" spans="1:28" ht="17.25" customHeight="1" x14ac:dyDescent="0.2">
      <c r="A7" s="231"/>
      <c r="B7" s="323" t="s">
        <v>988</v>
      </c>
      <c r="C7" s="226" t="s">
        <v>0</v>
      </c>
      <c r="D7" s="227" t="s">
        <v>715</v>
      </c>
      <c r="E7" s="226" t="s">
        <v>579</v>
      </c>
      <c r="F7" s="226" t="s">
        <v>951</v>
      </c>
      <c r="G7" s="226" t="s">
        <v>1830</v>
      </c>
      <c r="H7" s="229">
        <v>1713.4615384615386</v>
      </c>
      <c r="I7" s="386" t="e">
        <f>#REF!</f>
        <v>#REF!</v>
      </c>
      <c r="J7" s="387" t="e">
        <f t="shared" si="0"/>
        <v>#REF!</v>
      </c>
      <c r="N7" s="361"/>
      <c r="O7" s="361"/>
      <c r="P7" s="361"/>
      <c r="Q7" s="361"/>
      <c r="R7" s="361"/>
      <c r="S7" s="361"/>
      <c r="T7" s="362"/>
      <c r="U7" s="362"/>
      <c r="V7" s="362"/>
      <c r="W7" s="363"/>
      <c r="X7" s="363" t="s">
        <v>935</v>
      </c>
      <c r="Y7" s="363" t="s">
        <v>44</v>
      </c>
      <c r="Z7" s="363" t="s">
        <v>585</v>
      </c>
      <c r="AA7" s="261"/>
      <c r="AB7" s="260"/>
    </row>
    <row r="8" spans="1:28" ht="17.25" customHeight="1" x14ac:dyDescent="0.2">
      <c r="A8" s="231"/>
      <c r="B8" s="322" t="s">
        <v>1567</v>
      </c>
      <c r="C8" s="224" t="s">
        <v>0</v>
      </c>
      <c r="D8" s="228" t="s">
        <v>714</v>
      </c>
      <c r="E8" s="224" t="s">
        <v>579</v>
      </c>
      <c r="F8" s="224" t="s">
        <v>951</v>
      </c>
      <c r="G8" s="224" t="s">
        <v>1830</v>
      </c>
      <c r="H8" s="230">
        <v>1375.9615384615383</v>
      </c>
      <c r="I8" s="224" t="e">
        <f>#REF!</f>
        <v>#REF!</v>
      </c>
      <c r="J8" s="385" t="e">
        <f t="shared" si="0"/>
        <v>#REF!</v>
      </c>
      <c r="N8" s="361"/>
      <c r="O8" s="361"/>
      <c r="P8" s="361"/>
      <c r="Q8" s="361"/>
      <c r="R8" s="361"/>
      <c r="S8" s="361"/>
      <c r="T8" s="362"/>
      <c r="U8" s="362"/>
      <c r="V8" s="362"/>
      <c r="W8" s="363"/>
      <c r="X8" s="363" t="s">
        <v>590</v>
      </c>
      <c r="Y8" s="363" t="s">
        <v>631</v>
      </c>
      <c r="Z8" s="363" t="s">
        <v>947</v>
      </c>
      <c r="AA8" s="261"/>
      <c r="AB8" s="260"/>
    </row>
    <row r="9" spans="1:28" x14ac:dyDescent="0.2">
      <c r="A9" s="231"/>
      <c r="B9" s="323" t="s">
        <v>989</v>
      </c>
      <c r="C9" s="226" t="s">
        <v>0</v>
      </c>
      <c r="D9" s="227" t="s">
        <v>717</v>
      </c>
      <c r="E9" s="226" t="s">
        <v>579</v>
      </c>
      <c r="F9" s="226" t="s">
        <v>951</v>
      </c>
      <c r="G9" s="226" t="s">
        <v>1830</v>
      </c>
      <c r="H9" s="229">
        <v>1298.0769230769231</v>
      </c>
      <c r="I9" s="226" t="e">
        <f>#REF!</f>
        <v>#REF!</v>
      </c>
      <c r="J9" s="387" t="e">
        <f t="shared" si="0"/>
        <v>#REF!</v>
      </c>
      <c r="N9" s="361"/>
      <c r="O9" s="361"/>
      <c r="P9" s="361"/>
      <c r="Q9" s="361"/>
      <c r="R9" s="361"/>
      <c r="S9" s="361"/>
      <c r="T9" s="362"/>
      <c r="U9" s="362"/>
      <c r="V9" s="362"/>
      <c r="W9" s="363"/>
      <c r="X9" s="363"/>
      <c r="Y9" s="363" t="s">
        <v>41</v>
      </c>
      <c r="Z9" s="363" t="s">
        <v>948</v>
      </c>
      <c r="AA9" s="261"/>
      <c r="AB9" s="260"/>
    </row>
    <row r="10" spans="1:28" x14ac:dyDescent="0.2">
      <c r="A10" s="231"/>
      <c r="B10" s="322" t="s">
        <v>1481</v>
      </c>
      <c r="C10" s="224" t="s">
        <v>0</v>
      </c>
      <c r="D10" s="228" t="s">
        <v>713</v>
      </c>
      <c r="E10" s="224" t="s">
        <v>579</v>
      </c>
      <c r="F10" s="224" t="s">
        <v>950</v>
      </c>
      <c r="G10" s="224" t="s">
        <v>956</v>
      </c>
      <c r="H10" s="230">
        <v>415.38461538461536</v>
      </c>
      <c r="I10" s="224" t="e">
        <f>#REF!</f>
        <v>#REF!</v>
      </c>
      <c r="J10" s="385" t="e">
        <f t="shared" si="0"/>
        <v>#REF!</v>
      </c>
      <c r="N10" s="361"/>
      <c r="O10" s="361"/>
      <c r="P10" s="361"/>
      <c r="Q10" s="361"/>
      <c r="R10" s="361"/>
      <c r="S10" s="361"/>
      <c r="T10" s="362"/>
      <c r="U10" s="362"/>
      <c r="V10" s="362"/>
      <c r="W10" s="363"/>
      <c r="X10" s="363"/>
      <c r="Y10" s="363" t="s">
        <v>42</v>
      </c>
      <c r="Z10" s="363"/>
      <c r="AA10" s="261"/>
      <c r="AB10" s="260"/>
    </row>
    <row r="11" spans="1:28" x14ac:dyDescent="0.2">
      <c r="A11" s="231"/>
      <c r="B11" s="323" t="s">
        <v>1003</v>
      </c>
      <c r="C11" s="226" t="s">
        <v>0</v>
      </c>
      <c r="D11" s="227" t="s">
        <v>712</v>
      </c>
      <c r="E11" s="226" t="s">
        <v>579</v>
      </c>
      <c r="F11" s="226" t="s">
        <v>953</v>
      </c>
      <c r="G11" s="226" t="s">
        <v>956</v>
      </c>
      <c r="H11" s="229">
        <v>368.65384615384619</v>
      </c>
      <c r="I11" s="226" t="e">
        <f>#REF!</f>
        <v>#REF!</v>
      </c>
      <c r="J11" s="387" t="e">
        <f t="shared" si="0"/>
        <v>#REF!</v>
      </c>
      <c r="O11" s="361"/>
      <c r="P11" s="361"/>
      <c r="Q11" s="361"/>
      <c r="R11" s="361"/>
      <c r="S11" s="361"/>
      <c r="T11" s="362"/>
      <c r="U11" s="362"/>
      <c r="V11" s="362"/>
      <c r="W11" s="363"/>
      <c r="X11" s="363"/>
      <c r="Y11" s="363" t="s">
        <v>43</v>
      </c>
      <c r="Z11" s="363" t="s">
        <v>937</v>
      </c>
      <c r="AA11" s="261"/>
      <c r="AB11" s="260"/>
    </row>
    <row r="12" spans="1:28" x14ac:dyDescent="0.2">
      <c r="A12" s="231"/>
      <c r="B12" s="322" t="s">
        <v>1564</v>
      </c>
      <c r="C12" s="224" t="s">
        <v>0</v>
      </c>
      <c r="D12" s="228" t="s">
        <v>716</v>
      </c>
      <c r="E12" s="224" t="s">
        <v>579</v>
      </c>
      <c r="F12" s="224" t="s">
        <v>954</v>
      </c>
      <c r="G12" s="224" t="s">
        <v>1830</v>
      </c>
      <c r="H12" s="230">
        <v>1116.3461538461538</v>
      </c>
      <c r="I12" s="224" t="e">
        <f>#REF!</f>
        <v>#REF!</v>
      </c>
      <c r="J12" s="385" t="e">
        <f t="shared" si="0"/>
        <v>#REF!</v>
      </c>
      <c r="O12" s="361"/>
      <c r="P12" s="361"/>
      <c r="Q12" s="361"/>
      <c r="R12" s="361"/>
      <c r="S12" s="361"/>
      <c r="T12" s="362"/>
      <c r="U12" s="362"/>
      <c r="V12" s="362"/>
      <c r="W12" s="363"/>
      <c r="X12" s="363">
        <v>1</v>
      </c>
      <c r="Y12" s="363" t="s">
        <v>36</v>
      </c>
      <c r="Z12" s="363" t="s">
        <v>938</v>
      </c>
      <c r="AA12" s="261"/>
      <c r="AB12" s="260"/>
    </row>
    <row r="13" spans="1:28" x14ac:dyDescent="0.2">
      <c r="A13" s="231"/>
      <c r="B13" s="323" t="s">
        <v>1566</v>
      </c>
      <c r="C13" s="226" t="s">
        <v>0</v>
      </c>
      <c r="D13" s="227" t="s">
        <v>719</v>
      </c>
      <c r="E13" s="226" t="s">
        <v>579</v>
      </c>
      <c r="F13" s="226" t="s">
        <v>953</v>
      </c>
      <c r="G13" s="226" t="s">
        <v>945</v>
      </c>
      <c r="H13" s="229">
        <v>116.82692307692308</v>
      </c>
      <c r="I13" s="226" t="e">
        <f>#REF!</f>
        <v>#REF!</v>
      </c>
      <c r="J13" s="387" t="e">
        <f t="shared" si="0"/>
        <v>#REF!</v>
      </c>
      <c r="O13" s="361"/>
      <c r="P13" s="361"/>
      <c r="Q13" s="361"/>
      <c r="R13" s="361"/>
      <c r="S13" s="361"/>
      <c r="T13" s="362"/>
      <c r="U13" s="362"/>
      <c r="V13" s="362"/>
      <c r="W13" s="363"/>
      <c r="X13" s="363"/>
      <c r="Y13" s="363" t="s">
        <v>37</v>
      </c>
      <c r="Z13" s="363" t="s">
        <v>939</v>
      </c>
      <c r="AA13" s="261"/>
      <c r="AB13" s="260"/>
    </row>
    <row r="14" spans="1:28" x14ac:dyDescent="0.2">
      <c r="A14" s="231"/>
      <c r="B14" s="322" t="s">
        <v>1000</v>
      </c>
      <c r="C14" s="224" t="s">
        <v>0</v>
      </c>
      <c r="D14" s="228" t="s">
        <v>720</v>
      </c>
      <c r="E14" s="224" t="s">
        <v>579</v>
      </c>
      <c r="F14" s="224" t="s">
        <v>953</v>
      </c>
      <c r="G14" s="224" t="s">
        <v>945</v>
      </c>
      <c r="H14" s="230">
        <v>181.73076923076923</v>
      </c>
      <c r="I14" s="224" t="e">
        <f>#REF!</f>
        <v>#REF!</v>
      </c>
      <c r="J14" s="385" t="e">
        <f t="shared" si="0"/>
        <v>#REF!</v>
      </c>
      <c r="O14" s="361"/>
      <c r="P14" s="361"/>
      <c r="Q14" s="361"/>
      <c r="R14" s="361"/>
      <c r="S14" s="361"/>
      <c r="T14" s="362"/>
      <c r="U14" s="362"/>
      <c r="V14" s="362"/>
      <c r="W14" s="363"/>
      <c r="X14" s="363"/>
      <c r="Y14" s="363" t="s">
        <v>38</v>
      </c>
      <c r="Z14" s="363" t="s">
        <v>940</v>
      </c>
      <c r="AA14" s="261"/>
      <c r="AB14" s="260"/>
    </row>
    <row r="15" spans="1:28" x14ac:dyDescent="0.2">
      <c r="A15" s="231"/>
      <c r="B15" s="323" t="s">
        <v>1565</v>
      </c>
      <c r="C15" s="226" t="s">
        <v>0</v>
      </c>
      <c r="D15" s="227" t="s">
        <v>718</v>
      </c>
      <c r="E15" s="226" t="s">
        <v>579</v>
      </c>
      <c r="F15" s="226" t="s">
        <v>953</v>
      </c>
      <c r="G15" s="226" t="s">
        <v>957</v>
      </c>
      <c r="H15" s="229">
        <v>160.96153846153845</v>
      </c>
      <c r="I15" s="226" t="e">
        <f>#REF!</f>
        <v>#REF!</v>
      </c>
      <c r="J15" s="387" t="e">
        <f t="shared" si="0"/>
        <v>#REF!</v>
      </c>
      <c r="O15" s="361"/>
      <c r="P15" s="361"/>
      <c r="Q15" s="361"/>
      <c r="R15" s="361"/>
      <c r="S15" s="361"/>
      <c r="T15" s="362"/>
      <c r="U15" s="362"/>
      <c r="V15" s="362"/>
      <c r="W15" s="363"/>
      <c r="X15" s="363"/>
      <c r="Y15" s="363" t="s">
        <v>39</v>
      </c>
      <c r="Z15" s="363" t="s">
        <v>941</v>
      </c>
      <c r="AA15" s="261"/>
      <c r="AB15" s="260"/>
    </row>
    <row r="16" spans="1:28" x14ac:dyDescent="0.2">
      <c r="A16" s="231" t="s">
        <v>2118</v>
      </c>
      <c r="B16" s="322" t="s">
        <v>2154</v>
      </c>
      <c r="C16" s="224" t="s">
        <v>0</v>
      </c>
      <c r="D16" s="228" t="s">
        <v>597</v>
      </c>
      <c r="E16" s="224" t="s">
        <v>935</v>
      </c>
      <c r="F16" s="224" t="s">
        <v>955</v>
      </c>
      <c r="G16" s="224" t="s">
        <v>33</v>
      </c>
      <c r="H16" s="230">
        <v>3.9839999999999995</v>
      </c>
      <c r="I16" s="224" t="e">
        <f>#REF!</f>
        <v>#REF!</v>
      </c>
      <c r="J16" s="385" t="e">
        <f t="shared" si="0"/>
        <v>#REF!</v>
      </c>
      <c r="O16" s="361"/>
      <c r="P16" s="361"/>
      <c r="Q16" s="361"/>
      <c r="R16" s="361"/>
      <c r="S16" s="361"/>
      <c r="T16" s="362"/>
      <c r="U16" s="362"/>
      <c r="V16" s="362"/>
      <c r="W16" s="363"/>
      <c r="X16" s="363"/>
      <c r="Y16" s="363" t="s">
        <v>942</v>
      </c>
      <c r="Z16" s="363"/>
      <c r="AA16" s="261"/>
      <c r="AB16" s="260"/>
    </row>
    <row r="17" spans="1:28" x14ac:dyDescent="0.2">
      <c r="A17" s="231" t="s">
        <v>2118</v>
      </c>
      <c r="B17" s="323" t="s">
        <v>1078</v>
      </c>
      <c r="C17" s="226" t="s">
        <v>0</v>
      </c>
      <c r="D17" s="227" t="s">
        <v>598</v>
      </c>
      <c r="E17" s="226" t="s">
        <v>935</v>
      </c>
      <c r="F17" s="226" t="s">
        <v>955</v>
      </c>
      <c r="G17" s="226" t="s">
        <v>33</v>
      </c>
      <c r="H17" s="229">
        <v>4.6079999999999997</v>
      </c>
      <c r="I17" s="226" t="e">
        <f>#REF!</f>
        <v>#REF!</v>
      </c>
      <c r="J17" s="387" t="e">
        <f t="shared" si="0"/>
        <v>#REF!</v>
      </c>
      <c r="O17" s="361"/>
      <c r="P17" s="361"/>
      <c r="Q17" s="361"/>
      <c r="R17" s="361"/>
      <c r="S17" s="361"/>
      <c r="T17" s="362"/>
      <c r="U17" s="362"/>
      <c r="V17" s="362"/>
      <c r="W17" s="363"/>
      <c r="X17" s="363"/>
      <c r="Y17" s="363" t="s">
        <v>943</v>
      </c>
      <c r="Z17" s="363"/>
      <c r="AA17" s="261"/>
      <c r="AB17" s="260"/>
    </row>
    <row r="18" spans="1:28" x14ac:dyDescent="0.2">
      <c r="A18" s="231"/>
      <c r="B18" s="322" t="s">
        <v>1825</v>
      </c>
      <c r="C18" s="224" t="s">
        <v>639</v>
      </c>
      <c r="D18" s="228" t="s">
        <v>640</v>
      </c>
      <c r="E18" s="224" t="s">
        <v>935</v>
      </c>
      <c r="F18" s="224" t="s">
        <v>583</v>
      </c>
      <c r="G18" s="224" t="s">
        <v>641</v>
      </c>
      <c r="H18" s="230">
        <v>3.6666666666666665</v>
      </c>
      <c r="I18" s="224" t="e">
        <f>#REF!</f>
        <v>#REF!</v>
      </c>
      <c r="J18" s="385" t="e">
        <f t="shared" si="0"/>
        <v>#REF!</v>
      </c>
      <c r="O18" s="361"/>
      <c r="P18" s="361"/>
      <c r="Q18" s="361"/>
      <c r="R18" s="361"/>
      <c r="S18" s="361"/>
      <c r="T18" s="362"/>
      <c r="U18" s="362"/>
      <c r="V18" s="362"/>
      <c r="W18" s="363"/>
      <c r="X18" s="363"/>
      <c r="Y18" s="363" t="s">
        <v>944</v>
      </c>
      <c r="Z18" s="363"/>
      <c r="AA18" s="261"/>
      <c r="AB18" s="260"/>
    </row>
    <row r="19" spans="1:28" x14ac:dyDescent="0.2">
      <c r="A19" s="231"/>
      <c r="B19" s="323" t="s">
        <v>1826</v>
      </c>
      <c r="C19" s="226" t="s">
        <v>639</v>
      </c>
      <c r="D19" s="227" t="s">
        <v>642</v>
      </c>
      <c r="E19" s="226" t="s">
        <v>935</v>
      </c>
      <c r="F19" s="226" t="s">
        <v>583</v>
      </c>
      <c r="G19" s="226" t="s">
        <v>641</v>
      </c>
      <c r="H19" s="229">
        <v>6.7833333333333332</v>
      </c>
      <c r="I19" s="226" t="e">
        <f>#REF!</f>
        <v>#REF!</v>
      </c>
      <c r="J19" s="387" t="e">
        <f t="shared" si="0"/>
        <v>#REF!</v>
      </c>
      <c r="O19" s="361"/>
      <c r="P19" s="361"/>
      <c r="Q19" s="361"/>
      <c r="R19" s="361"/>
      <c r="S19" s="361"/>
      <c r="T19" s="362"/>
      <c r="U19" s="362"/>
      <c r="V19" s="362"/>
      <c r="W19" s="363"/>
      <c r="X19" s="363"/>
      <c r="Y19" s="363" t="s">
        <v>945</v>
      </c>
      <c r="Z19" s="363"/>
      <c r="AA19" s="261"/>
      <c r="AB19" s="260"/>
    </row>
    <row r="20" spans="1:28" x14ac:dyDescent="0.2">
      <c r="A20" s="231"/>
      <c r="B20" s="322" t="s">
        <v>1827</v>
      </c>
      <c r="C20" s="224" t="s">
        <v>639</v>
      </c>
      <c r="D20" s="228" t="s">
        <v>643</v>
      </c>
      <c r="E20" s="224" t="s">
        <v>935</v>
      </c>
      <c r="F20" s="224" t="s">
        <v>583</v>
      </c>
      <c r="G20" s="224" t="s">
        <v>641</v>
      </c>
      <c r="H20" s="230">
        <v>12.833333333333334</v>
      </c>
      <c r="I20" s="224" t="e">
        <f>#REF!</f>
        <v>#REF!</v>
      </c>
      <c r="J20" s="385" t="e">
        <f t="shared" si="0"/>
        <v>#REF!</v>
      </c>
      <c r="O20" s="361"/>
      <c r="P20" s="361"/>
      <c r="Q20" s="361"/>
      <c r="R20" s="361"/>
      <c r="S20" s="361"/>
      <c r="T20" s="362"/>
      <c r="U20" s="362"/>
      <c r="V20" s="362"/>
      <c r="W20" s="362"/>
      <c r="X20" s="362"/>
      <c r="Y20" s="362"/>
      <c r="Z20" s="362"/>
      <c r="AA20" s="260"/>
      <c r="AB20" s="260"/>
    </row>
    <row r="21" spans="1:28" x14ac:dyDescent="0.2">
      <c r="A21" s="231" t="s">
        <v>2118</v>
      </c>
      <c r="B21" s="323" t="s">
        <v>1828</v>
      </c>
      <c r="C21" s="226" t="s">
        <v>0</v>
      </c>
      <c r="D21" s="227" t="s">
        <v>644</v>
      </c>
      <c r="E21" s="226" t="s">
        <v>935</v>
      </c>
      <c r="F21" s="226" t="s">
        <v>585</v>
      </c>
      <c r="G21" s="226" t="s">
        <v>37</v>
      </c>
      <c r="H21" s="229">
        <v>50.216666666666654</v>
      </c>
      <c r="I21" s="226" t="e">
        <f>#REF!</f>
        <v>#REF!</v>
      </c>
      <c r="J21" s="387" t="e">
        <f t="shared" si="0"/>
        <v>#REF!</v>
      </c>
      <c r="O21" s="361"/>
      <c r="P21" s="361"/>
      <c r="Q21" s="361"/>
      <c r="R21" s="361"/>
      <c r="S21" s="361"/>
      <c r="T21" s="362"/>
      <c r="U21" s="362"/>
      <c r="V21" s="362"/>
      <c r="W21" s="362"/>
      <c r="X21" s="362"/>
      <c r="Y21" s="362"/>
      <c r="Z21" s="362"/>
      <c r="AA21" s="260"/>
      <c r="AB21" s="260"/>
    </row>
    <row r="22" spans="1:28" x14ac:dyDescent="0.2">
      <c r="A22" s="231"/>
      <c r="B22" s="322" t="s">
        <v>2119</v>
      </c>
      <c r="C22" s="224" t="s">
        <v>0</v>
      </c>
      <c r="D22" s="228" t="s">
        <v>592</v>
      </c>
      <c r="E22" s="224" t="s">
        <v>1831</v>
      </c>
      <c r="F22" s="224" t="s">
        <v>955</v>
      </c>
      <c r="G22" s="224" t="s">
        <v>33</v>
      </c>
      <c r="H22" s="230">
        <v>318.16666666666657</v>
      </c>
      <c r="I22" s="224" t="e">
        <f>#REF!</f>
        <v>#REF!</v>
      </c>
      <c r="J22" s="385" t="e">
        <f t="shared" si="0"/>
        <v>#REF!</v>
      </c>
      <c r="O22" s="361"/>
      <c r="P22" s="361"/>
      <c r="Q22" s="361"/>
      <c r="R22" s="361"/>
      <c r="S22" s="361"/>
      <c r="T22" s="362"/>
      <c r="U22" s="362"/>
      <c r="V22" s="362"/>
      <c r="W22" s="362"/>
      <c r="X22" s="362"/>
      <c r="Y22" s="362"/>
      <c r="Z22" s="362"/>
      <c r="AA22" s="260"/>
      <c r="AB22" s="260"/>
    </row>
    <row r="23" spans="1:28" x14ac:dyDescent="0.2">
      <c r="A23" s="231"/>
      <c r="B23" s="323" t="s">
        <v>2120</v>
      </c>
      <c r="C23" s="226" t="s">
        <v>0</v>
      </c>
      <c r="D23" s="227" t="s">
        <v>593</v>
      </c>
      <c r="E23" s="226" t="s">
        <v>1831</v>
      </c>
      <c r="F23" s="226" t="s">
        <v>955</v>
      </c>
      <c r="G23" s="226" t="s">
        <v>33</v>
      </c>
      <c r="H23" s="229">
        <v>103.49999999999997</v>
      </c>
      <c r="I23" s="226" t="e">
        <f>#REF!</f>
        <v>#REF!</v>
      </c>
      <c r="J23" s="387" t="e">
        <f t="shared" si="0"/>
        <v>#REF!</v>
      </c>
      <c r="O23" s="361"/>
      <c r="P23" s="361"/>
      <c r="Q23" s="361"/>
      <c r="R23" s="361"/>
      <c r="S23" s="361"/>
      <c r="T23" s="362"/>
      <c r="U23" s="362"/>
      <c r="V23" s="362"/>
      <c r="W23" s="362"/>
      <c r="X23" s="362"/>
      <c r="Y23" s="362"/>
      <c r="Z23" s="362"/>
      <c r="AA23" s="260"/>
      <c r="AB23" s="260"/>
    </row>
    <row r="24" spans="1:28" x14ac:dyDescent="0.2">
      <c r="A24" s="231"/>
      <c r="B24" s="322" t="s">
        <v>1056</v>
      </c>
      <c r="C24" s="224" t="s">
        <v>0</v>
      </c>
      <c r="D24" s="228" t="s">
        <v>109</v>
      </c>
      <c r="E24" s="224" t="s">
        <v>1831</v>
      </c>
      <c r="F24" s="224" t="s">
        <v>955</v>
      </c>
      <c r="G24" s="224" t="s">
        <v>33</v>
      </c>
      <c r="H24" s="230">
        <v>2.4000000000000004</v>
      </c>
      <c r="I24" s="224" t="e">
        <f>#REF!</f>
        <v>#REF!</v>
      </c>
      <c r="J24" s="385" t="e">
        <f t="shared" si="0"/>
        <v>#REF!</v>
      </c>
      <c r="O24" s="361"/>
      <c r="P24" s="361"/>
      <c r="Q24" s="361"/>
      <c r="R24" s="361"/>
      <c r="S24" s="361"/>
      <c r="T24" s="362"/>
      <c r="U24" s="362"/>
      <c r="V24" s="362"/>
      <c r="W24" s="362"/>
      <c r="X24" s="362"/>
      <c r="Y24" s="362"/>
      <c r="Z24" s="362"/>
      <c r="AA24" s="260"/>
      <c r="AB24" s="260"/>
    </row>
    <row r="25" spans="1:28" x14ac:dyDescent="0.2">
      <c r="A25" s="231"/>
      <c r="B25" s="323" t="s">
        <v>983</v>
      </c>
      <c r="C25" s="226" t="s">
        <v>0</v>
      </c>
      <c r="D25" s="227" t="s">
        <v>116</v>
      </c>
      <c r="E25" s="226" t="s">
        <v>1831</v>
      </c>
      <c r="F25" s="226" t="s">
        <v>955</v>
      </c>
      <c r="G25" s="226" t="s">
        <v>33</v>
      </c>
      <c r="H25" s="229">
        <v>23.958333333333329</v>
      </c>
      <c r="I25" s="226" t="e">
        <f>#REF!</f>
        <v>#REF!</v>
      </c>
      <c r="J25" s="387" t="e">
        <f t="shared" si="0"/>
        <v>#REF!</v>
      </c>
      <c r="O25" s="361"/>
      <c r="P25" s="361"/>
      <c r="Q25" s="361"/>
      <c r="R25" s="361"/>
      <c r="S25" s="361"/>
      <c r="T25" s="362"/>
      <c r="U25" s="362"/>
      <c r="V25" s="362"/>
      <c r="W25" s="362"/>
      <c r="X25" s="362"/>
      <c r="Y25" s="362"/>
      <c r="Z25" s="362"/>
      <c r="AA25" s="260"/>
      <c r="AB25" s="260"/>
    </row>
    <row r="26" spans="1:28" x14ac:dyDescent="0.2">
      <c r="A26" s="231"/>
      <c r="B26" s="322" t="s">
        <v>1004</v>
      </c>
      <c r="C26" s="224" t="s">
        <v>0</v>
      </c>
      <c r="D26" s="228" t="s">
        <v>6</v>
      </c>
      <c r="E26" s="224" t="s">
        <v>1831</v>
      </c>
      <c r="F26" s="224" t="s">
        <v>955</v>
      </c>
      <c r="G26" s="224" t="s">
        <v>39</v>
      </c>
      <c r="H26" s="230">
        <v>59.992885255828021</v>
      </c>
      <c r="I26" s="224" t="e">
        <f>#REF!</f>
        <v>#REF!</v>
      </c>
      <c r="J26" s="385" t="e">
        <f t="shared" si="0"/>
        <v>#REF!</v>
      </c>
      <c r="O26" s="361"/>
      <c r="P26" s="361"/>
      <c r="Q26" s="361"/>
      <c r="R26" s="361"/>
      <c r="S26" s="361"/>
      <c r="T26" s="362"/>
      <c r="U26" s="362"/>
      <c r="V26" s="362"/>
      <c r="W26" s="362"/>
      <c r="X26" s="362"/>
      <c r="Y26" s="362"/>
      <c r="Z26" s="362"/>
      <c r="AA26" s="260"/>
      <c r="AB26" s="260"/>
    </row>
    <row r="27" spans="1:28" x14ac:dyDescent="0.2">
      <c r="A27" s="231"/>
      <c r="B27" s="323" t="s">
        <v>2155</v>
      </c>
      <c r="C27" s="226" t="s">
        <v>0</v>
      </c>
      <c r="D27" s="227" t="s">
        <v>159</v>
      </c>
      <c r="E27" s="226" t="s">
        <v>1831</v>
      </c>
      <c r="F27" s="226" t="s">
        <v>955</v>
      </c>
      <c r="G27" s="226" t="s">
        <v>39</v>
      </c>
      <c r="H27" s="229">
        <v>22.17368049248158</v>
      </c>
      <c r="I27" s="226" t="e">
        <f>#REF!</f>
        <v>#REF!</v>
      </c>
      <c r="J27" s="387" t="e">
        <f t="shared" si="0"/>
        <v>#REF!</v>
      </c>
      <c r="O27" s="361"/>
      <c r="P27" s="361"/>
      <c r="Q27" s="361"/>
      <c r="R27" s="361"/>
      <c r="S27" s="361"/>
      <c r="T27" s="362"/>
      <c r="U27" s="362"/>
      <c r="V27" s="362"/>
      <c r="W27" s="362"/>
      <c r="X27" s="362"/>
      <c r="Y27" s="362"/>
      <c r="Z27" s="362"/>
      <c r="AA27" s="260"/>
      <c r="AB27" s="260"/>
    </row>
    <row r="28" spans="1:28" x14ac:dyDescent="0.2">
      <c r="A28" s="231"/>
      <c r="B28" s="322" t="s">
        <v>1016</v>
      </c>
      <c r="C28" s="224" t="s">
        <v>0</v>
      </c>
      <c r="D28" s="228" t="s">
        <v>93</v>
      </c>
      <c r="E28" s="224" t="s">
        <v>1831</v>
      </c>
      <c r="F28" s="224" t="s">
        <v>955</v>
      </c>
      <c r="G28" s="224" t="s">
        <v>33</v>
      </c>
      <c r="H28" s="230">
        <v>1.9166666666666663</v>
      </c>
      <c r="I28" s="224" t="e">
        <f>#REF!</f>
        <v>#REF!</v>
      </c>
      <c r="J28" s="385" t="e">
        <f t="shared" si="0"/>
        <v>#REF!</v>
      </c>
      <c r="O28" s="361"/>
      <c r="P28" s="361"/>
      <c r="Q28" s="361"/>
      <c r="R28" s="361"/>
      <c r="S28" s="361"/>
      <c r="T28" s="362"/>
      <c r="U28" s="362"/>
      <c r="V28" s="362"/>
      <c r="W28" s="362"/>
      <c r="X28" s="362"/>
      <c r="Y28" s="362"/>
      <c r="Z28" s="362"/>
      <c r="AA28" s="260"/>
      <c r="AB28" s="260"/>
    </row>
    <row r="29" spans="1:28" x14ac:dyDescent="0.2">
      <c r="A29" s="231"/>
      <c r="B29" s="323" t="s">
        <v>1085</v>
      </c>
      <c r="C29" s="226" t="s">
        <v>0</v>
      </c>
      <c r="D29" s="227" t="s">
        <v>117</v>
      </c>
      <c r="E29" s="226" t="s">
        <v>1831</v>
      </c>
      <c r="F29" s="226" t="s">
        <v>955</v>
      </c>
      <c r="G29" s="226" t="s">
        <v>33</v>
      </c>
      <c r="H29" s="229">
        <v>5.6349999999999989</v>
      </c>
      <c r="I29" s="226" t="e">
        <f>#REF!</f>
        <v>#REF!</v>
      </c>
      <c r="J29" s="387" t="e">
        <f t="shared" si="0"/>
        <v>#REF!</v>
      </c>
      <c r="O29" s="361"/>
      <c r="P29" s="361"/>
      <c r="Q29" s="361"/>
      <c r="R29" s="361"/>
      <c r="S29" s="361"/>
      <c r="T29" s="362"/>
      <c r="U29" s="362"/>
      <c r="V29" s="362"/>
      <c r="W29" s="362"/>
      <c r="X29" s="362"/>
      <c r="Y29" s="362"/>
      <c r="Z29" s="362"/>
      <c r="AA29" s="260"/>
      <c r="AB29" s="260"/>
    </row>
    <row r="30" spans="1:28" x14ac:dyDescent="0.2">
      <c r="A30" s="231"/>
      <c r="B30" s="322" t="s">
        <v>1092</v>
      </c>
      <c r="C30" s="224" t="s">
        <v>0</v>
      </c>
      <c r="D30" s="228" t="s">
        <v>100</v>
      </c>
      <c r="E30" s="224" t="s">
        <v>1831</v>
      </c>
      <c r="F30" s="224" t="s">
        <v>955</v>
      </c>
      <c r="G30" s="224" t="s">
        <v>33</v>
      </c>
      <c r="H30" s="230">
        <v>7.2833333333333306</v>
      </c>
      <c r="I30" s="224" t="e">
        <f>#REF!</f>
        <v>#REF!</v>
      </c>
      <c r="J30" s="385" t="e">
        <f t="shared" si="0"/>
        <v>#REF!</v>
      </c>
      <c r="O30" s="361"/>
      <c r="P30" s="361"/>
      <c r="Q30" s="361"/>
      <c r="R30" s="361"/>
      <c r="S30" s="361"/>
      <c r="T30" s="362"/>
      <c r="U30" s="362"/>
      <c r="V30" s="362"/>
      <c r="W30" s="362"/>
      <c r="X30" s="362"/>
      <c r="Y30" s="362"/>
      <c r="Z30" s="362"/>
      <c r="AA30" s="260"/>
      <c r="AB30" s="260"/>
    </row>
    <row r="31" spans="1:28" x14ac:dyDescent="0.2">
      <c r="A31" s="231"/>
      <c r="B31" s="323" t="s">
        <v>1008</v>
      </c>
      <c r="C31" s="226" t="s">
        <v>0</v>
      </c>
      <c r="D31" s="227" t="s">
        <v>160</v>
      </c>
      <c r="E31" s="226" t="s">
        <v>1831</v>
      </c>
      <c r="F31" s="226" t="s">
        <v>955</v>
      </c>
      <c r="G31" s="226" t="s">
        <v>39</v>
      </c>
      <c r="H31" s="229">
        <v>20.894742153597736</v>
      </c>
      <c r="I31" s="226" t="e">
        <f>#REF!</f>
        <v>#REF!</v>
      </c>
      <c r="J31" s="387" t="e">
        <f t="shared" si="0"/>
        <v>#REF!</v>
      </c>
      <c r="O31" s="361"/>
      <c r="P31" s="361"/>
      <c r="Q31" s="361"/>
      <c r="R31" s="361"/>
      <c r="S31" s="361"/>
      <c r="T31" s="362"/>
      <c r="U31" s="362"/>
      <c r="V31" s="362"/>
      <c r="W31" s="362"/>
      <c r="X31" s="362"/>
      <c r="Y31" s="362"/>
      <c r="Z31" s="362"/>
      <c r="AA31" s="260"/>
      <c r="AB31" s="260"/>
    </row>
    <row r="32" spans="1:28" x14ac:dyDescent="0.2">
      <c r="A32" s="231"/>
      <c r="B32" s="322" t="s">
        <v>1530</v>
      </c>
      <c r="C32" s="224" t="s">
        <v>553</v>
      </c>
      <c r="D32" s="228" t="s">
        <v>619</v>
      </c>
      <c r="E32" s="224" t="s">
        <v>1831</v>
      </c>
      <c r="F32" s="224" t="s">
        <v>583</v>
      </c>
      <c r="G32" s="224" t="s">
        <v>38</v>
      </c>
      <c r="H32" s="230">
        <v>788.07488760000001</v>
      </c>
      <c r="I32" s="224" t="e">
        <f>#REF!</f>
        <v>#REF!</v>
      </c>
      <c r="J32" s="385" t="e">
        <f t="shared" si="0"/>
        <v>#REF!</v>
      </c>
      <c r="O32" s="361"/>
      <c r="P32" s="361"/>
      <c r="Q32" s="361"/>
      <c r="R32" s="361"/>
      <c r="S32" s="361"/>
      <c r="T32" s="362"/>
      <c r="U32" s="362"/>
      <c r="V32" s="362"/>
      <c r="W32" s="362"/>
      <c r="X32" s="362"/>
      <c r="Y32" s="362"/>
      <c r="Z32" s="362"/>
      <c r="AA32" s="260"/>
      <c r="AB32" s="260"/>
    </row>
    <row r="33" spans="1:28" x14ac:dyDescent="0.2">
      <c r="A33" s="231"/>
      <c r="B33" s="323" t="s">
        <v>1598</v>
      </c>
      <c r="C33" s="226" t="s">
        <v>553</v>
      </c>
      <c r="D33" s="227" t="s">
        <v>341</v>
      </c>
      <c r="E33" s="226" t="s">
        <v>1831</v>
      </c>
      <c r="F33" s="226" t="s">
        <v>583</v>
      </c>
      <c r="G33" s="226" t="s">
        <v>39</v>
      </c>
      <c r="H33" s="229">
        <v>1955.2329720000005</v>
      </c>
      <c r="I33" s="226" t="e">
        <f>#REF!</f>
        <v>#REF!</v>
      </c>
      <c r="J33" s="387" t="e">
        <f t="shared" si="0"/>
        <v>#REF!</v>
      </c>
      <c r="O33" s="361"/>
      <c r="P33" s="361"/>
      <c r="Q33" s="361"/>
      <c r="R33" s="361"/>
      <c r="S33" s="361"/>
      <c r="T33" s="362"/>
      <c r="U33" s="362"/>
      <c r="V33" s="362"/>
      <c r="W33" s="362"/>
      <c r="X33" s="362"/>
      <c r="Y33" s="362"/>
      <c r="Z33" s="362"/>
      <c r="AA33" s="260"/>
      <c r="AB33" s="260"/>
    </row>
    <row r="34" spans="1:28" x14ac:dyDescent="0.2">
      <c r="A34" s="231"/>
      <c r="B34" s="322" t="s">
        <v>1580</v>
      </c>
      <c r="C34" s="224" t="s">
        <v>553</v>
      </c>
      <c r="D34" s="228" t="s">
        <v>296</v>
      </c>
      <c r="E34" s="224" t="s">
        <v>1831</v>
      </c>
      <c r="F34" s="224" t="s">
        <v>583</v>
      </c>
      <c r="G34" s="224" t="s">
        <v>38</v>
      </c>
      <c r="H34" s="230">
        <v>1613.7697751999999</v>
      </c>
      <c r="I34" s="224" t="e">
        <f>#REF!</f>
        <v>#REF!</v>
      </c>
      <c r="J34" s="385" t="e">
        <f t="shared" si="0"/>
        <v>#REF!</v>
      </c>
      <c r="O34" s="361"/>
      <c r="P34" s="361"/>
      <c r="Q34" s="361"/>
      <c r="R34" s="361"/>
      <c r="S34" s="361"/>
      <c r="T34" s="362"/>
      <c r="U34" s="362"/>
      <c r="V34" s="362"/>
      <c r="W34" s="362"/>
      <c r="X34" s="362"/>
      <c r="Y34" s="362"/>
      <c r="Z34" s="362"/>
      <c r="AA34" s="260"/>
      <c r="AB34" s="260"/>
    </row>
    <row r="35" spans="1:28" x14ac:dyDescent="0.2">
      <c r="A35" s="231"/>
      <c r="B35" s="323" t="s">
        <v>1545</v>
      </c>
      <c r="C35" s="226" t="s">
        <v>553</v>
      </c>
      <c r="D35" s="227" t="s">
        <v>626</v>
      </c>
      <c r="E35" s="226" t="s">
        <v>1831</v>
      </c>
      <c r="F35" s="226" t="s">
        <v>583</v>
      </c>
      <c r="G35" s="226" t="s">
        <v>39</v>
      </c>
      <c r="H35" s="229">
        <v>962.7664860000001</v>
      </c>
      <c r="I35" s="226" t="e">
        <f>#REF!</f>
        <v>#REF!</v>
      </c>
      <c r="J35" s="387" t="e">
        <f t="shared" si="0"/>
        <v>#REF!</v>
      </c>
      <c r="O35" s="361"/>
      <c r="P35" s="361"/>
      <c r="Q35" s="361"/>
      <c r="R35" s="361"/>
      <c r="S35" s="361"/>
      <c r="T35" s="362"/>
      <c r="U35" s="362"/>
      <c r="V35" s="362"/>
      <c r="W35" s="362"/>
      <c r="X35" s="362"/>
      <c r="Y35" s="362"/>
      <c r="Z35" s="362"/>
      <c r="AA35" s="260"/>
      <c r="AB35" s="260"/>
    </row>
    <row r="36" spans="1:28" x14ac:dyDescent="0.2">
      <c r="A36" s="231"/>
      <c r="B36" s="322" t="s">
        <v>1533</v>
      </c>
      <c r="C36" s="224" t="s">
        <v>553</v>
      </c>
      <c r="D36" s="228" t="s">
        <v>610</v>
      </c>
      <c r="E36" s="224" t="s">
        <v>1831</v>
      </c>
      <c r="F36" s="224" t="s">
        <v>583</v>
      </c>
      <c r="G36" s="224" t="s">
        <v>611</v>
      </c>
      <c r="H36" s="230">
        <v>862.02959040000007</v>
      </c>
      <c r="I36" s="224" t="e">
        <f>#REF!</f>
        <v>#REF!</v>
      </c>
      <c r="J36" s="385" t="e">
        <f t="shared" si="0"/>
        <v>#REF!</v>
      </c>
      <c r="O36" s="361"/>
      <c r="P36" s="361"/>
      <c r="Q36" s="361"/>
      <c r="R36" s="361"/>
      <c r="S36" s="361"/>
      <c r="T36" s="362"/>
      <c r="U36" s="362"/>
      <c r="V36" s="362"/>
      <c r="W36" s="362"/>
      <c r="X36" s="362"/>
      <c r="Y36" s="362"/>
      <c r="Z36" s="362"/>
      <c r="AA36" s="260"/>
      <c r="AB36" s="260"/>
    </row>
    <row r="37" spans="1:28" x14ac:dyDescent="0.2">
      <c r="A37" s="231"/>
      <c r="B37" s="323" t="s">
        <v>1537</v>
      </c>
      <c r="C37" s="226" t="s">
        <v>553</v>
      </c>
      <c r="D37" s="227" t="s">
        <v>612</v>
      </c>
      <c r="E37" s="226" t="s">
        <v>1831</v>
      </c>
      <c r="F37" s="226" t="s">
        <v>583</v>
      </c>
      <c r="G37" s="226" t="s">
        <v>611</v>
      </c>
      <c r="H37" s="229">
        <v>879.84959040000001</v>
      </c>
      <c r="I37" s="226" t="e">
        <f>#REF!</f>
        <v>#REF!</v>
      </c>
      <c r="J37" s="387" t="e">
        <f t="shared" si="0"/>
        <v>#REF!</v>
      </c>
      <c r="O37" s="361"/>
      <c r="P37" s="361"/>
      <c r="Q37" s="361"/>
      <c r="R37" s="361"/>
      <c r="S37" s="361"/>
      <c r="T37" s="362"/>
      <c r="U37" s="362"/>
      <c r="V37" s="362"/>
      <c r="W37" s="362"/>
      <c r="X37" s="362"/>
      <c r="Y37" s="362"/>
      <c r="Z37" s="362"/>
      <c r="AA37" s="260"/>
      <c r="AB37" s="260"/>
    </row>
    <row r="38" spans="1:28" x14ac:dyDescent="0.2">
      <c r="A38" s="231"/>
      <c r="B38" s="322" t="s">
        <v>1823</v>
      </c>
      <c r="C38" s="224" t="s">
        <v>553</v>
      </c>
      <c r="D38" s="228" t="s">
        <v>607</v>
      </c>
      <c r="E38" s="224" t="s">
        <v>1831</v>
      </c>
      <c r="F38" s="224" t="s">
        <v>583</v>
      </c>
      <c r="G38" s="224" t="s">
        <v>35</v>
      </c>
      <c r="H38" s="230">
        <v>734.54538960000002</v>
      </c>
      <c r="I38" s="224" t="e">
        <f>#REF!</f>
        <v>#REF!</v>
      </c>
      <c r="J38" s="385" t="e">
        <f t="shared" si="0"/>
        <v>#REF!</v>
      </c>
      <c r="O38" s="361"/>
      <c r="P38" s="361"/>
      <c r="Q38" s="361"/>
      <c r="R38" s="361"/>
      <c r="S38" s="361"/>
      <c r="T38" s="362"/>
      <c r="U38" s="362"/>
      <c r="V38" s="362"/>
      <c r="W38" s="362"/>
      <c r="X38" s="362"/>
      <c r="Y38" s="362"/>
      <c r="Z38" s="362"/>
      <c r="AA38" s="260"/>
      <c r="AB38" s="260"/>
    </row>
    <row r="39" spans="1:28" x14ac:dyDescent="0.2">
      <c r="A39" s="231"/>
      <c r="B39" s="323" t="s">
        <v>1516</v>
      </c>
      <c r="C39" s="226" t="s">
        <v>553</v>
      </c>
      <c r="D39" s="227" t="s">
        <v>606</v>
      </c>
      <c r="E39" s="226" t="s">
        <v>1831</v>
      </c>
      <c r="F39" s="226" t="s">
        <v>583</v>
      </c>
      <c r="G39" s="226" t="s">
        <v>35</v>
      </c>
      <c r="H39" s="229">
        <v>710.78538960000003</v>
      </c>
      <c r="I39" s="226" t="e">
        <f>#REF!</f>
        <v>#REF!</v>
      </c>
      <c r="J39" s="387" t="e">
        <f t="shared" si="0"/>
        <v>#REF!</v>
      </c>
      <c r="O39" s="361"/>
      <c r="P39" s="361"/>
      <c r="Q39" s="361"/>
      <c r="R39" s="361"/>
      <c r="S39" s="361"/>
      <c r="T39" s="362"/>
      <c r="U39" s="362"/>
      <c r="V39" s="362"/>
      <c r="W39" s="362"/>
      <c r="X39" s="362"/>
      <c r="Y39" s="362"/>
      <c r="Z39" s="362"/>
      <c r="AA39" s="260"/>
      <c r="AB39" s="260"/>
    </row>
    <row r="40" spans="1:28" x14ac:dyDescent="0.2">
      <c r="A40" s="231"/>
      <c r="B40" s="322" t="s">
        <v>1497</v>
      </c>
      <c r="C40" s="224" t="s">
        <v>553</v>
      </c>
      <c r="D40" s="228" t="s">
        <v>609</v>
      </c>
      <c r="E40" s="224" t="s">
        <v>1831</v>
      </c>
      <c r="F40" s="224" t="s">
        <v>583</v>
      </c>
      <c r="G40" s="224" t="s">
        <v>35</v>
      </c>
      <c r="H40" s="230">
        <v>578.43799200000001</v>
      </c>
      <c r="I40" s="224" t="e">
        <f>#REF!</f>
        <v>#REF!</v>
      </c>
      <c r="J40" s="385" t="e">
        <f t="shared" si="0"/>
        <v>#REF!</v>
      </c>
      <c r="O40" s="361"/>
      <c r="P40" s="361"/>
      <c r="Q40" s="361"/>
      <c r="R40" s="361"/>
      <c r="S40" s="361"/>
      <c r="T40" s="362"/>
      <c r="U40" s="362"/>
      <c r="V40" s="362"/>
      <c r="W40" s="362"/>
      <c r="X40" s="362"/>
      <c r="Y40" s="362"/>
      <c r="Z40" s="362"/>
      <c r="AA40" s="260"/>
      <c r="AB40" s="260"/>
    </row>
    <row r="41" spans="1:28" x14ac:dyDescent="0.2">
      <c r="A41" s="231"/>
      <c r="B41" s="323" t="s">
        <v>1490</v>
      </c>
      <c r="C41" s="226" t="s">
        <v>553</v>
      </c>
      <c r="D41" s="227" t="s">
        <v>608</v>
      </c>
      <c r="E41" s="226" t="s">
        <v>1831</v>
      </c>
      <c r="F41" s="226" t="s">
        <v>583</v>
      </c>
      <c r="G41" s="226" t="s">
        <v>35</v>
      </c>
      <c r="H41" s="229">
        <v>552.697992</v>
      </c>
      <c r="I41" s="226" t="e">
        <f>#REF!</f>
        <v>#REF!</v>
      </c>
      <c r="J41" s="387" t="e">
        <f t="shared" si="0"/>
        <v>#REF!</v>
      </c>
      <c r="O41" s="361"/>
      <c r="P41" s="361"/>
      <c r="Q41" s="361"/>
      <c r="R41" s="361"/>
      <c r="S41" s="361"/>
      <c r="T41" s="362"/>
      <c r="U41" s="362"/>
      <c r="V41" s="362"/>
      <c r="W41" s="362"/>
      <c r="X41" s="362"/>
      <c r="Y41" s="362"/>
      <c r="Z41" s="362"/>
      <c r="AA41" s="260"/>
      <c r="AB41" s="260"/>
    </row>
    <row r="42" spans="1:28" x14ac:dyDescent="0.2">
      <c r="A42" s="231"/>
      <c r="B42" s="322" t="s">
        <v>981</v>
      </c>
      <c r="C42" s="224" t="s">
        <v>553</v>
      </c>
      <c r="D42" s="228" t="s">
        <v>621</v>
      </c>
      <c r="E42" s="224" t="s">
        <v>1831</v>
      </c>
      <c r="F42" s="224" t="s">
        <v>583</v>
      </c>
      <c r="G42" s="224" t="s">
        <v>38</v>
      </c>
      <c r="H42" s="230">
        <v>5371.8795504000009</v>
      </c>
      <c r="I42" s="224" t="e">
        <f>#REF!</f>
        <v>#REF!</v>
      </c>
      <c r="J42" s="385" t="e">
        <f t="shared" si="0"/>
        <v>#REF!</v>
      </c>
      <c r="O42" s="361"/>
      <c r="P42" s="361"/>
      <c r="Q42" s="361"/>
      <c r="R42" s="361"/>
      <c r="S42" s="361"/>
      <c r="T42" s="362"/>
      <c r="U42" s="362"/>
      <c r="V42" s="362"/>
      <c r="W42" s="362"/>
      <c r="X42" s="362"/>
      <c r="Y42" s="362"/>
      <c r="Z42" s="362"/>
      <c r="AA42" s="260"/>
      <c r="AB42" s="260"/>
    </row>
    <row r="43" spans="1:28" x14ac:dyDescent="0.2">
      <c r="A43" s="231"/>
      <c r="B43" s="323" t="s">
        <v>1531</v>
      </c>
      <c r="C43" s="226" t="s">
        <v>553</v>
      </c>
      <c r="D43" s="227" t="s">
        <v>619</v>
      </c>
      <c r="E43" s="226" t="s">
        <v>1831</v>
      </c>
      <c r="F43" s="226" t="s">
        <v>583</v>
      </c>
      <c r="G43" s="226" t="s">
        <v>38</v>
      </c>
      <c r="H43" s="229">
        <v>788.07488760000001</v>
      </c>
      <c r="I43" s="226" t="e">
        <f>#REF!</f>
        <v>#REF!</v>
      </c>
      <c r="J43" s="387" t="e">
        <f t="shared" si="0"/>
        <v>#REF!</v>
      </c>
      <c r="O43" s="361"/>
      <c r="P43" s="361"/>
      <c r="Q43" s="361"/>
      <c r="R43" s="361"/>
      <c r="S43" s="361"/>
      <c r="T43" s="362"/>
      <c r="U43" s="362"/>
      <c r="V43" s="362"/>
      <c r="W43" s="362"/>
      <c r="X43" s="362"/>
      <c r="Y43" s="362"/>
      <c r="Z43" s="362"/>
      <c r="AA43" s="260"/>
      <c r="AB43" s="260"/>
    </row>
    <row r="44" spans="1:28" x14ac:dyDescent="0.2">
      <c r="A44" s="231"/>
      <c r="B44" s="322" t="s">
        <v>1581</v>
      </c>
      <c r="C44" s="224" t="s">
        <v>553</v>
      </c>
      <c r="D44" s="228" t="s">
        <v>296</v>
      </c>
      <c r="E44" s="224" t="s">
        <v>1831</v>
      </c>
      <c r="F44" s="224" t="s">
        <v>583</v>
      </c>
      <c r="G44" s="224" t="s">
        <v>38</v>
      </c>
      <c r="H44" s="230">
        <v>1613.7697751999999</v>
      </c>
      <c r="I44" s="224" t="e">
        <f>#REF!</f>
        <v>#REF!</v>
      </c>
      <c r="J44" s="385" t="e">
        <f t="shared" si="0"/>
        <v>#REF!</v>
      </c>
      <c r="O44" s="361"/>
      <c r="P44" s="361"/>
      <c r="Q44" s="361"/>
      <c r="R44" s="361"/>
      <c r="S44" s="361"/>
      <c r="T44" s="362"/>
      <c r="U44" s="362"/>
      <c r="V44" s="362"/>
      <c r="W44" s="362"/>
      <c r="X44" s="362"/>
      <c r="Y44" s="362"/>
      <c r="Z44" s="362"/>
      <c r="AA44" s="260"/>
      <c r="AB44" s="260"/>
    </row>
    <row r="45" spans="1:28" x14ac:dyDescent="0.2">
      <c r="A45" s="231" t="s">
        <v>2118</v>
      </c>
      <c r="B45" s="323" t="s">
        <v>1529</v>
      </c>
      <c r="C45" s="226" t="s">
        <v>553</v>
      </c>
      <c r="D45" s="227" t="s">
        <v>616</v>
      </c>
      <c r="E45" s="226" t="s">
        <v>1831</v>
      </c>
      <c r="F45" s="226" t="s">
        <v>583</v>
      </c>
      <c r="G45" s="226" t="s">
        <v>37</v>
      </c>
      <c r="H45" s="229">
        <v>787.62328919999993</v>
      </c>
      <c r="I45" s="226" t="e">
        <f>#REF!</f>
        <v>#REF!</v>
      </c>
      <c r="J45" s="387" t="e">
        <f t="shared" si="0"/>
        <v>#REF!</v>
      </c>
      <c r="O45" s="361"/>
      <c r="P45" s="361"/>
      <c r="Q45" s="361"/>
      <c r="R45" s="361"/>
      <c r="S45" s="361"/>
      <c r="T45" s="362"/>
      <c r="U45" s="362"/>
      <c r="V45" s="362"/>
      <c r="W45" s="362"/>
      <c r="X45" s="362"/>
      <c r="Y45" s="362"/>
      <c r="Z45" s="362"/>
      <c r="AA45" s="260"/>
      <c r="AB45" s="260"/>
    </row>
    <row r="46" spans="1:28" x14ac:dyDescent="0.2">
      <c r="A46" s="231"/>
      <c r="B46" s="322" t="s">
        <v>1547</v>
      </c>
      <c r="C46" s="224" t="s">
        <v>553</v>
      </c>
      <c r="D46" s="228" t="s">
        <v>625</v>
      </c>
      <c r="E46" s="224" t="s">
        <v>1831</v>
      </c>
      <c r="F46" s="224" t="s">
        <v>583</v>
      </c>
      <c r="G46" s="224" t="s">
        <v>39</v>
      </c>
      <c r="H46" s="230">
        <v>1014.3159840000001</v>
      </c>
      <c r="I46" s="224" t="e">
        <f>#REF!</f>
        <v>#REF!</v>
      </c>
      <c r="J46" s="385" t="e">
        <f t="shared" si="0"/>
        <v>#REF!</v>
      </c>
      <c r="O46" s="361"/>
      <c r="P46" s="361"/>
      <c r="Q46" s="361"/>
      <c r="R46" s="361"/>
      <c r="S46" s="361"/>
      <c r="T46" s="362"/>
      <c r="U46" s="362"/>
      <c r="V46" s="362"/>
      <c r="W46" s="362"/>
      <c r="X46" s="362"/>
      <c r="Y46" s="362"/>
      <c r="Z46" s="362"/>
      <c r="AA46" s="260"/>
      <c r="AB46" s="260"/>
    </row>
    <row r="47" spans="1:28" x14ac:dyDescent="0.2">
      <c r="A47" s="231"/>
      <c r="B47" s="323" t="s">
        <v>1819</v>
      </c>
      <c r="C47" s="226" t="s">
        <v>553</v>
      </c>
      <c r="D47" s="227" t="s">
        <v>1820</v>
      </c>
      <c r="E47" s="226" t="s">
        <v>1831</v>
      </c>
      <c r="F47" s="226" t="s">
        <v>583</v>
      </c>
      <c r="G47" s="226" t="s">
        <v>39</v>
      </c>
      <c r="H47" s="229">
        <v>2163.333333333333</v>
      </c>
      <c r="I47" s="226" t="e">
        <f>#REF!</f>
        <v>#REF!</v>
      </c>
      <c r="J47" s="387" t="e">
        <f t="shared" si="0"/>
        <v>#REF!</v>
      </c>
      <c r="O47" s="361"/>
      <c r="P47" s="361"/>
      <c r="Q47" s="361"/>
      <c r="R47" s="361"/>
      <c r="S47" s="361"/>
      <c r="T47" s="362"/>
      <c r="U47" s="362"/>
      <c r="V47" s="362"/>
      <c r="W47" s="362"/>
      <c r="X47" s="362"/>
      <c r="Y47" s="362"/>
      <c r="Z47" s="362"/>
      <c r="AA47" s="260"/>
      <c r="AB47" s="260"/>
    </row>
    <row r="48" spans="1:28" x14ac:dyDescent="0.2">
      <c r="A48" s="231"/>
      <c r="B48" s="316" t="s">
        <v>1501</v>
      </c>
      <c r="C48" s="224" t="s">
        <v>553</v>
      </c>
      <c r="D48" s="228" t="s">
        <v>615</v>
      </c>
      <c r="E48" s="224" t="s">
        <v>1831</v>
      </c>
      <c r="F48" s="224" t="s">
        <v>583</v>
      </c>
      <c r="G48" s="224" t="s">
        <v>36</v>
      </c>
      <c r="H48" s="230">
        <v>590.317992</v>
      </c>
      <c r="I48" s="224" t="e">
        <f>#REF!</f>
        <v>#REF!</v>
      </c>
      <c r="J48" s="385" t="e">
        <f t="shared" si="0"/>
        <v>#REF!</v>
      </c>
      <c r="O48" s="361"/>
      <c r="P48" s="361"/>
      <c r="Q48" s="361"/>
      <c r="R48" s="361"/>
      <c r="S48" s="361"/>
      <c r="T48" s="362"/>
      <c r="U48" s="362"/>
      <c r="V48" s="362"/>
      <c r="W48" s="362"/>
      <c r="X48" s="362"/>
      <c r="Y48" s="362"/>
      <c r="Z48" s="362"/>
      <c r="AA48" s="260"/>
      <c r="AB48" s="260"/>
    </row>
    <row r="49" spans="1:28" x14ac:dyDescent="0.2">
      <c r="A49" s="231"/>
      <c r="B49" s="315" t="s">
        <v>1549</v>
      </c>
      <c r="C49" s="226" t="s">
        <v>553</v>
      </c>
      <c r="D49" s="227" t="s">
        <v>614</v>
      </c>
      <c r="E49" s="226" t="s">
        <v>1831</v>
      </c>
      <c r="F49" s="226" t="s">
        <v>583</v>
      </c>
      <c r="G49" s="226" t="s">
        <v>36</v>
      </c>
      <c r="H49" s="229">
        <v>1042.6611887999998</v>
      </c>
      <c r="I49" s="226" t="e">
        <f>#REF!</f>
        <v>#REF!</v>
      </c>
      <c r="J49" s="387" t="e">
        <f t="shared" si="0"/>
        <v>#REF!</v>
      </c>
      <c r="O49" s="361"/>
      <c r="P49" s="361"/>
      <c r="Q49" s="361"/>
      <c r="R49" s="361"/>
      <c r="S49" s="361"/>
      <c r="T49" s="362"/>
      <c r="U49" s="362"/>
      <c r="V49" s="362"/>
      <c r="W49" s="362"/>
      <c r="X49" s="362"/>
      <c r="Y49" s="362"/>
      <c r="Z49" s="362"/>
      <c r="AA49" s="260"/>
      <c r="AB49" s="260"/>
    </row>
    <row r="50" spans="1:28" x14ac:dyDescent="0.2">
      <c r="A50" s="231"/>
      <c r="B50" s="322" t="s">
        <v>1694</v>
      </c>
      <c r="C50" s="224" t="s">
        <v>553</v>
      </c>
      <c r="D50" s="228" t="s">
        <v>620</v>
      </c>
      <c r="E50" s="224" t="s">
        <v>1831</v>
      </c>
      <c r="F50" s="224" t="s">
        <v>583</v>
      </c>
      <c r="G50" s="224" t="s">
        <v>38</v>
      </c>
      <c r="H50" s="230">
        <v>4490.7446628000007</v>
      </c>
      <c r="I50" s="224" t="e">
        <f>#REF!</f>
        <v>#REF!</v>
      </c>
      <c r="J50" s="385" t="e">
        <f t="shared" si="0"/>
        <v>#REF!</v>
      </c>
      <c r="O50" s="361"/>
      <c r="P50" s="361"/>
      <c r="Q50" s="361"/>
      <c r="R50" s="361"/>
      <c r="S50" s="361"/>
      <c r="T50" s="362"/>
      <c r="U50" s="362"/>
      <c r="V50" s="362"/>
      <c r="W50" s="362"/>
      <c r="X50" s="362"/>
      <c r="Y50" s="362"/>
      <c r="Z50" s="362"/>
      <c r="AA50" s="260"/>
      <c r="AB50" s="260"/>
    </row>
    <row r="51" spans="1:28" x14ac:dyDescent="0.2">
      <c r="A51" s="231"/>
      <c r="B51" s="315" t="s">
        <v>1009</v>
      </c>
      <c r="C51" s="226" t="s">
        <v>0</v>
      </c>
      <c r="D51" s="227" t="s">
        <v>139</v>
      </c>
      <c r="E51" s="226" t="s">
        <v>1831</v>
      </c>
      <c r="F51" s="226" t="s">
        <v>955</v>
      </c>
      <c r="G51" s="226" t="s">
        <v>36</v>
      </c>
      <c r="H51" s="229">
        <v>51.49444444444444</v>
      </c>
      <c r="I51" s="226" t="e">
        <f>#REF!</f>
        <v>#REF!</v>
      </c>
      <c r="J51" s="387" t="e">
        <f t="shared" si="0"/>
        <v>#REF!</v>
      </c>
      <c r="O51" s="361"/>
      <c r="P51" s="361"/>
      <c r="Q51" s="361"/>
      <c r="R51" s="361"/>
      <c r="S51" s="361"/>
      <c r="T51" s="362"/>
      <c r="U51" s="362"/>
      <c r="V51" s="362"/>
      <c r="W51" s="362"/>
      <c r="X51" s="362"/>
      <c r="Y51" s="362"/>
      <c r="Z51" s="362"/>
      <c r="AA51" s="260"/>
      <c r="AB51" s="260"/>
    </row>
    <row r="52" spans="1:28" x14ac:dyDescent="0.2">
      <c r="A52" s="231"/>
      <c r="B52" s="316" t="s">
        <v>1351</v>
      </c>
      <c r="C52" s="224" t="s">
        <v>0</v>
      </c>
      <c r="D52" s="228" t="s">
        <v>104</v>
      </c>
      <c r="E52" s="224" t="s">
        <v>1831</v>
      </c>
      <c r="F52" s="224" t="s">
        <v>948</v>
      </c>
      <c r="G52" s="224" t="s">
        <v>33</v>
      </c>
      <c r="H52" s="230">
        <v>41.136000000000003</v>
      </c>
      <c r="I52" s="224" t="e">
        <f>#REF!</f>
        <v>#REF!</v>
      </c>
      <c r="J52" s="385" t="e">
        <f t="shared" si="0"/>
        <v>#REF!</v>
      </c>
      <c r="O52" s="361"/>
      <c r="P52" s="361"/>
      <c r="Q52" s="361"/>
      <c r="R52" s="361"/>
      <c r="S52" s="361"/>
      <c r="T52" s="362"/>
      <c r="U52" s="362"/>
      <c r="V52" s="362"/>
      <c r="W52" s="362"/>
      <c r="X52" s="362"/>
      <c r="Y52" s="362"/>
      <c r="Z52" s="362"/>
      <c r="AA52" s="260"/>
      <c r="AB52" s="260"/>
    </row>
    <row r="53" spans="1:28" x14ac:dyDescent="0.2">
      <c r="A53" s="231"/>
      <c r="B53" s="315" t="s">
        <v>1306</v>
      </c>
      <c r="C53" s="226" t="s">
        <v>0</v>
      </c>
      <c r="D53" s="227" t="s">
        <v>110</v>
      </c>
      <c r="E53" s="226" t="s">
        <v>1831</v>
      </c>
      <c r="F53" s="226" t="s">
        <v>948</v>
      </c>
      <c r="G53" s="226" t="s">
        <v>33</v>
      </c>
      <c r="H53" s="229">
        <v>27.84</v>
      </c>
      <c r="I53" s="226" t="e">
        <f>#REF!</f>
        <v>#REF!</v>
      </c>
      <c r="J53" s="387" t="e">
        <f t="shared" si="0"/>
        <v>#REF!</v>
      </c>
      <c r="O53" s="361"/>
      <c r="P53" s="361"/>
      <c r="Q53" s="361"/>
      <c r="R53" s="361"/>
      <c r="S53" s="361"/>
      <c r="T53" s="362"/>
      <c r="U53" s="362"/>
      <c r="V53" s="362"/>
      <c r="W53" s="362"/>
      <c r="X53" s="362"/>
      <c r="Y53" s="362"/>
      <c r="Z53" s="362"/>
      <c r="AA53" s="260"/>
      <c r="AB53" s="260"/>
    </row>
    <row r="54" spans="1:28" x14ac:dyDescent="0.2">
      <c r="A54" s="231"/>
      <c r="B54" s="316" t="s">
        <v>1373</v>
      </c>
      <c r="C54" s="224" t="s">
        <v>0</v>
      </c>
      <c r="D54" s="228" t="s">
        <v>107</v>
      </c>
      <c r="E54" s="224" t="s">
        <v>1831</v>
      </c>
      <c r="F54" s="224" t="s">
        <v>948</v>
      </c>
      <c r="G54" s="224" t="s">
        <v>33</v>
      </c>
      <c r="H54" s="230">
        <v>66.335999999999999</v>
      </c>
      <c r="I54" s="224" t="e">
        <f>#REF!</f>
        <v>#REF!</v>
      </c>
      <c r="J54" s="385" t="e">
        <f t="shared" si="0"/>
        <v>#REF!</v>
      </c>
      <c r="O54" s="361"/>
      <c r="P54" s="361"/>
      <c r="Q54" s="361"/>
      <c r="R54" s="361"/>
      <c r="S54" s="361"/>
      <c r="T54" s="362"/>
      <c r="U54" s="362"/>
      <c r="V54" s="362"/>
      <c r="W54" s="362"/>
      <c r="X54" s="362"/>
      <c r="Y54" s="362"/>
      <c r="Z54" s="362"/>
      <c r="AA54" s="260"/>
      <c r="AB54" s="260"/>
    </row>
    <row r="55" spans="1:28" x14ac:dyDescent="0.2">
      <c r="A55" s="231"/>
      <c r="B55" s="315" t="s">
        <v>1362</v>
      </c>
      <c r="C55" s="226" t="s">
        <v>0</v>
      </c>
      <c r="D55" s="227" t="s">
        <v>95</v>
      </c>
      <c r="E55" s="226" t="s">
        <v>1831</v>
      </c>
      <c r="F55" s="226" t="s">
        <v>955</v>
      </c>
      <c r="G55" s="226" t="s">
        <v>33</v>
      </c>
      <c r="H55" s="229">
        <v>47.04</v>
      </c>
      <c r="I55" s="226" t="e">
        <f>#REF!</f>
        <v>#REF!</v>
      </c>
      <c r="J55" s="387" t="e">
        <f t="shared" si="0"/>
        <v>#REF!</v>
      </c>
      <c r="O55" s="361"/>
      <c r="P55" s="361"/>
      <c r="Q55" s="361"/>
      <c r="R55" s="361"/>
      <c r="S55" s="361"/>
      <c r="T55" s="362"/>
      <c r="U55" s="362"/>
      <c r="V55" s="362"/>
      <c r="W55" s="362"/>
      <c r="X55" s="362"/>
      <c r="Y55" s="362"/>
      <c r="Z55" s="362"/>
      <c r="AA55" s="260"/>
      <c r="AB55" s="260"/>
    </row>
    <row r="56" spans="1:28" x14ac:dyDescent="0.2">
      <c r="A56" s="231"/>
      <c r="B56" s="322" t="s">
        <v>1192</v>
      </c>
      <c r="C56" s="224" t="s">
        <v>0</v>
      </c>
      <c r="D56" s="228" t="s">
        <v>99</v>
      </c>
      <c r="E56" s="224" t="s">
        <v>1831</v>
      </c>
      <c r="F56" s="224" t="s">
        <v>585</v>
      </c>
      <c r="G56" s="224" t="s">
        <v>33</v>
      </c>
      <c r="H56" s="230">
        <v>96.178333333333313</v>
      </c>
      <c r="I56" s="224" t="e">
        <f>#REF!</f>
        <v>#REF!</v>
      </c>
      <c r="J56" s="385" t="e">
        <f t="shared" si="0"/>
        <v>#REF!</v>
      </c>
      <c r="O56" s="361"/>
      <c r="P56" s="361"/>
      <c r="Q56" s="361"/>
      <c r="R56" s="361"/>
      <c r="S56" s="361"/>
      <c r="T56" s="362"/>
      <c r="U56" s="362"/>
      <c r="V56" s="362"/>
      <c r="W56" s="362"/>
      <c r="X56" s="362"/>
      <c r="Y56" s="362"/>
      <c r="Z56" s="362"/>
      <c r="AA56" s="260"/>
      <c r="AB56" s="260"/>
    </row>
    <row r="57" spans="1:28" x14ac:dyDescent="0.2">
      <c r="A57" s="231"/>
      <c r="B57" s="315" t="s">
        <v>1013</v>
      </c>
      <c r="C57" s="226" t="s">
        <v>0</v>
      </c>
      <c r="D57" s="227" t="s">
        <v>102</v>
      </c>
      <c r="E57" s="226" t="s">
        <v>1831</v>
      </c>
      <c r="F57" s="226" t="s">
        <v>955</v>
      </c>
      <c r="G57" s="226" t="s">
        <v>33</v>
      </c>
      <c r="H57" s="229">
        <v>1.8239999999999998</v>
      </c>
      <c r="I57" s="226" t="e">
        <f>#REF!</f>
        <v>#REF!</v>
      </c>
      <c r="J57" s="387" t="e">
        <f t="shared" si="0"/>
        <v>#REF!</v>
      </c>
      <c r="O57" s="361"/>
      <c r="P57" s="361"/>
      <c r="Q57" s="361"/>
      <c r="R57" s="361"/>
      <c r="S57" s="361"/>
      <c r="T57" s="362"/>
      <c r="U57" s="362"/>
      <c r="V57" s="362"/>
      <c r="W57" s="362"/>
      <c r="X57" s="362"/>
      <c r="Y57" s="362"/>
      <c r="Z57" s="362"/>
      <c r="AA57" s="260"/>
      <c r="AB57" s="260"/>
    </row>
    <row r="58" spans="1:28" x14ac:dyDescent="0.2">
      <c r="A58" s="231"/>
      <c r="B58" s="316" t="s">
        <v>1054</v>
      </c>
      <c r="C58" s="224" t="s">
        <v>0</v>
      </c>
      <c r="D58" s="228" t="s">
        <v>101</v>
      </c>
      <c r="E58" s="224" t="s">
        <v>1831</v>
      </c>
      <c r="F58" s="224" t="s">
        <v>955</v>
      </c>
      <c r="G58" s="224" t="s">
        <v>33</v>
      </c>
      <c r="H58" s="230">
        <v>2.2559999999999998</v>
      </c>
      <c r="I58" s="224" t="e">
        <f>#REF!</f>
        <v>#REF!</v>
      </c>
      <c r="J58" s="385" t="e">
        <f t="shared" si="0"/>
        <v>#REF!</v>
      </c>
      <c r="O58" s="361"/>
      <c r="P58" s="361"/>
      <c r="Q58" s="361"/>
      <c r="R58" s="361"/>
      <c r="S58" s="361"/>
      <c r="T58" s="362"/>
      <c r="U58" s="362"/>
      <c r="V58" s="362"/>
      <c r="W58" s="362"/>
      <c r="X58" s="362"/>
      <c r="Y58" s="362"/>
      <c r="Z58" s="362"/>
      <c r="AA58" s="260"/>
      <c r="AB58" s="260"/>
    </row>
    <row r="59" spans="1:28" x14ac:dyDescent="0.2">
      <c r="A59" s="231"/>
      <c r="B59" s="315" t="s">
        <v>1058</v>
      </c>
      <c r="C59" s="226" t="s">
        <v>0</v>
      </c>
      <c r="D59" s="227" t="s">
        <v>97</v>
      </c>
      <c r="E59" s="226" t="s">
        <v>1831</v>
      </c>
      <c r="F59" s="226" t="s">
        <v>955</v>
      </c>
      <c r="G59" s="226" t="s">
        <v>33</v>
      </c>
      <c r="H59" s="229">
        <v>2.9279999999999999</v>
      </c>
      <c r="I59" s="226" t="e">
        <f>#REF!</f>
        <v>#REF!</v>
      </c>
      <c r="J59" s="387" t="e">
        <f t="shared" si="0"/>
        <v>#REF!</v>
      </c>
      <c r="O59" s="361"/>
      <c r="P59" s="361"/>
      <c r="Q59" s="361"/>
      <c r="R59" s="361"/>
      <c r="S59" s="361"/>
      <c r="T59" s="362"/>
      <c r="U59" s="362"/>
      <c r="V59" s="362"/>
      <c r="W59" s="362"/>
      <c r="X59" s="362"/>
      <c r="Y59" s="362"/>
      <c r="Z59" s="362"/>
      <c r="AA59" s="260"/>
      <c r="AB59" s="260"/>
    </row>
    <row r="60" spans="1:28" x14ac:dyDescent="0.2">
      <c r="A60" s="231"/>
      <c r="B60" s="316" t="s">
        <v>1062</v>
      </c>
      <c r="C60" s="224" t="s">
        <v>0</v>
      </c>
      <c r="D60" s="228" t="s">
        <v>94</v>
      </c>
      <c r="E60" s="224" t="s">
        <v>1831</v>
      </c>
      <c r="F60" s="224" t="s">
        <v>955</v>
      </c>
      <c r="G60" s="224" t="s">
        <v>33</v>
      </c>
      <c r="H60" s="230">
        <v>3.3119999999999998</v>
      </c>
      <c r="I60" s="224" t="e">
        <f>#REF!</f>
        <v>#REF!</v>
      </c>
      <c r="J60" s="385" t="e">
        <f t="shared" si="0"/>
        <v>#REF!</v>
      </c>
      <c r="O60" s="361"/>
      <c r="P60" s="361"/>
      <c r="Q60" s="361"/>
      <c r="R60" s="361"/>
      <c r="S60" s="361"/>
      <c r="T60" s="362"/>
      <c r="U60" s="362"/>
      <c r="V60" s="362"/>
      <c r="W60" s="362"/>
      <c r="X60" s="362"/>
      <c r="Y60" s="362"/>
      <c r="Z60" s="362"/>
      <c r="AA60" s="260"/>
      <c r="AB60" s="260"/>
    </row>
    <row r="61" spans="1:28" x14ac:dyDescent="0.2">
      <c r="A61" s="231"/>
      <c r="B61" s="315" t="s">
        <v>1068</v>
      </c>
      <c r="C61" s="226" t="s">
        <v>0</v>
      </c>
      <c r="D61" s="227" t="s">
        <v>111</v>
      </c>
      <c r="E61" s="226" t="s">
        <v>1831</v>
      </c>
      <c r="F61" s="226" t="s">
        <v>955</v>
      </c>
      <c r="G61" s="226" t="s">
        <v>33</v>
      </c>
      <c r="H61" s="229">
        <v>3.6479999999999997</v>
      </c>
      <c r="I61" s="226" t="e">
        <f>#REF!</f>
        <v>#REF!</v>
      </c>
      <c r="J61" s="387" t="e">
        <f t="shared" si="0"/>
        <v>#REF!</v>
      </c>
      <c r="O61" s="361"/>
      <c r="P61" s="361"/>
      <c r="Q61" s="361"/>
      <c r="R61" s="361"/>
      <c r="S61" s="361"/>
      <c r="T61" s="362"/>
      <c r="U61" s="362"/>
      <c r="V61" s="362"/>
      <c r="W61" s="362"/>
      <c r="X61" s="362"/>
      <c r="Y61" s="362"/>
      <c r="Z61" s="362"/>
      <c r="AA61" s="260"/>
      <c r="AB61" s="260"/>
    </row>
    <row r="62" spans="1:28" x14ac:dyDescent="0.2">
      <c r="A62" s="231"/>
      <c r="B62" s="322" t="s">
        <v>1821</v>
      </c>
      <c r="C62" s="224" t="s">
        <v>553</v>
      </c>
      <c r="D62" s="228" t="s">
        <v>1822</v>
      </c>
      <c r="E62" s="224" t="s">
        <v>1831</v>
      </c>
      <c r="F62" s="224" t="s">
        <v>583</v>
      </c>
      <c r="G62" s="224" t="s">
        <v>36</v>
      </c>
      <c r="H62" s="230">
        <v>916.66666666666652</v>
      </c>
      <c r="I62" s="224" t="e">
        <f>#REF!</f>
        <v>#REF!</v>
      </c>
      <c r="J62" s="385" t="e">
        <f t="shared" si="0"/>
        <v>#REF!</v>
      </c>
      <c r="O62" s="361"/>
      <c r="P62" s="361"/>
      <c r="Q62" s="361"/>
      <c r="R62" s="361"/>
      <c r="S62" s="361"/>
      <c r="T62" s="362"/>
      <c r="U62" s="362"/>
      <c r="V62" s="362"/>
      <c r="W62" s="362"/>
      <c r="X62" s="362"/>
      <c r="Y62" s="362"/>
      <c r="Z62" s="362"/>
      <c r="AA62" s="260"/>
      <c r="AB62" s="260"/>
    </row>
    <row r="63" spans="1:28" x14ac:dyDescent="0.2">
      <c r="A63" s="231"/>
      <c r="B63" s="323" t="s">
        <v>980</v>
      </c>
      <c r="C63" s="226" t="s">
        <v>553</v>
      </c>
      <c r="D63" s="227" t="s">
        <v>623</v>
      </c>
      <c r="E63" s="226" t="s">
        <v>1831</v>
      </c>
      <c r="F63" s="226" t="s">
        <v>583</v>
      </c>
      <c r="G63" s="226" t="s">
        <v>38</v>
      </c>
      <c r="H63" s="229">
        <v>1330.5948876000002</v>
      </c>
      <c r="I63" s="226" t="e">
        <f>#REF!</f>
        <v>#REF!</v>
      </c>
      <c r="J63" s="387" t="e">
        <f t="shared" si="0"/>
        <v>#REF!</v>
      </c>
      <c r="O63" s="361"/>
      <c r="P63" s="361"/>
      <c r="Q63" s="361"/>
      <c r="R63" s="361"/>
      <c r="S63" s="361"/>
      <c r="T63" s="362"/>
      <c r="U63" s="362"/>
      <c r="V63" s="362"/>
      <c r="W63" s="362"/>
      <c r="X63" s="362"/>
      <c r="Y63" s="362"/>
      <c r="Z63" s="362"/>
      <c r="AA63" s="260"/>
      <c r="AB63" s="260"/>
    </row>
    <row r="64" spans="1:28" x14ac:dyDescent="0.2">
      <c r="A64" s="231"/>
      <c r="B64" s="322" t="s">
        <v>982</v>
      </c>
      <c r="C64" s="224" t="s">
        <v>553</v>
      </c>
      <c r="D64" s="228" t="s">
        <v>622</v>
      </c>
      <c r="E64" s="224" t="s">
        <v>1831</v>
      </c>
      <c r="F64" s="224" t="s">
        <v>583</v>
      </c>
      <c r="G64" s="224" t="s">
        <v>38</v>
      </c>
      <c r="H64" s="230">
        <v>7191.1872252000003</v>
      </c>
      <c r="I64" s="224" t="e">
        <f>#REF!</f>
        <v>#REF!</v>
      </c>
      <c r="J64" s="385" t="e">
        <f t="shared" si="0"/>
        <v>#REF!</v>
      </c>
      <c r="O64" s="361"/>
      <c r="P64" s="361"/>
      <c r="Q64" s="361"/>
      <c r="R64" s="361"/>
      <c r="S64" s="361"/>
      <c r="T64" s="362"/>
      <c r="U64" s="362"/>
      <c r="V64" s="362"/>
      <c r="W64" s="362"/>
      <c r="X64" s="362"/>
      <c r="Y64" s="362"/>
      <c r="Z64" s="362"/>
      <c r="AA64" s="260"/>
      <c r="AB64" s="260"/>
    </row>
    <row r="65" spans="1:28" x14ac:dyDescent="0.2">
      <c r="A65" s="231"/>
      <c r="B65" s="315" t="s">
        <v>1824</v>
      </c>
      <c r="C65" s="226" t="s">
        <v>553</v>
      </c>
      <c r="D65" s="227" t="s">
        <v>613</v>
      </c>
      <c r="E65" s="226" t="s">
        <v>1831</v>
      </c>
      <c r="F65" s="226" t="s">
        <v>583</v>
      </c>
      <c r="G65" s="226" t="s">
        <v>36</v>
      </c>
      <c r="H65" s="229">
        <v>610.11799200000007</v>
      </c>
      <c r="I65" s="226" t="e">
        <f>#REF!</f>
        <v>#REF!</v>
      </c>
      <c r="J65" s="387" t="e">
        <f t="shared" si="0"/>
        <v>#REF!</v>
      </c>
      <c r="O65" s="361"/>
      <c r="P65" s="361"/>
      <c r="Q65" s="361"/>
      <c r="R65" s="361"/>
      <c r="S65" s="361"/>
      <c r="T65" s="362"/>
      <c r="U65" s="362"/>
      <c r="V65" s="362"/>
      <c r="W65" s="362"/>
      <c r="X65" s="362"/>
      <c r="Y65" s="362"/>
      <c r="Z65" s="362"/>
      <c r="AA65" s="260"/>
      <c r="AB65" s="260"/>
    </row>
    <row r="66" spans="1:28" x14ac:dyDescent="0.2">
      <c r="A66" s="231"/>
      <c r="B66" s="316" t="s">
        <v>1505</v>
      </c>
      <c r="C66" s="224" t="s">
        <v>553</v>
      </c>
      <c r="D66" s="228" t="s">
        <v>624</v>
      </c>
      <c r="E66" s="224" t="s">
        <v>1831</v>
      </c>
      <c r="F66" s="224" t="s">
        <v>583</v>
      </c>
      <c r="G66" s="224" t="s">
        <v>38</v>
      </c>
      <c r="H66" s="230">
        <v>623.59589160000007</v>
      </c>
      <c r="I66" s="224" t="e">
        <f>#REF!</f>
        <v>#REF!</v>
      </c>
      <c r="J66" s="385" t="e">
        <f t="shared" si="0"/>
        <v>#REF!</v>
      </c>
      <c r="O66" s="361"/>
      <c r="P66" s="361"/>
      <c r="Q66" s="361"/>
      <c r="R66" s="361"/>
      <c r="S66" s="361"/>
      <c r="T66" s="362"/>
      <c r="U66" s="362"/>
      <c r="V66" s="362"/>
      <c r="W66" s="362"/>
      <c r="X66" s="362"/>
      <c r="Y66" s="362"/>
      <c r="Z66" s="362"/>
      <c r="AA66" s="260"/>
      <c r="AB66" s="260"/>
    </row>
    <row r="67" spans="1:28" x14ac:dyDescent="0.2">
      <c r="A67" s="231"/>
      <c r="B67" s="315" t="s">
        <v>1561</v>
      </c>
      <c r="C67" s="226" t="s">
        <v>553</v>
      </c>
      <c r="D67" s="227" t="s">
        <v>298</v>
      </c>
      <c r="E67" s="226" t="s">
        <v>1831</v>
      </c>
      <c r="F67" s="226" t="s">
        <v>583</v>
      </c>
      <c r="G67" s="226" t="s">
        <v>38</v>
      </c>
      <c r="H67" s="229">
        <v>1278.8717832000002</v>
      </c>
      <c r="I67" s="226" t="e">
        <f>#REF!</f>
        <v>#REF!</v>
      </c>
      <c r="J67" s="387" t="e">
        <f t="shared" si="0"/>
        <v>#REF!</v>
      </c>
      <c r="O67" s="361"/>
      <c r="P67" s="361"/>
      <c r="Q67" s="361"/>
      <c r="R67" s="361"/>
      <c r="S67" s="361"/>
      <c r="T67" s="362"/>
      <c r="U67" s="362"/>
      <c r="V67" s="362"/>
      <c r="W67" s="362"/>
      <c r="X67" s="362"/>
      <c r="Y67" s="362"/>
      <c r="Z67" s="362"/>
      <c r="AA67" s="260"/>
      <c r="AB67" s="260"/>
    </row>
    <row r="68" spans="1:28" x14ac:dyDescent="0.2">
      <c r="A68" s="231" t="s">
        <v>2118</v>
      </c>
      <c r="B68" s="322" t="s">
        <v>987</v>
      </c>
      <c r="C68" s="224" t="s">
        <v>553</v>
      </c>
      <c r="D68" s="228" t="s">
        <v>618</v>
      </c>
      <c r="E68" s="224" t="s">
        <v>1831</v>
      </c>
      <c r="F68" s="224" t="s">
        <v>583</v>
      </c>
      <c r="G68" s="224" t="s">
        <v>37</v>
      </c>
      <c r="H68" s="230">
        <v>590.317992</v>
      </c>
      <c r="I68" s="224" t="e">
        <f>#REF!</f>
        <v>#REF!</v>
      </c>
      <c r="J68" s="385" t="e">
        <f t="shared" si="0"/>
        <v>#REF!</v>
      </c>
      <c r="O68" s="361"/>
      <c r="P68" s="361"/>
      <c r="Q68" s="361"/>
      <c r="R68" s="361"/>
      <c r="S68" s="361"/>
      <c r="T68" s="362"/>
      <c r="U68" s="362"/>
      <c r="V68" s="362"/>
      <c r="W68" s="362"/>
      <c r="X68" s="362"/>
      <c r="Y68" s="362"/>
      <c r="Z68" s="362"/>
      <c r="AA68" s="260"/>
      <c r="AB68" s="260"/>
    </row>
    <row r="69" spans="1:28" x14ac:dyDescent="0.2">
      <c r="A69" s="231" t="s">
        <v>2118</v>
      </c>
      <c r="B69" s="323" t="s">
        <v>1503</v>
      </c>
      <c r="C69" s="226" t="s">
        <v>553</v>
      </c>
      <c r="D69" s="227" t="s">
        <v>617</v>
      </c>
      <c r="E69" s="226" t="s">
        <v>1831</v>
      </c>
      <c r="F69" s="226" t="s">
        <v>583</v>
      </c>
      <c r="G69" s="226" t="s">
        <v>37</v>
      </c>
      <c r="H69" s="229">
        <v>610.11799200000007</v>
      </c>
      <c r="I69" s="226" t="e">
        <f>#REF!</f>
        <v>#REF!</v>
      </c>
      <c r="J69" s="387" t="e">
        <f t="shared" si="0"/>
        <v>#REF!</v>
      </c>
      <c r="O69" s="361"/>
      <c r="P69" s="361"/>
      <c r="Q69" s="361"/>
      <c r="R69" s="361"/>
      <c r="S69" s="361"/>
      <c r="T69" s="362"/>
      <c r="U69" s="362"/>
      <c r="V69" s="362"/>
      <c r="W69" s="362"/>
      <c r="X69" s="362"/>
      <c r="Y69" s="362"/>
      <c r="Z69" s="362"/>
      <c r="AA69" s="260"/>
      <c r="AB69" s="260"/>
    </row>
    <row r="70" spans="1:28" x14ac:dyDescent="0.2">
      <c r="A70" s="231"/>
      <c r="B70" s="322" t="s">
        <v>1001</v>
      </c>
      <c r="C70" s="224" t="s">
        <v>553</v>
      </c>
      <c r="D70" s="228" t="s">
        <v>300</v>
      </c>
      <c r="E70" s="224" t="s">
        <v>1831</v>
      </c>
      <c r="F70" s="224" t="s">
        <v>583</v>
      </c>
      <c r="G70" s="224" t="s">
        <v>37</v>
      </c>
      <c r="H70" s="230">
        <v>1182.6159839999998</v>
      </c>
      <c r="I70" s="224" t="e">
        <f>#REF!</f>
        <v>#REF!</v>
      </c>
      <c r="J70" s="385" t="e">
        <f t="shared" ref="J70:J133" si="1">H70-H70*I70</f>
        <v>#REF!</v>
      </c>
      <c r="O70" s="361"/>
      <c r="P70" s="361"/>
      <c r="Q70" s="361"/>
      <c r="R70" s="361"/>
      <c r="S70" s="361"/>
      <c r="T70" s="362"/>
      <c r="U70" s="362"/>
      <c r="V70" s="362"/>
      <c r="W70" s="362"/>
      <c r="X70" s="362"/>
      <c r="Y70" s="362"/>
      <c r="Z70" s="362"/>
      <c r="AA70" s="260"/>
      <c r="AB70" s="260"/>
    </row>
    <row r="71" spans="1:28" x14ac:dyDescent="0.2">
      <c r="A71" s="231"/>
      <c r="B71" s="323" t="s">
        <v>1558</v>
      </c>
      <c r="C71" s="226" t="s">
        <v>553</v>
      </c>
      <c r="D71" s="227" t="s">
        <v>299</v>
      </c>
      <c r="E71" s="226" t="s">
        <v>1831</v>
      </c>
      <c r="F71" s="226" t="s">
        <v>583</v>
      </c>
      <c r="G71" s="226" t="s">
        <v>37</v>
      </c>
      <c r="H71" s="229">
        <v>1222.2159840000002</v>
      </c>
      <c r="I71" s="226" t="e">
        <f>#REF!</f>
        <v>#REF!</v>
      </c>
      <c r="J71" s="387" t="e">
        <f t="shared" si="1"/>
        <v>#REF!</v>
      </c>
      <c r="O71" s="361"/>
      <c r="P71" s="361"/>
      <c r="Q71" s="361"/>
      <c r="R71" s="361"/>
      <c r="S71" s="361"/>
      <c r="T71" s="362"/>
      <c r="U71" s="362"/>
      <c r="V71" s="362"/>
      <c r="W71" s="362"/>
      <c r="X71" s="362"/>
      <c r="Y71" s="362"/>
      <c r="Z71" s="362"/>
      <c r="AA71" s="260"/>
      <c r="AB71" s="260"/>
    </row>
    <row r="72" spans="1:28" x14ac:dyDescent="0.2">
      <c r="A72" s="231"/>
      <c r="B72" s="316" t="s">
        <v>1535</v>
      </c>
      <c r="C72" s="224" t="s">
        <v>553</v>
      </c>
      <c r="D72" s="228" t="s">
        <v>627</v>
      </c>
      <c r="E72" s="224" t="s">
        <v>1831</v>
      </c>
      <c r="F72" s="224" t="s">
        <v>583</v>
      </c>
      <c r="G72" s="224" t="s">
        <v>39</v>
      </c>
      <c r="H72" s="230">
        <v>876.79278720000025</v>
      </c>
      <c r="I72" s="224" t="e">
        <f>#REF!</f>
        <v>#REF!</v>
      </c>
      <c r="J72" s="385" t="e">
        <f t="shared" si="1"/>
        <v>#REF!</v>
      </c>
      <c r="O72" s="361"/>
      <c r="P72" s="361"/>
      <c r="Q72" s="361"/>
      <c r="R72" s="361"/>
      <c r="S72" s="361"/>
      <c r="T72" s="362"/>
      <c r="U72" s="362"/>
      <c r="V72" s="362"/>
      <c r="W72" s="362"/>
      <c r="X72" s="362"/>
      <c r="Y72" s="362"/>
      <c r="Z72" s="362"/>
      <c r="AA72" s="260"/>
      <c r="AB72" s="260"/>
    </row>
    <row r="73" spans="1:28" x14ac:dyDescent="0.2">
      <c r="A73" s="231"/>
      <c r="B73" s="315" t="s">
        <v>1590</v>
      </c>
      <c r="C73" s="226" t="s">
        <v>553</v>
      </c>
      <c r="D73" s="227" t="s">
        <v>342</v>
      </c>
      <c r="E73" s="226" t="s">
        <v>1831</v>
      </c>
      <c r="F73" s="226" t="s">
        <v>583</v>
      </c>
      <c r="G73" s="226" t="s">
        <v>39</v>
      </c>
      <c r="H73" s="229">
        <v>1811.0055743999999</v>
      </c>
      <c r="I73" s="226" t="e">
        <f>#REF!</f>
        <v>#REF!</v>
      </c>
      <c r="J73" s="387" t="e">
        <f t="shared" si="1"/>
        <v>#REF!</v>
      </c>
      <c r="O73" s="361"/>
      <c r="P73" s="361"/>
      <c r="Q73" s="361"/>
      <c r="R73" s="361"/>
      <c r="S73" s="361"/>
      <c r="T73" s="362"/>
      <c r="U73" s="362"/>
      <c r="V73" s="362"/>
      <c r="W73" s="362"/>
      <c r="X73" s="362"/>
      <c r="Y73" s="362"/>
      <c r="Z73" s="362"/>
      <c r="AA73" s="260"/>
      <c r="AB73" s="260"/>
    </row>
    <row r="74" spans="1:28" x14ac:dyDescent="0.2">
      <c r="A74" s="231" t="s">
        <v>2118</v>
      </c>
      <c r="B74" s="316" t="s">
        <v>1578</v>
      </c>
      <c r="C74" s="224" t="s">
        <v>553</v>
      </c>
      <c r="D74" s="228" t="s">
        <v>297</v>
      </c>
      <c r="E74" s="224" t="s">
        <v>1831</v>
      </c>
      <c r="F74" s="224" t="s">
        <v>583</v>
      </c>
      <c r="G74" s="224" t="s">
        <v>38</v>
      </c>
      <c r="H74" s="230">
        <v>1577.06667756</v>
      </c>
      <c r="I74" s="224" t="e">
        <f>#REF!</f>
        <v>#REF!</v>
      </c>
      <c r="J74" s="385" t="e">
        <f t="shared" si="1"/>
        <v>#REF!</v>
      </c>
      <c r="O74" s="361"/>
      <c r="P74" s="361"/>
      <c r="Q74" s="361"/>
      <c r="R74" s="361"/>
      <c r="S74" s="361"/>
      <c r="T74" s="362"/>
      <c r="U74" s="362"/>
      <c r="V74" s="362"/>
      <c r="W74" s="362"/>
      <c r="X74" s="362"/>
      <c r="Y74" s="362"/>
      <c r="Z74" s="362"/>
      <c r="AA74" s="260"/>
      <c r="AB74" s="260"/>
    </row>
    <row r="75" spans="1:28" x14ac:dyDescent="0.2">
      <c r="A75" s="231" t="s">
        <v>2118</v>
      </c>
      <c r="B75" s="315" t="s">
        <v>1593</v>
      </c>
      <c r="C75" s="226" t="s">
        <v>553</v>
      </c>
      <c r="D75" s="227" t="s">
        <v>1594</v>
      </c>
      <c r="E75" s="226" t="s">
        <v>1831</v>
      </c>
      <c r="F75" s="226" t="s">
        <v>583</v>
      </c>
      <c r="G75" s="226" t="s">
        <v>36</v>
      </c>
      <c r="H75" s="229">
        <v>931.33333333333326</v>
      </c>
      <c r="I75" s="226" t="e">
        <f>#REF!</f>
        <v>#REF!</v>
      </c>
      <c r="J75" s="387" t="e">
        <f t="shared" si="1"/>
        <v>#REF!</v>
      </c>
      <c r="O75" s="361"/>
      <c r="P75" s="361"/>
      <c r="Q75" s="361"/>
      <c r="R75" s="361"/>
      <c r="S75" s="361"/>
      <c r="T75" s="362"/>
      <c r="U75" s="362"/>
      <c r="V75" s="362"/>
      <c r="W75" s="362"/>
      <c r="X75" s="362"/>
      <c r="Y75" s="362"/>
      <c r="Z75" s="362"/>
      <c r="AA75" s="260"/>
      <c r="AB75" s="260"/>
    </row>
    <row r="76" spans="1:28" x14ac:dyDescent="0.2">
      <c r="A76" s="231"/>
      <c r="B76" s="316" t="s">
        <v>1442</v>
      </c>
      <c r="C76" s="224" t="s">
        <v>553</v>
      </c>
      <c r="D76" s="228" t="s">
        <v>310</v>
      </c>
      <c r="E76" s="224" t="s">
        <v>1831</v>
      </c>
      <c r="F76" s="224" t="s">
        <v>583</v>
      </c>
      <c r="G76" s="224" t="s">
        <v>36</v>
      </c>
      <c r="H76" s="230">
        <v>245.73999999999998</v>
      </c>
      <c r="I76" s="224" t="e">
        <f>#REF!</f>
        <v>#REF!</v>
      </c>
      <c r="J76" s="385" t="e">
        <f t="shared" si="1"/>
        <v>#REF!</v>
      </c>
      <c r="O76" s="361"/>
      <c r="P76" s="361"/>
      <c r="Q76" s="361"/>
      <c r="R76" s="361"/>
      <c r="S76" s="361"/>
      <c r="T76" s="362"/>
      <c r="U76" s="362"/>
      <c r="V76" s="362"/>
      <c r="W76" s="362"/>
      <c r="X76" s="362"/>
      <c r="Y76" s="362"/>
      <c r="Z76" s="362"/>
      <c r="AA76" s="260"/>
      <c r="AB76" s="260"/>
    </row>
    <row r="77" spans="1:28" x14ac:dyDescent="0.2">
      <c r="A77" s="231"/>
      <c r="B77" s="315" t="s">
        <v>1396</v>
      </c>
      <c r="C77" s="226" t="s">
        <v>553</v>
      </c>
      <c r="D77" s="227" t="s">
        <v>307</v>
      </c>
      <c r="E77" s="226" t="s">
        <v>1831</v>
      </c>
      <c r="F77" s="226" t="s">
        <v>583</v>
      </c>
      <c r="G77" s="226" t="s">
        <v>35</v>
      </c>
      <c r="H77" s="229">
        <v>157.92333333333332</v>
      </c>
      <c r="I77" s="226" t="e">
        <f>#REF!</f>
        <v>#REF!</v>
      </c>
      <c r="J77" s="387" t="e">
        <f t="shared" si="1"/>
        <v>#REF!</v>
      </c>
      <c r="O77" s="361"/>
      <c r="P77" s="361"/>
      <c r="Q77" s="361"/>
      <c r="R77" s="361"/>
      <c r="S77" s="361"/>
      <c r="T77" s="362"/>
      <c r="U77" s="362"/>
      <c r="V77" s="362"/>
      <c r="W77" s="362"/>
      <c r="X77" s="362"/>
      <c r="Y77" s="362"/>
      <c r="Z77" s="362"/>
      <c r="AA77" s="260"/>
      <c r="AB77" s="260"/>
    </row>
    <row r="78" spans="1:28" x14ac:dyDescent="0.2">
      <c r="A78" s="231"/>
      <c r="B78" s="316" t="s">
        <v>1421</v>
      </c>
      <c r="C78" s="224" t="s">
        <v>553</v>
      </c>
      <c r="D78" s="228" t="s">
        <v>308</v>
      </c>
      <c r="E78" s="224" t="s">
        <v>1831</v>
      </c>
      <c r="F78" s="224" t="s">
        <v>583</v>
      </c>
      <c r="G78" s="224" t="s">
        <v>35</v>
      </c>
      <c r="H78" s="230">
        <v>221.61333333333334</v>
      </c>
      <c r="I78" s="224" t="e">
        <f>#REF!</f>
        <v>#REF!</v>
      </c>
      <c r="J78" s="385" t="e">
        <f t="shared" si="1"/>
        <v>#REF!</v>
      </c>
      <c r="O78" s="361"/>
      <c r="P78" s="361"/>
      <c r="Q78" s="361"/>
      <c r="R78" s="361"/>
      <c r="S78" s="361"/>
      <c r="T78" s="362"/>
      <c r="U78" s="362"/>
      <c r="V78" s="362"/>
      <c r="W78" s="362"/>
      <c r="X78" s="362"/>
      <c r="Y78" s="362"/>
      <c r="Z78" s="362"/>
      <c r="AA78" s="260"/>
      <c r="AB78" s="260"/>
    </row>
    <row r="79" spans="1:28" x14ac:dyDescent="0.2">
      <c r="A79" s="231"/>
      <c r="B79" s="315" t="s">
        <v>986</v>
      </c>
      <c r="C79" s="226" t="s">
        <v>553</v>
      </c>
      <c r="D79" s="227" t="s">
        <v>309</v>
      </c>
      <c r="E79" s="226" t="s">
        <v>1831</v>
      </c>
      <c r="F79" s="226" t="s">
        <v>583</v>
      </c>
      <c r="G79" s="226" t="s">
        <v>36</v>
      </c>
      <c r="H79" s="229">
        <v>223.66666666666666</v>
      </c>
      <c r="I79" s="226" t="e">
        <f>#REF!</f>
        <v>#REF!</v>
      </c>
      <c r="J79" s="387" t="e">
        <f t="shared" si="1"/>
        <v>#REF!</v>
      </c>
      <c r="O79" s="361"/>
      <c r="P79" s="361"/>
      <c r="Q79" s="361"/>
      <c r="R79" s="361"/>
      <c r="S79" s="361"/>
      <c r="T79" s="362"/>
      <c r="U79" s="362"/>
      <c r="V79" s="362"/>
      <c r="W79" s="362"/>
      <c r="X79" s="362"/>
      <c r="Y79" s="362"/>
      <c r="Z79" s="362"/>
      <c r="AA79" s="260"/>
      <c r="AB79" s="260"/>
    </row>
    <row r="80" spans="1:28" x14ac:dyDescent="0.2">
      <c r="A80" s="231" t="s">
        <v>2118</v>
      </c>
      <c r="B80" s="316" t="s">
        <v>985</v>
      </c>
      <c r="C80" s="224" t="s">
        <v>553</v>
      </c>
      <c r="D80" s="228" t="s">
        <v>339</v>
      </c>
      <c r="E80" s="224" t="s">
        <v>1831</v>
      </c>
      <c r="F80" s="224" t="s">
        <v>583</v>
      </c>
      <c r="G80" s="224" t="s">
        <v>36</v>
      </c>
      <c r="H80" s="230">
        <v>217.21333333333331</v>
      </c>
      <c r="I80" s="224" t="e">
        <f>#REF!</f>
        <v>#REF!</v>
      </c>
      <c r="J80" s="385" t="e">
        <f t="shared" si="1"/>
        <v>#REF!</v>
      </c>
      <c r="O80" s="361"/>
      <c r="P80" s="361"/>
      <c r="Q80" s="361"/>
      <c r="R80" s="361"/>
      <c r="S80" s="361"/>
      <c r="T80" s="362"/>
      <c r="U80" s="362"/>
      <c r="V80" s="362"/>
      <c r="W80" s="362"/>
      <c r="X80" s="362"/>
      <c r="Y80" s="362"/>
      <c r="Z80" s="362"/>
      <c r="AA80" s="260"/>
      <c r="AB80" s="260"/>
    </row>
    <row r="81" spans="1:28" x14ac:dyDescent="0.2">
      <c r="A81" s="231" t="s">
        <v>2118</v>
      </c>
      <c r="B81" s="323" t="s">
        <v>984</v>
      </c>
      <c r="C81" s="226" t="s">
        <v>553</v>
      </c>
      <c r="D81" s="227" t="s">
        <v>340</v>
      </c>
      <c r="E81" s="226" t="s">
        <v>1831</v>
      </c>
      <c r="F81" s="226" t="s">
        <v>583</v>
      </c>
      <c r="G81" s="226" t="s">
        <v>36</v>
      </c>
      <c r="H81" s="229">
        <v>237.37999999999997</v>
      </c>
      <c r="I81" s="226" t="e">
        <f>#REF!</f>
        <v>#REF!</v>
      </c>
      <c r="J81" s="387" t="e">
        <f t="shared" si="1"/>
        <v>#REF!</v>
      </c>
      <c r="O81" s="361"/>
      <c r="P81" s="361"/>
      <c r="Q81" s="361"/>
      <c r="R81" s="361"/>
      <c r="S81" s="361"/>
      <c r="T81" s="362"/>
      <c r="U81" s="362"/>
      <c r="V81" s="362"/>
      <c r="W81" s="362"/>
      <c r="X81" s="362"/>
      <c r="Y81" s="362"/>
      <c r="Z81" s="362"/>
      <c r="AA81" s="260"/>
      <c r="AB81" s="260"/>
    </row>
    <row r="82" spans="1:28" x14ac:dyDescent="0.2">
      <c r="A82" s="231"/>
      <c r="B82" s="316" t="s">
        <v>1069</v>
      </c>
      <c r="C82" s="224" t="s">
        <v>0</v>
      </c>
      <c r="D82" s="228" t="s">
        <v>596</v>
      </c>
      <c r="E82" s="224" t="s">
        <v>1831</v>
      </c>
      <c r="F82" s="224" t="s">
        <v>955</v>
      </c>
      <c r="G82" s="224" t="s">
        <v>33</v>
      </c>
      <c r="H82" s="230">
        <v>3.6959999999999997</v>
      </c>
      <c r="I82" s="224" t="e">
        <f>#REF!</f>
        <v>#REF!</v>
      </c>
      <c r="J82" s="385" t="e">
        <f t="shared" si="1"/>
        <v>#REF!</v>
      </c>
      <c r="O82" s="361"/>
      <c r="P82" s="361"/>
      <c r="Q82" s="361"/>
      <c r="R82" s="361"/>
      <c r="S82" s="361"/>
      <c r="T82" s="362"/>
      <c r="U82" s="362"/>
      <c r="V82" s="362"/>
      <c r="W82" s="362"/>
      <c r="X82" s="362"/>
      <c r="Y82" s="362"/>
      <c r="Z82" s="362"/>
      <c r="AA82" s="260"/>
      <c r="AB82" s="260"/>
    </row>
    <row r="83" spans="1:28" x14ac:dyDescent="0.2">
      <c r="A83" s="231"/>
      <c r="B83" s="315" t="s">
        <v>1074</v>
      </c>
      <c r="C83" s="226" t="s">
        <v>0</v>
      </c>
      <c r="D83" s="227" t="s">
        <v>595</v>
      </c>
      <c r="E83" s="226" t="s">
        <v>1831</v>
      </c>
      <c r="F83" s="226" t="s">
        <v>955</v>
      </c>
      <c r="G83" s="226" t="s">
        <v>33</v>
      </c>
      <c r="H83" s="229">
        <v>4.4160000000000004</v>
      </c>
      <c r="I83" s="226" t="e">
        <f>#REF!</f>
        <v>#REF!</v>
      </c>
      <c r="J83" s="387" t="e">
        <f t="shared" si="1"/>
        <v>#REF!</v>
      </c>
      <c r="O83" s="361"/>
      <c r="P83" s="361"/>
      <c r="Q83" s="361"/>
      <c r="R83" s="361"/>
      <c r="S83" s="361"/>
      <c r="T83" s="362"/>
      <c r="U83" s="362"/>
      <c r="V83" s="362"/>
      <c r="W83" s="362"/>
      <c r="X83" s="362"/>
      <c r="Y83" s="362"/>
      <c r="Z83" s="362"/>
      <c r="AA83" s="260"/>
      <c r="AB83" s="260"/>
    </row>
    <row r="84" spans="1:28" x14ac:dyDescent="0.2">
      <c r="A84" s="231"/>
      <c r="B84" s="316" t="s">
        <v>1071</v>
      </c>
      <c r="C84" s="224" t="s">
        <v>0</v>
      </c>
      <c r="D84" s="228" t="s">
        <v>597</v>
      </c>
      <c r="E84" s="224" t="s">
        <v>1831</v>
      </c>
      <c r="F84" s="224" t="s">
        <v>955</v>
      </c>
      <c r="G84" s="224" t="s">
        <v>33</v>
      </c>
      <c r="H84" s="230">
        <v>3.9839999999999995</v>
      </c>
      <c r="I84" s="224" t="e">
        <f>#REF!</f>
        <v>#REF!</v>
      </c>
      <c r="J84" s="385" t="e">
        <f t="shared" si="1"/>
        <v>#REF!</v>
      </c>
      <c r="O84" s="361"/>
      <c r="P84" s="361"/>
      <c r="Q84" s="361"/>
      <c r="R84" s="361"/>
      <c r="S84" s="361"/>
      <c r="T84" s="362"/>
      <c r="U84" s="362"/>
      <c r="V84" s="362"/>
      <c r="W84" s="362"/>
      <c r="X84" s="362"/>
      <c r="Y84" s="362"/>
      <c r="Z84" s="362"/>
      <c r="AA84" s="260"/>
      <c r="AB84" s="260"/>
    </row>
    <row r="85" spans="1:28" x14ac:dyDescent="0.2">
      <c r="A85" s="231"/>
      <c r="B85" s="315" t="s">
        <v>1077</v>
      </c>
      <c r="C85" s="226" t="s">
        <v>0</v>
      </c>
      <c r="D85" s="227" t="s">
        <v>598</v>
      </c>
      <c r="E85" s="226" t="s">
        <v>1831</v>
      </c>
      <c r="F85" s="226" t="s">
        <v>955</v>
      </c>
      <c r="G85" s="226" t="s">
        <v>33</v>
      </c>
      <c r="H85" s="229">
        <v>4.6079999999999997</v>
      </c>
      <c r="I85" s="226" t="e">
        <f>#REF!</f>
        <v>#REF!</v>
      </c>
      <c r="J85" s="387" t="e">
        <f t="shared" si="1"/>
        <v>#REF!</v>
      </c>
      <c r="O85" s="361"/>
      <c r="P85" s="361"/>
      <c r="Q85" s="361"/>
      <c r="R85" s="361"/>
      <c r="S85" s="361"/>
      <c r="T85" s="362"/>
      <c r="U85" s="362"/>
      <c r="V85" s="362"/>
      <c r="W85" s="362"/>
      <c r="X85" s="362"/>
      <c r="Y85" s="362"/>
      <c r="Z85" s="362"/>
      <c r="AA85" s="260"/>
      <c r="AB85" s="260"/>
    </row>
    <row r="86" spans="1:28" x14ac:dyDescent="0.2">
      <c r="A86" s="231" t="s">
        <v>2118</v>
      </c>
      <c r="B86" s="316" t="s">
        <v>1070</v>
      </c>
      <c r="C86" s="224" t="s">
        <v>0</v>
      </c>
      <c r="D86" s="228" t="s">
        <v>591</v>
      </c>
      <c r="E86" s="224" t="s">
        <v>1831</v>
      </c>
      <c r="F86" s="224" t="s">
        <v>955</v>
      </c>
      <c r="G86" s="224" t="s">
        <v>33</v>
      </c>
      <c r="H86" s="230">
        <v>3.6959999999999997</v>
      </c>
      <c r="I86" s="224" t="e">
        <f>#REF!</f>
        <v>#REF!</v>
      </c>
      <c r="J86" s="385" t="e">
        <f t="shared" si="1"/>
        <v>#REF!</v>
      </c>
      <c r="O86" s="361"/>
      <c r="P86" s="361"/>
      <c r="Q86" s="361"/>
      <c r="R86" s="361"/>
      <c r="S86" s="361"/>
      <c r="T86" s="362"/>
      <c r="U86" s="362"/>
      <c r="V86" s="362"/>
      <c r="W86" s="362"/>
      <c r="X86" s="362"/>
      <c r="Y86" s="362"/>
      <c r="Z86" s="362"/>
      <c r="AA86" s="260"/>
      <c r="AB86" s="260"/>
    </row>
    <row r="87" spans="1:28" x14ac:dyDescent="0.2">
      <c r="A87" s="231" t="s">
        <v>2118</v>
      </c>
      <c r="B87" s="315" t="s">
        <v>1075</v>
      </c>
      <c r="C87" s="226" t="s">
        <v>0</v>
      </c>
      <c r="D87" s="227" t="s">
        <v>599</v>
      </c>
      <c r="E87" s="226" t="s">
        <v>1831</v>
      </c>
      <c r="F87" s="226" t="s">
        <v>955</v>
      </c>
      <c r="G87" s="226" t="s">
        <v>33</v>
      </c>
      <c r="H87" s="229">
        <v>4.4160000000000004</v>
      </c>
      <c r="I87" s="226" t="e">
        <f>#REF!</f>
        <v>#REF!</v>
      </c>
      <c r="J87" s="387" t="e">
        <f t="shared" si="1"/>
        <v>#REF!</v>
      </c>
      <c r="O87" s="361"/>
      <c r="P87" s="361"/>
      <c r="Q87" s="361"/>
      <c r="R87" s="361"/>
      <c r="S87" s="361"/>
      <c r="T87" s="362"/>
      <c r="U87" s="362"/>
      <c r="V87" s="362"/>
      <c r="W87" s="362"/>
      <c r="X87" s="362"/>
      <c r="Y87" s="362"/>
      <c r="Z87" s="362"/>
      <c r="AA87" s="260"/>
      <c r="AB87" s="260"/>
    </row>
    <row r="88" spans="1:28" x14ac:dyDescent="0.2">
      <c r="A88" s="231"/>
      <c r="B88" s="322" t="s">
        <v>1014</v>
      </c>
      <c r="C88" s="224" t="s">
        <v>0</v>
      </c>
      <c r="D88" s="228" t="s">
        <v>142</v>
      </c>
      <c r="E88" s="224" t="s">
        <v>1831</v>
      </c>
      <c r="F88" s="224" t="s">
        <v>947</v>
      </c>
      <c r="G88" s="224" t="s">
        <v>703</v>
      </c>
      <c r="H88" s="230">
        <v>2.9999999999999996</v>
      </c>
      <c r="I88" s="224" t="e">
        <f>#REF!</f>
        <v>#REF!</v>
      </c>
      <c r="J88" s="385" t="e">
        <f t="shared" si="1"/>
        <v>#REF!</v>
      </c>
      <c r="O88" s="361"/>
      <c r="P88" s="361"/>
      <c r="Q88" s="361"/>
      <c r="R88" s="361"/>
      <c r="S88" s="361"/>
      <c r="T88" s="362"/>
      <c r="U88" s="362"/>
      <c r="V88" s="362"/>
      <c r="W88" s="362"/>
      <c r="X88" s="362"/>
      <c r="Y88" s="362"/>
      <c r="Z88" s="362"/>
      <c r="AA88" s="260"/>
      <c r="AB88" s="260"/>
    </row>
    <row r="89" spans="1:28" x14ac:dyDescent="0.2">
      <c r="A89" s="231"/>
      <c r="B89" s="315" t="s">
        <v>1057</v>
      </c>
      <c r="C89" s="226" t="s">
        <v>0</v>
      </c>
      <c r="D89" s="227" t="s">
        <v>143</v>
      </c>
      <c r="E89" s="226" t="s">
        <v>1831</v>
      </c>
      <c r="F89" s="226" t="s">
        <v>947</v>
      </c>
      <c r="G89" s="226" t="s">
        <v>703</v>
      </c>
      <c r="H89" s="229">
        <v>5.4857142857142849</v>
      </c>
      <c r="I89" s="226" t="e">
        <f>#REF!</f>
        <v>#REF!</v>
      </c>
      <c r="J89" s="387" t="e">
        <f t="shared" si="1"/>
        <v>#REF!</v>
      </c>
      <c r="O89" s="361"/>
      <c r="P89" s="361"/>
      <c r="Q89" s="361"/>
      <c r="R89" s="361"/>
      <c r="S89" s="361"/>
      <c r="T89" s="362"/>
      <c r="U89" s="362"/>
      <c r="V89" s="362"/>
      <c r="W89" s="362"/>
      <c r="X89" s="362"/>
      <c r="Y89" s="362"/>
      <c r="Z89" s="362"/>
      <c r="AA89" s="260"/>
      <c r="AB89" s="260"/>
    </row>
    <row r="90" spans="1:28" x14ac:dyDescent="0.2">
      <c r="A90" s="231" t="s">
        <v>2118</v>
      </c>
      <c r="B90" s="316" t="s">
        <v>1067</v>
      </c>
      <c r="C90" s="224" t="s">
        <v>0</v>
      </c>
      <c r="D90" s="228" t="s">
        <v>131</v>
      </c>
      <c r="E90" s="224" t="s">
        <v>1831</v>
      </c>
      <c r="F90" s="224" t="s">
        <v>947</v>
      </c>
      <c r="G90" s="224" t="s">
        <v>36</v>
      </c>
      <c r="H90" s="230">
        <v>3.8571428571428572</v>
      </c>
      <c r="I90" s="224" t="e">
        <f>#REF!</f>
        <v>#REF!</v>
      </c>
      <c r="J90" s="385" t="e">
        <f t="shared" si="1"/>
        <v>#REF!</v>
      </c>
      <c r="O90" s="361"/>
      <c r="P90" s="361"/>
      <c r="Q90" s="361"/>
      <c r="R90" s="361"/>
      <c r="S90" s="361"/>
      <c r="T90" s="362"/>
      <c r="U90" s="362"/>
      <c r="V90" s="362"/>
      <c r="W90" s="362"/>
      <c r="X90" s="362"/>
      <c r="Y90" s="362"/>
      <c r="Z90" s="362"/>
      <c r="AA90" s="260"/>
      <c r="AB90" s="260"/>
    </row>
    <row r="91" spans="1:28" x14ac:dyDescent="0.2">
      <c r="A91" s="231"/>
      <c r="B91" s="315" t="s">
        <v>1063</v>
      </c>
      <c r="C91" s="226" t="s">
        <v>0</v>
      </c>
      <c r="D91" s="227" t="s">
        <v>705</v>
      </c>
      <c r="E91" s="226" t="s">
        <v>1831</v>
      </c>
      <c r="F91" s="226" t="s">
        <v>947</v>
      </c>
      <c r="G91" s="226" t="s">
        <v>36</v>
      </c>
      <c r="H91" s="229">
        <v>4.7142857142857144</v>
      </c>
      <c r="I91" s="226" t="e">
        <f>#REF!</f>
        <v>#REF!</v>
      </c>
      <c r="J91" s="387" t="e">
        <f t="shared" si="1"/>
        <v>#REF!</v>
      </c>
      <c r="O91" s="361"/>
      <c r="P91" s="361"/>
      <c r="Q91" s="361"/>
      <c r="R91" s="361"/>
      <c r="S91" s="361"/>
      <c r="T91" s="362"/>
      <c r="U91" s="362"/>
      <c r="V91" s="362"/>
      <c r="W91" s="362"/>
      <c r="X91" s="362"/>
      <c r="Y91" s="362"/>
      <c r="Z91" s="362"/>
      <c r="AA91" s="260"/>
      <c r="AB91" s="260"/>
    </row>
    <row r="92" spans="1:28" x14ac:dyDescent="0.2">
      <c r="A92" s="231" t="s">
        <v>2118</v>
      </c>
      <c r="B92" s="316" t="s">
        <v>1072</v>
      </c>
      <c r="C92" s="224" t="s">
        <v>0</v>
      </c>
      <c r="D92" s="228" t="s">
        <v>127</v>
      </c>
      <c r="E92" s="224" t="s">
        <v>1831</v>
      </c>
      <c r="F92" s="224" t="s">
        <v>947</v>
      </c>
      <c r="G92" s="224" t="s">
        <v>36</v>
      </c>
      <c r="H92" s="230">
        <v>5.1428571428571423</v>
      </c>
      <c r="I92" s="224" t="e">
        <f>#REF!</f>
        <v>#REF!</v>
      </c>
      <c r="J92" s="385" t="e">
        <f t="shared" si="1"/>
        <v>#REF!</v>
      </c>
      <c r="O92" s="361"/>
      <c r="P92" s="361"/>
      <c r="Q92" s="361"/>
      <c r="R92" s="361"/>
      <c r="S92" s="361"/>
      <c r="T92" s="362"/>
      <c r="U92" s="362"/>
      <c r="V92" s="362"/>
      <c r="W92" s="362"/>
      <c r="X92" s="362"/>
      <c r="Y92" s="362"/>
      <c r="Z92" s="362"/>
      <c r="AA92" s="260"/>
      <c r="AB92" s="260"/>
    </row>
    <row r="93" spans="1:28" x14ac:dyDescent="0.2">
      <c r="A93" s="231" t="s">
        <v>2118</v>
      </c>
      <c r="B93" s="315" t="s">
        <v>1076</v>
      </c>
      <c r="C93" s="226" t="s">
        <v>0</v>
      </c>
      <c r="D93" s="227" t="s">
        <v>128</v>
      </c>
      <c r="E93" s="226" t="s">
        <v>1831</v>
      </c>
      <c r="F93" s="226" t="s">
        <v>947</v>
      </c>
      <c r="G93" s="226" t="s">
        <v>36</v>
      </c>
      <c r="H93" s="229">
        <v>6.428571428571427</v>
      </c>
      <c r="I93" s="226" t="e">
        <f>#REF!</f>
        <v>#REF!</v>
      </c>
      <c r="J93" s="387" t="e">
        <f t="shared" si="1"/>
        <v>#REF!</v>
      </c>
      <c r="O93" s="361"/>
      <c r="P93" s="361"/>
      <c r="Q93" s="361"/>
      <c r="R93" s="361"/>
      <c r="S93" s="361"/>
      <c r="T93" s="362"/>
      <c r="U93" s="362"/>
      <c r="V93" s="362"/>
      <c r="W93" s="362"/>
      <c r="X93" s="362"/>
      <c r="Y93" s="362"/>
      <c r="Z93" s="362"/>
      <c r="AA93" s="260"/>
      <c r="AB93" s="260"/>
    </row>
    <row r="94" spans="1:28" x14ac:dyDescent="0.2">
      <c r="A94" s="231"/>
      <c r="B94" s="316" t="s">
        <v>1084</v>
      </c>
      <c r="C94" s="224" t="s">
        <v>0</v>
      </c>
      <c r="D94" s="228" t="s">
        <v>706</v>
      </c>
      <c r="E94" s="224" t="s">
        <v>1831</v>
      </c>
      <c r="F94" s="224" t="s">
        <v>947</v>
      </c>
      <c r="G94" s="224" t="s">
        <v>36</v>
      </c>
      <c r="H94" s="230">
        <v>7.7142857142857144</v>
      </c>
      <c r="I94" s="224" t="e">
        <f>#REF!</f>
        <v>#REF!</v>
      </c>
      <c r="J94" s="385" t="e">
        <f t="shared" si="1"/>
        <v>#REF!</v>
      </c>
      <c r="O94" s="361"/>
      <c r="P94" s="361"/>
      <c r="Q94" s="361"/>
      <c r="R94" s="361"/>
      <c r="S94" s="361"/>
      <c r="T94" s="362"/>
      <c r="U94" s="362"/>
      <c r="V94" s="362"/>
      <c r="W94" s="362"/>
      <c r="X94" s="362"/>
      <c r="Y94" s="362"/>
      <c r="Z94" s="362"/>
      <c r="AA94" s="260"/>
      <c r="AB94" s="260"/>
    </row>
    <row r="95" spans="1:28" x14ac:dyDescent="0.2">
      <c r="A95" s="231" t="s">
        <v>2118</v>
      </c>
      <c r="B95" s="315" t="s">
        <v>1088</v>
      </c>
      <c r="C95" s="226" t="s">
        <v>0</v>
      </c>
      <c r="D95" s="227" t="s">
        <v>144</v>
      </c>
      <c r="E95" s="226" t="s">
        <v>1831</v>
      </c>
      <c r="F95" s="226" t="s">
        <v>947</v>
      </c>
      <c r="G95" s="226" t="s">
        <v>36</v>
      </c>
      <c r="H95" s="229">
        <v>9</v>
      </c>
      <c r="I95" s="226" t="e">
        <f>#REF!</f>
        <v>#REF!</v>
      </c>
      <c r="J95" s="387" t="e">
        <f t="shared" si="1"/>
        <v>#REF!</v>
      </c>
      <c r="O95" s="361"/>
      <c r="P95" s="361"/>
      <c r="Q95" s="361"/>
      <c r="R95" s="361"/>
      <c r="S95" s="361"/>
      <c r="T95" s="362"/>
      <c r="U95" s="362"/>
      <c r="V95" s="362"/>
      <c r="W95" s="362"/>
      <c r="X95" s="362"/>
      <c r="Y95" s="362"/>
      <c r="Z95" s="362"/>
      <c r="AA95" s="260"/>
      <c r="AB95" s="260"/>
    </row>
    <row r="96" spans="1:28" x14ac:dyDescent="0.2">
      <c r="A96" s="231"/>
      <c r="B96" s="316" t="s">
        <v>1091</v>
      </c>
      <c r="C96" s="224" t="s">
        <v>0</v>
      </c>
      <c r="D96" s="228" t="s">
        <v>707</v>
      </c>
      <c r="E96" s="224" t="s">
        <v>1831</v>
      </c>
      <c r="F96" s="224" t="s">
        <v>947</v>
      </c>
      <c r="G96" s="224" t="s">
        <v>36</v>
      </c>
      <c r="H96" s="230">
        <v>11.571428571428571</v>
      </c>
      <c r="I96" s="224" t="e">
        <f>#REF!</f>
        <v>#REF!</v>
      </c>
      <c r="J96" s="385" t="e">
        <f t="shared" si="1"/>
        <v>#REF!</v>
      </c>
      <c r="O96" s="361"/>
      <c r="P96" s="361"/>
      <c r="Q96" s="361"/>
      <c r="R96" s="361"/>
      <c r="S96" s="361"/>
      <c r="T96" s="362"/>
      <c r="U96" s="362"/>
      <c r="V96" s="362"/>
      <c r="W96" s="362"/>
      <c r="X96" s="362"/>
      <c r="Y96" s="362"/>
      <c r="Z96" s="362"/>
      <c r="AA96" s="260"/>
      <c r="AB96" s="260"/>
    </row>
    <row r="97" spans="1:28" x14ac:dyDescent="0.2">
      <c r="A97" s="231"/>
      <c r="B97" s="323" t="s">
        <v>1096</v>
      </c>
      <c r="C97" s="226" t="s">
        <v>0</v>
      </c>
      <c r="D97" s="227" t="s">
        <v>145</v>
      </c>
      <c r="E97" s="226" t="s">
        <v>1831</v>
      </c>
      <c r="F97" s="226" t="s">
        <v>947</v>
      </c>
      <c r="G97" s="226" t="s">
        <v>36</v>
      </c>
      <c r="H97" s="229">
        <v>15</v>
      </c>
      <c r="I97" s="226" t="e">
        <f>#REF!</f>
        <v>#REF!</v>
      </c>
      <c r="J97" s="387" t="e">
        <f t="shared" si="1"/>
        <v>#REF!</v>
      </c>
      <c r="O97" s="361"/>
      <c r="P97" s="361"/>
      <c r="Q97" s="361"/>
      <c r="R97" s="361"/>
      <c r="S97" s="361"/>
      <c r="T97" s="362"/>
      <c r="U97" s="362"/>
      <c r="V97" s="362"/>
      <c r="W97" s="362"/>
      <c r="X97" s="362"/>
      <c r="Y97" s="362"/>
      <c r="Z97" s="362"/>
      <c r="AA97" s="260"/>
      <c r="AB97" s="260"/>
    </row>
    <row r="98" spans="1:28" x14ac:dyDescent="0.2">
      <c r="A98" s="231"/>
      <c r="B98" s="316" t="s">
        <v>1595</v>
      </c>
      <c r="C98" s="224" t="s">
        <v>553</v>
      </c>
      <c r="D98" s="228" t="s">
        <v>306</v>
      </c>
      <c r="E98" s="224" t="s">
        <v>1831</v>
      </c>
      <c r="F98" s="224" t="s">
        <v>583</v>
      </c>
      <c r="G98" s="224" t="s">
        <v>34</v>
      </c>
      <c r="H98" s="230">
        <v>1650</v>
      </c>
      <c r="I98" s="224" t="e">
        <f>#REF!</f>
        <v>#REF!</v>
      </c>
      <c r="J98" s="385" t="e">
        <f t="shared" si="1"/>
        <v>#REF!</v>
      </c>
      <c r="O98" s="361"/>
      <c r="P98" s="361"/>
      <c r="Q98" s="361"/>
      <c r="R98" s="361"/>
      <c r="S98" s="361"/>
      <c r="T98" s="362"/>
      <c r="U98" s="362"/>
      <c r="V98" s="362"/>
      <c r="W98" s="362"/>
      <c r="X98" s="362"/>
      <c r="Y98" s="362"/>
      <c r="Z98" s="362"/>
      <c r="AA98" s="260"/>
      <c r="AB98" s="260"/>
    </row>
    <row r="99" spans="1:28" x14ac:dyDescent="0.2">
      <c r="A99" s="231"/>
      <c r="B99" s="315" t="s">
        <v>1665</v>
      </c>
      <c r="C99" s="226" t="s">
        <v>553</v>
      </c>
      <c r="D99" s="227" t="s">
        <v>301</v>
      </c>
      <c r="E99" s="226" t="s">
        <v>1831</v>
      </c>
      <c r="F99" s="226" t="s">
        <v>583</v>
      </c>
      <c r="G99" s="226" t="s">
        <v>34</v>
      </c>
      <c r="H99" s="229">
        <v>3263.333333333333</v>
      </c>
      <c r="I99" s="226" t="e">
        <f>#REF!</f>
        <v>#REF!</v>
      </c>
      <c r="J99" s="387" t="e">
        <f t="shared" si="1"/>
        <v>#REF!</v>
      </c>
      <c r="O99" s="361"/>
      <c r="P99" s="361"/>
      <c r="Q99" s="361"/>
      <c r="R99" s="361"/>
      <c r="S99" s="361"/>
      <c r="T99" s="362"/>
      <c r="U99" s="362"/>
      <c r="V99" s="362"/>
      <c r="W99" s="362"/>
      <c r="X99" s="362"/>
      <c r="Y99" s="362"/>
      <c r="Z99" s="362"/>
      <c r="AA99" s="260"/>
      <c r="AB99" s="260"/>
    </row>
    <row r="100" spans="1:28" x14ac:dyDescent="0.2">
      <c r="A100" s="231"/>
      <c r="B100" s="322" t="s">
        <v>1626</v>
      </c>
      <c r="C100" s="224" t="s">
        <v>553</v>
      </c>
      <c r="D100" s="228" t="s">
        <v>305</v>
      </c>
      <c r="E100" s="224" t="s">
        <v>1831</v>
      </c>
      <c r="F100" s="224" t="s">
        <v>583</v>
      </c>
      <c r="G100" s="224" t="s">
        <v>34</v>
      </c>
      <c r="H100" s="230">
        <v>1796.6666666666663</v>
      </c>
      <c r="I100" s="224" t="e">
        <f>#REF!</f>
        <v>#REF!</v>
      </c>
      <c r="J100" s="385" t="e">
        <f t="shared" si="1"/>
        <v>#REF!</v>
      </c>
      <c r="O100" s="361"/>
      <c r="P100" s="361"/>
      <c r="Q100" s="361"/>
      <c r="R100" s="361"/>
      <c r="S100" s="361"/>
      <c r="T100" s="362"/>
      <c r="U100" s="362"/>
      <c r="V100" s="362"/>
      <c r="W100" s="362"/>
      <c r="X100" s="362"/>
      <c r="Y100" s="362"/>
      <c r="Z100" s="362"/>
      <c r="AA100" s="260"/>
      <c r="AB100" s="260"/>
    </row>
    <row r="101" spans="1:28" x14ac:dyDescent="0.2">
      <c r="A101" s="231"/>
      <c r="B101" s="315" t="s">
        <v>1660</v>
      </c>
      <c r="C101" s="226" t="s">
        <v>553</v>
      </c>
      <c r="D101" s="227" t="s">
        <v>302</v>
      </c>
      <c r="E101" s="226" t="s">
        <v>1831</v>
      </c>
      <c r="F101" s="226" t="s">
        <v>583</v>
      </c>
      <c r="G101" s="226" t="s">
        <v>34</v>
      </c>
      <c r="H101" s="229">
        <v>3098.333333333333</v>
      </c>
      <c r="I101" s="226" t="e">
        <f>#REF!</f>
        <v>#REF!</v>
      </c>
      <c r="J101" s="387" t="e">
        <f t="shared" si="1"/>
        <v>#REF!</v>
      </c>
      <c r="O101" s="361"/>
      <c r="P101" s="361"/>
      <c r="Q101" s="361"/>
      <c r="R101" s="361"/>
      <c r="S101" s="361"/>
      <c r="T101" s="362"/>
      <c r="U101" s="362"/>
      <c r="V101" s="362"/>
      <c r="W101" s="362"/>
      <c r="X101" s="362"/>
      <c r="Y101" s="362"/>
      <c r="Z101" s="362"/>
      <c r="AA101" s="260"/>
      <c r="AB101" s="260"/>
    </row>
    <row r="102" spans="1:28" x14ac:dyDescent="0.2">
      <c r="A102" s="231"/>
      <c r="B102" s="316" t="s">
        <v>1737</v>
      </c>
      <c r="C102" s="224" t="s">
        <v>553</v>
      </c>
      <c r="D102" s="228" t="s">
        <v>303</v>
      </c>
      <c r="E102" s="224" t="s">
        <v>1831</v>
      </c>
      <c r="F102" s="224" t="s">
        <v>583</v>
      </c>
      <c r="G102" s="224" t="s">
        <v>34</v>
      </c>
      <c r="H102" s="230">
        <v>5940</v>
      </c>
      <c r="I102" s="224" t="e">
        <f>#REF!</f>
        <v>#REF!</v>
      </c>
      <c r="J102" s="385" t="e">
        <f t="shared" si="1"/>
        <v>#REF!</v>
      </c>
      <c r="O102" s="361"/>
      <c r="P102" s="361"/>
      <c r="Q102" s="361"/>
      <c r="R102" s="361"/>
      <c r="S102" s="361"/>
      <c r="T102" s="362"/>
      <c r="U102" s="362"/>
      <c r="V102" s="362"/>
      <c r="W102" s="362"/>
      <c r="X102" s="362"/>
      <c r="Y102" s="362"/>
      <c r="Z102" s="362"/>
      <c r="AA102" s="260"/>
      <c r="AB102" s="260"/>
    </row>
    <row r="103" spans="1:28" x14ac:dyDescent="0.2">
      <c r="A103" s="231"/>
      <c r="B103" s="323" t="s">
        <v>1745</v>
      </c>
      <c r="C103" s="226" t="s">
        <v>553</v>
      </c>
      <c r="D103" s="227" t="s">
        <v>304</v>
      </c>
      <c r="E103" s="226" t="s">
        <v>1831</v>
      </c>
      <c r="F103" s="226" t="s">
        <v>583</v>
      </c>
      <c r="G103" s="226" t="s">
        <v>34</v>
      </c>
      <c r="H103" s="229">
        <v>6233.333333333333</v>
      </c>
      <c r="I103" s="226" t="e">
        <f>#REF!</f>
        <v>#REF!</v>
      </c>
      <c r="J103" s="387" t="e">
        <f t="shared" si="1"/>
        <v>#REF!</v>
      </c>
      <c r="O103" s="361"/>
      <c r="P103" s="361"/>
      <c r="Q103" s="361"/>
      <c r="R103" s="361"/>
      <c r="S103" s="361"/>
      <c r="T103" s="362"/>
      <c r="U103" s="362"/>
      <c r="V103" s="362"/>
      <c r="W103" s="362"/>
      <c r="X103" s="362"/>
      <c r="Y103" s="362"/>
      <c r="Z103" s="362"/>
      <c r="AA103" s="260"/>
      <c r="AB103" s="260"/>
    </row>
    <row r="104" spans="1:28" x14ac:dyDescent="0.2">
      <c r="A104" s="231"/>
      <c r="B104" s="316" t="s">
        <v>1369</v>
      </c>
      <c r="C104" s="224" t="s">
        <v>0</v>
      </c>
      <c r="D104" s="228" t="s">
        <v>112</v>
      </c>
      <c r="E104" s="224" t="s">
        <v>1831</v>
      </c>
      <c r="F104" s="224" t="s">
        <v>955</v>
      </c>
      <c r="G104" s="224" t="s">
        <v>33</v>
      </c>
      <c r="H104" s="230">
        <v>58.136239782016354</v>
      </c>
      <c r="I104" s="224" t="e">
        <f>#REF!</f>
        <v>#REF!</v>
      </c>
      <c r="J104" s="385" t="e">
        <f t="shared" si="1"/>
        <v>#REF!</v>
      </c>
      <c r="O104" s="361"/>
      <c r="P104" s="361"/>
      <c r="Q104" s="361"/>
      <c r="R104" s="361"/>
      <c r="S104" s="361"/>
      <c r="T104" s="362"/>
      <c r="U104" s="362"/>
      <c r="V104" s="362"/>
      <c r="W104" s="362"/>
      <c r="X104" s="362"/>
      <c r="Y104" s="362"/>
      <c r="Z104" s="362"/>
      <c r="AA104" s="260"/>
      <c r="AB104" s="260"/>
    </row>
    <row r="105" spans="1:28" x14ac:dyDescent="0.2">
      <c r="A105" s="231"/>
      <c r="B105" s="315" t="s">
        <v>1371</v>
      </c>
      <c r="C105" s="226" t="s">
        <v>0</v>
      </c>
      <c r="D105" s="227" t="s">
        <v>113</v>
      </c>
      <c r="E105" s="226" t="s">
        <v>1831</v>
      </c>
      <c r="F105" s="226" t="s">
        <v>955</v>
      </c>
      <c r="G105" s="226" t="s">
        <v>33</v>
      </c>
      <c r="H105" s="229">
        <v>62.949318801089916</v>
      </c>
      <c r="I105" s="226" t="e">
        <f>#REF!</f>
        <v>#REF!</v>
      </c>
      <c r="J105" s="387" t="e">
        <f t="shared" si="1"/>
        <v>#REF!</v>
      </c>
      <c r="O105" s="361"/>
      <c r="P105" s="361"/>
      <c r="Q105" s="361"/>
      <c r="R105" s="361"/>
      <c r="S105" s="361"/>
      <c r="T105" s="362"/>
      <c r="U105" s="362"/>
      <c r="V105" s="362"/>
      <c r="W105" s="362"/>
      <c r="X105" s="362"/>
      <c r="Y105" s="362"/>
      <c r="Z105" s="362"/>
      <c r="AA105" s="260"/>
      <c r="AB105" s="260"/>
    </row>
    <row r="106" spans="1:28" x14ac:dyDescent="0.2">
      <c r="A106" s="231"/>
      <c r="B106" s="316" t="s">
        <v>1365</v>
      </c>
      <c r="C106" s="224" t="s">
        <v>0</v>
      </c>
      <c r="D106" s="228" t="s">
        <v>114</v>
      </c>
      <c r="E106" s="224" t="s">
        <v>1831</v>
      </c>
      <c r="F106" s="224" t="s">
        <v>955</v>
      </c>
      <c r="G106" s="224" t="s">
        <v>33</v>
      </c>
      <c r="H106" s="230">
        <v>48.536239782016345</v>
      </c>
      <c r="I106" s="224" t="e">
        <f>#REF!</f>
        <v>#REF!</v>
      </c>
      <c r="J106" s="385" t="e">
        <f t="shared" si="1"/>
        <v>#REF!</v>
      </c>
      <c r="O106" s="361"/>
      <c r="P106" s="361"/>
      <c r="Q106" s="361"/>
      <c r="R106" s="361"/>
      <c r="S106" s="361"/>
      <c r="T106" s="362"/>
      <c r="U106" s="362"/>
      <c r="V106" s="362"/>
      <c r="W106" s="362"/>
      <c r="X106" s="362"/>
      <c r="Y106" s="362"/>
      <c r="Z106" s="362"/>
      <c r="AA106" s="260"/>
      <c r="AB106" s="260"/>
    </row>
    <row r="107" spans="1:28" x14ac:dyDescent="0.2">
      <c r="A107" s="231"/>
      <c r="B107" s="315" t="s">
        <v>1099</v>
      </c>
      <c r="C107" s="226" t="s">
        <v>0</v>
      </c>
      <c r="D107" s="227" t="s">
        <v>136</v>
      </c>
      <c r="E107" s="226" t="s">
        <v>1831</v>
      </c>
      <c r="F107" s="226" t="s">
        <v>947</v>
      </c>
      <c r="G107" s="226" t="s">
        <v>703</v>
      </c>
      <c r="H107" s="229">
        <v>4.2857142857142856</v>
      </c>
      <c r="I107" s="226" t="e">
        <f>#REF!</f>
        <v>#REF!</v>
      </c>
      <c r="J107" s="387" t="e">
        <f t="shared" si="1"/>
        <v>#REF!</v>
      </c>
      <c r="O107" s="361"/>
      <c r="P107" s="361"/>
      <c r="Q107" s="361"/>
      <c r="R107" s="361"/>
      <c r="S107" s="361"/>
      <c r="T107" s="362"/>
      <c r="U107" s="362"/>
      <c r="V107" s="362"/>
      <c r="W107" s="362"/>
      <c r="X107" s="362"/>
      <c r="Y107" s="362"/>
      <c r="Z107" s="362"/>
      <c r="AA107" s="260"/>
      <c r="AB107" s="260"/>
    </row>
    <row r="108" spans="1:28" x14ac:dyDescent="0.2">
      <c r="A108" s="231" t="s">
        <v>2118</v>
      </c>
      <c r="B108" s="316" t="s">
        <v>1101</v>
      </c>
      <c r="C108" s="224" t="s">
        <v>0</v>
      </c>
      <c r="D108" s="228" t="s">
        <v>129</v>
      </c>
      <c r="E108" s="224" t="s">
        <v>1831</v>
      </c>
      <c r="F108" s="224" t="s">
        <v>947</v>
      </c>
      <c r="G108" s="224" t="s">
        <v>36</v>
      </c>
      <c r="H108" s="230">
        <v>4.7142857142857144</v>
      </c>
      <c r="I108" s="224" t="e">
        <f>#REF!</f>
        <v>#REF!</v>
      </c>
      <c r="J108" s="385" t="e">
        <f t="shared" si="1"/>
        <v>#REF!</v>
      </c>
      <c r="O108" s="361"/>
      <c r="P108" s="361"/>
      <c r="Q108" s="361"/>
      <c r="R108" s="361"/>
      <c r="S108" s="361"/>
      <c r="T108" s="362"/>
      <c r="U108" s="362"/>
      <c r="V108" s="362"/>
      <c r="W108" s="362"/>
      <c r="X108" s="362"/>
      <c r="Y108" s="362"/>
      <c r="Z108" s="362"/>
      <c r="AA108" s="260"/>
      <c r="AB108" s="260"/>
    </row>
    <row r="109" spans="1:28" x14ac:dyDescent="0.2">
      <c r="A109" s="231"/>
      <c r="B109" s="315" t="s">
        <v>1102</v>
      </c>
      <c r="C109" s="226" t="s">
        <v>0</v>
      </c>
      <c r="D109" s="227" t="s">
        <v>709</v>
      </c>
      <c r="E109" s="226" t="s">
        <v>1831</v>
      </c>
      <c r="F109" s="226" t="s">
        <v>947</v>
      </c>
      <c r="G109" s="226" t="s">
        <v>36</v>
      </c>
      <c r="H109" s="229">
        <v>5.5714285714285712</v>
      </c>
      <c r="I109" s="226" t="e">
        <f>#REF!</f>
        <v>#REF!</v>
      </c>
      <c r="J109" s="387" t="e">
        <f t="shared" si="1"/>
        <v>#REF!</v>
      </c>
      <c r="O109" s="361"/>
      <c r="P109" s="361"/>
      <c r="Q109" s="361"/>
      <c r="R109" s="361"/>
      <c r="S109" s="361"/>
      <c r="T109" s="362"/>
      <c r="U109" s="362"/>
      <c r="V109" s="362"/>
      <c r="W109" s="362"/>
      <c r="X109" s="362"/>
      <c r="Y109" s="362"/>
      <c r="Z109" s="362"/>
      <c r="AA109" s="260"/>
      <c r="AB109" s="260"/>
    </row>
    <row r="110" spans="1:28" x14ac:dyDescent="0.2">
      <c r="A110" s="231" t="s">
        <v>2118</v>
      </c>
      <c r="B110" s="316" t="s">
        <v>1103</v>
      </c>
      <c r="C110" s="224" t="s">
        <v>0</v>
      </c>
      <c r="D110" s="228" t="s">
        <v>134</v>
      </c>
      <c r="E110" s="224" t="s">
        <v>1831</v>
      </c>
      <c r="F110" s="224" t="s">
        <v>947</v>
      </c>
      <c r="G110" s="224" t="s">
        <v>36</v>
      </c>
      <c r="H110" s="230">
        <v>6.1714285714285708</v>
      </c>
      <c r="I110" s="224" t="e">
        <f>#REF!</f>
        <v>#REF!</v>
      </c>
      <c r="J110" s="385" t="e">
        <f t="shared" si="1"/>
        <v>#REF!</v>
      </c>
      <c r="O110" s="361"/>
      <c r="P110" s="361"/>
      <c r="Q110" s="361"/>
      <c r="R110" s="361"/>
      <c r="S110" s="361"/>
      <c r="T110" s="362"/>
      <c r="U110" s="362"/>
      <c r="V110" s="362"/>
      <c r="W110" s="362"/>
      <c r="X110" s="362"/>
      <c r="Y110" s="362"/>
      <c r="Z110" s="362"/>
      <c r="AA110" s="260"/>
      <c r="AB110" s="260"/>
    </row>
    <row r="111" spans="1:28" x14ac:dyDescent="0.2">
      <c r="A111" s="231" t="s">
        <v>2118</v>
      </c>
      <c r="B111" s="315" t="s">
        <v>1104</v>
      </c>
      <c r="C111" s="226" t="s">
        <v>0</v>
      </c>
      <c r="D111" s="227" t="s">
        <v>137</v>
      </c>
      <c r="E111" s="226" t="s">
        <v>1831</v>
      </c>
      <c r="F111" s="226" t="s">
        <v>947</v>
      </c>
      <c r="G111" s="226" t="s">
        <v>36</v>
      </c>
      <c r="H111" s="229">
        <v>7.9285714285714288</v>
      </c>
      <c r="I111" s="226" t="e">
        <f>#REF!</f>
        <v>#REF!</v>
      </c>
      <c r="J111" s="387" t="e">
        <f t="shared" si="1"/>
        <v>#REF!</v>
      </c>
      <c r="O111" s="361"/>
      <c r="P111" s="361"/>
      <c r="Q111" s="361"/>
      <c r="R111" s="361"/>
      <c r="S111" s="361"/>
      <c r="T111" s="362"/>
      <c r="U111" s="362"/>
      <c r="V111" s="362"/>
      <c r="W111" s="362"/>
      <c r="X111" s="362"/>
      <c r="Y111" s="362"/>
      <c r="Z111" s="362"/>
      <c r="AA111" s="260"/>
      <c r="AB111" s="260"/>
    </row>
    <row r="112" spans="1:28" x14ac:dyDescent="0.2">
      <c r="A112" s="231"/>
      <c r="B112" s="322" t="s">
        <v>1105</v>
      </c>
      <c r="C112" s="224" t="s">
        <v>0</v>
      </c>
      <c r="D112" s="228" t="s">
        <v>710</v>
      </c>
      <c r="E112" s="224" t="s">
        <v>1831</v>
      </c>
      <c r="F112" s="224" t="s">
        <v>947</v>
      </c>
      <c r="G112" s="224" t="s">
        <v>36</v>
      </c>
      <c r="H112" s="230">
        <v>9.4285714285714288</v>
      </c>
      <c r="I112" s="224" t="e">
        <f>#REF!</f>
        <v>#REF!</v>
      </c>
      <c r="J112" s="385" t="e">
        <f t="shared" si="1"/>
        <v>#REF!</v>
      </c>
      <c r="O112" s="361"/>
      <c r="P112" s="361"/>
      <c r="Q112" s="361"/>
      <c r="R112" s="361"/>
      <c r="S112" s="361"/>
      <c r="T112" s="362"/>
      <c r="U112" s="362"/>
      <c r="V112" s="362"/>
      <c r="W112" s="362"/>
      <c r="X112" s="362"/>
      <c r="Y112" s="362"/>
      <c r="Z112" s="362"/>
      <c r="AA112" s="260"/>
      <c r="AB112" s="260"/>
    </row>
    <row r="113" spans="1:28" x14ac:dyDescent="0.2">
      <c r="A113" s="231" t="s">
        <v>2118</v>
      </c>
      <c r="B113" s="315" t="s">
        <v>1106</v>
      </c>
      <c r="C113" s="226" t="s">
        <v>0</v>
      </c>
      <c r="D113" s="227" t="s">
        <v>132</v>
      </c>
      <c r="E113" s="226" t="s">
        <v>1831</v>
      </c>
      <c r="F113" s="226" t="s">
        <v>947</v>
      </c>
      <c r="G113" s="226" t="s">
        <v>36</v>
      </c>
      <c r="H113" s="229">
        <v>10.714285714285714</v>
      </c>
      <c r="I113" s="226" t="e">
        <f>#REF!</f>
        <v>#REF!</v>
      </c>
      <c r="J113" s="387" t="e">
        <f t="shared" si="1"/>
        <v>#REF!</v>
      </c>
      <c r="O113" s="361"/>
      <c r="P113" s="361"/>
      <c r="Q113" s="361"/>
      <c r="R113" s="361"/>
      <c r="S113" s="361"/>
      <c r="T113" s="362"/>
      <c r="U113" s="362"/>
      <c r="V113" s="362"/>
      <c r="W113" s="362"/>
      <c r="X113" s="362"/>
      <c r="Y113" s="362"/>
      <c r="Z113" s="362"/>
      <c r="AA113" s="260"/>
      <c r="AB113" s="260"/>
    </row>
    <row r="114" spans="1:28" x14ac:dyDescent="0.2">
      <c r="A114" s="231"/>
      <c r="B114" s="316" t="s">
        <v>1107</v>
      </c>
      <c r="C114" s="224" t="s">
        <v>0</v>
      </c>
      <c r="D114" s="228" t="s">
        <v>141</v>
      </c>
      <c r="E114" s="224" t="s">
        <v>1831</v>
      </c>
      <c r="F114" s="224" t="s">
        <v>947</v>
      </c>
      <c r="G114" s="224" t="s">
        <v>36</v>
      </c>
      <c r="H114" s="230">
        <v>13.714285714285712</v>
      </c>
      <c r="I114" s="224" t="e">
        <f>#REF!</f>
        <v>#REF!</v>
      </c>
      <c r="J114" s="385" t="e">
        <f t="shared" si="1"/>
        <v>#REF!</v>
      </c>
      <c r="O114" s="361"/>
      <c r="P114" s="361"/>
      <c r="Q114" s="361"/>
      <c r="R114" s="361"/>
      <c r="S114" s="361"/>
      <c r="T114" s="362"/>
      <c r="U114" s="362"/>
      <c r="V114" s="362"/>
      <c r="W114" s="362"/>
      <c r="X114" s="362"/>
      <c r="Y114" s="362"/>
      <c r="Z114" s="362"/>
      <c r="AA114" s="260"/>
      <c r="AB114" s="260"/>
    </row>
    <row r="115" spans="1:28" x14ac:dyDescent="0.2">
      <c r="A115" s="231"/>
      <c r="B115" s="315" t="s">
        <v>1108</v>
      </c>
      <c r="C115" s="226" t="s">
        <v>0</v>
      </c>
      <c r="D115" s="227" t="s">
        <v>711</v>
      </c>
      <c r="E115" s="226" t="s">
        <v>1831</v>
      </c>
      <c r="F115" s="226" t="s">
        <v>947</v>
      </c>
      <c r="G115" s="226" t="s">
        <v>36</v>
      </c>
      <c r="H115" s="229">
        <v>18.428571428571423</v>
      </c>
      <c r="I115" s="226" t="e">
        <f>#REF!</f>
        <v>#REF!</v>
      </c>
      <c r="J115" s="387" t="e">
        <f t="shared" si="1"/>
        <v>#REF!</v>
      </c>
      <c r="O115" s="361"/>
      <c r="P115" s="361"/>
      <c r="Q115" s="361"/>
      <c r="R115" s="361"/>
      <c r="S115" s="361"/>
      <c r="T115" s="362"/>
      <c r="U115" s="362"/>
      <c r="V115" s="362"/>
      <c r="W115" s="362"/>
      <c r="X115" s="362"/>
      <c r="Y115" s="362"/>
      <c r="Z115" s="362"/>
      <c r="AA115" s="260"/>
      <c r="AB115" s="260"/>
    </row>
    <row r="116" spans="1:28" x14ac:dyDescent="0.2">
      <c r="A116" s="231"/>
      <c r="B116" s="322" t="s">
        <v>1398</v>
      </c>
      <c r="C116" s="224" t="s">
        <v>0</v>
      </c>
      <c r="D116" s="228" t="s">
        <v>148</v>
      </c>
      <c r="E116" s="224" t="s">
        <v>1831</v>
      </c>
      <c r="F116" s="224" t="s">
        <v>585</v>
      </c>
      <c r="G116" s="224" t="s">
        <v>37</v>
      </c>
      <c r="H116" s="230">
        <v>70.954999999999984</v>
      </c>
      <c r="I116" s="224" t="e">
        <f>#REF!</f>
        <v>#REF!</v>
      </c>
      <c r="J116" s="385" t="e">
        <f t="shared" si="1"/>
        <v>#REF!</v>
      </c>
      <c r="O116" s="361"/>
      <c r="P116" s="361"/>
      <c r="Q116" s="361"/>
      <c r="R116" s="361"/>
      <c r="S116" s="361"/>
      <c r="T116" s="362"/>
      <c r="U116" s="362"/>
      <c r="V116" s="362"/>
      <c r="W116" s="362"/>
      <c r="X116" s="362"/>
      <c r="Y116" s="362"/>
      <c r="Z116" s="362"/>
      <c r="AA116" s="260"/>
      <c r="AB116" s="260"/>
    </row>
    <row r="117" spans="1:28" x14ac:dyDescent="0.2">
      <c r="A117" s="231"/>
      <c r="B117" s="315" t="s">
        <v>1301</v>
      </c>
      <c r="C117" s="226" t="s">
        <v>0</v>
      </c>
      <c r="D117" s="227" t="s">
        <v>604</v>
      </c>
      <c r="E117" s="226" t="s">
        <v>1831</v>
      </c>
      <c r="F117" s="226" t="s">
        <v>955</v>
      </c>
      <c r="G117" s="226" t="s">
        <v>602</v>
      </c>
      <c r="H117" s="229">
        <v>19.166666666666664</v>
      </c>
      <c r="I117" s="226" t="e">
        <f>#REF!</f>
        <v>#REF!</v>
      </c>
      <c r="J117" s="387" t="e">
        <f t="shared" si="1"/>
        <v>#REF!</v>
      </c>
      <c r="O117" s="361"/>
      <c r="P117" s="361"/>
      <c r="Q117" s="361"/>
      <c r="R117" s="361"/>
      <c r="S117" s="361"/>
      <c r="T117" s="362"/>
      <c r="U117" s="362"/>
      <c r="V117" s="362"/>
      <c r="W117" s="362"/>
      <c r="X117" s="362"/>
      <c r="Y117" s="362"/>
      <c r="Z117" s="362"/>
      <c r="AA117" s="260"/>
      <c r="AB117" s="260"/>
    </row>
    <row r="118" spans="1:28" x14ac:dyDescent="0.2">
      <c r="A118" s="231"/>
      <c r="B118" s="316" t="s">
        <v>1343</v>
      </c>
      <c r="C118" s="224" t="s">
        <v>0</v>
      </c>
      <c r="D118" s="228" t="s">
        <v>605</v>
      </c>
      <c r="E118" s="224" t="s">
        <v>1831</v>
      </c>
      <c r="F118" s="224" t="s">
        <v>955</v>
      </c>
      <c r="G118" s="224" t="s">
        <v>602</v>
      </c>
      <c r="H118" s="230">
        <v>39.000000000000007</v>
      </c>
      <c r="I118" s="224" t="e">
        <f>#REF!</f>
        <v>#REF!</v>
      </c>
      <c r="J118" s="385" t="e">
        <f t="shared" si="1"/>
        <v>#REF!</v>
      </c>
      <c r="O118" s="361"/>
      <c r="P118" s="361"/>
      <c r="Q118" s="361"/>
      <c r="R118" s="361"/>
      <c r="S118" s="361"/>
      <c r="T118" s="362"/>
      <c r="U118" s="362"/>
      <c r="V118" s="362"/>
      <c r="W118" s="362"/>
      <c r="X118" s="362"/>
      <c r="Y118" s="362"/>
      <c r="Z118" s="362"/>
      <c r="AA118" s="260"/>
      <c r="AB118" s="260"/>
    </row>
    <row r="119" spans="1:28" x14ac:dyDescent="0.2">
      <c r="A119" s="231"/>
      <c r="B119" s="315" t="s">
        <v>1109</v>
      </c>
      <c r="C119" s="226" t="s">
        <v>0</v>
      </c>
      <c r="D119" s="227" t="s">
        <v>704</v>
      </c>
      <c r="E119" s="226" t="s">
        <v>1831</v>
      </c>
      <c r="F119" s="226" t="s">
        <v>947</v>
      </c>
      <c r="G119" s="226" t="s">
        <v>36</v>
      </c>
      <c r="H119" s="229">
        <v>3.4285714285714279</v>
      </c>
      <c r="I119" s="226" t="e">
        <f>#REF!</f>
        <v>#REF!</v>
      </c>
      <c r="J119" s="387" t="e">
        <f t="shared" si="1"/>
        <v>#REF!</v>
      </c>
      <c r="O119" s="361"/>
      <c r="P119" s="361"/>
      <c r="Q119" s="361"/>
      <c r="R119" s="361"/>
      <c r="S119" s="361"/>
      <c r="T119" s="362"/>
      <c r="U119" s="362"/>
      <c r="V119" s="362"/>
      <c r="W119" s="362"/>
      <c r="X119" s="362"/>
      <c r="Y119" s="362"/>
      <c r="Z119" s="362"/>
      <c r="AA119" s="260"/>
      <c r="AB119" s="260"/>
    </row>
    <row r="120" spans="1:28" x14ac:dyDescent="0.2">
      <c r="A120" s="231"/>
      <c r="B120" s="316" t="s">
        <v>1110</v>
      </c>
      <c r="C120" s="224" t="s">
        <v>0</v>
      </c>
      <c r="D120" s="228" t="s">
        <v>708</v>
      </c>
      <c r="E120" s="224" t="s">
        <v>1831</v>
      </c>
      <c r="F120" s="224" t="s">
        <v>947</v>
      </c>
      <c r="G120" s="224" t="s">
        <v>36</v>
      </c>
      <c r="H120" s="230">
        <v>3.8571428571428572</v>
      </c>
      <c r="I120" s="224" t="e">
        <f>#REF!</f>
        <v>#REF!</v>
      </c>
      <c r="J120" s="385" t="e">
        <f t="shared" si="1"/>
        <v>#REF!</v>
      </c>
      <c r="O120" s="361"/>
      <c r="P120" s="361"/>
      <c r="Q120" s="361"/>
      <c r="R120" s="361"/>
      <c r="S120" s="361"/>
      <c r="T120" s="362"/>
      <c r="U120" s="362"/>
      <c r="V120" s="362"/>
      <c r="W120" s="362"/>
      <c r="X120" s="362"/>
      <c r="Y120" s="362"/>
      <c r="Z120" s="362"/>
      <c r="AA120" s="260"/>
      <c r="AB120" s="260"/>
    </row>
    <row r="121" spans="1:28" x14ac:dyDescent="0.2">
      <c r="A121" s="231"/>
      <c r="B121" s="315" t="s">
        <v>1208</v>
      </c>
      <c r="C121" s="226" t="s">
        <v>0</v>
      </c>
      <c r="D121" s="227" t="s">
        <v>105</v>
      </c>
      <c r="E121" s="226" t="s">
        <v>1831</v>
      </c>
      <c r="F121" s="226" t="s">
        <v>955</v>
      </c>
      <c r="G121" s="226" t="s">
        <v>33</v>
      </c>
      <c r="H121" s="229">
        <v>16.751666666666665</v>
      </c>
      <c r="I121" s="226" t="e">
        <f>#REF!</f>
        <v>#REF!</v>
      </c>
      <c r="J121" s="387" t="e">
        <f t="shared" si="1"/>
        <v>#REF!</v>
      </c>
      <c r="O121" s="361"/>
      <c r="P121" s="361"/>
      <c r="Q121" s="361"/>
      <c r="R121" s="361"/>
      <c r="S121" s="361"/>
      <c r="T121" s="362"/>
      <c r="U121" s="362"/>
      <c r="V121" s="362"/>
      <c r="W121" s="362"/>
      <c r="X121" s="362"/>
      <c r="Y121" s="362"/>
      <c r="Z121" s="362"/>
      <c r="AA121" s="260"/>
      <c r="AB121" s="260"/>
    </row>
    <row r="122" spans="1:28" x14ac:dyDescent="0.2">
      <c r="A122" s="231"/>
      <c r="B122" s="322" t="s">
        <v>1010</v>
      </c>
      <c r="C122" s="224" t="s">
        <v>0</v>
      </c>
      <c r="D122" s="228" t="s">
        <v>155</v>
      </c>
      <c r="E122" s="224" t="s">
        <v>1831</v>
      </c>
      <c r="F122" s="224" t="s">
        <v>955</v>
      </c>
      <c r="G122" s="224" t="s">
        <v>39</v>
      </c>
      <c r="H122" s="230">
        <v>38.286910889090727</v>
      </c>
      <c r="I122" s="224" t="e">
        <f>#REF!</f>
        <v>#REF!</v>
      </c>
      <c r="J122" s="385" t="e">
        <f t="shared" si="1"/>
        <v>#REF!</v>
      </c>
      <c r="O122" s="361"/>
      <c r="P122" s="361"/>
      <c r="Q122" s="361"/>
      <c r="R122" s="361"/>
      <c r="S122" s="361"/>
      <c r="T122" s="362"/>
      <c r="U122" s="362"/>
      <c r="V122" s="362"/>
      <c r="W122" s="362"/>
      <c r="X122" s="362"/>
      <c r="Y122" s="362"/>
      <c r="Z122" s="362"/>
      <c r="AA122" s="260"/>
      <c r="AB122" s="260"/>
    </row>
    <row r="123" spans="1:28" x14ac:dyDescent="0.2">
      <c r="A123" s="231"/>
      <c r="B123" s="315" t="s">
        <v>1011</v>
      </c>
      <c r="C123" s="226" t="s">
        <v>0</v>
      </c>
      <c r="D123" s="227" t="s">
        <v>158</v>
      </c>
      <c r="E123" s="226" t="s">
        <v>1831</v>
      </c>
      <c r="F123" s="226" t="s">
        <v>955</v>
      </c>
      <c r="G123" s="226" t="s">
        <v>39</v>
      </c>
      <c r="H123" s="229">
        <v>56.92668281360379</v>
      </c>
      <c r="I123" s="226" t="e">
        <f>#REF!</f>
        <v>#REF!</v>
      </c>
      <c r="J123" s="387" t="e">
        <f t="shared" si="1"/>
        <v>#REF!</v>
      </c>
      <c r="O123" s="361"/>
      <c r="P123" s="361"/>
      <c r="Q123" s="361"/>
      <c r="R123" s="361"/>
      <c r="S123" s="361"/>
      <c r="T123" s="362"/>
      <c r="U123" s="362"/>
      <c r="V123" s="362"/>
      <c r="W123" s="362"/>
      <c r="X123" s="362"/>
      <c r="Y123" s="362"/>
      <c r="Z123" s="362"/>
      <c r="AA123" s="260"/>
      <c r="AB123" s="260"/>
    </row>
    <row r="124" spans="1:28" x14ac:dyDescent="0.2">
      <c r="A124" s="231"/>
      <c r="B124" s="316" t="s">
        <v>1012</v>
      </c>
      <c r="C124" s="224" t="s">
        <v>0</v>
      </c>
      <c r="D124" s="228" t="s">
        <v>162</v>
      </c>
      <c r="E124" s="224" t="s">
        <v>1831</v>
      </c>
      <c r="F124" s="224" t="s">
        <v>955</v>
      </c>
      <c r="G124" s="224" t="s">
        <v>39</v>
      </c>
      <c r="H124" s="230">
        <v>194.44621051569277</v>
      </c>
      <c r="I124" s="224" t="e">
        <f>#REF!</f>
        <v>#REF!</v>
      </c>
      <c r="J124" s="385" t="e">
        <f t="shared" si="1"/>
        <v>#REF!</v>
      </c>
      <c r="O124" s="361"/>
      <c r="P124" s="361"/>
      <c r="Q124" s="361"/>
      <c r="R124" s="361"/>
      <c r="S124" s="361"/>
      <c r="T124" s="362"/>
      <c r="U124" s="362"/>
      <c r="V124" s="362"/>
      <c r="W124" s="362"/>
      <c r="X124" s="362"/>
      <c r="Y124" s="362"/>
      <c r="Z124" s="362"/>
      <c r="AA124" s="260"/>
      <c r="AB124" s="260"/>
    </row>
    <row r="125" spans="1:28" x14ac:dyDescent="0.2">
      <c r="A125" s="231"/>
      <c r="B125" s="315" t="s">
        <v>1123</v>
      </c>
      <c r="C125" s="226" t="s">
        <v>0</v>
      </c>
      <c r="D125" s="227" t="s">
        <v>156</v>
      </c>
      <c r="E125" s="226" t="s">
        <v>1831</v>
      </c>
      <c r="F125" s="226" t="s">
        <v>947</v>
      </c>
      <c r="G125" s="226" t="s">
        <v>39</v>
      </c>
      <c r="H125" s="229">
        <v>67.799999999999983</v>
      </c>
      <c r="I125" s="226" t="e">
        <f>#REF!</f>
        <v>#REF!</v>
      </c>
      <c r="J125" s="387" t="e">
        <f t="shared" si="1"/>
        <v>#REF!</v>
      </c>
      <c r="O125" s="361"/>
      <c r="P125" s="361"/>
      <c r="Q125" s="361"/>
      <c r="R125" s="361"/>
      <c r="S125" s="361"/>
      <c r="T125" s="362"/>
      <c r="U125" s="362"/>
      <c r="V125" s="362"/>
      <c r="W125" s="362"/>
      <c r="X125" s="362"/>
      <c r="Y125" s="362"/>
      <c r="Z125" s="362"/>
      <c r="AA125" s="260"/>
      <c r="AB125" s="260"/>
    </row>
    <row r="126" spans="1:28" x14ac:dyDescent="0.2">
      <c r="A126" s="231"/>
      <c r="B126" s="316" t="s">
        <v>1125</v>
      </c>
      <c r="C126" s="224" t="s">
        <v>0</v>
      </c>
      <c r="D126" s="228" t="s">
        <v>161</v>
      </c>
      <c r="E126" s="224" t="s">
        <v>1831</v>
      </c>
      <c r="F126" s="224" t="s">
        <v>947</v>
      </c>
      <c r="G126" s="224" t="s">
        <v>39</v>
      </c>
      <c r="H126" s="230">
        <v>85.007084468664843</v>
      </c>
      <c r="I126" s="224" t="e">
        <f>#REF!</f>
        <v>#REF!</v>
      </c>
      <c r="J126" s="385" t="e">
        <f t="shared" si="1"/>
        <v>#REF!</v>
      </c>
      <c r="O126" s="361"/>
      <c r="P126" s="361"/>
      <c r="Q126" s="361"/>
      <c r="R126" s="361"/>
      <c r="S126" s="361"/>
      <c r="T126" s="362"/>
      <c r="U126" s="362"/>
      <c r="V126" s="362"/>
      <c r="W126" s="362"/>
      <c r="X126" s="362"/>
      <c r="Y126" s="362"/>
      <c r="Z126" s="362"/>
      <c r="AA126" s="260"/>
      <c r="AB126" s="260"/>
    </row>
    <row r="127" spans="1:28" x14ac:dyDescent="0.2">
      <c r="A127" s="231" t="s">
        <v>2118</v>
      </c>
      <c r="B127" s="323" t="s">
        <v>1006</v>
      </c>
      <c r="C127" s="226" t="s">
        <v>0</v>
      </c>
      <c r="D127" s="227" t="s">
        <v>555</v>
      </c>
      <c r="E127" s="226" t="s">
        <v>1831</v>
      </c>
      <c r="F127" s="226" t="s">
        <v>955</v>
      </c>
      <c r="G127" s="226" t="s">
        <v>40</v>
      </c>
      <c r="H127" s="229">
        <v>1.0800000000000003</v>
      </c>
      <c r="I127" s="226" t="e">
        <f>#REF!</f>
        <v>#REF!</v>
      </c>
      <c r="J127" s="387" t="e">
        <f t="shared" si="1"/>
        <v>#REF!</v>
      </c>
      <c r="O127" s="361"/>
      <c r="P127" s="361"/>
      <c r="Q127" s="361"/>
      <c r="R127" s="361"/>
      <c r="S127" s="361"/>
      <c r="T127" s="362"/>
      <c r="U127" s="362"/>
      <c r="V127" s="362"/>
      <c r="W127" s="362"/>
      <c r="X127" s="362"/>
      <c r="Y127" s="362"/>
      <c r="Z127" s="362"/>
      <c r="AA127" s="260"/>
      <c r="AB127" s="260"/>
    </row>
    <row r="128" spans="1:28" x14ac:dyDescent="0.2">
      <c r="A128" s="231"/>
      <c r="B128" s="316" t="s">
        <v>1320</v>
      </c>
      <c r="C128" s="224" t="s">
        <v>0</v>
      </c>
      <c r="D128" s="228" t="s">
        <v>98</v>
      </c>
      <c r="E128" s="224" t="s">
        <v>1831</v>
      </c>
      <c r="F128" s="224" t="s">
        <v>955</v>
      </c>
      <c r="G128" s="224" t="s">
        <v>33</v>
      </c>
      <c r="H128" s="230">
        <v>32.199999999999996</v>
      </c>
      <c r="I128" s="224" t="e">
        <f>#REF!</f>
        <v>#REF!</v>
      </c>
      <c r="J128" s="385" t="e">
        <f t="shared" si="1"/>
        <v>#REF!</v>
      </c>
      <c r="O128" s="361"/>
      <c r="P128" s="361"/>
      <c r="Q128" s="361"/>
      <c r="R128" s="361"/>
      <c r="S128" s="361"/>
      <c r="T128" s="362"/>
      <c r="U128" s="362"/>
      <c r="V128" s="362"/>
      <c r="W128" s="362"/>
      <c r="X128" s="362"/>
      <c r="Y128" s="362"/>
      <c r="Z128" s="362"/>
      <c r="AA128" s="260"/>
      <c r="AB128" s="260"/>
    </row>
    <row r="129" spans="1:28" x14ac:dyDescent="0.2">
      <c r="A129" s="231"/>
      <c r="B129" s="315" t="s">
        <v>1355</v>
      </c>
      <c r="C129" s="226" t="s">
        <v>0</v>
      </c>
      <c r="D129" s="227" t="s">
        <v>603</v>
      </c>
      <c r="E129" s="226" t="s">
        <v>1831</v>
      </c>
      <c r="F129" s="226" t="s">
        <v>955</v>
      </c>
      <c r="G129" s="226" t="s">
        <v>602</v>
      </c>
      <c r="H129" s="229">
        <v>42.243333333333318</v>
      </c>
      <c r="I129" s="226" t="e">
        <f>#REF!</f>
        <v>#REF!</v>
      </c>
      <c r="J129" s="387" t="e">
        <f t="shared" si="1"/>
        <v>#REF!</v>
      </c>
      <c r="O129" s="361"/>
      <c r="P129" s="361"/>
      <c r="Q129" s="361"/>
      <c r="R129" s="361"/>
      <c r="S129" s="361"/>
      <c r="T129" s="362"/>
      <c r="U129" s="362"/>
      <c r="V129" s="362"/>
      <c r="W129" s="362"/>
      <c r="X129" s="362"/>
      <c r="Y129" s="362"/>
      <c r="Z129" s="362"/>
      <c r="AA129" s="260"/>
      <c r="AB129" s="260"/>
    </row>
    <row r="130" spans="1:28" x14ac:dyDescent="0.2">
      <c r="A130" s="231"/>
      <c r="B130" s="316" t="s">
        <v>1356</v>
      </c>
      <c r="C130" s="224" t="s">
        <v>0</v>
      </c>
      <c r="D130" s="228" t="s">
        <v>601</v>
      </c>
      <c r="E130" s="224" t="s">
        <v>1831</v>
      </c>
      <c r="F130" s="224" t="s">
        <v>955</v>
      </c>
      <c r="G130" s="224" t="s">
        <v>602</v>
      </c>
      <c r="H130" s="230">
        <v>42.243333333333318</v>
      </c>
      <c r="I130" s="224" t="e">
        <f>#REF!</f>
        <v>#REF!</v>
      </c>
      <c r="J130" s="385" t="e">
        <f t="shared" si="1"/>
        <v>#REF!</v>
      </c>
      <c r="O130" s="361"/>
      <c r="P130" s="361"/>
      <c r="Q130" s="361"/>
      <c r="R130" s="361"/>
      <c r="S130" s="361"/>
      <c r="T130" s="362"/>
      <c r="U130" s="362"/>
      <c r="V130" s="362"/>
      <c r="W130" s="362"/>
      <c r="X130" s="362"/>
      <c r="Y130" s="362"/>
      <c r="Z130" s="362"/>
      <c r="AA130" s="260"/>
      <c r="AB130" s="260"/>
    </row>
    <row r="131" spans="1:28" x14ac:dyDescent="0.2">
      <c r="A131" s="231"/>
      <c r="B131" s="315" t="s">
        <v>1017</v>
      </c>
      <c r="C131" s="226" t="s">
        <v>0</v>
      </c>
      <c r="D131" s="227" t="s">
        <v>135</v>
      </c>
      <c r="E131" s="226" t="s">
        <v>1831</v>
      </c>
      <c r="F131" s="226" t="s">
        <v>955</v>
      </c>
      <c r="G131" s="226" t="s">
        <v>36</v>
      </c>
      <c r="H131" s="229">
        <v>38.304319305681702</v>
      </c>
      <c r="I131" s="226" t="e">
        <f>#REF!</f>
        <v>#REF!</v>
      </c>
      <c r="J131" s="387" t="e">
        <f t="shared" si="1"/>
        <v>#REF!</v>
      </c>
      <c r="O131" s="361"/>
      <c r="P131" s="361"/>
      <c r="Q131" s="361"/>
      <c r="R131" s="361"/>
      <c r="S131" s="361"/>
      <c r="T131" s="362"/>
      <c r="U131" s="362"/>
      <c r="V131" s="362"/>
      <c r="W131" s="362"/>
      <c r="X131" s="362"/>
      <c r="Y131" s="362"/>
      <c r="Z131" s="362"/>
      <c r="AA131" s="260"/>
      <c r="AB131" s="260"/>
    </row>
    <row r="132" spans="1:28" x14ac:dyDescent="0.2">
      <c r="A132" s="231"/>
      <c r="B132" s="322" t="s">
        <v>1395</v>
      </c>
      <c r="C132" s="224" t="s">
        <v>0</v>
      </c>
      <c r="D132" s="228" t="s">
        <v>118</v>
      </c>
      <c r="E132" s="224" t="s">
        <v>1831</v>
      </c>
      <c r="F132" s="224" t="s">
        <v>948</v>
      </c>
      <c r="G132" s="224" t="s">
        <v>33</v>
      </c>
      <c r="H132" s="230">
        <v>142.89599999999999</v>
      </c>
      <c r="I132" s="224" t="e">
        <f>#REF!</f>
        <v>#REF!</v>
      </c>
      <c r="J132" s="385" t="e">
        <f t="shared" si="1"/>
        <v>#REF!</v>
      </c>
      <c r="O132" s="361"/>
      <c r="P132" s="361"/>
      <c r="Q132" s="361"/>
      <c r="R132" s="361"/>
      <c r="S132" s="361"/>
      <c r="T132" s="362"/>
      <c r="U132" s="362"/>
      <c r="V132" s="362"/>
      <c r="W132" s="362"/>
      <c r="X132" s="362"/>
      <c r="Y132" s="362"/>
      <c r="Z132" s="362"/>
      <c r="AA132" s="260"/>
      <c r="AB132" s="260"/>
    </row>
    <row r="133" spans="1:28" x14ac:dyDescent="0.2">
      <c r="A133" s="231"/>
      <c r="B133" s="315" t="s">
        <v>1376</v>
      </c>
      <c r="C133" s="226" t="s">
        <v>0</v>
      </c>
      <c r="D133" s="227" t="s">
        <v>124</v>
      </c>
      <c r="E133" s="226" t="s">
        <v>1831</v>
      </c>
      <c r="F133" s="226" t="s">
        <v>948</v>
      </c>
      <c r="G133" s="226" t="s">
        <v>35</v>
      </c>
      <c r="H133" s="229">
        <v>68.399999999999991</v>
      </c>
      <c r="I133" s="226" t="e">
        <f>#REF!</f>
        <v>#REF!</v>
      </c>
      <c r="J133" s="387" t="e">
        <f t="shared" si="1"/>
        <v>#REF!</v>
      </c>
      <c r="O133" s="361"/>
      <c r="P133" s="361"/>
      <c r="Q133" s="361"/>
      <c r="R133" s="361"/>
      <c r="S133" s="361"/>
      <c r="T133" s="362"/>
      <c r="U133" s="362"/>
      <c r="V133" s="362"/>
      <c r="W133" s="362"/>
      <c r="X133" s="362"/>
      <c r="Y133" s="362"/>
      <c r="Z133" s="362"/>
      <c r="AA133" s="260"/>
      <c r="AB133" s="260"/>
    </row>
    <row r="134" spans="1:28" x14ac:dyDescent="0.2">
      <c r="A134" s="231"/>
      <c r="B134" s="322" t="s">
        <v>992</v>
      </c>
      <c r="C134" s="224" t="s">
        <v>0</v>
      </c>
      <c r="D134" s="228" t="s">
        <v>149</v>
      </c>
      <c r="E134" s="224" t="s">
        <v>1831</v>
      </c>
      <c r="F134" s="224" t="s">
        <v>955</v>
      </c>
      <c r="G134" s="224" t="s">
        <v>36</v>
      </c>
      <c r="H134" s="230">
        <v>27.927661217075382</v>
      </c>
      <c r="I134" s="224" t="e">
        <f>#REF!</f>
        <v>#REF!</v>
      </c>
      <c r="J134" s="385" t="e">
        <f t="shared" ref="J134:J197" si="2">H134-H134*I134</f>
        <v>#REF!</v>
      </c>
      <c r="O134" s="361"/>
      <c r="P134" s="361"/>
      <c r="Q134" s="361"/>
      <c r="R134" s="361"/>
      <c r="S134" s="361"/>
      <c r="T134" s="362"/>
      <c r="U134" s="362"/>
      <c r="V134" s="362"/>
      <c r="W134" s="362"/>
      <c r="X134" s="362"/>
      <c r="Y134" s="362"/>
      <c r="Z134" s="362"/>
      <c r="AA134" s="260"/>
      <c r="AB134" s="260"/>
    </row>
    <row r="135" spans="1:28" x14ac:dyDescent="0.2">
      <c r="A135" s="231" t="s">
        <v>2118</v>
      </c>
      <c r="B135" s="315" t="s">
        <v>1316</v>
      </c>
      <c r="C135" s="226" t="s">
        <v>0</v>
      </c>
      <c r="D135" s="227" t="s">
        <v>147</v>
      </c>
      <c r="E135" s="226" t="s">
        <v>1831</v>
      </c>
      <c r="F135" s="226" t="s">
        <v>955</v>
      </c>
      <c r="G135" s="226" t="s">
        <v>37</v>
      </c>
      <c r="H135" s="229">
        <v>30.666666666666661</v>
      </c>
      <c r="I135" s="226" t="e">
        <f>#REF!</f>
        <v>#REF!</v>
      </c>
      <c r="J135" s="387" t="e">
        <f t="shared" si="2"/>
        <v>#REF!</v>
      </c>
      <c r="O135" s="361"/>
      <c r="P135" s="361"/>
      <c r="Q135" s="361"/>
      <c r="R135" s="361"/>
      <c r="S135" s="361"/>
      <c r="T135" s="362"/>
      <c r="U135" s="362"/>
      <c r="V135" s="362"/>
      <c r="W135" s="362"/>
      <c r="X135" s="362"/>
      <c r="Y135" s="362"/>
      <c r="Z135" s="362"/>
      <c r="AA135" s="260"/>
      <c r="AB135" s="260"/>
    </row>
    <row r="136" spans="1:28" x14ac:dyDescent="0.2">
      <c r="A136" s="231"/>
      <c r="B136" s="316" t="s">
        <v>1397</v>
      </c>
      <c r="C136" s="224" t="s">
        <v>0</v>
      </c>
      <c r="D136" s="228" t="s">
        <v>89</v>
      </c>
      <c r="E136" s="224" t="s">
        <v>1831</v>
      </c>
      <c r="F136" s="224" t="s">
        <v>948</v>
      </c>
      <c r="G136" s="224" t="s">
        <v>33</v>
      </c>
      <c r="H136" s="230">
        <v>182.97599999999997</v>
      </c>
      <c r="I136" s="224" t="e">
        <f>#REF!</f>
        <v>#REF!</v>
      </c>
      <c r="J136" s="385" t="e">
        <f t="shared" si="2"/>
        <v>#REF!</v>
      </c>
      <c r="O136" s="361"/>
      <c r="P136" s="361"/>
      <c r="Q136" s="361"/>
      <c r="R136" s="361"/>
      <c r="S136" s="361"/>
      <c r="T136" s="362"/>
      <c r="U136" s="362"/>
      <c r="V136" s="362"/>
      <c r="W136" s="362"/>
      <c r="X136" s="362"/>
      <c r="Y136" s="362"/>
      <c r="Z136" s="362"/>
      <c r="AA136" s="260"/>
      <c r="AB136" s="260"/>
    </row>
    <row r="137" spans="1:28" x14ac:dyDescent="0.2">
      <c r="A137" s="231"/>
      <c r="B137" s="315" t="s">
        <v>1361</v>
      </c>
      <c r="C137" s="226" t="s">
        <v>0</v>
      </c>
      <c r="D137" s="227" t="s">
        <v>103</v>
      </c>
      <c r="E137" s="226" t="s">
        <v>1831</v>
      </c>
      <c r="F137" s="226" t="s">
        <v>948</v>
      </c>
      <c r="G137" s="226" t="s">
        <v>33</v>
      </c>
      <c r="H137" s="229">
        <v>45.84</v>
      </c>
      <c r="I137" s="226" t="e">
        <f>#REF!</f>
        <v>#REF!</v>
      </c>
      <c r="J137" s="387" t="e">
        <f t="shared" si="2"/>
        <v>#REF!</v>
      </c>
      <c r="O137" s="361"/>
      <c r="P137" s="361"/>
      <c r="Q137" s="361"/>
      <c r="R137" s="361"/>
      <c r="S137" s="361"/>
      <c r="T137" s="362"/>
      <c r="U137" s="362"/>
      <c r="V137" s="362"/>
      <c r="W137" s="362"/>
      <c r="X137" s="362"/>
      <c r="Y137" s="362"/>
      <c r="Z137" s="362"/>
      <c r="AA137" s="260"/>
      <c r="AB137" s="260"/>
    </row>
    <row r="138" spans="1:28" x14ac:dyDescent="0.2">
      <c r="A138" s="231"/>
      <c r="B138" s="322" t="s">
        <v>1510</v>
      </c>
      <c r="C138" s="224" t="s">
        <v>0</v>
      </c>
      <c r="D138" s="228" t="s">
        <v>154</v>
      </c>
      <c r="E138" s="224" t="s">
        <v>1831</v>
      </c>
      <c r="F138" s="224" t="s">
        <v>585</v>
      </c>
      <c r="G138" s="224" t="s">
        <v>37</v>
      </c>
      <c r="H138" s="230">
        <v>246.11671207992728</v>
      </c>
      <c r="I138" s="224" t="e">
        <f>#REF!</f>
        <v>#REF!</v>
      </c>
      <c r="J138" s="385" t="e">
        <f t="shared" si="2"/>
        <v>#REF!</v>
      </c>
      <c r="O138" s="361"/>
      <c r="P138" s="361"/>
      <c r="Q138" s="361"/>
      <c r="R138" s="361"/>
      <c r="S138" s="361"/>
      <c r="T138" s="362"/>
      <c r="U138" s="362"/>
      <c r="V138" s="362"/>
      <c r="W138" s="362"/>
      <c r="X138" s="362"/>
      <c r="Y138" s="362"/>
      <c r="Z138" s="362"/>
      <c r="AA138" s="260"/>
      <c r="AB138" s="260"/>
    </row>
    <row r="139" spans="1:28" x14ac:dyDescent="0.2">
      <c r="A139" s="231"/>
      <c r="B139" s="315" t="s">
        <v>1053</v>
      </c>
      <c r="C139" s="226" t="s">
        <v>0</v>
      </c>
      <c r="D139" s="227" t="s">
        <v>150</v>
      </c>
      <c r="E139" s="226" t="s">
        <v>1831</v>
      </c>
      <c r="F139" s="226" t="s">
        <v>955</v>
      </c>
      <c r="G139" s="226" t="s">
        <v>37</v>
      </c>
      <c r="H139" s="229">
        <v>19.166666666666664</v>
      </c>
      <c r="I139" s="226" t="e">
        <f>#REF!</f>
        <v>#REF!</v>
      </c>
      <c r="J139" s="387" t="e">
        <f t="shared" si="2"/>
        <v>#REF!</v>
      </c>
      <c r="O139" s="361"/>
      <c r="P139" s="361"/>
      <c r="Q139" s="361"/>
      <c r="R139" s="361"/>
      <c r="S139" s="361"/>
      <c r="T139" s="362"/>
      <c r="U139" s="362"/>
      <c r="V139" s="362"/>
      <c r="W139" s="362"/>
      <c r="X139" s="362"/>
      <c r="Y139" s="362"/>
      <c r="Z139" s="362"/>
      <c r="AA139" s="260"/>
      <c r="AB139" s="260"/>
    </row>
    <row r="140" spans="1:28" x14ac:dyDescent="0.2">
      <c r="A140" s="231"/>
      <c r="B140" s="316" t="s">
        <v>1511</v>
      </c>
      <c r="C140" s="224" t="s">
        <v>0</v>
      </c>
      <c r="D140" s="228" t="s">
        <v>119</v>
      </c>
      <c r="E140" s="224" t="s">
        <v>1831</v>
      </c>
      <c r="F140" s="224" t="s">
        <v>585</v>
      </c>
      <c r="G140" s="224" t="s">
        <v>34</v>
      </c>
      <c r="H140" s="230">
        <v>70.264999999999972</v>
      </c>
      <c r="I140" s="224" t="e">
        <f>#REF!</f>
        <v>#REF!</v>
      </c>
      <c r="J140" s="385" t="e">
        <f t="shared" si="2"/>
        <v>#REF!</v>
      </c>
      <c r="O140" s="361"/>
      <c r="P140" s="361"/>
      <c r="Q140" s="361"/>
      <c r="R140" s="361"/>
      <c r="S140" s="361"/>
      <c r="T140" s="362"/>
      <c r="U140" s="362"/>
      <c r="V140" s="362"/>
      <c r="W140" s="362"/>
      <c r="X140" s="362"/>
      <c r="Y140" s="362"/>
      <c r="Z140" s="362"/>
      <c r="AA140" s="260"/>
      <c r="AB140" s="260"/>
    </row>
    <row r="141" spans="1:28" x14ac:dyDescent="0.2">
      <c r="A141" s="231"/>
      <c r="B141" s="323" t="s">
        <v>1512</v>
      </c>
      <c r="C141" s="226" t="s">
        <v>0</v>
      </c>
      <c r="D141" s="227" t="s">
        <v>120</v>
      </c>
      <c r="E141" s="226" t="s">
        <v>1831</v>
      </c>
      <c r="F141" s="226" t="s">
        <v>585</v>
      </c>
      <c r="G141" s="226" t="s">
        <v>34</v>
      </c>
      <c r="H141" s="229">
        <v>100.93166666666663</v>
      </c>
      <c r="I141" s="226" t="e">
        <f>#REF!</f>
        <v>#REF!</v>
      </c>
      <c r="J141" s="387" t="e">
        <f t="shared" si="2"/>
        <v>#REF!</v>
      </c>
      <c r="O141" s="361"/>
      <c r="P141" s="361"/>
      <c r="Q141" s="361"/>
      <c r="R141" s="361"/>
      <c r="S141" s="361"/>
      <c r="T141" s="362"/>
      <c r="U141" s="362"/>
      <c r="V141" s="362"/>
      <c r="W141" s="362"/>
      <c r="X141" s="362"/>
      <c r="Y141" s="362"/>
      <c r="Z141" s="362"/>
      <c r="AA141" s="260"/>
      <c r="AB141" s="260"/>
    </row>
    <row r="142" spans="1:28" x14ac:dyDescent="0.2">
      <c r="A142" s="231" t="s">
        <v>2118</v>
      </c>
      <c r="B142" s="316" t="s">
        <v>1513</v>
      </c>
      <c r="C142" s="224" t="s">
        <v>0</v>
      </c>
      <c r="D142" s="228" t="s">
        <v>121</v>
      </c>
      <c r="E142" s="224" t="s">
        <v>1831</v>
      </c>
      <c r="F142" s="224" t="s">
        <v>585</v>
      </c>
      <c r="G142" s="224" t="s">
        <v>34</v>
      </c>
      <c r="H142" s="230">
        <v>70.264999999999972</v>
      </c>
      <c r="I142" s="224" t="e">
        <f>#REF!</f>
        <v>#REF!</v>
      </c>
      <c r="J142" s="385" t="e">
        <f t="shared" si="2"/>
        <v>#REF!</v>
      </c>
      <c r="O142" s="361"/>
      <c r="P142" s="361"/>
      <c r="Q142" s="361"/>
      <c r="R142" s="361"/>
      <c r="S142" s="361"/>
      <c r="T142" s="362"/>
      <c r="U142" s="362"/>
      <c r="V142" s="362"/>
      <c r="W142" s="362"/>
      <c r="X142" s="362"/>
      <c r="Y142" s="362"/>
      <c r="Z142" s="362"/>
      <c r="AA142" s="260"/>
      <c r="AB142" s="260"/>
    </row>
    <row r="143" spans="1:28" x14ac:dyDescent="0.2">
      <c r="A143" s="231" t="s">
        <v>2118</v>
      </c>
      <c r="B143" s="315" t="s">
        <v>1514</v>
      </c>
      <c r="C143" s="226" t="s">
        <v>0</v>
      </c>
      <c r="D143" s="227" t="s">
        <v>122</v>
      </c>
      <c r="E143" s="226" t="s">
        <v>1831</v>
      </c>
      <c r="F143" s="226" t="s">
        <v>585</v>
      </c>
      <c r="G143" s="226" t="s">
        <v>34</v>
      </c>
      <c r="H143" s="229">
        <v>100.93166666666663</v>
      </c>
      <c r="I143" s="226" t="e">
        <f>#REF!</f>
        <v>#REF!</v>
      </c>
      <c r="J143" s="387" t="e">
        <f t="shared" si="2"/>
        <v>#REF!</v>
      </c>
      <c r="O143" s="361"/>
      <c r="P143" s="361"/>
      <c r="Q143" s="361"/>
      <c r="R143" s="361"/>
      <c r="S143" s="361"/>
      <c r="T143" s="362"/>
      <c r="U143" s="362"/>
      <c r="V143" s="362"/>
      <c r="W143" s="362"/>
      <c r="X143" s="362"/>
      <c r="Y143" s="362"/>
      <c r="Z143" s="362"/>
      <c r="AA143" s="260"/>
      <c r="AB143" s="260"/>
    </row>
    <row r="144" spans="1:28" x14ac:dyDescent="0.2">
      <c r="A144" s="231"/>
      <c r="B144" s="316" t="s">
        <v>1518</v>
      </c>
      <c r="C144" s="224" t="s">
        <v>0</v>
      </c>
      <c r="D144" s="228" t="s">
        <v>2</v>
      </c>
      <c r="E144" s="224" t="s">
        <v>1831</v>
      </c>
      <c r="F144" s="224" t="s">
        <v>585</v>
      </c>
      <c r="G144" s="224" t="s">
        <v>36</v>
      </c>
      <c r="H144" s="230">
        <v>108.5983333333333</v>
      </c>
      <c r="I144" s="224" t="e">
        <f>#REF!</f>
        <v>#REF!</v>
      </c>
      <c r="J144" s="385" t="e">
        <f t="shared" si="2"/>
        <v>#REF!</v>
      </c>
      <c r="O144" s="361"/>
      <c r="P144" s="361"/>
      <c r="Q144" s="361"/>
      <c r="R144" s="361"/>
      <c r="S144" s="361"/>
      <c r="T144" s="362"/>
      <c r="U144" s="362"/>
      <c r="V144" s="362"/>
      <c r="W144" s="362"/>
      <c r="X144" s="362"/>
      <c r="Y144" s="362"/>
      <c r="Z144" s="362"/>
      <c r="AA144" s="260"/>
      <c r="AB144" s="260"/>
    </row>
    <row r="145" spans="1:28" x14ac:dyDescent="0.2">
      <c r="A145" s="231"/>
      <c r="B145" s="315" t="s">
        <v>1519</v>
      </c>
      <c r="C145" s="226" t="s">
        <v>0</v>
      </c>
      <c r="D145" s="227" t="s">
        <v>133</v>
      </c>
      <c r="E145" s="226" t="s">
        <v>1831</v>
      </c>
      <c r="F145" s="226" t="s">
        <v>585</v>
      </c>
      <c r="G145" s="226" t="s">
        <v>36</v>
      </c>
      <c r="H145" s="229">
        <v>124.31499999999998</v>
      </c>
      <c r="I145" s="226" t="e">
        <f>#REF!</f>
        <v>#REF!</v>
      </c>
      <c r="J145" s="387" t="e">
        <f t="shared" si="2"/>
        <v>#REF!</v>
      </c>
      <c r="O145" s="361"/>
      <c r="P145" s="361"/>
      <c r="Q145" s="361"/>
      <c r="R145" s="361"/>
      <c r="S145" s="361"/>
      <c r="T145" s="362"/>
      <c r="U145" s="362"/>
      <c r="V145" s="362"/>
      <c r="W145" s="362"/>
      <c r="X145" s="362"/>
      <c r="Y145" s="362"/>
      <c r="Z145" s="362"/>
      <c r="AA145" s="260"/>
      <c r="AB145" s="260"/>
    </row>
    <row r="146" spans="1:28" x14ac:dyDescent="0.2">
      <c r="A146" s="231"/>
      <c r="B146" s="316" t="s">
        <v>1065</v>
      </c>
      <c r="C146" s="224" t="s">
        <v>0</v>
      </c>
      <c r="D146" s="228" t="s">
        <v>654</v>
      </c>
      <c r="E146" s="224" t="s">
        <v>1831</v>
      </c>
      <c r="F146" s="224" t="s">
        <v>955</v>
      </c>
      <c r="G146" s="224" t="s">
        <v>33</v>
      </c>
      <c r="H146" s="230">
        <v>19.592592592592588</v>
      </c>
      <c r="I146" s="224" t="e">
        <f>#REF!</f>
        <v>#REF!</v>
      </c>
      <c r="J146" s="385" t="e">
        <f t="shared" si="2"/>
        <v>#REF!</v>
      </c>
      <c r="O146" s="361"/>
      <c r="P146" s="361"/>
      <c r="Q146" s="361"/>
      <c r="R146" s="361"/>
      <c r="S146" s="361"/>
      <c r="T146" s="362"/>
      <c r="U146" s="362"/>
      <c r="V146" s="362"/>
      <c r="W146" s="362"/>
      <c r="X146" s="362"/>
      <c r="Y146" s="362"/>
      <c r="Z146" s="362"/>
      <c r="AA146" s="260"/>
      <c r="AB146" s="260"/>
    </row>
    <row r="147" spans="1:28" x14ac:dyDescent="0.2">
      <c r="A147" s="231" t="s">
        <v>2118</v>
      </c>
      <c r="B147" s="315" t="s">
        <v>1066</v>
      </c>
      <c r="C147" s="226" t="s">
        <v>0</v>
      </c>
      <c r="D147" s="227" t="s">
        <v>653</v>
      </c>
      <c r="E147" s="226" t="s">
        <v>1831</v>
      </c>
      <c r="F147" s="226" t="s">
        <v>955</v>
      </c>
      <c r="G147" s="226" t="s">
        <v>33</v>
      </c>
      <c r="H147" s="229">
        <v>19.592592592592588</v>
      </c>
      <c r="I147" s="226" t="e">
        <f>#REF!</f>
        <v>#REF!</v>
      </c>
      <c r="J147" s="387" t="e">
        <f t="shared" si="2"/>
        <v>#REF!</v>
      </c>
      <c r="O147" s="361"/>
      <c r="P147" s="361"/>
      <c r="Q147" s="361"/>
      <c r="R147" s="361"/>
      <c r="S147" s="361"/>
      <c r="T147" s="362"/>
      <c r="U147" s="362"/>
      <c r="V147" s="362"/>
      <c r="W147" s="362"/>
      <c r="X147" s="362"/>
      <c r="Y147" s="362"/>
      <c r="Z147" s="362"/>
      <c r="AA147" s="260"/>
      <c r="AB147" s="260"/>
    </row>
    <row r="148" spans="1:28" x14ac:dyDescent="0.2">
      <c r="A148" s="231" t="s">
        <v>2118</v>
      </c>
      <c r="B148" s="322" t="s">
        <v>1520</v>
      </c>
      <c r="C148" s="224" t="s">
        <v>0</v>
      </c>
      <c r="D148" s="228" t="s">
        <v>151</v>
      </c>
      <c r="E148" s="224" t="s">
        <v>1831</v>
      </c>
      <c r="F148" s="224" t="s">
        <v>585</v>
      </c>
      <c r="G148" s="224" t="s">
        <v>37</v>
      </c>
      <c r="H148" s="230">
        <v>29.056666666666658</v>
      </c>
      <c r="I148" s="224" t="e">
        <f>#REF!</f>
        <v>#REF!</v>
      </c>
      <c r="J148" s="385" t="e">
        <f t="shared" si="2"/>
        <v>#REF!</v>
      </c>
      <c r="O148" s="361"/>
      <c r="P148" s="361"/>
      <c r="Q148" s="361"/>
      <c r="R148" s="361"/>
      <c r="S148" s="361"/>
      <c r="T148" s="362"/>
      <c r="U148" s="362"/>
      <c r="V148" s="362"/>
      <c r="W148" s="362"/>
      <c r="X148" s="362"/>
      <c r="Y148" s="362"/>
      <c r="Z148" s="362"/>
      <c r="AA148" s="260"/>
      <c r="AB148" s="260"/>
    </row>
    <row r="149" spans="1:28" x14ac:dyDescent="0.2">
      <c r="A149" s="231"/>
      <c r="B149" s="315" t="s">
        <v>1523</v>
      </c>
      <c r="C149" s="226" t="s">
        <v>0</v>
      </c>
      <c r="D149" s="227" t="s">
        <v>138</v>
      </c>
      <c r="E149" s="226" t="s">
        <v>1831</v>
      </c>
      <c r="F149" s="226" t="s">
        <v>585</v>
      </c>
      <c r="G149" s="226" t="s">
        <v>36</v>
      </c>
      <c r="H149" s="229">
        <v>29.056666666666658</v>
      </c>
      <c r="I149" s="226" t="e">
        <f>#REF!</f>
        <v>#REF!</v>
      </c>
      <c r="J149" s="387" t="e">
        <f t="shared" si="2"/>
        <v>#REF!</v>
      </c>
      <c r="O149" s="361"/>
      <c r="P149" s="361"/>
      <c r="Q149" s="361"/>
      <c r="R149" s="361"/>
      <c r="S149" s="361"/>
      <c r="T149" s="362"/>
      <c r="U149" s="362"/>
      <c r="V149" s="362"/>
      <c r="W149" s="362"/>
      <c r="X149" s="362"/>
      <c r="Y149" s="362"/>
      <c r="Z149" s="362"/>
      <c r="AA149" s="260"/>
      <c r="AB149" s="260"/>
    </row>
    <row r="150" spans="1:28" x14ac:dyDescent="0.2">
      <c r="A150" s="231" t="s">
        <v>2118</v>
      </c>
      <c r="B150" s="316" t="s">
        <v>1525</v>
      </c>
      <c r="C150" s="224" t="s">
        <v>0</v>
      </c>
      <c r="D150" s="228" t="s">
        <v>125</v>
      </c>
      <c r="E150" s="224" t="s">
        <v>1831</v>
      </c>
      <c r="F150" s="224" t="s">
        <v>585</v>
      </c>
      <c r="G150" s="224" t="s">
        <v>36</v>
      </c>
      <c r="H150" s="230">
        <v>25.606666666666662</v>
      </c>
      <c r="I150" s="224" t="e">
        <f>#REF!</f>
        <v>#REF!</v>
      </c>
      <c r="J150" s="385" t="e">
        <f t="shared" si="2"/>
        <v>#REF!</v>
      </c>
      <c r="O150" s="361"/>
      <c r="P150" s="361"/>
      <c r="Q150" s="361"/>
      <c r="R150" s="361"/>
      <c r="S150" s="361"/>
      <c r="T150" s="362"/>
      <c r="U150" s="362"/>
      <c r="V150" s="362"/>
      <c r="W150" s="362"/>
      <c r="X150" s="362"/>
      <c r="Y150" s="362"/>
      <c r="Z150" s="362"/>
      <c r="AA150" s="260"/>
      <c r="AB150" s="260"/>
    </row>
    <row r="151" spans="1:28" x14ac:dyDescent="0.2">
      <c r="A151" s="231" t="s">
        <v>2118</v>
      </c>
      <c r="B151" s="315" t="s">
        <v>1526</v>
      </c>
      <c r="C151" s="226" t="s">
        <v>0</v>
      </c>
      <c r="D151" s="227" t="s">
        <v>130</v>
      </c>
      <c r="E151" s="226" t="s">
        <v>1831</v>
      </c>
      <c r="F151" s="226" t="s">
        <v>585</v>
      </c>
      <c r="G151" s="226" t="s">
        <v>36</v>
      </c>
      <c r="H151" s="229">
        <v>25.606666666666662</v>
      </c>
      <c r="I151" s="226" t="e">
        <f>#REF!</f>
        <v>#REF!</v>
      </c>
      <c r="J151" s="387" t="e">
        <f t="shared" si="2"/>
        <v>#REF!</v>
      </c>
      <c r="O151" s="361"/>
      <c r="P151" s="361"/>
      <c r="Q151" s="361"/>
      <c r="R151" s="361"/>
      <c r="S151" s="361"/>
      <c r="T151" s="362"/>
      <c r="U151" s="362"/>
      <c r="V151" s="362"/>
      <c r="W151" s="362"/>
      <c r="X151" s="362"/>
      <c r="Y151" s="362"/>
      <c r="Z151" s="362"/>
      <c r="AA151" s="260"/>
      <c r="AB151" s="260"/>
    </row>
    <row r="152" spans="1:28" x14ac:dyDescent="0.2">
      <c r="A152" s="231"/>
      <c r="B152" s="316" t="s">
        <v>1082</v>
      </c>
      <c r="C152" s="224" t="s">
        <v>0</v>
      </c>
      <c r="D152" s="228" t="s">
        <v>115</v>
      </c>
      <c r="E152" s="224" t="s">
        <v>1831</v>
      </c>
      <c r="F152" s="224" t="s">
        <v>955</v>
      </c>
      <c r="G152" s="224" t="s">
        <v>33</v>
      </c>
      <c r="H152" s="230">
        <v>6.6600000000000019</v>
      </c>
      <c r="I152" s="224" t="e">
        <f>#REF!</f>
        <v>#REF!</v>
      </c>
      <c r="J152" s="385" t="e">
        <f t="shared" si="2"/>
        <v>#REF!</v>
      </c>
      <c r="O152" s="361"/>
      <c r="P152" s="361"/>
      <c r="Q152" s="361"/>
      <c r="R152" s="361"/>
      <c r="S152" s="361"/>
      <c r="T152" s="362"/>
      <c r="U152" s="362"/>
      <c r="V152" s="362"/>
      <c r="W152" s="362"/>
      <c r="X152" s="362"/>
      <c r="Y152" s="362"/>
      <c r="Z152" s="362"/>
      <c r="AA152" s="260"/>
      <c r="AB152" s="260"/>
    </row>
    <row r="153" spans="1:28" x14ac:dyDescent="0.2">
      <c r="A153" s="231"/>
      <c r="B153" s="315" t="s">
        <v>1007</v>
      </c>
      <c r="C153" s="226" t="s">
        <v>0</v>
      </c>
      <c r="D153" s="227" t="s">
        <v>90</v>
      </c>
      <c r="E153" s="226" t="s">
        <v>1831</v>
      </c>
      <c r="F153" s="226" t="s">
        <v>955</v>
      </c>
      <c r="G153" s="226" t="s">
        <v>33</v>
      </c>
      <c r="H153" s="229">
        <v>1.248</v>
      </c>
      <c r="I153" s="226" t="e">
        <f>#REF!</f>
        <v>#REF!</v>
      </c>
      <c r="J153" s="387" t="e">
        <f t="shared" si="2"/>
        <v>#REF!</v>
      </c>
      <c r="O153" s="361"/>
      <c r="P153" s="361"/>
      <c r="Q153" s="361"/>
      <c r="R153" s="361"/>
      <c r="S153" s="361"/>
      <c r="T153" s="362"/>
      <c r="U153" s="362"/>
      <c r="V153" s="362"/>
      <c r="W153" s="362"/>
      <c r="X153" s="362"/>
      <c r="Y153" s="362"/>
      <c r="Z153" s="362"/>
      <c r="AA153" s="260"/>
      <c r="AB153" s="260"/>
    </row>
    <row r="154" spans="1:28" x14ac:dyDescent="0.2">
      <c r="A154" s="231"/>
      <c r="B154" s="316" t="s">
        <v>1079</v>
      </c>
      <c r="C154" s="224" t="s">
        <v>0</v>
      </c>
      <c r="D154" s="228" t="s">
        <v>1</v>
      </c>
      <c r="E154" s="224" t="s">
        <v>1831</v>
      </c>
      <c r="F154" s="224" t="s">
        <v>955</v>
      </c>
      <c r="G154" s="224" t="s">
        <v>33</v>
      </c>
      <c r="H154" s="230">
        <v>2.4000000000000004</v>
      </c>
      <c r="I154" s="224" t="e">
        <f>#REF!</f>
        <v>#REF!</v>
      </c>
      <c r="J154" s="385" t="e">
        <f t="shared" si="2"/>
        <v>#REF!</v>
      </c>
      <c r="O154" s="361"/>
      <c r="P154" s="361"/>
      <c r="Q154" s="361"/>
      <c r="R154" s="361"/>
      <c r="S154" s="361"/>
      <c r="T154" s="362"/>
      <c r="U154" s="362"/>
      <c r="V154" s="362"/>
      <c r="W154" s="362"/>
      <c r="X154" s="362"/>
      <c r="Y154" s="362"/>
      <c r="Z154" s="362"/>
      <c r="AA154" s="260"/>
      <c r="AB154" s="260"/>
    </row>
    <row r="155" spans="1:28" x14ac:dyDescent="0.2">
      <c r="A155" s="231"/>
      <c r="B155" s="315" t="s">
        <v>1064</v>
      </c>
      <c r="C155" s="226" t="s">
        <v>0</v>
      </c>
      <c r="D155" s="227" t="s">
        <v>108</v>
      </c>
      <c r="E155" s="226" t="s">
        <v>1831</v>
      </c>
      <c r="F155" s="226" t="s">
        <v>955</v>
      </c>
      <c r="G155" s="226" t="s">
        <v>33</v>
      </c>
      <c r="H155" s="229">
        <v>3.4800000000000004</v>
      </c>
      <c r="I155" s="226" t="e">
        <f>#REF!</f>
        <v>#REF!</v>
      </c>
      <c r="J155" s="387" t="e">
        <f t="shared" si="2"/>
        <v>#REF!</v>
      </c>
      <c r="O155" s="361"/>
      <c r="P155" s="361"/>
      <c r="Q155" s="361"/>
      <c r="R155" s="361"/>
      <c r="S155" s="361"/>
      <c r="T155" s="362"/>
      <c r="U155" s="362"/>
      <c r="V155" s="362"/>
      <c r="W155" s="362"/>
      <c r="X155" s="362"/>
      <c r="Y155" s="362"/>
      <c r="Z155" s="362"/>
      <c r="AA155" s="260"/>
      <c r="AB155" s="260"/>
    </row>
    <row r="156" spans="1:28" x14ac:dyDescent="0.2">
      <c r="A156" s="231"/>
      <c r="B156" s="316" t="s">
        <v>1122</v>
      </c>
      <c r="C156" s="224" t="s">
        <v>0</v>
      </c>
      <c r="D156" s="228" t="s">
        <v>96</v>
      </c>
      <c r="E156" s="224" t="s">
        <v>1831</v>
      </c>
      <c r="F156" s="224" t="s">
        <v>955</v>
      </c>
      <c r="G156" s="224" t="s">
        <v>33</v>
      </c>
      <c r="H156" s="230">
        <v>10.140000000000002</v>
      </c>
      <c r="I156" s="224" t="e">
        <f>#REF!</f>
        <v>#REF!</v>
      </c>
      <c r="J156" s="385" t="e">
        <f t="shared" si="2"/>
        <v>#REF!</v>
      </c>
      <c r="O156" s="361"/>
      <c r="P156" s="361"/>
      <c r="Q156" s="361"/>
      <c r="R156" s="361"/>
      <c r="S156" s="361"/>
      <c r="T156" s="362"/>
      <c r="U156" s="362"/>
      <c r="V156" s="362"/>
      <c r="W156" s="362"/>
      <c r="X156" s="362"/>
      <c r="Y156" s="362"/>
      <c r="Z156" s="362"/>
      <c r="AA156" s="260"/>
      <c r="AB156" s="260"/>
    </row>
    <row r="157" spans="1:28" x14ac:dyDescent="0.2">
      <c r="A157" s="231"/>
      <c r="B157" s="315" t="s">
        <v>1080</v>
      </c>
      <c r="C157" s="226" t="s">
        <v>0</v>
      </c>
      <c r="D157" s="227" t="s">
        <v>152</v>
      </c>
      <c r="E157" s="226" t="s">
        <v>1831</v>
      </c>
      <c r="F157" s="226" t="s">
        <v>955</v>
      </c>
      <c r="G157" s="226" t="s">
        <v>37</v>
      </c>
      <c r="H157" s="229">
        <v>6.1333333333333329</v>
      </c>
      <c r="I157" s="226" t="e">
        <f>#REF!</f>
        <v>#REF!</v>
      </c>
      <c r="J157" s="387" t="e">
        <f t="shared" si="2"/>
        <v>#REF!</v>
      </c>
      <c r="O157" s="361"/>
      <c r="P157" s="361"/>
      <c r="Q157" s="361"/>
      <c r="R157" s="361"/>
      <c r="S157" s="361"/>
      <c r="T157" s="362"/>
      <c r="U157" s="362"/>
      <c r="V157" s="362"/>
      <c r="W157" s="362"/>
      <c r="X157" s="362"/>
      <c r="Y157" s="362"/>
      <c r="Z157" s="362"/>
      <c r="AA157" s="260"/>
      <c r="AB157" s="260"/>
    </row>
    <row r="158" spans="1:28" x14ac:dyDescent="0.2">
      <c r="A158" s="231"/>
      <c r="B158" s="316" t="s">
        <v>991</v>
      </c>
      <c r="C158" s="224" t="s">
        <v>0</v>
      </c>
      <c r="D158" s="228" t="s">
        <v>140</v>
      </c>
      <c r="E158" s="224" t="s">
        <v>1831</v>
      </c>
      <c r="F158" s="224" t="s">
        <v>955</v>
      </c>
      <c r="G158" s="224" t="s">
        <v>36</v>
      </c>
      <c r="H158" s="230">
        <v>6.8574074074074067</v>
      </c>
      <c r="I158" s="224" t="e">
        <f>#REF!</f>
        <v>#REF!</v>
      </c>
      <c r="J158" s="385" t="e">
        <f t="shared" si="2"/>
        <v>#REF!</v>
      </c>
      <c r="O158" s="361"/>
      <c r="P158" s="361"/>
      <c r="Q158" s="361"/>
      <c r="R158" s="361"/>
      <c r="S158" s="361"/>
      <c r="T158" s="362"/>
      <c r="U158" s="362"/>
      <c r="V158" s="362"/>
      <c r="W158" s="362"/>
      <c r="X158" s="362"/>
      <c r="Y158" s="362"/>
      <c r="Z158" s="362"/>
      <c r="AA158" s="260"/>
      <c r="AB158" s="260"/>
    </row>
    <row r="159" spans="1:28" x14ac:dyDescent="0.2">
      <c r="A159" s="231" t="s">
        <v>2118</v>
      </c>
      <c r="B159" s="315" t="s">
        <v>1094</v>
      </c>
      <c r="C159" s="226" t="s">
        <v>0</v>
      </c>
      <c r="D159" s="227" t="s">
        <v>146</v>
      </c>
      <c r="E159" s="226" t="s">
        <v>1831</v>
      </c>
      <c r="F159" s="226" t="s">
        <v>955</v>
      </c>
      <c r="G159" s="226" t="s">
        <v>37</v>
      </c>
      <c r="H159" s="229">
        <v>6.8999999999999995</v>
      </c>
      <c r="I159" s="226" t="e">
        <f>#REF!</f>
        <v>#REF!</v>
      </c>
      <c r="J159" s="387" t="e">
        <f t="shared" si="2"/>
        <v>#REF!</v>
      </c>
      <c r="O159" s="361"/>
      <c r="P159" s="361"/>
      <c r="Q159" s="361"/>
      <c r="R159" s="361"/>
      <c r="S159" s="361"/>
      <c r="T159" s="362"/>
      <c r="U159" s="362"/>
      <c r="V159" s="362"/>
      <c r="W159" s="362"/>
      <c r="X159" s="362"/>
      <c r="Y159" s="362"/>
      <c r="Z159" s="362"/>
      <c r="AA159" s="260"/>
      <c r="AB159" s="260"/>
    </row>
    <row r="160" spans="1:28" x14ac:dyDescent="0.2">
      <c r="A160" s="231"/>
      <c r="B160" s="316" t="s">
        <v>1095</v>
      </c>
      <c r="C160" s="224" t="s">
        <v>0</v>
      </c>
      <c r="D160" s="228" t="s">
        <v>647</v>
      </c>
      <c r="E160" s="224" t="s">
        <v>1831</v>
      </c>
      <c r="F160" s="224" t="s">
        <v>955</v>
      </c>
      <c r="G160" s="224" t="s">
        <v>33</v>
      </c>
      <c r="H160" s="230">
        <v>13.203703703703702</v>
      </c>
      <c r="I160" s="224" t="e">
        <f>#REF!</f>
        <v>#REF!</v>
      </c>
      <c r="J160" s="385" t="e">
        <f t="shared" si="2"/>
        <v>#REF!</v>
      </c>
      <c r="O160" s="361"/>
      <c r="P160" s="361"/>
      <c r="Q160" s="361"/>
      <c r="R160" s="361"/>
      <c r="S160" s="361"/>
      <c r="T160" s="362"/>
      <c r="U160" s="362"/>
      <c r="V160" s="362"/>
      <c r="W160" s="362"/>
      <c r="X160" s="362"/>
      <c r="Y160" s="362"/>
      <c r="Z160" s="362"/>
      <c r="AA160" s="260"/>
      <c r="AB160" s="260"/>
    </row>
    <row r="161" spans="1:28" x14ac:dyDescent="0.2">
      <c r="A161" s="231"/>
      <c r="B161" s="315" t="s">
        <v>1172</v>
      </c>
      <c r="C161" s="226" t="s">
        <v>0</v>
      </c>
      <c r="D161" s="227" t="s">
        <v>648</v>
      </c>
      <c r="E161" s="226" t="s">
        <v>1831</v>
      </c>
      <c r="F161" s="226" t="s">
        <v>955</v>
      </c>
      <c r="G161" s="226" t="s">
        <v>33</v>
      </c>
      <c r="H161" s="229">
        <v>13.203703703703702</v>
      </c>
      <c r="I161" s="226" t="e">
        <f>#REF!</f>
        <v>#REF!</v>
      </c>
      <c r="J161" s="387" t="e">
        <f t="shared" si="2"/>
        <v>#REF!</v>
      </c>
      <c r="O161" s="361"/>
      <c r="P161" s="361"/>
      <c r="Q161" s="361"/>
      <c r="R161" s="361"/>
      <c r="S161" s="361"/>
      <c r="T161" s="362"/>
      <c r="U161" s="362"/>
      <c r="V161" s="362"/>
      <c r="W161" s="362"/>
      <c r="X161" s="362"/>
      <c r="Y161" s="362"/>
      <c r="Z161" s="362"/>
      <c r="AA161" s="260"/>
      <c r="AB161" s="260"/>
    </row>
    <row r="162" spans="1:28" x14ac:dyDescent="0.2">
      <c r="A162" s="231"/>
      <c r="B162" s="316" t="s">
        <v>1280</v>
      </c>
      <c r="C162" s="224" t="s">
        <v>0</v>
      </c>
      <c r="D162" s="228" t="s">
        <v>649</v>
      </c>
      <c r="E162" s="224" t="s">
        <v>1831</v>
      </c>
      <c r="F162" s="224" t="s">
        <v>955</v>
      </c>
      <c r="G162" s="224" t="s">
        <v>33</v>
      </c>
      <c r="H162" s="230">
        <v>13.203703703703702</v>
      </c>
      <c r="I162" s="224" t="e">
        <f>#REF!</f>
        <v>#REF!</v>
      </c>
      <c r="J162" s="385" t="e">
        <f t="shared" si="2"/>
        <v>#REF!</v>
      </c>
      <c r="O162" s="361"/>
      <c r="P162" s="361"/>
      <c r="Q162" s="361"/>
      <c r="R162" s="361"/>
      <c r="S162" s="361"/>
      <c r="T162" s="362"/>
      <c r="U162" s="362"/>
      <c r="V162" s="362"/>
      <c r="W162" s="362"/>
      <c r="X162" s="362"/>
      <c r="Y162" s="362"/>
      <c r="Z162" s="362"/>
      <c r="AA162" s="260"/>
      <c r="AB162" s="260"/>
    </row>
    <row r="163" spans="1:28" x14ac:dyDescent="0.2">
      <c r="A163" s="231"/>
      <c r="B163" s="315" t="s">
        <v>1283</v>
      </c>
      <c r="C163" s="226" t="s">
        <v>0</v>
      </c>
      <c r="D163" s="227" t="s">
        <v>650</v>
      </c>
      <c r="E163" s="226" t="s">
        <v>1831</v>
      </c>
      <c r="F163" s="226" t="s">
        <v>955</v>
      </c>
      <c r="G163" s="226" t="s">
        <v>33</v>
      </c>
      <c r="H163" s="229">
        <v>13.203703703703702</v>
      </c>
      <c r="I163" s="226" t="e">
        <f>#REF!</f>
        <v>#REF!</v>
      </c>
      <c r="J163" s="387" t="e">
        <f t="shared" si="2"/>
        <v>#REF!</v>
      </c>
      <c r="O163" s="361"/>
      <c r="P163" s="361"/>
      <c r="Q163" s="361"/>
      <c r="R163" s="361"/>
      <c r="S163" s="361"/>
      <c r="T163" s="362"/>
      <c r="U163" s="362"/>
      <c r="V163" s="362"/>
      <c r="W163" s="362"/>
      <c r="X163" s="362"/>
      <c r="Y163" s="362"/>
      <c r="Z163" s="362"/>
      <c r="AA163" s="260"/>
      <c r="AB163" s="260"/>
    </row>
    <row r="164" spans="1:28" x14ac:dyDescent="0.2">
      <c r="A164" s="231"/>
      <c r="B164" s="316" t="s">
        <v>1291</v>
      </c>
      <c r="C164" s="224" t="s">
        <v>0</v>
      </c>
      <c r="D164" s="228" t="s">
        <v>651</v>
      </c>
      <c r="E164" s="224" t="s">
        <v>1831</v>
      </c>
      <c r="F164" s="224" t="s">
        <v>955</v>
      </c>
      <c r="G164" s="224" t="s">
        <v>33</v>
      </c>
      <c r="H164" s="230">
        <v>13.203703703703702</v>
      </c>
      <c r="I164" s="224" t="e">
        <f>#REF!</f>
        <v>#REF!</v>
      </c>
      <c r="J164" s="385" t="e">
        <f t="shared" si="2"/>
        <v>#REF!</v>
      </c>
      <c r="O164" s="361"/>
      <c r="P164" s="361"/>
      <c r="Q164" s="361"/>
      <c r="R164" s="361"/>
      <c r="S164" s="361"/>
      <c r="T164" s="362"/>
      <c r="U164" s="362"/>
      <c r="V164" s="362"/>
      <c r="W164" s="362"/>
      <c r="X164" s="362"/>
      <c r="Y164" s="362"/>
      <c r="Z164" s="362"/>
      <c r="AA164" s="260"/>
      <c r="AB164" s="260"/>
    </row>
    <row r="165" spans="1:28" x14ac:dyDescent="0.2">
      <c r="A165" s="231"/>
      <c r="B165" s="315" t="s">
        <v>1357</v>
      </c>
      <c r="C165" s="226" t="s">
        <v>0</v>
      </c>
      <c r="D165" s="227" t="s">
        <v>652</v>
      </c>
      <c r="E165" s="226" t="s">
        <v>1831</v>
      </c>
      <c r="F165" s="226" t="s">
        <v>955</v>
      </c>
      <c r="G165" s="226" t="s">
        <v>33</v>
      </c>
      <c r="H165" s="229">
        <v>13.203703703703702</v>
      </c>
      <c r="I165" s="226" t="e">
        <f>#REF!</f>
        <v>#REF!</v>
      </c>
      <c r="J165" s="387" t="e">
        <f t="shared" si="2"/>
        <v>#REF!</v>
      </c>
      <c r="O165" s="361"/>
      <c r="P165" s="361"/>
      <c r="Q165" s="361"/>
      <c r="R165" s="361"/>
      <c r="S165" s="361"/>
      <c r="T165" s="362"/>
      <c r="U165" s="362"/>
      <c r="V165" s="362"/>
      <c r="W165" s="362"/>
      <c r="X165" s="362"/>
      <c r="Y165" s="362"/>
      <c r="Z165" s="362"/>
      <c r="AA165" s="260"/>
      <c r="AB165" s="260"/>
    </row>
    <row r="166" spans="1:28" x14ac:dyDescent="0.2">
      <c r="A166" s="231" t="s">
        <v>2118</v>
      </c>
      <c r="B166" s="316" t="s">
        <v>1358</v>
      </c>
      <c r="C166" s="224" t="s">
        <v>0</v>
      </c>
      <c r="D166" s="228" t="s">
        <v>5</v>
      </c>
      <c r="E166" s="224" t="s">
        <v>1831</v>
      </c>
      <c r="F166" s="224" t="s">
        <v>955</v>
      </c>
      <c r="G166" s="224" t="s">
        <v>36</v>
      </c>
      <c r="H166" s="230">
        <v>4.4296296296296296</v>
      </c>
      <c r="I166" s="224" t="e">
        <f>#REF!</f>
        <v>#REF!</v>
      </c>
      <c r="J166" s="385" t="e">
        <f t="shared" si="2"/>
        <v>#REF!</v>
      </c>
      <c r="O166" s="361"/>
      <c r="P166" s="361"/>
      <c r="Q166" s="361"/>
      <c r="R166" s="361"/>
      <c r="S166" s="361"/>
      <c r="T166" s="362"/>
      <c r="U166" s="362"/>
      <c r="V166" s="362"/>
      <c r="W166" s="362"/>
      <c r="X166" s="362"/>
      <c r="Y166" s="362"/>
      <c r="Z166" s="362"/>
      <c r="AA166" s="260"/>
      <c r="AB166" s="260"/>
    </row>
    <row r="167" spans="1:28" x14ac:dyDescent="0.2">
      <c r="A167" s="231" t="s">
        <v>2118</v>
      </c>
      <c r="B167" s="315" t="s">
        <v>1368</v>
      </c>
      <c r="C167" s="226" t="s">
        <v>0</v>
      </c>
      <c r="D167" s="227" t="s">
        <v>4</v>
      </c>
      <c r="E167" s="226" t="s">
        <v>1831</v>
      </c>
      <c r="F167" s="226" t="s">
        <v>955</v>
      </c>
      <c r="G167" s="226" t="s">
        <v>36</v>
      </c>
      <c r="H167" s="229">
        <v>4.4296296296296296</v>
      </c>
      <c r="I167" s="226" t="e">
        <f>#REF!</f>
        <v>#REF!</v>
      </c>
      <c r="J167" s="387" t="e">
        <f t="shared" si="2"/>
        <v>#REF!</v>
      </c>
      <c r="O167" s="361"/>
      <c r="P167" s="361"/>
      <c r="Q167" s="361"/>
      <c r="R167" s="361"/>
      <c r="S167" s="361"/>
      <c r="T167" s="362"/>
      <c r="U167" s="362"/>
      <c r="V167" s="362"/>
      <c r="W167" s="362"/>
      <c r="X167" s="362"/>
      <c r="Y167" s="362"/>
      <c r="Z167" s="362"/>
      <c r="AA167" s="260"/>
      <c r="AB167" s="260"/>
    </row>
    <row r="168" spans="1:28" x14ac:dyDescent="0.2">
      <c r="A168" s="231"/>
      <c r="B168" s="316" t="s">
        <v>1372</v>
      </c>
      <c r="C168" s="224" t="s">
        <v>0</v>
      </c>
      <c r="D168" s="228" t="s">
        <v>3</v>
      </c>
      <c r="E168" s="224" t="s">
        <v>1831</v>
      </c>
      <c r="F168" s="224" t="s">
        <v>955</v>
      </c>
      <c r="G168" s="224" t="s">
        <v>35</v>
      </c>
      <c r="H168" s="230">
        <v>4.3800000000000008</v>
      </c>
      <c r="I168" s="224" t="e">
        <f>#REF!</f>
        <v>#REF!</v>
      </c>
      <c r="J168" s="385" t="e">
        <f t="shared" si="2"/>
        <v>#REF!</v>
      </c>
      <c r="O168" s="361"/>
      <c r="P168" s="361"/>
      <c r="Q168" s="361"/>
      <c r="R168" s="361"/>
      <c r="S168" s="361"/>
      <c r="T168" s="362"/>
      <c r="U168" s="362"/>
      <c r="V168" s="362"/>
      <c r="W168" s="362"/>
      <c r="X168" s="362"/>
      <c r="Y168" s="362"/>
      <c r="Z168" s="362"/>
      <c r="AA168" s="260"/>
      <c r="AB168" s="260"/>
    </row>
    <row r="169" spans="1:28" x14ac:dyDescent="0.2">
      <c r="A169" s="231"/>
      <c r="B169" s="315" t="s">
        <v>1374</v>
      </c>
      <c r="C169" s="226" t="s">
        <v>0</v>
      </c>
      <c r="D169" s="227" t="s">
        <v>123</v>
      </c>
      <c r="E169" s="226" t="s">
        <v>1831</v>
      </c>
      <c r="F169" s="226" t="s">
        <v>955</v>
      </c>
      <c r="G169" s="226" t="s">
        <v>35</v>
      </c>
      <c r="H169" s="229">
        <v>4.3800000000000008</v>
      </c>
      <c r="I169" s="226" t="e">
        <f>#REF!</f>
        <v>#REF!</v>
      </c>
      <c r="J169" s="387" t="e">
        <f t="shared" si="2"/>
        <v>#REF!</v>
      </c>
      <c r="O169" s="361"/>
      <c r="P169" s="361"/>
      <c r="Q169" s="361"/>
      <c r="R169" s="361"/>
      <c r="S169" s="361"/>
      <c r="T169" s="362"/>
      <c r="U169" s="362"/>
      <c r="V169" s="362"/>
      <c r="W169" s="362"/>
      <c r="X169" s="362"/>
      <c r="Y169" s="362"/>
      <c r="Z169" s="362"/>
      <c r="AA169" s="260"/>
      <c r="AB169" s="260"/>
    </row>
    <row r="170" spans="1:28" x14ac:dyDescent="0.2">
      <c r="A170" s="231"/>
      <c r="B170" s="316" t="s">
        <v>1367</v>
      </c>
      <c r="C170" s="224" t="s">
        <v>0</v>
      </c>
      <c r="D170" s="228" t="s">
        <v>106</v>
      </c>
      <c r="E170" s="224" t="s">
        <v>1831</v>
      </c>
      <c r="F170" s="224" t="s">
        <v>955</v>
      </c>
      <c r="G170" s="224" t="s">
        <v>33</v>
      </c>
      <c r="H170" s="230">
        <v>52.133333333333319</v>
      </c>
      <c r="I170" s="224" t="e">
        <f>#REF!</f>
        <v>#REF!</v>
      </c>
      <c r="J170" s="385" t="e">
        <f t="shared" si="2"/>
        <v>#REF!</v>
      </c>
      <c r="O170" s="361"/>
      <c r="P170" s="361"/>
      <c r="Q170" s="361"/>
      <c r="R170" s="361"/>
      <c r="S170" s="361"/>
      <c r="T170" s="362"/>
      <c r="U170" s="362"/>
      <c r="V170" s="362"/>
      <c r="W170" s="362"/>
      <c r="X170" s="362"/>
      <c r="Y170" s="362"/>
      <c r="Z170" s="362"/>
      <c r="AA170" s="260"/>
      <c r="AB170" s="260"/>
    </row>
    <row r="171" spans="1:28" x14ac:dyDescent="0.2">
      <c r="A171" s="231" t="s">
        <v>2118</v>
      </c>
      <c r="B171" s="315" t="s">
        <v>1002</v>
      </c>
      <c r="C171" s="226" t="s">
        <v>0</v>
      </c>
      <c r="D171" s="227" t="s">
        <v>153</v>
      </c>
      <c r="E171" s="226" t="s">
        <v>1831</v>
      </c>
      <c r="F171" s="226" t="s">
        <v>955</v>
      </c>
      <c r="G171" s="226" t="s">
        <v>37</v>
      </c>
      <c r="H171" s="229">
        <v>11.086259965687757</v>
      </c>
      <c r="I171" s="226" t="e">
        <f>#REF!</f>
        <v>#REF!</v>
      </c>
      <c r="J171" s="387" t="e">
        <f t="shared" si="2"/>
        <v>#REF!</v>
      </c>
      <c r="O171" s="361"/>
      <c r="P171" s="361"/>
      <c r="Q171" s="361"/>
      <c r="R171" s="361"/>
      <c r="S171" s="361"/>
      <c r="T171" s="362"/>
      <c r="U171" s="362"/>
      <c r="V171" s="362"/>
      <c r="W171" s="362"/>
      <c r="X171" s="362"/>
      <c r="Y171" s="362"/>
      <c r="Z171" s="362"/>
      <c r="AA171" s="260"/>
      <c r="AB171" s="260"/>
    </row>
    <row r="172" spans="1:28" x14ac:dyDescent="0.2">
      <c r="A172" s="231"/>
      <c r="B172" s="316" t="s">
        <v>1534</v>
      </c>
      <c r="C172" s="224" t="s">
        <v>0</v>
      </c>
      <c r="D172" s="228" t="s">
        <v>163</v>
      </c>
      <c r="E172" s="224" t="s">
        <v>1831</v>
      </c>
      <c r="F172" s="224" t="s">
        <v>585</v>
      </c>
      <c r="G172" s="224" t="s">
        <v>39</v>
      </c>
      <c r="H172" s="230">
        <v>89.503633060853744</v>
      </c>
      <c r="I172" s="224" t="e">
        <f>#REF!</f>
        <v>#REF!</v>
      </c>
      <c r="J172" s="385" t="e">
        <f t="shared" si="2"/>
        <v>#REF!</v>
      </c>
      <c r="O172" s="361"/>
      <c r="P172" s="361"/>
      <c r="Q172" s="361"/>
      <c r="R172" s="361"/>
      <c r="S172" s="361"/>
      <c r="T172" s="362"/>
      <c r="U172" s="362"/>
      <c r="V172" s="362"/>
      <c r="W172" s="362"/>
      <c r="X172" s="362"/>
      <c r="Y172" s="362"/>
      <c r="Z172" s="362"/>
      <c r="AA172" s="260"/>
      <c r="AB172" s="260"/>
    </row>
    <row r="173" spans="1:28" x14ac:dyDescent="0.2">
      <c r="A173" s="231"/>
      <c r="B173" s="315" t="s">
        <v>1536</v>
      </c>
      <c r="C173" s="226" t="s">
        <v>0</v>
      </c>
      <c r="D173" s="227" t="s">
        <v>164</v>
      </c>
      <c r="E173" s="226" t="s">
        <v>1831</v>
      </c>
      <c r="F173" s="226" t="s">
        <v>585</v>
      </c>
      <c r="G173" s="226" t="s">
        <v>39</v>
      </c>
      <c r="H173" s="229">
        <v>68.540417801998174</v>
      </c>
      <c r="I173" s="226" t="e">
        <f>#REF!</f>
        <v>#REF!</v>
      </c>
      <c r="J173" s="387" t="e">
        <f t="shared" si="2"/>
        <v>#REF!</v>
      </c>
      <c r="O173" s="361"/>
      <c r="P173" s="361"/>
      <c r="Q173" s="361"/>
      <c r="R173" s="361"/>
      <c r="S173" s="361"/>
      <c r="T173" s="362"/>
      <c r="U173" s="362"/>
      <c r="V173" s="362"/>
      <c r="W173" s="362"/>
      <c r="X173" s="362"/>
      <c r="Y173" s="362"/>
      <c r="Z173" s="362"/>
      <c r="AA173" s="260"/>
      <c r="AB173" s="260"/>
    </row>
    <row r="174" spans="1:28" x14ac:dyDescent="0.2">
      <c r="A174" s="231"/>
      <c r="B174" s="316" t="s">
        <v>1542</v>
      </c>
      <c r="C174" s="224" t="s">
        <v>0</v>
      </c>
      <c r="D174" s="228" t="s">
        <v>167</v>
      </c>
      <c r="E174" s="224" t="s">
        <v>1831</v>
      </c>
      <c r="F174" s="224" t="s">
        <v>585</v>
      </c>
      <c r="G174" s="224" t="s">
        <v>39</v>
      </c>
      <c r="H174" s="230">
        <v>49.954743000009756</v>
      </c>
      <c r="I174" s="224" t="e">
        <f>#REF!</f>
        <v>#REF!</v>
      </c>
      <c r="J174" s="385" t="e">
        <f t="shared" si="2"/>
        <v>#REF!</v>
      </c>
      <c r="O174" s="361"/>
      <c r="P174" s="361"/>
      <c r="Q174" s="361"/>
      <c r="R174" s="361"/>
      <c r="S174" s="361"/>
      <c r="T174" s="362"/>
      <c r="U174" s="362"/>
      <c r="V174" s="362"/>
      <c r="W174" s="362"/>
      <c r="X174" s="362"/>
      <c r="Y174" s="362"/>
      <c r="Z174" s="362"/>
      <c r="AA174" s="260"/>
      <c r="AB174" s="260"/>
    </row>
    <row r="175" spans="1:28" ht="18.75" x14ac:dyDescent="0.2">
      <c r="A175" s="231"/>
      <c r="B175" s="325" t="s">
        <v>1282</v>
      </c>
      <c r="C175" s="378" t="s">
        <v>0</v>
      </c>
      <c r="D175" s="379" t="s">
        <v>721</v>
      </c>
      <c r="E175" s="378" t="s">
        <v>1831</v>
      </c>
      <c r="F175" s="378" t="s">
        <v>947</v>
      </c>
      <c r="G175" s="378" t="s">
        <v>37</v>
      </c>
      <c r="H175" s="380">
        <v>9.4059945504087192</v>
      </c>
      <c r="I175" s="226" t="e">
        <f>#REF!</f>
        <v>#REF!</v>
      </c>
      <c r="J175" s="387" t="e">
        <f t="shared" si="2"/>
        <v>#REF!</v>
      </c>
      <c r="O175" s="361"/>
      <c r="P175" s="361"/>
      <c r="Q175" s="361"/>
      <c r="R175" s="361"/>
      <c r="S175" s="361"/>
      <c r="T175" s="362"/>
      <c r="U175" s="362"/>
      <c r="V175" s="362"/>
      <c r="W175" s="362"/>
      <c r="X175" s="362"/>
      <c r="Y175" s="362"/>
      <c r="Z175" s="362"/>
      <c r="AA175" s="260"/>
      <c r="AB175" s="260"/>
    </row>
    <row r="176" spans="1:28" x14ac:dyDescent="0.2">
      <c r="A176" s="231"/>
      <c r="B176" s="316" t="s">
        <v>1284</v>
      </c>
      <c r="C176" s="224" t="s">
        <v>0</v>
      </c>
      <c r="D176" s="228" t="s">
        <v>722</v>
      </c>
      <c r="E176" s="224" t="s">
        <v>1831</v>
      </c>
      <c r="F176" s="224" t="s">
        <v>947</v>
      </c>
      <c r="G176" s="224" t="s">
        <v>36</v>
      </c>
      <c r="H176" s="230">
        <v>11.119999999999997</v>
      </c>
      <c r="I176" s="224" t="e">
        <f>#REF!</f>
        <v>#REF!</v>
      </c>
      <c r="J176" s="385" t="e">
        <f t="shared" si="2"/>
        <v>#REF!</v>
      </c>
      <c r="O176" s="361"/>
      <c r="P176" s="361"/>
      <c r="Q176" s="361"/>
      <c r="R176" s="361"/>
      <c r="S176" s="361"/>
      <c r="T176" s="362"/>
      <c r="U176" s="362"/>
      <c r="V176" s="362"/>
      <c r="W176" s="362"/>
      <c r="X176" s="362"/>
      <c r="Y176" s="362"/>
      <c r="Z176" s="362"/>
      <c r="AA176" s="260"/>
      <c r="AB176" s="260"/>
    </row>
    <row r="177" spans="1:28" x14ac:dyDescent="0.2">
      <c r="A177" s="231"/>
      <c r="B177" s="315" t="s">
        <v>1285</v>
      </c>
      <c r="C177" s="226" t="s">
        <v>0</v>
      </c>
      <c r="D177" s="227" t="s">
        <v>723</v>
      </c>
      <c r="E177" s="226" t="s">
        <v>1831</v>
      </c>
      <c r="F177" s="226" t="s">
        <v>947</v>
      </c>
      <c r="G177" s="226" t="s">
        <v>36</v>
      </c>
      <c r="H177" s="229">
        <v>13.959999999999997</v>
      </c>
      <c r="I177" s="226" t="e">
        <f>#REF!</f>
        <v>#REF!</v>
      </c>
      <c r="J177" s="387" t="e">
        <f t="shared" si="2"/>
        <v>#REF!</v>
      </c>
      <c r="O177" s="361"/>
      <c r="P177" s="361"/>
      <c r="Q177" s="361"/>
      <c r="R177" s="361"/>
      <c r="S177" s="361"/>
      <c r="T177" s="362"/>
      <c r="U177" s="362"/>
      <c r="V177" s="362"/>
      <c r="W177" s="362"/>
      <c r="X177" s="362"/>
      <c r="Y177" s="362"/>
      <c r="Z177" s="362"/>
      <c r="AA177" s="260"/>
      <c r="AB177" s="260"/>
    </row>
    <row r="178" spans="1:28" x14ac:dyDescent="0.2">
      <c r="A178" s="231"/>
      <c r="B178" s="316" t="s">
        <v>1286</v>
      </c>
      <c r="C178" s="224" t="s">
        <v>0</v>
      </c>
      <c r="D178" s="228" t="s">
        <v>724</v>
      </c>
      <c r="E178" s="224" t="s">
        <v>1831</v>
      </c>
      <c r="F178" s="224" t="s">
        <v>947</v>
      </c>
      <c r="G178" s="224" t="s">
        <v>36</v>
      </c>
      <c r="H178" s="230">
        <v>15.559999999999999</v>
      </c>
      <c r="I178" s="224" t="e">
        <f>#REF!</f>
        <v>#REF!</v>
      </c>
      <c r="J178" s="385" t="e">
        <f t="shared" si="2"/>
        <v>#REF!</v>
      </c>
      <c r="O178" s="361"/>
      <c r="P178" s="361"/>
      <c r="Q178" s="361"/>
      <c r="R178" s="361"/>
      <c r="S178" s="361"/>
      <c r="T178" s="362"/>
      <c r="U178" s="362"/>
      <c r="V178" s="362"/>
      <c r="W178" s="362"/>
      <c r="X178" s="362"/>
      <c r="Y178" s="362"/>
      <c r="Z178" s="362"/>
      <c r="AA178" s="260"/>
      <c r="AB178" s="260"/>
    </row>
    <row r="179" spans="1:28" x14ac:dyDescent="0.2">
      <c r="A179" s="231"/>
      <c r="B179" s="323" t="s">
        <v>1287</v>
      </c>
      <c r="C179" s="226" t="s">
        <v>0</v>
      </c>
      <c r="D179" s="227" t="s">
        <v>725</v>
      </c>
      <c r="E179" s="226" t="s">
        <v>1831</v>
      </c>
      <c r="F179" s="226" t="s">
        <v>947</v>
      </c>
      <c r="G179" s="226" t="s">
        <v>36</v>
      </c>
      <c r="H179" s="229">
        <v>23.599999999999998</v>
      </c>
      <c r="I179" s="226" t="e">
        <f>#REF!</f>
        <v>#REF!</v>
      </c>
      <c r="J179" s="387" t="e">
        <f t="shared" si="2"/>
        <v>#REF!</v>
      </c>
      <c r="O179" s="361"/>
      <c r="P179" s="361"/>
      <c r="Q179" s="361"/>
      <c r="R179" s="361"/>
      <c r="S179" s="361"/>
      <c r="T179" s="362"/>
      <c r="U179" s="362"/>
      <c r="V179" s="362"/>
      <c r="W179" s="362"/>
      <c r="X179" s="362"/>
      <c r="Y179" s="362"/>
      <c r="Z179" s="362"/>
      <c r="AA179" s="260"/>
      <c r="AB179" s="260"/>
    </row>
    <row r="180" spans="1:28" x14ac:dyDescent="0.2">
      <c r="A180" s="231"/>
      <c r="B180" s="316" t="s">
        <v>1288</v>
      </c>
      <c r="C180" s="224" t="s">
        <v>0</v>
      </c>
      <c r="D180" s="228" t="s">
        <v>726</v>
      </c>
      <c r="E180" s="224" t="s">
        <v>1831</v>
      </c>
      <c r="F180" s="224" t="s">
        <v>947</v>
      </c>
      <c r="G180" s="224" t="s">
        <v>36</v>
      </c>
      <c r="H180" s="230">
        <v>36.999999999999993</v>
      </c>
      <c r="I180" s="224" t="e">
        <f>#REF!</f>
        <v>#REF!</v>
      </c>
      <c r="J180" s="385" t="e">
        <f t="shared" si="2"/>
        <v>#REF!</v>
      </c>
      <c r="O180" s="361"/>
      <c r="P180" s="361"/>
      <c r="Q180" s="361"/>
      <c r="R180" s="361"/>
      <c r="S180" s="361"/>
      <c r="T180" s="362"/>
      <c r="U180" s="362"/>
      <c r="V180" s="362"/>
      <c r="W180" s="362"/>
      <c r="X180" s="362"/>
      <c r="Y180" s="362"/>
      <c r="Z180" s="362"/>
      <c r="AA180" s="260"/>
      <c r="AB180" s="260"/>
    </row>
    <row r="181" spans="1:28" x14ac:dyDescent="0.2">
      <c r="A181" s="231"/>
      <c r="B181" s="315" t="s">
        <v>1289</v>
      </c>
      <c r="C181" s="226" t="s">
        <v>0</v>
      </c>
      <c r="D181" s="227" t="s">
        <v>727</v>
      </c>
      <c r="E181" s="226" t="s">
        <v>1831</v>
      </c>
      <c r="F181" s="226" t="s">
        <v>947</v>
      </c>
      <c r="G181" s="226" t="s">
        <v>36</v>
      </c>
      <c r="H181" s="229">
        <v>11.119999999999997</v>
      </c>
      <c r="I181" s="226" t="e">
        <f>#REF!</f>
        <v>#REF!</v>
      </c>
      <c r="J181" s="387" t="e">
        <f t="shared" si="2"/>
        <v>#REF!</v>
      </c>
      <c r="O181" s="361"/>
      <c r="P181" s="361"/>
      <c r="Q181" s="361"/>
      <c r="R181" s="361"/>
      <c r="S181" s="361"/>
      <c r="T181" s="362"/>
      <c r="U181" s="362"/>
      <c r="V181" s="362"/>
      <c r="W181" s="362"/>
      <c r="X181" s="362"/>
      <c r="Y181" s="362"/>
      <c r="Z181" s="362"/>
      <c r="AA181" s="260"/>
      <c r="AB181" s="260"/>
    </row>
    <row r="182" spans="1:28" x14ac:dyDescent="0.2">
      <c r="A182" s="231"/>
      <c r="B182" s="322" t="s">
        <v>1292</v>
      </c>
      <c r="C182" s="224" t="s">
        <v>0</v>
      </c>
      <c r="D182" s="228" t="s">
        <v>728</v>
      </c>
      <c r="E182" s="224" t="s">
        <v>1831</v>
      </c>
      <c r="F182" s="224" t="s">
        <v>947</v>
      </c>
      <c r="G182" s="224" t="s">
        <v>36</v>
      </c>
      <c r="H182" s="230">
        <v>12.799999999999997</v>
      </c>
      <c r="I182" s="224" t="e">
        <f>#REF!</f>
        <v>#REF!</v>
      </c>
      <c r="J182" s="385" t="e">
        <f t="shared" si="2"/>
        <v>#REF!</v>
      </c>
      <c r="O182" s="361"/>
      <c r="P182" s="361"/>
      <c r="Q182" s="361"/>
      <c r="R182" s="361"/>
      <c r="S182" s="361"/>
      <c r="T182" s="362"/>
      <c r="U182" s="362"/>
      <c r="V182" s="362"/>
      <c r="W182" s="362"/>
      <c r="X182" s="362"/>
      <c r="Y182" s="362"/>
      <c r="Z182" s="362"/>
      <c r="AA182" s="260"/>
      <c r="AB182" s="260"/>
    </row>
    <row r="183" spans="1:28" x14ac:dyDescent="0.2">
      <c r="A183" s="231"/>
      <c r="B183" s="315" t="s">
        <v>1293</v>
      </c>
      <c r="C183" s="226" t="s">
        <v>0</v>
      </c>
      <c r="D183" s="227" t="s">
        <v>729</v>
      </c>
      <c r="E183" s="226" t="s">
        <v>1831</v>
      </c>
      <c r="F183" s="226" t="s">
        <v>947</v>
      </c>
      <c r="G183" s="226" t="s">
        <v>36</v>
      </c>
      <c r="H183" s="229">
        <v>10.612534059945503</v>
      </c>
      <c r="I183" s="226" t="e">
        <f>#REF!</f>
        <v>#REF!</v>
      </c>
      <c r="J183" s="387" t="e">
        <f t="shared" si="2"/>
        <v>#REF!</v>
      </c>
      <c r="O183" s="361"/>
      <c r="P183" s="361"/>
      <c r="Q183" s="361"/>
      <c r="R183" s="361"/>
      <c r="S183" s="361"/>
      <c r="T183" s="362"/>
      <c r="U183" s="362"/>
      <c r="V183" s="362"/>
      <c r="W183" s="362"/>
      <c r="X183" s="362"/>
      <c r="Y183" s="362"/>
      <c r="Z183" s="362"/>
      <c r="AA183" s="260"/>
      <c r="AB183" s="260"/>
    </row>
    <row r="184" spans="1:28" x14ac:dyDescent="0.2">
      <c r="A184" s="231"/>
      <c r="B184" s="322" t="s">
        <v>1294</v>
      </c>
      <c r="C184" s="224" t="s">
        <v>0</v>
      </c>
      <c r="D184" s="228" t="s">
        <v>730</v>
      </c>
      <c r="E184" s="224" t="s">
        <v>1831</v>
      </c>
      <c r="F184" s="224" t="s">
        <v>947</v>
      </c>
      <c r="G184" s="224" t="s">
        <v>36</v>
      </c>
      <c r="H184" s="230">
        <v>16.697184377838326</v>
      </c>
      <c r="I184" s="224" t="e">
        <f>#REF!</f>
        <v>#REF!</v>
      </c>
      <c r="J184" s="385" t="e">
        <f t="shared" si="2"/>
        <v>#REF!</v>
      </c>
      <c r="O184" s="361"/>
      <c r="P184" s="361"/>
      <c r="Q184" s="361"/>
      <c r="R184" s="361"/>
      <c r="S184" s="361"/>
      <c r="T184" s="362"/>
      <c r="U184" s="362"/>
      <c r="V184" s="362"/>
      <c r="W184" s="362"/>
      <c r="X184" s="362"/>
      <c r="Y184" s="362"/>
      <c r="Z184" s="362"/>
      <c r="AA184" s="260"/>
      <c r="AB184" s="260"/>
    </row>
    <row r="185" spans="1:28" x14ac:dyDescent="0.2">
      <c r="A185" s="231"/>
      <c r="B185" s="315" t="s">
        <v>1295</v>
      </c>
      <c r="C185" s="226" t="s">
        <v>0</v>
      </c>
      <c r="D185" s="227" t="s">
        <v>731</v>
      </c>
      <c r="E185" s="226" t="s">
        <v>1831</v>
      </c>
      <c r="F185" s="226" t="s">
        <v>947</v>
      </c>
      <c r="G185" s="226" t="s">
        <v>36</v>
      </c>
      <c r="H185" s="229">
        <v>15.416893732970024</v>
      </c>
      <c r="I185" s="226" t="e">
        <f>#REF!</f>
        <v>#REF!</v>
      </c>
      <c r="J185" s="387" t="e">
        <f t="shared" si="2"/>
        <v>#REF!</v>
      </c>
      <c r="O185" s="361"/>
      <c r="P185" s="361"/>
      <c r="Q185" s="361"/>
      <c r="R185" s="361"/>
      <c r="S185" s="361"/>
      <c r="T185" s="362"/>
      <c r="U185" s="362"/>
      <c r="V185" s="362"/>
      <c r="W185" s="362"/>
      <c r="X185" s="362"/>
      <c r="Y185" s="362"/>
      <c r="Z185" s="362"/>
      <c r="AA185" s="260"/>
      <c r="AB185" s="260"/>
    </row>
    <row r="186" spans="1:28" x14ac:dyDescent="0.2">
      <c r="A186" s="231"/>
      <c r="B186" s="316" t="s">
        <v>1296</v>
      </c>
      <c r="C186" s="224" t="s">
        <v>0</v>
      </c>
      <c r="D186" s="228" t="s">
        <v>732</v>
      </c>
      <c r="E186" s="224" t="s">
        <v>1831</v>
      </c>
      <c r="F186" s="224" t="s">
        <v>947</v>
      </c>
      <c r="G186" s="224" t="s">
        <v>36</v>
      </c>
      <c r="H186" s="230">
        <v>9.4545454545454533</v>
      </c>
      <c r="I186" s="224" t="e">
        <f>#REF!</f>
        <v>#REF!</v>
      </c>
      <c r="J186" s="385" t="e">
        <f t="shared" si="2"/>
        <v>#REF!</v>
      </c>
      <c r="O186" s="361"/>
      <c r="P186" s="361"/>
      <c r="Q186" s="361"/>
      <c r="R186" s="361"/>
      <c r="S186" s="361"/>
      <c r="T186" s="362"/>
      <c r="U186" s="362"/>
      <c r="V186" s="362"/>
      <c r="W186" s="362"/>
      <c r="X186" s="362"/>
      <c r="Y186" s="362"/>
      <c r="Z186" s="362"/>
      <c r="AA186" s="260"/>
      <c r="AB186" s="260"/>
    </row>
    <row r="187" spans="1:28" x14ac:dyDescent="0.2">
      <c r="A187" s="231"/>
      <c r="B187" s="315" t="s">
        <v>1297</v>
      </c>
      <c r="C187" s="226" t="s">
        <v>0</v>
      </c>
      <c r="D187" s="227" t="s">
        <v>733</v>
      </c>
      <c r="E187" s="226" t="s">
        <v>1831</v>
      </c>
      <c r="F187" s="226" t="s">
        <v>947</v>
      </c>
      <c r="G187" s="226" t="s">
        <v>36</v>
      </c>
      <c r="H187" s="229">
        <v>11.136363636363635</v>
      </c>
      <c r="I187" s="226" t="e">
        <f>#REF!</f>
        <v>#REF!</v>
      </c>
      <c r="J187" s="387" t="e">
        <f t="shared" si="2"/>
        <v>#REF!</v>
      </c>
      <c r="O187" s="361"/>
      <c r="P187" s="361"/>
      <c r="Q187" s="361"/>
      <c r="R187" s="361"/>
      <c r="S187" s="361"/>
      <c r="T187" s="362"/>
      <c r="U187" s="362"/>
      <c r="V187" s="362"/>
      <c r="W187" s="362"/>
      <c r="X187" s="362"/>
      <c r="Y187" s="362"/>
      <c r="Z187" s="362"/>
      <c r="AA187" s="260"/>
      <c r="AB187" s="260"/>
    </row>
    <row r="188" spans="1:28" x14ac:dyDescent="0.2">
      <c r="A188" s="231"/>
      <c r="B188" s="316" t="s">
        <v>1299</v>
      </c>
      <c r="C188" s="224" t="s">
        <v>0</v>
      </c>
      <c r="D188" s="228" t="s">
        <v>734</v>
      </c>
      <c r="E188" s="224" t="s">
        <v>1831</v>
      </c>
      <c r="F188" s="224" t="s">
        <v>947</v>
      </c>
      <c r="G188" s="224" t="s">
        <v>36</v>
      </c>
      <c r="H188" s="230">
        <v>12.818181818181815</v>
      </c>
      <c r="I188" s="224" t="e">
        <f>#REF!</f>
        <v>#REF!</v>
      </c>
      <c r="J188" s="385" t="e">
        <f t="shared" si="2"/>
        <v>#REF!</v>
      </c>
      <c r="O188" s="361"/>
      <c r="P188" s="361"/>
      <c r="Q188" s="361"/>
      <c r="R188" s="361"/>
      <c r="S188" s="361"/>
      <c r="T188" s="362"/>
      <c r="U188" s="362"/>
      <c r="V188" s="362"/>
      <c r="W188" s="362"/>
      <c r="X188" s="362"/>
      <c r="Y188" s="362"/>
      <c r="Z188" s="362"/>
      <c r="AA188" s="260"/>
      <c r="AB188" s="260"/>
    </row>
    <row r="189" spans="1:28" x14ac:dyDescent="0.2">
      <c r="A189" s="231"/>
      <c r="B189" s="315" t="s">
        <v>1300</v>
      </c>
      <c r="C189" s="226" t="s">
        <v>0</v>
      </c>
      <c r="D189" s="227" t="s">
        <v>735</v>
      </c>
      <c r="E189" s="226" t="s">
        <v>1831</v>
      </c>
      <c r="F189" s="226" t="s">
        <v>947</v>
      </c>
      <c r="G189" s="226" t="s">
        <v>36</v>
      </c>
      <c r="H189" s="229">
        <v>9.4545454545454533</v>
      </c>
      <c r="I189" s="226" t="e">
        <f>#REF!</f>
        <v>#REF!</v>
      </c>
      <c r="J189" s="387" t="e">
        <f t="shared" si="2"/>
        <v>#REF!</v>
      </c>
      <c r="O189" s="361"/>
      <c r="P189" s="361"/>
      <c r="Q189" s="361"/>
      <c r="R189" s="361"/>
      <c r="S189" s="361"/>
      <c r="T189" s="362"/>
      <c r="U189" s="362"/>
      <c r="V189" s="362"/>
      <c r="W189" s="362"/>
      <c r="X189" s="362"/>
      <c r="Y189" s="362"/>
      <c r="Z189" s="362"/>
      <c r="AA189" s="260"/>
      <c r="AB189" s="260"/>
    </row>
    <row r="190" spans="1:28" x14ac:dyDescent="0.2">
      <c r="A190" s="231"/>
      <c r="B190" s="316" t="s">
        <v>1302</v>
      </c>
      <c r="C190" s="224" t="s">
        <v>0</v>
      </c>
      <c r="D190" s="228" t="s">
        <v>736</v>
      </c>
      <c r="E190" s="224" t="s">
        <v>1831</v>
      </c>
      <c r="F190" s="224" t="s">
        <v>947</v>
      </c>
      <c r="G190" s="224" t="s">
        <v>36</v>
      </c>
      <c r="H190" s="230">
        <v>11.136363636363635</v>
      </c>
      <c r="I190" s="224" t="e">
        <f>#REF!</f>
        <v>#REF!</v>
      </c>
      <c r="J190" s="385" t="e">
        <f t="shared" si="2"/>
        <v>#REF!</v>
      </c>
      <c r="O190" s="361"/>
      <c r="P190" s="361"/>
      <c r="Q190" s="361"/>
      <c r="R190" s="361"/>
      <c r="S190" s="361"/>
      <c r="T190" s="362"/>
      <c r="U190" s="362"/>
      <c r="V190" s="362"/>
      <c r="W190" s="362"/>
      <c r="X190" s="362"/>
      <c r="Y190" s="362"/>
      <c r="Z190" s="362"/>
      <c r="AA190" s="260"/>
      <c r="AB190" s="260"/>
    </row>
    <row r="191" spans="1:28" x14ac:dyDescent="0.2">
      <c r="A191" s="231"/>
      <c r="B191" s="315" t="s">
        <v>1303</v>
      </c>
      <c r="C191" s="226" t="s">
        <v>0</v>
      </c>
      <c r="D191" s="227" t="s">
        <v>737</v>
      </c>
      <c r="E191" s="226" t="s">
        <v>1831</v>
      </c>
      <c r="F191" s="226" t="s">
        <v>947</v>
      </c>
      <c r="G191" s="226" t="s">
        <v>36</v>
      </c>
      <c r="H191" s="229">
        <v>12.818181818181815</v>
      </c>
      <c r="I191" s="226" t="e">
        <f>#REF!</f>
        <v>#REF!</v>
      </c>
      <c r="J191" s="387" t="e">
        <f t="shared" si="2"/>
        <v>#REF!</v>
      </c>
      <c r="O191" s="361"/>
      <c r="P191" s="361"/>
      <c r="Q191" s="361"/>
      <c r="R191" s="361"/>
      <c r="S191" s="361"/>
      <c r="T191" s="362"/>
      <c r="U191" s="362"/>
      <c r="V191" s="362"/>
      <c r="W191" s="362"/>
      <c r="X191" s="362"/>
      <c r="Y191" s="362"/>
      <c r="Z191" s="362"/>
      <c r="AA191" s="260"/>
      <c r="AB191" s="260"/>
    </row>
    <row r="192" spans="1:28" x14ac:dyDescent="0.2">
      <c r="A192" s="231"/>
      <c r="B192" s="316" t="s">
        <v>1304</v>
      </c>
      <c r="C192" s="224" t="s">
        <v>0</v>
      </c>
      <c r="D192" s="228" t="s">
        <v>738</v>
      </c>
      <c r="E192" s="224" t="s">
        <v>1831</v>
      </c>
      <c r="F192" s="224" t="s">
        <v>947</v>
      </c>
      <c r="G192" s="224" t="s">
        <v>36</v>
      </c>
      <c r="H192" s="230">
        <v>10.411989100817438</v>
      </c>
      <c r="I192" s="224" t="e">
        <f>#REF!</f>
        <v>#REF!</v>
      </c>
      <c r="J192" s="385" t="e">
        <f t="shared" si="2"/>
        <v>#REF!</v>
      </c>
      <c r="O192" s="361"/>
      <c r="P192" s="361"/>
      <c r="Q192" s="361"/>
      <c r="R192" s="361"/>
      <c r="S192" s="361"/>
      <c r="T192" s="362"/>
      <c r="U192" s="362"/>
      <c r="V192" s="362"/>
      <c r="W192" s="362"/>
      <c r="X192" s="362"/>
      <c r="Y192" s="362"/>
      <c r="Z192" s="362"/>
      <c r="AA192" s="260"/>
      <c r="AB192" s="260"/>
    </row>
    <row r="193" spans="1:28" x14ac:dyDescent="0.2">
      <c r="A193" s="231"/>
      <c r="B193" s="315" t="s">
        <v>1305</v>
      </c>
      <c r="C193" s="226" t="s">
        <v>0</v>
      </c>
      <c r="D193" s="227" t="s">
        <v>739</v>
      </c>
      <c r="E193" s="226" t="s">
        <v>1831</v>
      </c>
      <c r="F193" s="226" t="s">
        <v>947</v>
      </c>
      <c r="G193" s="226" t="s">
        <v>36</v>
      </c>
      <c r="H193" s="229">
        <v>9.4545454545454533</v>
      </c>
      <c r="I193" s="226" t="e">
        <f>#REF!</f>
        <v>#REF!</v>
      </c>
      <c r="J193" s="387" t="e">
        <f t="shared" si="2"/>
        <v>#REF!</v>
      </c>
      <c r="O193" s="361"/>
      <c r="P193" s="361"/>
      <c r="Q193" s="361"/>
      <c r="R193" s="361"/>
      <c r="S193" s="361"/>
      <c r="T193" s="362"/>
      <c r="U193" s="362"/>
      <c r="V193" s="362"/>
      <c r="W193" s="362"/>
      <c r="X193" s="362"/>
      <c r="Y193" s="362"/>
      <c r="Z193" s="362"/>
      <c r="AA193" s="260"/>
      <c r="AB193" s="260"/>
    </row>
    <row r="194" spans="1:28" x14ac:dyDescent="0.2">
      <c r="A194" s="231"/>
      <c r="B194" s="322" t="s">
        <v>1307</v>
      </c>
      <c r="C194" s="224" t="s">
        <v>0</v>
      </c>
      <c r="D194" s="228" t="s">
        <v>740</v>
      </c>
      <c r="E194" s="224" t="s">
        <v>1831</v>
      </c>
      <c r="F194" s="224" t="s">
        <v>947</v>
      </c>
      <c r="G194" s="224" t="s">
        <v>36</v>
      </c>
      <c r="H194" s="230">
        <v>11.136363636363635</v>
      </c>
      <c r="I194" s="224" t="e">
        <f>#REF!</f>
        <v>#REF!</v>
      </c>
      <c r="J194" s="385" t="e">
        <f t="shared" si="2"/>
        <v>#REF!</v>
      </c>
      <c r="O194" s="361"/>
      <c r="P194" s="361"/>
      <c r="Q194" s="361"/>
      <c r="R194" s="361"/>
      <c r="S194" s="361"/>
      <c r="T194" s="362"/>
      <c r="U194" s="362"/>
      <c r="V194" s="362"/>
      <c r="W194" s="362"/>
      <c r="X194" s="362"/>
      <c r="Y194" s="362"/>
      <c r="Z194" s="362"/>
      <c r="AA194" s="260"/>
      <c r="AB194" s="260"/>
    </row>
    <row r="195" spans="1:28" x14ac:dyDescent="0.2">
      <c r="A195" s="231"/>
      <c r="B195" s="315" t="s">
        <v>1308</v>
      </c>
      <c r="C195" s="226" t="s">
        <v>0</v>
      </c>
      <c r="D195" s="227" t="s">
        <v>741</v>
      </c>
      <c r="E195" s="226" t="s">
        <v>1831</v>
      </c>
      <c r="F195" s="226" t="s">
        <v>947</v>
      </c>
      <c r="G195" s="226" t="s">
        <v>36</v>
      </c>
      <c r="H195" s="229">
        <v>12.818181818181815</v>
      </c>
      <c r="I195" s="226" t="e">
        <f>#REF!</f>
        <v>#REF!</v>
      </c>
      <c r="J195" s="387" t="e">
        <f t="shared" si="2"/>
        <v>#REF!</v>
      </c>
      <c r="O195" s="361"/>
      <c r="P195" s="361"/>
      <c r="Q195" s="361"/>
      <c r="R195" s="361"/>
      <c r="S195" s="361"/>
      <c r="T195" s="362"/>
      <c r="U195" s="362"/>
      <c r="V195" s="362"/>
      <c r="W195" s="362"/>
      <c r="X195" s="362"/>
      <c r="Y195" s="362"/>
      <c r="Z195" s="362"/>
      <c r="AA195" s="260"/>
      <c r="AB195" s="260"/>
    </row>
    <row r="196" spans="1:28" x14ac:dyDescent="0.2">
      <c r="A196" s="231"/>
      <c r="B196" s="316" t="s">
        <v>1309</v>
      </c>
      <c r="C196" s="224" t="s">
        <v>0</v>
      </c>
      <c r="D196" s="228" t="s">
        <v>742</v>
      </c>
      <c r="E196" s="224" t="s">
        <v>1831</v>
      </c>
      <c r="F196" s="224" t="s">
        <v>947</v>
      </c>
      <c r="G196" s="224" t="s">
        <v>36</v>
      </c>
      <c r="H196" s="230">
        <v>9.4545454545454533</v>
      </c>
      <c r="I196" s="224" t="e">
        <f>#REF!</f>
        <v>#REF!</v>
      </c>
      <c r="J196" s="385" t="e">
        <f t="shared" si="2"/>
        <v>#REF!</v>
      </c>
      <c r="O196" s="361"/>
      <c r="P196" s="361"/>
      <c r="Q196" s="361"/>
      <c r="R196" s="361"/>
      <c r="S196" s="361"/>
      <c r="T196" s="362"/>
      <c r="U196" s="362"/>
      <c r="V196" s="362"/>
      <c r="W196" s="362"/>
      <c r="X196" s="362"/>
      <c r="Y196" s="362"/>
      <c r="Z196" s="362"/>
      <c r="AA196" s="260"/>
      <c r="AB196" s="260"/>
    </row>
    <row r="197" spans="1:28" x14ac:dyDescent="0.2">
      <c r="A197" s="231"/>
      <c r="B197" s="315" t="s">
        <v>1311</v>
      </c>
      <c r="C197" s="226" t="s">
        <v>0</v>
      </c>
      <c r="D197" s="227" t="s">
        <v>743</v>
      </c>
      <c r="E197" s="226" t="s">
        <v>1831</v>
      </c>
      <c r="F197" s="226" t="s">
        <v>947</v>
      </c>
      <c r="G197" s="226" t="s">
        <v>36</v>
      </c>
      <c r="H197" s="229">
        <v>11.136363636363635</v>
      </c>
      <c r="I197" s="226" t="e">
        <f>#REF!</f>
        <v>#REF!</v>
      </c>
      <c r="J197" s="387" t="e">
        <f t="shared" si="2"/>
        <v>#REF!</v>
      </c>
      <c r="O197" s="361"/>
      <c r="P197" s="361"/>
      <c r="Q197" s="361"/>
      <c r="R197" s="361"/>
      <c r="S197" s="361"/>
      <c r="T197" s="362"/>
      <c r="U197" s="362"/>
      <c r="V197" s="362"/>
      <c r="W197" s="362"/>
      <c r="X197" s="362"/>
      <c r="Y197" s="362"/>
      <c r="Z197" s="362"/>
      <c r="AA197" s="260"/>
      <c r="AB197" s="260"/>
    </row>
    <row r="198" spans="1:28" x14ac:dyDescent="0.2">
      <c r="A198" s="231"/>
      <c r="B198" s="316" t="s">
        <v>1313</v>
      </c>
      <c r="C198" s="224" t="s">
        <v>0</v>
      </c>
      <c r="D198" s="228" t="s">
        <v>744</v>
      </c>
      <c r="E198" s="224" t="s">
        <v>1831</v>
      </c>
      <c r="F198" s="224" t="s">
        <v>947</v>
      </c>
      <c r="G198" s="224" t="s">
        <v>36</v>
      </c>
      <c r="H198" s="230">
        <v>12.818181818181815</v>
      </c>
      <c r="I198" s="224" t="e">
        <f>#REF!</f>
        <v>#REF!</v>
      </c>
      <c r="J198" s="385" t="e">
        <f t="shared" ref="J198:J261" si="3">H198-H198*I198</f>
        <v>#REF!</v>
      </c>
      <c r="O198" s="361"/>
      <c r="P198" s="361"/>
      <c r="Q198" s="361"/>
      <c r="R198" s="361"/>
      <c r="S198" s="361"/>
      <c r="T198" s="362"/>
      <c r="U198" s="362"/>
      <c r="V198" s="362"/>
      <c r="W198" s="362"/>
      <c r="X198" s="362"/>
      <c r="Y198" s="362"/>
      <c r="Z198" s="362"/>
      <c r="AA198" s="260"/>
      <c r="AB198" s="260"/>
    </row>
    <row r="199" spans="1:28" x14ac:dyDescent="0.2">
      <c r="A199" s="231" t="s">
        <v>2118</v>
      </c>
      <c r="B199" s="323" t="s">
        <v>1314</v>
      </c>
      <c r="C199" s="226" t="s">
        <v>0</v>
      </c>
      <c r="D199" s="227" t="s">
        <v>745</v>
      </c>
      <c r="E199" s="226" t="s">
        <v>1831</v>
      </c>
      <c r="F199" s="226" t="s">
        <v>947</v>
      </c>
      <c r="G199" s="226" t="s">
        <v>37</v>
      </c>
      <c r="H199" s="229">
        <v>8.4399999999999977</v>
      </c>
      <c r="I199" s="226" t="e">
        <f>#REF!</f>
        <v>#REF!</v>
      </c>
      <c r="J199" s="387" t="e">
        <f t="shared" si="3"/>
        <v>#REF!</v>
      </c>
      <c r="O199" s="361"/>
      <c r="P199" s="361"/>
      <c r="Q199" s="361"/>
      <c r="R199" s="361"/>
      <c r="S199" s="361"/>
      <c r="T199" s="362"/>
      <c r="U199" s="362"/>
      <c r="V199" s="362"/>
      <c r="W199" s="362"/>
      <c r="X199" s="362"/>
      <c r="Y199" s="362"/>
      <c r="Z199" s="362"/>
      <c r="AA199" s="260"/>
      <c r="AB199" s="260"/>
    </row>
    <row r="200" spans="1:28" x14ac:dyDescent="0.2">
      <c r="A200" s="231" t="s">
        <v>2118</v>
      </c>
      <c r="B200" s="322" t="s">
        <v>1315</v>
      </c>
      <c r="C200" s="224" t="s">
        <v>0</v>
      </c>
      <c r="D200" s="228" t="s">
        <v>746</v>
      </c>
      <c r="E200" s="224" t="s">
        <v>1831</v>
      </c>
      <c r="F200" s="224" t="s">
        <v>947</v>
      </c>
      <c r="G200" s="224" t="s">
        <v>37</v>
      </c>
      <c r="H200" s="230">
        <v>9.3636363636363615</v>
      </c>
      <c r="I200" s="224" t="e">
        <f>#REF!</f>
        <v>#REF!</v>
      </c>
      <c r="J200" s="385" t="e">
        <f t="shared" si="3"/>
        <v>#REF!</v>
      </c>
      <c r="O200" s="361"/>
      <c r="P200" s="361"/>
      <c r="Q200" s="361"/>
      <c r="R200" s="361"/>
      <c r="S200" s="361"/>
      <c r="T200" s="362"/>
      <c r="U200" s="362"/>
      <c r="V200" s="362"/>
      <c r="W200" s="362"/>
      <c r="X200" s="362"/>
      <c r="Y200" s="362"/>
      <c r="Z200" s="362"/>
      <c r="AA200" s="260"/>
      <c r="AB200" s="260"/>
    </row>
    <row r="201" spans="1:28" x14ac:dyDescent="0.2">
      <c r="A201" s="231"/>
      <c r="B201" s="315" t="s">
        <v>1317</v>
      </c>
      <c r="C201" s="226" t="s">
        <v>0</v>
      </c>
      <c r="D201" s="227" t="s">
        <v>747</v>
      </c>
      <c r="E201" s="226" t="s">
        <v>1831</v>
      </c>
      <c r="F201" s="226" t="s">
        <v>947</v>
      </c>
      <c r="G201" s="226" t="s">
        <v>37</v>
      </c>
      <c r="H201" s="229">
        <v>10.399999999999999</v>
      </c>
      <c r="I201" s="226" t="e">
        <f>#REF!</f>
        <v>#REF!</v>
      </c>
      <c r="J201" s="387" t="e">
        <f t="shared" si="3"/>
        <v>#REF!</v>
      </c>
      <c r="O201" s="361"/>
      <c r="P201" s="361"/>
      <c r="Q201" s="361"/>
      <c r="R201" s="361"/>
      <c r="S201" s="361"/>
      <c r="T201" s="362"/>
      <c r="U201" s="362"/>
      <c r="V201" s="362"/>
      <c r="W201" s="362"/>
      <c r="X201" s="362"/>
      <c r="Y201" s="362"/>
      <c r="Z201" s="362"/>
      <c r="AA201" s="260"/>
      <c r="AB201" s="260"/>
    </row>
    <row r="202" spans="1:28" x14ac:dyDescent="0.2">
      <c r="A202" s="231" t="s">
        <v>2118</v>
      </c>
      <c r="B202" s="316" t="s">
        <v>1318</v>
      </c>
      <c r="C202" s="224" t="s">
        <v>0</v>
      </c>
      <c r="D202" s="228" t="s">
        <v>748</v>
      </c>
      <c r="E202" s="224" t="s">
        <v>1831</v>
      </c>
      <c r="F202" s="224" t="s">
        <v>947</v>
      </c>
      <c r="G202" s="224" t="s">
        <v>37</v>
      </c>
      <c r="H202" s="230">
        <v>11.363636363636362</v>
      </c>
      <c r="I202" s="224" t="e">
        <f>#REF!</f>
        <v>#REF!</v>
      </c>
      <c r="J202" s="385" t="e">
        <f t="shared" si="3"/>
        <v>#REF!</v>
      </c>
      <c r="O202" s="361"/>
      <c r="P202" s="361"/>
      <c r="Q202" s="361"/>
      <c r="R202" s="361"/>
      <c r="S202" s="361"/>
      <c r="T202" s="362"/>
      <c r="U202" s="362"/>
      <c r="V202" s="362"/>
      <c r="W202" s="362"/>
      <c r="X202" s="362"/>
      <c r="Y202" s="362"/>
      <c r="Z202" s="362"/>
      <c r="AA202" s="260"/>
      <c r="AB202" s="260"/>
    </row>
    <row r="203" spans="1:28" x14ac:dyDescent="0.2">
      <c r="A203" s="231"/>
      <c r="B203" s="315" t="s">
        <v>1319</v>
      </c>
      <c r="C203" s="226" t="s">
        <v>0</v>
      </c>
      <c r="D203" s="227" t="s">
        <v>749</v>
      </c>
      <c r="E203" s="226" t="s">
        <v>1831</v>
      </c>
      <c r="F203" s="226" t="s">
        <v>947</v>
      </c>
      <c r="G203" s="226" t="s">
        <v>37</v>
      </c>
      <c r="H203" s="229">
        <v>12.919999999999998</v>
      </c>
      <c r="I203" s="226" t="e">
        <f>#REF!</f>
        <v>#REF!</v>
      </c>
      <c r="J203" s="387" t="e">
        <f t="shared" si="3"/>
        <v>#REF!</v>
      </c>
      <c r="O203" s="361"/>
      <c r="P203" s="361"/>
      <c r="Q203" s="361"/>
      <c r="R203" s="361"/>
      <c r="S203" s="361"/>
      <c r="T203" s="362"/>
      <c r="U203" s="362"/>
      <c r="V203" s="362"/>
      <c r="W203" s="362"/>
      <c r="X203" s="362"/>
      <c r="Y203" s="362"/>
      <c r="Z203" s="362"/>
      <c r="AA203" s="260"/>
      <c r="AB203" s="260"/>
    </row>
    <row r="204" spans="1:28" x14ac:dyDescent="0.2">
      <c r="A204" s="231" t="s">
        <v>2118</v>
      </c>
      <c r="B204" s="316" t="s">
        <v>1321</v>
      </c>
      <c r="C204" s="224" t="s">
        <v>0</v>
      </c>
      <c r="D204" s="228" t="s">
        <v>750</v>
      </c>
      <c r="E204" s="224" t="s">
        <v>1831</v>
      </c>
      <c r="F204" s="224" t="s">
        <v>947</v>
      </c>
      <c r="G204" s="224" t="s">
        <v>37</v>
      </c>
      <c r="H204" s="230">
        <v>13.399999999999997</v>
      </c>
      <c r="I204" s="224" t="e">
        <f>#REF!</f>
        <v>#REF!</v>
      </c>
      <c r="J204" s="385" t="e">
        <f t="shared" si="3"/>
        <v>#REF!</v>
      </c>
      <c r="O204" s="361"/>
      <c r="P204" s="361"/>
      <c r="Q204" s="361"/>
      <c r="R204" s="361"/>
      <c r="S204" s="361"/>
      <c r="T204" s="362"/>
      <c r="U204" s="362"/>
      <c r="V204" s="362"/>
      <c r="W204" s="362"/>
      <c r="X204" s="362"/>
      <c r="Y204" s="362"/>
      <c r="Z204" s="362"/>
      <c r="AA204" s="260"/>
      <c r="AB204" s="260"/>
    </row>
    <row r="205" spans="1:28" x14ac:dyDescent="0.2">
      <c r="A205" s="231"/>
      <c r="B205" s="315" t="s">
        <v>1322</v>
      </c>
      <c r="C205" s="226" t="s">
        <v>0</v>
      </c>
      <c r="D205" s="227" t="s">
        <v>751</v>
      </c>
      <c r="E205" s="226" t="s">
        <v>1831</v>
      </c>
      <c r="F205" s="226" t="s">
        <v>947</v>
      </c>
      <c r="G205" s="226" t="s">
        <v>37</v>
      </c>
      <c r="H205" s="229">
        <v>15.319999999999999</v>
      </c>
      <c r="I205" s="226" t="e">
        <f>#REF!</f>
        <v>#REF!</v>
      </c>
      <c r="J205" s="387" t="e">
        <f t="shared" si="3"/>
        <v>#REF!</v>
      </c>
      <c r="O205" s="361"/>
      <c r="P205" s="361"/>
      <c r="Q205" s="361"/>
      <c r="R205" s="361"/>
      <c r="S205" s="361"/>
      <c r="T205" s="362"/>
      <c r="U205" s="362"/>
      <c r="V205" s="362"/>
      <c r="W205" s="362"/>
      <c r="X205" s="362"/>
      <c r="Y205" s="362"/>
      <c r="Z205" s="362"/>
      <c r="AA205" s="260"/>
      <c r="AB205" s="260"/>
    </row>
    <row r="206" spans="1:28" x14ac:dyDescent="0.2">
      <c r="A206" s="231" t="s">
        <v>2118</v>
      </c>
      <c r="B206" s="322" t="s">
        <v>1329</v>
      </c>
      <c r="C206" s="224" t="s">
        <v>0</v>
      </c>
      <c r="D206" s="228" t="s">
        <v>758</v>
      </c>
      <c r="E206" s="224" t="s">
        <v>1831</v>
      </c>
      <c r="F206" s="224" t="s">
        <v>947</v>
      </c>
      <c r="G206" s="224" t="s">
        <v>37</v>
      </c>
      <c r="H206" s="230">
        <v>17.279999999999998</v>
      </c>
      <c r="I206" s="224" t="e">
        <f>#REF!</f>
        <v>#REF!</v>
      </c>
      <c r="J206" s="385" t="e">
        <f t="shared" si="3"/>
        <v>#REF!</v>
      </c>
      <c r="O206" s="361"/>
      <c r="P206" s="361"/>
      <c r="Q206" s="361"/>
      <c r="R206" s="361"/>
      <c r="S206" s="361"/>
      <c r="T206" s="362"/>
      <c r="U206" s="362"/>
      <c r="V206" s="362"/>
      <c r="W206" s="362"/>
      <c r="X206" s="362"/>
      <c r="Y206" s="362"/>
      <c r="Z206" s="362"/>
      <c r="AA206" s="260"/>
      <c r="AB206" s="260"/>
    </row>
    <row r="207" spans="1:28" x14ac:dyDescent="0.2">
      <c r="A207" s="231"/>
      <c r="B207" s="315" t="s">
        <v>1323</v>
      </c>
      <c r="C207" s="226" t="s">
        <v>0</v>
      </c>
      <c r="D207" s="227" t="s">
        <v>752</v>
      </c>
      <c r="E207" s="226" t="s">
        <v>1831</v>
      </c>
      <c r="F207" s="226" t="s">
        <v>947</v>
      </c>
      <c r="G207" s="226" t="s">
        <v>37</v>
      </c>
      <c r="H207" s="229">
        <v>19.319999999999997</v>
      </c>
      <c r="I207" s="226" t="e">
        <f>#REF!</f>
        <v>#REF!</v>
      </c>
      <c r="J207" s="387" t="e">
        <f t="shared" si="3"/>
        <v>#REF!</v>
      </c>
      <c r="O207" s="361"/>
      <c r="P207" s="361"/>
      <c r="Q207" s="361"/>
      <c r="R207" s="361"/>
      <c r="S207" s="361"/>
      <c r="T207" s="362"/>
      <c r="U207" s="362"/>
      <c r="V207" s="362"/>
      <c r="W207" s="362"/>
      <c r="X207" s="362"/>
      <c r="Y207" s="362"/>
      <c r="Z207" s="362"/>
      <c r="AA207" s="260"/>
      <c r="AB207" s="260"/>
    </row>
    <row r="208" spans="1:28" x14ac:dyDescent="0.2">
      <c r="A208" s="231"/>
      <c r="B208" s="316" t="s">
        <v>1324</v>
      </c>
      <c r="C208" s="224" t="s">
        <v>0</v>
      </c>
      <c r="D208" s="228" t="s">
        <v>753</v>
      </c>
      <c r="E208" s="224" t="s">
        <v>1831</v>
      </c>
      <c r="F208" s="224" t="s">
        <v>947</v>
      </c>
      <c r="G208" s="224" t="s">
        <v>37</v>
      </c>
      <c r="H208" s="230">
        <v>21.239999999999995</v>
      </c>
      <c r="I208" s="224" t="e">
        <f>#REF!</f>
        <v>#REF!</v>
      </c>
      <c r="J208" s="385" t="e">
        <f t="shared" si="3"/>
        <v>#REF!</v>
      </c>
      <c r="O208" s="361"/>
      <c r="P208" s="361"/>
      <c r="Q208" s="361"/>
      <c r="R208" s="361"/>
      <c r="S208" s="361"/>
      <c r="T208" s="362"/>
      <c r="U208" s="362"/>
      <c r="V208" s="362"/>
      <c r="W208" s="362"/>
      <c r="X208" s="362"/>
      <c r="Y208" s="362"/>
      <c r="Z208" s="362"/>
      <c r="AA208" s="260"/>
      <c r="AB208" s="260"/>
    </row>
    <row r="209" spans="1:28" x14ac:dyDescent="0.2">
      <c r="A209" s="231"/>
      <c r="B209" s="315" t="s">
        <v>1325</v>
      </c>
      <c r="C209" s="226" t="s">
        <v>0</v>
      </c>
      <c r="D209" s="227" t="s">
        <v>754</v>
      </c>
      <c r="E209" s="226" t="s">
        <v>1831</v>
      </c>
      <c r="F209" s="226" t="s">
        <v>947</v>
      </c>
      <c r="G209" s="226" t="s">
        <v>37</v>
      </c>
      <c r="H209" s="229">
        <v>23.239999999999995</v>
      </c>
      <c r="I209" s="226" t="e">
        <f>#REF!</f>
        <v>#REF!</v>
      </c>
      <c r="J209" s="387" t="e">
        <f t="shared" si="3"/>
        <v>#REF!</v>
      </c>
      <c r="O209" s="361"/>
      <c r="P209" s="361"/>
      <c r="Q209" s="361"/>
      <c r="R209" s="361"/>
      <c r="S209" s="361"/>
      <c r="T209" s="362"/>
      <c r="U209" s="362"/>
      <c r="V209" s="362"/>
      <c r="W209" s="362"/>
      <c r="X209" s="362"/>
      <c r="Y209" s="362"/>
      <c r="Z209" s="362"/>
      <c r="AA209" s="260"/>
      <c r="AB209" s="260"/>
    </row>
    <row r="210" spans="1:28" x14ac:dyDescent="0.2">
      <c r="A210" s="231"/>
      <c r="B210" s="316" t="s">
        <v>1326</v>
      </c>
      <c r="C210" s="224" t="s">
        <v>0</v>
      </c>
      <c r="D210" s="228" t="s">
        <v>755</v>
      </c>
      <c r="E210" s="224" t="s">
        <v>1831</v>
      </c>
      <c r="F210" s="224" t="s">
        <v>947</v>
      </c>
      <c r="G210" s="224" t="s">
        <v>37</v>
      </c>
      <c r="H210" s="230">
        <v>25.199999999999996</v>
      </c>
      <c r="I210" s="224" t="e">
        <f>#REF!</f>
        <v>#REF!</v>
      </c>
      <c r="J210" s="385" t="e">
        <f t="shared" si="3"/>
        <v>#REF!</v>
      </c>
      <c r="O210" s="361"/>
      <c r="P210" s="361"/>
      <c r="Q210" s="361"/>
      <c r="R210" s="361"/>
      <c r="S210" s="361"/>
      <c r="T210" s="362"/>
      <c r="U210" s="362"/>
      <c r="V210" s="362"/>
      <c r="W210" s="362"/>
      <c r="X210" s="362"/>
      <c r="Y210" s="362"/>
      <c r="Z210" s="362"/>
      <c r="AA210" s="260"/>
      <c r="AB210" s="260"/>
    </row>
    <row r="211" spans="1:28" x14ac:dyDescent="0.2">
      <c r="A211" s="231"/>
      <c r="B211" s="315" t="s">
        <v>1330</v>
      </c>
      <c r="C211" s="226" t="s">
        <v>0</v>
      </c>
      <c r="D211" s="227" t="s">
        <v>759</v>
      </c>
      <c r="E211" s="226" t="s">
        <v>1831</v>
      </c>
      <c r="F211" s="226" t="s">
        <v>947</v>
      </c>
      <c r="G211" s="226" t="s">
        <v>37</v>
      </c>
      <c r="H211" s="229">
        <v>27.199999999999996</v>
      </c>
      <c r="I211" s="226" t="e">
        <f>#REF!</f>
        <v>#REF!</v>
      </c>
      <c r="J211" s="387" t="e">
        <f t="shared" si="3"/>
        <v>#REF!</v>
      </c>
      <c r="O211" s="361"/>
      <c r="P211" s="361"/>
      <c r="Q211" s="361"/>
      <c r="R211" s="361"/>
      <c r="S211" s="361"/>
      <c r="T211" s="362"/>
      <c r="U211" s="362"/>
      <c r="V211" s="362"/>
      <c r="W211" s="362"/>
      <c r="X211" s="362"/>
      <c r="Y211" s="362"/>
      <c r="Z211" s="362"/>
      <c r="AA211" s="260"/>
      <c r="AB211" s="260"/>
    </row>
    <row r="212" spans="1:28" x14ac:dyDescent="0.2">
      <c r="A212" s="231"/>
      <c r="B212" s="316" t="s">
        <v>1327</v>
      </c>
      <c r="C212" s="224" t="s">
        <v>0</v>
      </c>
      <c r="D212" s="228" t="s">
        <v>756</v>
      </c>
      <c r="E212" s="224" t="s">
        <v>1831</v>
      </c>
      <c r="F212" s="224" t="s">
        <v>947</v>
      </c>
      <c r="G212" s="224" t="s">
        <v>37</v>
      </c>
      <c r="H212" s="230">
        <v>31.999999999999993</v>
      </c>
      <c r="I212" s="224" t="e">
        <f>#REF!</f>
        <v>#REF!</v>
      </c>
      <c r="J212" s="385" t="e">
        <f t="shared" si="3"/>
        <v>#REF!</v>
      </c>
      <c r="O212" s="361"/>
      <c r="P212" s="361"/>
      <c r="Q212" s="361"/>
      <c r="R212" s="361"/>
      <c r="S212" s="361"/>
      <c r="T212" s="362"/>
      <c r="U212" s="362"/>
      <c r="V212" s="362"/>
      <c r="W212" s="362"/>
      <c r="X212" s="362"/>
      <c r="Y212" s="362"/>
      <c r="Z212" s="362"/>
      <c r="AA212" s="260"/>
      <c r="AB212" s="260"/>
    </row>
    <row r="213" spans="1:28" x14ac:dyDescent="0.2">
      <c r="A213" s="231"/>
      <c r="B213" s="315" t="s">
        <v>1331</v>
      </c>
      <c r="C213" s="226" t="s">
        <v>0</v>
      </c>
      <c r="D213" s="227" t="s">
        <v>760</v>
      </c>
      <c r="E213" s="226" t="s">
        <v>1831</v>
      </c>
      <c r="F213" s="226" t="s">
        <v>947</v>
      </c>
      <c r="G213" s="226" t="s">
        <v>37</v>
      </c>
      <c r="H213" s="229">
        <v>39.999999999999993</v>
      </c>
      <c r="I213" s="226" t="e">
        <f>#REF!</f>
        <v>#REF!</v>
      </c>
      <c r="J213" s="387" t="e">
        <f t="shared" si="3"/>
        <v>#REF!</v>
      </c>
      <c r="O213" s="361"/>
      <c r="P213" s="361"/>
      <c r="Q213" s="361"/>
      <c r="R213" s="361"/>
      <c r="S213" s="361"/>
      <c r="T213" s="362"/>
      <c r="U213" s="362"/>
      <c r="V213" s="362"/>
      <c r="W213" s="362"/>
      <c r="X213" s="362"/>
      <c r="Y213" s="362"/>
      <c r="Z213" s="362"/>
      <c r="AA213" s="260"/>
      <c r="AB213" s="260"/>
    </row>
    <row r="214" spans="1:28" x14ac:dyDescent="0.2">
      <c r="A214" s="231"/>
      <c r="B214" s="316" t="s">
        <v>1328</v>
      </c>
      <c r="C214" s="224" t="s">
        <v>0</v>
      </c>
      <c r="D214" s="228" t="s">
        <v>757</v>
      </c>
      <c r="E214" s="224" t="s">
        <v>1831</v>
      </c>
      <c r="F214" s="224" t="s">
        <v>947</v>
      </c>
      <c r="G214" s="224" t="s">
        <v>37</v>
      </c>
      <c r="H214" s="230">
        <v>47.199999999999996</v>
      </c>
      <c r="I214" s="224" t="e">
        <f>#REF!</f>
        <v>#REF!</v>
      </c>
      <c r="J214" s="385" t="e">
        <f t="shared" si="3"/>
        <v>#REF!</v>
      </c>
      <c r="O214" s="361"/>
      <c r="P214" s="361"/>
      <c r="Q214" s="361"/>
      <c r="R214" s="361"/>
      <c r="S214" s="361"/>
      <c r="T214" s="362"/>
      <c r="U214" s="362"/>
      <c r="V214" s="362"/>
      <c r="W214" s="362"/>
      <c r="X214" s="362"/>
      <c r="Y214" s="362"/>
      <c r="Z214" s="362"/>
      <c r="AA214" s="260"/>
      <c r="AB214" s="260"/>
    </row>
    <row r="215" spans="1:28" x14ac:dyDescent="0.2">
      <c r="A215" s="231"/>
      <c r="B215" s="315" t="s">
        <v>1332</v>
      </c>
      <c r="C215" s="226" t="s">
        <v>0</v>
      </c>
      <c r="D215" s="227" t="s">
        <v>761</v>
      </c>
      <c r="E215" s="226" t="s">
        <v>1831</v>
      </c>
      <c r="F215" s="226" t="s">
        <v>947</v>
      </c>
      <c r="G215" s="226" t="s">
        <v>37</v>
      </c>
      <c r="H215" s="229">
        <v>9.3636363636363615</v>
      </c>
      <c r="I215" s="226" t="e">
        <f>#REF!</f>
        <v>#REF!</v>
      </c>
      <c r="J215" s="387" t="e">
        <f t="shared" si="3"/>
        <v>#REF!</v>
      </c>
      <c r="O215" s="361"/>
      <c r="P215" s="361"/>
      <c r="Q215" s="361"/>
      <c r="R215" s="361"/>
      <c r="S215" s="361"/>
      <c r="T215" s="362"/>
      <c r="U215" s="362"/>
      <c r="V215" s="362"/>
      <c r="W215" s="362"/>
      <c r="X215" s="362"/>
      <c r="Y215" s="362"/>
      <c r="Z215" s="362"/>
      <c r="AA215" s="260"/>
      <c r="AB215" s="260"/>
    </row>
    <row r="216" spans="1:28" x14ac:dyDescent="0.2">
      <c r="A216" s="231"/>
      <c r="B216" s="316" t="s">
        <v>1333</v>
      </c>
      <c r="C216" s="224" t="s">
        <v>0</v>
      </c>
      <c r="D216" s="228" t="s">
        <v>762</v>
      </c>
      <c r="E216" s="224" t="s">
        <v>1831</v>
      </c>
      <c r="F216" s="224" t="s">
        <v>947</v>
      </c>
      <c r="G216" s="224" t="s">
        <v>37</v>
      </c>
      <c r="H216" s="230">
        <v>11.363636363636362</v>
      </c>
      <c r="I216" s="224" t="e">
        <f>#REF!</f>
        <v>#REF!</v>
      </c>
      <c r="J216" s="385" t="e">
        <f t="shared" si="3"/>
        <v>#REF!</v>
      </c>
      <c r="O216" s="361"/>
      <c r="P216" s="361"/>
      <c r="Q216" s="361"/>
      <c r="R216" s="361"/>
      <c r="S216" s="361"/>
      <c r="T216" s="362"/>
      <c r="U216" s="362"/>
      <c r="V216" s="362"/>
      <c r="W216" s="362"/>
      <c r="X216" s="362"/>
      <c r="Y216" s="362"/>
      <c r="Z216" s="362"/>
      <c r="AA216" s="260"/>
      <c r="AB216" s="260"/>
    </row>
    <row r="217" spans="1:28" x14ac:dyDescent="0.2">
      <c r="A217" s="231"/>
      <c r="B217" s="315" t="s">
        <v>1334</v>
      </c>
      <c r="C217" s="226" t="s">
        <v>0</v>
      </c>
      <c r="D217" s="227" t="s">
        <v>763</v>
      </c>
      <c r="E217" s="226" t="s">
        <v>1831</v>
      </c>
      <c r="F217" s="226" t="s">
        <v>947</v>
      </c>
      <c r="G217" s="226" t="s">
        <v>37</v>
      </c>
      <c r="H217" s="229">
        <v>13.399999999999997</v>
      </c>
      <c r="I217" s="226" t="e">
        <f>#REF!</f>
        <v>#REF!</v>
      </c>
      <c r="J217" s="387" t="e">
        <f t="shared" si="3"/>
        <v>#REF!</v>
      </c>
      <c r="O217" s="361"/>
      <c r="P217" s="361"/>
      <c r="Q217" s="361"/>
      <c r="R217" s="361"/>
      <c r="S217" s="361"/>
      <c r="T217" s="362"/>
      <c r="U217" s="362"/>
      <c r="V217" s="362"/>
      <c r="W217" s="362"/>
      <c r="X217" s="362"/>
      <c r="Y217" s="362"/>
      <c r="Z217" s="362"/>
      <c r="AA217" s="260"/>
      <c r="AB217" s="260"/>
    </row>
    <row r="218" spans="1:28" x14ac:dyDescent="0.2">
      <c r="A218" s="231"/>
      <c r="B218" s="316" t="s">
        <v>1335</v>
      </c>
      <c r="C218" s="224" t="s">
        <v>0</v>
      </c>
      <c r="D218" s="228" t="s">
        <v>764</v>
      </c>
      <c r="E218" s="224" t="s">
        <v>1831</v>
      </c>
      <c r="F218" s="224" t="s">
        <v>947</v>
      </c>
      <c r="G218" s="224" t="s">
        <v>37</v>
      </c>
      <c r="H218" s="230">
        <v>8.4399999999999977</v>
      </c>
      <c r="I218" s="224" t="e">
        <f>#REF!</f>
        <v>#REF!</v>
      </c>
      <c r="J218" s="385" t="e">
        <f t="shared" si="3"/>
        <v>#REF!</v>
      </c>
      <c r="O218" s="361"/>
      <c r="P218" s="361"/>
      <c r="Q218" s="361"/>
      <c r="R218" s="361"/>
      <c r="S218" s="361"/>
      <c r="T218" s="362"/>
      <c r="U218" s="362"/>
      <c r="V218" s="362"/>
      <c r="W218" s="362"/>
      <c r="X218" s="362"/>
      <c r="Y218" s="362"/>
      <c r="Z218" s="362"/>
      <c r="AA218" s="260"/>
      <c r="AB218" s="260"/>
    </row>
    <row r="219" spans="1:28" x14ac:dyDescent="0.2">
      <c r="A219" s="231"/>
      <c r="B219" s="315" t="s">
        <v>1336</v>
      </c>
      <c r="C219" s="226" t="s">
        <v>0</v>
      </c>
      <c r="D219" s="227" t="s">
        <v>765</v>
      </c>
      <c r="E219" s="226" t="s">
        <v>1831</v>
      </c>
      <c r="F219" s="226" t="s">
        <v>947</v>
      </c>
      <c r="G219" s="226" t="s">
        <v>37</v>
      </c>
      <c r="H219" s="229">
        <v>9.3636363636363615</v>
      </c>
      <c r="I219" s="226" t="e">
        <f>#REF!</f>
        <v>#REF!</v>
      </c>
      <c r="J219" s="387" t="e">
        <f t="shared" si="3"/>
        <v>#REF!</v>
      </c>
      <c r="O219" s="361"/>
      <c r="P219" s="361"/>
      <c r="Q219" s="361"/>
      <c r="R219" s="361"/>
      <c r="S219" s="361"/>
      <c r="T219" s="362"/>
      <c r="U219" s="362"/>
      <c r="V219" s="362"/>
      <c r="W219" s="362"/>
      <c r="X219" s="362"/>
      <c r="Y219" s="362"/>
      <c r="Z219" s="362"/>
      <c r="AA219" s="260"/>
      <c r="AB219" s="260"/>
    </row>
    <row r="220" spans="1:28" x14ac:dyDescent="0.2">
      <c r="A220" s="231"/>
      <c r="B220" s="316" t="s">
        <v>1337</v>
      </c>
      <c r="C220" s="224" t="s">
        <v>0</v>
      </c>
      <c r="D220" s="228" t="s">
        <v>766</v>
      </c>
      <c r="E220" s="224" t="s">
        <v>1831</v>
      </c>
      <c r="F220" s="224" t="s">
        <v>947</v>
      </c>
      <c r="G220" s="224" t="s">
        <v>37</v>
      </c>
      <c r="H220" s="230">
        <v>10.399999999999999</v>
      </c>
      <c r="I220" s="224" t="e">
        <f>#REF!</f>
        <v>#REF!</v>
      </c>
      <c r="J220" s="385" t="e">
        <f t="shared" si="3"/>
        <v>#REF!</v>
      </c>
      <c r="O220" s="361"/>
      <c r="P220" s="361"/>
      <c r="Q220" s="361"/>
      <c r="R220" s="361"/>
      <c r="S220" s="361"/>
      <c r="T220" s="362"/>
      <c r="U220" s="362"/>
      <c r="V220" s="362"/>
      <c r="W220" s="362"/>
      <c r="X220" s="362"/>
      <c r="Y220" s="362"/>
      <c r="Z220" s="362"/>
      <c r="AA220" s="260"/>
      <c r="AB220" s="260"/>
    </row>
    <row r="221" spans="1:28" x14ac:dyDescent="0.2">
      <c r="A221" s="231"/>
      <c r="B221" s="315" t="s">
        <v>1338</v>
      </c>
      <c r="C221" s="226" t="s">
        <v>0</v>
      </c>
      <c r="D221" s="227" t="s">
        <v>767</v>
      </c>
      <c r="E221" s="226" t="s">
        <v>1831</v>
      </c>
      <c r="F221" s="226" t="s">
        <v>947</v>
      </c>
      <c r="G221" s="226" t="s">
        <v>37</v>
      </c>
      <c r="H221" s="229">
        <v>11.363636363636362</v>
      </c>
      <c r="I221" s="226" t="e">
        <f>#REF!</f>
        <v>#REF!</v>
      </c>
      <c r="J221" s="387" t="e">
        <f t="shared" si="3"/>
        <v>#REF!</v>
      </c>
      <c r="O221" s="361"/>
      <c r="P221" s="361"/>
      <c r="Q221" s="361"/>
      <c r="R221" s="361"/>
      <c r="S221" s="361"/>
      <c r="T221" s="362"/>
      <c r="U221" s="362"/>
      <c r="V221" s="362"/>
      <c r="W221" s="362"/>
      <c r="X221" s="362"/>
      <c r="Y221" s="362"/>
      <c r="Z221" s="362"/>
      <c r="AA221" s="260"/>
      <c r="AB221" s="260"/>
    </row>
    <row r="222" spans="1:28" x14ac:dyDescent="0.2">
      <c r="A222" s="231"/>
      <c r="B222" s="316" t="s">
        <v>1339</v>
      </c>
      <c r="C222" s="224" t="s">
        <v>0</v>
      </c>
      <c r="D222" s="228" t="s">
        <v>768</v>
      </c>
      <c r="E222" s="224" t="s">
        <v>1831</v>
      </c>
      <c r="F222" s="224" t="s">
        <v>947</v>
      </c>
      <c r="G222" s="224" t="s">
        <v>37</v>
      </c>
      <c r="H222" s="230">
        <v>13.399999999999997</v>
      </c>
      <c r="I222" s="224" t="e">
        <f>#REF!</f>
        <v>#REF!</v>
      </c>
      <c r="J222" s="385" t="e">
        <f t="shared" si="3"/>
        <v>#REF!</v>
      </c>
      <c r="O222" s="361"/>
      <c r="P222" s="361"/>
      <c r="Q222" s="361"/>
      <c r="R222" s="361"/>
      <c r="S222" s="361"/>
      <c r="T222" s="362"/>
      <c r="U222" s="362"/>
      <c r="V222" s="362"/>
      <c r="W222" s="362"/>
      <c r="X222" s="362"/>
      <c r="Y222" s="362"/>
      <c r="Z222" s="362"/>
      <c r="AA222" s="260"/>
      <c r="AB222" s="260"/>
    </row>
    <row r="223" spans="1:28" x14ac:dyDescent="0.2">
      <c r="A223" s="231"/>
      <c r="B223" s="315" t="s">
        <v>1340</v>
      </c>
      <c r="C223" s="226" t="s">
        <v>0</v>
      </c>
      <c r="D223" s="227" t="s">
        <v>769</v>
      </c>
      <c r="E223" s="226" t="s">
        <v>1831</v>
      </c>
      <c r="F223" s="226" t="s">
        <v>947</v>
      </c>
      <c r="G223" s="226" t="s">
        <v>37</v>
      </c>
      <c r="H223" s="229">
        <v>9.3636363636363615</v>
      </c>
      <c r="I223" s="226" t="e">
        <f>#REF!</f>
        <v>#REF!</v>
      </c>
      <c r="J223" s="387" t="e">
        <f t="shared" si="3"/>
        <v>#REF!</v>
      </c>
      <c r="O223" s="361"/>
      <c r="P223" s="361"/>
      <c r="Q223" s="361"/>
      <c r="R223" s="361"/>
      <c r="S223" s="361"/>
      <c r="T223" s="362"/>
      <c r="U223" s="362"/>
      <c r="V223" s="362"/>
      <c r="W223" s="362"/>
      <c r="X223" s="362"/>
      <c r="Y223" s="362"/>
      <c r="Z223" s="362"/>
      <c r="AA223" s="260"/>
      <c r="AB223" s="260"/>
    </row>
    <row r="224" spans="1:28" x14ac:dyDescent="0.2">
      <c r="A224" s="231"/>
      <c r="B224" s="316" t="s">
        <v>1342</v>
      </c>
      <c r="C224" s="224" t="s">
        <v>0</v>
      </c>
      <c r="D224" s="228" t="s">
        <v>770</v>
      </c>
      <c r="E224" s="224" t="s">
        <v>1831</v>
      </c>
      <c r="F224" s="224" t="s">
        <v>947</v>
      </c>
      <c r="G224" s="224" t="s">
        <v>37</v>
      </c>
      <c r="H224" s="230">
        <v>10.399999999999999</v>
      </c>
      <c r="I224" s="224" t="e">
        <f>#REF!</f>
        <v>#REF!</v>
      </c>
      <c r="J224" s="385" t="e">
        <f t="shared" si="3"/>
        <v>#REF!</v>
      </c>
      <c r="O224" s="361"/>
      <c r="P224" s="361"/>
      <c r="Q224" s="361"/>
      <c r="R224" s="361"/>
      <c r="S224" s="361"/>
      <c r="T224" s="362"/>
      <c r="U224" s="362"/>
      <c r="V224" s="362"/>
      <c r="W224" s="362"/>
      <c r="X224" s="362"/>
      <c r="Y224" s="362"/>
      <c r="Z224" s="362"/>
      <c r="AA224" s="260"/>
      <c r="AB224" s="260"/>
    </row>
    <row r="225" spans="1:28" x14ac:dyDescent="0.2">
      <c r="A225" s="231"/>
      <c r="B225" s="315" t="s">
        <v>1344</v>
      </c>
      <c r="C225" s="226" t="s">
        <v>0</v>
      </c>
      <c r="D225" s="227" t="s">
        <v>771</v>
      </c>
      <c r="E225" s="226" t="s">
        <v>1831</v>
      </c>
      <c r="F225" s="226" t="s">
        <v>947</v>
      </c>
      <c r="G225" s="226" t="s">
        <v>37</v>
      </c>
      <c r="H225" s="229">
        <v>11.363636363636362</v>
      </c>
      <c r="I225" s="226" t="e">
        <f>#REF!</f>
        <v>#REF!</v>
      </c>
      <c r="J225" s="387" t="e">
        <f t="shared" si="3"/>
        <v>#REF!</v>
      </c>
      <c r="O225" s="361"/>
      <c r="P225" s="361"/>
      <c r="Q225" s="361"/>
      <c r="R225" s="361"/>
      <c r="S225" s="361"/>
      <c r="T225" s="362"/>
      <c r="U225" s="362"/>
      <c r="V225" s="362"/>
      <c r="W225" s="362"/>
      <c r="X225" s="362"/>
      <c r="Y225" s="362"/>
      <c r="Z225" s="362"/>
      <c r="AA225" s="260"/>
      <c r="AB225" s="260"/>
    </row>
    <row r="226" spans="1:28" x14ac:dyDescent="0.2">
      <c r="A226" s="231"/>
      <c r="B226" s="316" t="s">
        <v>1345</v>
      </c>
      <c r="C226" s="224" t="s">
        <v>0</v>
      </c>
      <c r="D226" s="228" t="s">
        <v>772</v>
      </c>
      <c r="E226" s="224" t="s">
        <v>1831</v>
      </c>
      <c r="F226" s="224" t="s">
        <v>947</v>
      </c>
      <c r="G226" s="224" t="s">
        <v>37</v>
      </c>
      <c r="H226" s="230">
        <v>13.399999999999997</v>
      </c>
      <c r="I226" s="224" t="e">
        <f>#REF!</f>
        <v>#REF!</v>
      </c>
      <c r="J226" s="385" t="e">
        <f t="shared" si="3"/>
        <v>#REF!</v>
      </c>
      <c r="O226" s="361"/>
      <c r="P226" s="361"/>
      <c r="Q226" s="361"/>
      <c r="R226" s="361"/>
      <c r="S226" s="361"/>
      <c r="T226" s="362"/>
      <c r="U226" s="362"/>
      <c r="V226" s="362"/>
      <c r="W226" s="362"/>
      <c r="X226" s="362"/>
      <c r="Y226" s="362"/>
      <c r="Z226" s="362"/>
      <c r="AA226" s="260"/>
      <c r="AB226" s="260"/>
    </row>
    <row r="227" spans="1:28" x14ac:dyDescent="0.2">
      <c r="A227" s="231"/>
      <c r="B227" s="315" t="s">
        <v>1347</v>
      </c>
      <c r="C227" s="226" t="s">
        <v>0</v>
      </c>
      <c r="D227" s="227" t="s">
        <v>773</v>
      </c>
      <c r="E227" s="226" t="s">
        <v>1831</v>
      </c>
      <c r="F227" s="226" t="s">
        <v>947</v>
      </c>
      <c r="G227" s="226" t="s">
        <v>37</v>
      </c>
      <c r="H227" s="229">
        <v>8.4399999999999977</v>
      </c>
      <c r="I227" s="226" t="e">
        <f>#REF!</f>
        <v>#REF!</v>
      </c>
      <c r="J227" s="387" t="e">
        <f t="shared" si="3"/>
        <v>#REF!</v>
      </c>
      <c r="O227" s="361"/>
      <c r="P227" s="361"/>
      <c r="Q227" s="361"/>
      <c r="R227" s="361"/>
      <c r="S227" s="361"/>
      <c r="T227" s="362"/>
      <c r="U227" s="362"/>
      <c r="V227" s="362"/>
      <c r="W227" s="362"/>
      <c r="X227" s="362"/>
      <c r="Y227" s="362"/>
      <c r="Z227" s="362"/>
      <c r="AA227" s="260"/>
      <c r="AB227" s="260"/>
    </row>
    <row r="228" spans="1:28" x14ac:dyDescent="0.2">
      <c r="A228" s="231"/>
      <c r="B228" s="316" t="s">
        <v>1348</v>
      </c>
      <c r="C228" s="224" t="s">
        <v>0</v>
      </c>
      <c r="D228" s="228" t="s">
        <v>774</v>
      </c>
      <c r="E228" s="224" t="s">
        <v>1831</v>
      </c>
      <c r="F228" s="224" t="s">
        <v>947</v>
      </c>
      <c r="G228" s="224" t="s">
        <v>37</v>
      </c>
      <c r="H228" s="230">
        <v>9.3636363636363615</v>
      </c>
      <c r="I228" s="224" t="e">
        <f>#REF!</f>
        <v>#REF!</v>
      </c>
      <c r="J228" s="385" t="e">
        <f t="shared" si="3"/>
        <v>#REF!</v>
      </c>
      <c r="O228" s="361"/>
      <c r="P228" s="361"/>
      <c r="Q228" s="361"/>
      <c r="R228" s="361"/>
      <c r="S228" s="361"/>
      <c r="T228" s="362"/>
      <c r="U228" s="362"/>
      <c r="V228" s="362"/>
      <c r="W228" s="362"/>
      <c r="X228" s="362"/>
      <c r="Y228" s="362"/>
      <c r="Z228" s="362"/>
      <c r="AA228" s="260"/>
      <c r="AB228" s="260"/>
    </row>
    <row r="229" spans="1:28" x14ac:dyDescent="0.2">
      <c r="A229" s="231"/>
      <c r="B229" s="315" t="s">
        <v>1350</v>
      </c>
      <c r="C229" s="226" t="s">
        <v>0</v>
      </c>
      <c r="D229" s="227" t="s">
        <v>775</v>
      </c>
      <c r="E229" s="226" t="s">
        <v>1831</v>
      </c>
      <c r="F229" s="226" t="s">
        <v>947</v>
      </c>
      <c r="G229" s="226" t="s">
        <v>37</v>
      </c>
      <c r="H229" s="229">
        <v>11.363636363636362</v>
      </c>
      <c r="I229" s="226" t="e">
        <f>#REF!</f>
        <v>#REF!</v>
      </c>
      <c r="J229" s="387" t="e">
        <f t="shared" si="3"/>
        <v>#REF!</v>
      </c>
      <c r="O229" s="361"/>
      <c r="P229" s="361"/>
      <c r="Q229" s="361"/>
      <c r="R229" s="361"/>
      <c r="S229" s="361"/>
      <c r="T229" s="362"/>
      <c r="U229" s="362"/>
      <c r="V229" s="362"/>
      <c r="W229" s="362"/>
      <c r="X229" s="362"/>
      <c r="Y229" s="362"/>
      <c r="Z229" s="362"/>
      <c r="AA229" s="260"/>
      <c r="AB229" s="260"/>
    </row>
    <row r="230" spans="1:28" x14ac:dyDescent="0.2">
      <c r="A230" s="231"/>
      <c r="B230" s="316" t="s">
        <v>1352</v>
      </c>
      <c r="C230" s="224" t="s">
        <v>0</v>
      </c>
      <c r="D230" s="228" t="s">
        <v>776</v>
      </c>
      <c r="E230" s="224" t="s">
        <v>1831</v>
      </c>
      <c r="F230" s="224" t="s">
        <v>947</v>
      </c>
      <c r="G230" s="224" t="s">
        <v>37</v>
      </c>
      <c r="H230" s="230">
        <v>13.399999999999997</v>
      </c>
      <c r="I230" s="224" t="e">
        <f>#REF!</f>
        <v>#REF!</v>
      </c>
      <c r="J230" s="385" t="e">
        <f t="shared" si="3"/>
        <v>#REF!</v>
      </c>
      <c r="O230" s="361"/>
      <c r="P230" s="361"/>
      <c r="Q230" s="361"/>
      <c r="R230" s="361"/>
      <c r="S230" s="361"/>
      <c r="T230" s="362"/>
      <c r="U230" s="362"/>
      <c r="V230" s="362"/>
      <c r="W230" s="362"/>
      <c r="X230" s="362"/>
      <c r="Y230" s="362"/>
      <c r="Z230" s="362"/>
      <c r="AA230" s="260"/>
      <c r="AB230" s="260"/>
    </row>
    <row r="231" spans="1:28" x14ac:dyDescent="0.2">
      <c r="A231" s="231"/>
      <c r="B231" s="315" t="s">
        <v>1353</v>
      </c>
      <c r="C231" s="226" t="s">
        <v>0</v>
      </c>
      <c r="D231" s="227" t="s">
        <v>777</v>
      </c>
      <c r="E231" s="226" t="s">
        <v>1831</v>
      </c>
      <c r="F231" s="226" t="s">
        <v>947</v>
      </c>
      <c r="G231" s="226" t="s">
        <v>37</v>
      </c>
      <c r="H231" s="229">
        <v>8.4399999999999977</v>
      </c>
      <c r="I231" s="226" t="e">
        <f>#REF!</f>
        <v>#REF!</v>
      </c>
      <c r="J231" s="387" t="e">
        <f t="shared" si="3"/>
        <v>#REF!</v>
      </c>
      <c r="O231" s="361"/>
      <c r="P231" s="361"/>
      <c r="Q231" s="361"/>
      <c r="R231" s="361"/>
      <c r="S231" s="361"/>
      <c r="T231" s="362"/>
      <c r="U231" s="362"/>
      <c r="V231" s="362"/>
      <c r="W231" s="362"/>
      <c r="X231" s="362"/>
      <c r="Y231" s="362"/>
      <c r="Z231" s="362"/>
      <c r="AA231" s="260"/>
      <c r="AB231" s="260"/>
    </row>
    <row r="232" spans="1:28" x14ac:dyDescent="0.2">
      <c r="A232" s="231"/>
      <c r="B232" s="316" t="s">
        <v>1354</v>
      </c>
      <c r="C232" s="224" t="s">
        <v>0</v>
      </c>
      <c r="D232" s="228" t="s">
        <v>778</v>
      </c>
      <c r="E232" s="224" t="s">
        <v>1831</v>
      </c>
      <c r="F232" s="224" t="s">
        <v>947</v>
      </c>
      <c r="G232" s="224" t="s">
        <v>37</v>
      </c>
      <c r="H232" s="230">
        <v>9.3636363636363615</v>
      </c>
      <c r="I232" s="224" t="e">
        <f>#REF!</f>
        <v>#REF!</v>
      </c>
      <c r="J232" s="385" t="e">
        <f t="shared" si="3"/>
        <v>#REF!</v>
      </c>
      <c r="O232" s="361"/>
      <c r="P232" s="361"/>
      <c r="Q232" s="361"/>
      <c r="R232" s="361"/>
      <c r="S232" s="361"/>
      <c r="T232" s="362"/>
      <c r="U232" s="362"/>
      <c r="V232" s="362"/>
      <c r="W232" s="362"/>
      <c r="X232" s="362"/>
      <c r="Y232" s="362"/>
      <c r="Z232" s="362"/>
      <c r="AA232" s="260"/>
      <c r="AB232" s="260"/>
    </row>
    <row r="233" spans="1:28" x14ac:dyDescent="0.2">
      <c r="A233" s="231"/>
      <c r="B233" s="315" t="s">
        <v>1359</v>
      </c>
      <c r="C233" s="226" t="s">
        <v>0</v>
      </c>
      <c r="D233" s="227" t="s">
        <v>779</v>
      </c>
      <c r="E233" s="226" t="s">
        <v>1831</v>
      </c>
      <c r="F233" s="226" t="s">
        <v>947</v>
      </c>
      <c r="G233" s="226" t="s">
        <v>37</v>
      </c>
      <c r="H233" s="229">
        <v>11.363636363636362</v>
      </c>
      <c r="I233" s="226" t="e">
        <f>#REF!</f>
        <v>#REF!</v>
      </c>
      <c r="J233" s="387" t="e">
        <f t="shared" si="3"/>
        <v>#REF!</v>
      </c>
      <c r="O233" s="361"/>
      <c r="P233" s="361"/>
      <c r="Q233" s="361"/>
      <c r="R233" s="361"/>
      <c r="S233" s="361"/>
      <c r="T233" s="362"/>
      <c r="U233" s="362"/>
      <c r="V233" s="362"/>
      <c r="W233" s="362"/>
      <c r="X233" s="362"/>
      <c r="Y233" s="362"/>
      <c r="Z233" s="362"/>
      <c r="AA233" s="260"/>
      <c r="AB233" s="260"/>
    </row>
    <row r="234" spans="1:28" x14ac:dyDescent="0.2">
      <c r="A234" s="231"/>
      <c r="B234" s="316" t="s">
        <v>1363</v>
      </c>
      <c r="C234" s="224" t="s">
        <v>0</v>
      </c>
      <c r="D234" s="228" t="s">
        <v>780</v>
      </c>
      <c r="E234" s="224" t="s">
        <v>1831</v>
      </c>
      <c r="F234" s="224" t="s">
        <v>947</v>
      </c>
      <c r="G234" s="224" t="s">
        <v>37</v>
      </c>
      <c r="H234" s="230">
        <v>13.399999999999997</v>
      </c>
      <c r="I234" s="224" t="e">
        <f>#REF!</f>
        <v>#REF!</v>
      </c>
      <c r="J234" s="385" t="e">
        <f t="shared" si="3"/>
        <v>#REF!</v>
      </c>
      <c r="O234" s="361"/>
      <c r="P234" s="361"/>
      <c r="Q234" s="361"/>
      <c r="R234" s="361"/>
      <c r="S234" s="361"/>
      <c r="T234" s="362"/>
      <c r="U234" s="362"/>
      <c r="V234" s="362"/>
      <c r="W234" s="362"/>
      <c r="X234" s="362"/>
      <c r="Y234" s="362"/>
      <c r="Z234" s="362"/>
      <c r="AA234" s="260"/>
      <c r="AB234" s="260"/>
    </row>
    <row r="235" spans="1:28" x14ac:dyDescent="0.2">
      <c r="A235" s="231"/>
      <c r="B235" s="315" t="s">
        <v>1364</v>
      </c>
      <c r="C235" s="226" t="s">
        <v>0</v>
      </c>
      <c r="D235" s="227" t="s">
        <v>781</v>
      </c>
      <c r="E235" s="226" t="s">
        <v>1831</v>
      </c>
      <c r="F235" s="226" t="s">
        <v>947</v>
      </c>
      <c r="G235" s="226" t="s">
        <v>37</v>
      </c>
      <c r="H235" s="229">
        <v>17.279999999999998</v>
      </c>
      <c r="I235" s="226" t="e">
        <f>#REF!</f>
        <v>#REF!</v>
      </c>
      <c r="J235" s="387" t="e">
        <f t="shared" si="3"/>
        <v>#REF!</v>
      </c>
      <c r="O235" s="361"/>
      <c r="P235" s="361"/>
      <c r="Q235" s="361"/>
      <c r="R235" s="361"/>
      <c r="S235" s="361"/>
      <c r="T235" s="362"/>
      <c r="U235" s="362"/>
      <c r="V235" s="362"/>
      <c r="W235" s="362"/>
      <c r="X235" s="362"/>
      <c r="Y235" s="362"/>
      <c r="Z235" s="362"/>
      <c r="AA235" s="260"/>
      <c r="AB235" s="260"/>
    </row>
    <row r="236" spans="1:28" x14ac:dyDescent="0.2">
      <c r="A236" s="231"/>
      <c r="B236" s="316" t="s">
        <v>1366</v>
      </c>
      <c r="C236" s="224" t="s">
        <v>0</v>
      </c>
      <c r="D236" s="228" t="s">
        <v>166</v>
      </c>
      <c r="E236" s="224" t="s">
        <v>1831</v>
      </c>
      <c r="F236" s="224" t="s">
        <v>947</v>
      </c>
      <c r="G236" s="224" t="s">
        <v>39</v>
      </c>
      <c r="H236" s="230">
        <v>94.136239782016347</v>
      </c>
      <c r="I236" s="224" t="e">
        <f>#REF!</f>
        <v>#REF!</v>
      </c>
      <c r="J236" s="385" t="e">
        <f t="shared" si="3"/>
        <v>#REF!</v>
      </c>
      <c r="O236" s="361"/>
      <c r="P236" s="361"/>
      <c r="Q236" s="361"/>
      <c r="R236" s="361"/>
      <c r="S236" s="361"/>
      <c r="T236" s="362"/>
      <c r="U236" s="362"/>
      <c r="V236" s="362"/>
      <c r="W236" s="362"/>
      <c r="X236" s="362"/>
      <c r="Y236" s="362"/>
      <c r="Z236" s="362"/>
      <c r="AA236" s="260"/>
      <c r="AB236" s="260"/>
    </row>
    <row r="237" spans="1:28" x14ac:dyDescent="0.2">
      <c r="A237" s="231"/>
      <c r="B237" s="315" t="s">
        <v>1375</v>
      </c>
      <c r="C237" s="226" t="s">
        <v>0</v>
      </c>
      <c r="D237" s="227" t="s">
        <v>157</v>
      </c>
      <c r="E237" s="226" t="s">
        <v>1831</v>
      </c>
      <c r="F237" s="226" t="s">
        <v>947</v>
      </c>
      <c r="G237" s="226" t="s">
        <v>39</v>
      </c>
      <c r="H237" s="229">
        <v>41.755858310626699</v>
      </c>
      <c r="I237" s="226" t="e">
        <f>#REF!</f>
        <v>#REF!</v>
      </c>
      <c r="J237" s="387" t="e">
        <f t="shared" si="3"/>
        <v>#REF!</v>
      </c>
      <c r="O237" s="361"/>
      <c r="P237" s="361"/>
      <c r="Q237" s="361"/>
      <c r="R237" s="361"/>
      <c r="S237" s="361"/>
      <c r="T237" s="362"/>
      <c r="U237" s="362"/>
      <c r="V237" s="362"/>
      <c r="W237" s="362"/>
      <c r="X237" s="362"/>
      <c r="Y237" s="362"/>
      <c r="Z237" s="362"/>
      <c r="AA237" s="260"/>
      <c r="AB237" s="260"/>
    </row>
    <row r="238" spans="1:28" x14ac:dyDescent="0.2">
      <c r="A238" s="231"/>
      <c r="B238" s="316" t="s">
        <v>1393</v>
      </c>
      <c r="C238" s="224" t="s">
        <v>0</v>
      </c>
      <c r="D238" s="228" t="s">
        <v>165</v>
      </c>
      <c r="E238" s="224" t="s">
        <v>1831</v>
      </c>
      <c r="F238" s="224" t="s">
        <v>947</v>
      </c>
      <c r="G238" s="224" t="s">
        <v>39</v>
      </c>
      <c r="H238" s="230">
        <v>48.332425068119882</v>
      </c>
      <c r="I238" s="224" t="e">
        <f>#REF!</f>
        <v>#REF!</v>
      </c>
      <c r="J238" s="385" t="e">
        <f t="shared" si="3"/>
        <v>#REF!</v>
      </c>
      <c r="O238" s="361"/>
      <c r="P238" s="361"/>
      <c r="Q238" s="361"/>
      <c r="R238" s="361"/>
      <c r="S238" s="361"/>
      <c r="T238" s="362"/>
      <c r="U238" s="362"/>
      <c r="V238" s="362"/>
      <c r="W238" s="362"/>
      <c r="X238" s="362"/>
      <c r="Y238" s="362"/>
      <c r="Z238" s="362"/>
      <c r="AA238" s="260"/>
      <c r="AB238" s="260"/>
    </row>
    <row r="239" spans="1:28" x14ac:dyDescent="0.2">
      <c r="A239" s="231" t="s">
        <v>2118</v>
      </c>
      <c r="B239" s="315" t="s">
        <v>1060</v>
      </c>
      <c r="C239" s="226" t="s">
        <v>0</v>
      </c>
      <c r="D239" s="227" t="s">
        <v>594</v>
      </c>
      <c r="E239" s="226" t="s">
        <v>1831</v>
      </c>
      <c r="F239" s="226" t="s">
        <v>955</v>
      </c>
      <c r="G239" s="226" t="s">
        <v>33</v>
      </c>
      <c r="H239" s="229">
        <v>3.1800000000000006</v>
      </c>
      <c r="I239" s="226" t="e">
        <f>#REF!</f>
        <v>#REF!</v>
      </c>
      <c r="J239" s="387" t="e">
        <f t="shared" si="3"/>
        <v>#REF!</v>
      </c>
      <c r="O239" s="361"/>
      <c r="P239" s="361"/>
      <c r="Q239" s="361"/>
      <c r="R239" s="361"/>
      <c r="S239" s="361"/>
      <c r="T239" s="362"/>
      <c r="U239" s="362"/>
      <c r="V239" s="362"/>
      <c r="W239" s="362"/>
      <c r="X239" s="362"/>
      <c r="Y239" s="362"/>
      <c r="Z239" s="362"/>
      <c r="AA239" s="260"/>
      <c r="AB239" s="260"/>
    </row>
    <row r="240" spans="1:28" x14ac:dyDescent="0.2">
      <c r="A240" s="231"/>
      <c r="B240" s="316" t="s">
        <v>979</v>
      </c>
      <c r="C240" s="224" t="s">
        <v>0</v>
      </c>
      <c r="D240" s="228" t="s">
        <v>126</v>
      </c>
      <c r="E240" s="224" t="s">
        <v>1831</v>
      </c>
      <c r="F240" s="224" t="s">
        <v>947</v>
      </c>
      <c r="G240" s="224" t="s">
        <v>36</v>
      </c>
      <c r="H240" s="230">
        <v>40.639999999999993</v>
      </c>
      <c r="I240" s="224" t="e">
        <f>#REF!</f>
        <v>#REF!</v>
      </c>
      <c r="J240" s="385" t="e">
        <f t="shared" si="3"/>
        <v>#REF!</v>
      </c>
      <c r="O240" s="361"/>
      <c r="P240" s="361"/>
      <c r="Q240" s="361"/>
      <c r="R240" s="361"/>
      <c r="S240" s="361"/>
      <c r="T240" s="362"/>
      <c r="U240" s="362"/>
      <c r="V240" s="362"/>
      <c r="W240" s="362"/>
      <c r="X240" s="362"/>
      <c r="Y240" s="362"/>
      <c r="Z240" s="362"/>
      <c r="AA240" s="260"/>
      <c r="AB240" s="260"/>
    </row>
    <row r="241" spans="1:28" x14ac:dyDescent="0.2">
      <c r="A241" s="231"/>
      <c r="B241" s="323">
        <v>571595</v>
      </c>
      <c r="C241" s="226" t="s">
        <v>0</v>
      </c>
      <c r="D241" s="227" t="s">
        <v>630</v>
      </c>
      <c r="E241" s="226" t="s">
        <v>600</v>
      </c>
      <c r="F241" s="226" t="s">
        <v>955</v>
      </c>
      <c r="G241" s="226" t="s">
        <v>40</v>
      </c>
      <c r="H241" s="229">
        <v>17.037037037037035</v>
      </c>
      <c r="I241" s="226" t="e">
        <f>#REF!</f>
        <v>#REF!</v>
      </c>
      <c r="J241" s="387" t="e">
        <f t="shared" si="3"/>
        <v>#REF!</v>
      </c>
      <c r="O241" s="361"/>
      <c r="P241" s="361"/>
      <c r="Q241" s="361"/>
      <c r="R241" s="361"/>
      <c r="S241" s="361"/>
      <c r="T241" s="362"/>
      <c r="U241" s="362"/>
      <c r="V241" s="362"/>
      <c r="W241" s="362"/>
      <c r="X241" s="362"/>
      <c r="Y241" s="362"/>
      <c r="Z241" s="362"/>
      <c r="AA241" s="260"/>
      <c r="AB241" s="260"/>
    </row>
    <row r="242" spans="1:28" x14ac:dyDescent="0.2">
      <c r="A242" s="231" t="s">
        <v>2118</v>
      </c>
      <c r="B242" s="316">
        <v>4000639</v>
      </c>
      <c r="C242" s="224" t="s">
        <v>0</v>
      </c>
      <c r="D242" s="228" t="s">
        <v>8</v>
      </c>
      <c r="E242" s="224" t="s">
        <v>600</v>
      </c>
      <c r="F242" s="224" t="s">
        <v>955</v>
      </c>
      <c r="G242" s="224" t="s">
        <v>40</v>
      </c>
      <c r="H242" s="230">
        <v>14.18333333333333</v>
      </c>
      <c r="I242" s="224" t="e">
        <f>#REF!</f>
        <v>#REF!</v>
      </c>
      <c r="J242" s="385" t="e">
        <f t="shared" si="3"/>
        <v>#REF!</v>
      </c>
      <c r="O242" s="361"/>
      <c r="P242" s="361"/>
      <c r="Q242" s="361"/>
      <c r="R242" s="361"/>
      <c r="S242" s="361"/>
      <c r="T242" s="362"/>
      <c r="U242" s="362"/>
      <c r="V242" s="362"/>
      <c r="W242" s="362"/>
      <c r="X242" s="362"/>
      <c r="Y242" s="362"/>
      <c r="Z242" s="362"/>
      <c r="AA242" s="260"/>
      <c r="AB242" s="260"/>
    </row>
    <row r="243" spans="1:28" x14ac:dyDescent="0.2">
      <c r="A243" s="231" t="s">
        <v>2118</v>
      </c>
      <c r="B243" s="315" t="s">
        <v>1310</v>
      </c>
      <c r="C243" s="226" t="s">
        <v>0</v>
      </c>
      <c r="D243" s="227" t="s">
        <v>192</v>
      </c>
      <c r="E243" s="226" t="s">
        <v>600</v>
      </c>
      <c r="F243" s="226" t="s">
        <v>955</v>
      </c>
      <c r="G243" s="226" t="s">
        <v>40</v>
      </c>
      <c r="H243" s="229">
        <v>123.2748006862448</v>
      </c>
      <c r="I243" s="226" t="e">
        <f>#REF!</f>
        <v>#REF!</v>
      </c>
      <c r="J243" s="387" t="e">
        <f t="shared" si="3"/>
        <v>#REF!</v>
      </c>
      <c r="O243" s="361"/>
      <c r="P243" s="361"/>
      <c r="Q243" s="361"/>
      <c r="R243" s="361"/>
      <c r="S243" s="361"/>
      <c r="T243" s="362"/>
      <c r="U243" s="362"/>
      <c r="V243" s="362"/>
      <c r="W243" s="362"/>
      <c r="X243" s="362"/>
      <c r="Y243" s="362"/>
      <c r="Z243" s="362"/>
      <c r="AA243" s="260"/>
      <c r="AB243" s="260"/>
    </row>
    <row r="244" spans="1:28" x14ac:dyDescent="0.2">
      <c r="A244" s="231"/>
      <c r="B244" s="316" t="s">
        <v>1087</v>
      </c>
      <c r="C244" s="224" t="s">
        <v>0</v>
      </c>
      <c r="D244" s="228" t="s">
        <v>187</v>
      </c>
      <c r="E244" s="224" t="s">
        <v>600</v>
      </c>
      <c r="F244" s="224" t="s">
        <v>955</v>
      </c>
      <c r="G244" s="224" t="s">
        <v>40</v>
      </c>
      <c r="H244" s="230">
        <v>6.1961852861035442</v>
      </c>
      <c r="I244" s="224" t="e">
        <f>#REF!</f>
        <v>#REF!</v>
      </c>
      <c r="J244" s="385" t="e">
        <f t="shared" si="3"/>
        <v>#REF!</v>
      </c>
      <c r="O244" s="361"/>
      <c r="P244" s="361"/>
      <c r="Q244" s="361"/>
      <c r="R244" s="361"/>
      <c r="S244" s="361"/>
      <c r="T244" s="362"/>
      <c r="U244" s="362"/>
      <c r="V244" s="362"/>
      <c r="W244" s="362"/>
      <c r="X244" s="362"/>
      <c r="Y244" s="362"/>
      <c r="Z244" s="362"/>
      <c r="AA244" s="260"/>
      <c r="AB244" s="260"/>
    </row>
    <row r="245" spans="1:28" x14ac:dyDescent="0.2">
      <c r="A245" s="231" t="s">
        <v>2118</v>
      </c>
      <c r="B245" s="315" t="s">
        <v>1083</v>
      </c>
      <c r="C245" s="226" t="s">
        <v>0</v>
      </c>
      <c r="D245" s="227" t="s">
        <v>199</v>
      </c>
      <c r="E245" s="226" t="s">
        <v>600</v>
      </c>
      <c r="F245" s="226" t="s">
        <v>955</v>
      </c>
      <c r="G245" s="226" t="s">
        <v>40</v>
      </c>
      <c r="H245" s="229">
        <v>5.5086091947359277</v>
      </c>
      <c r="I245" s="226" t="e">
        <f>#REF!</f>
        <v>#REF!</v>
      </c>
      <c r="J245" s="387" t="e">
        <f t="shared" si="3"/>
        <v>#REF!</v>
      </c>
      <c r="O245" s="361"/>
      <c r="P245" s="361"/>
      <c r="Q245" s="361"/>
      <c r="R245" s="361"/>
      <c r="S245" s="361"/>
      <c r="T245" s="362"/>
      <c r="U245" s="362"/>
      <c r="V245" s="362"/>
      <c r="W245" s="362"/>
      <c r="X245" s="362"/>
      <c r="Y245" s="362"/>
      <c r="Z245" s="362"/>
      <c r="AA245" s="260"/>
      <c r="AB245" s="260"/>
    </row>
    <row r="246" spans="1:28" x14ac:dyDescent="0.2">
      <c r="A246" s="231" t="s">
        <v>2118</v>
      </c>
      <c r="B246" s="322" t="s">
        <v>1059</v>
      </c>
      <c r="C246" s="224" t="s">
        <v>0</v>
      </c>
      <c r="D246" s="228" t="s">
        <v>200</v>
      </c>
      <c r="E246" s="224" t="s">
        <v>600</v>
      </c>
      <c r="F246" s="224" t="s">
        <v>955</v>
      </c>
      <c r="G246" s="224" t="s">
        <v>40</v>
      </c>
      <c r="H246" s="230">
        <v>3.1477766827062443</v>
      </c>
      <c r="I246" s="224" t="e">
        <f>#REF!</f>
        <v>#REF!</v>
      </c>
      <c r="J246" s="385" t="e">
        <f t="shared" si="3"/>
        <v>#REF!</v>
      </c>
      <c r="O246" s="361"/>
      <c r="P246" s="361"/>
      <c r="Q246" s="361"/>
      <c r="R246" s="361"/>
      <c r="S246" s="361"/>
      <c r="T246" s="362"/>
      <c r="U246" s="362"/>
      <c r="V246" s="362"/>
      <c r="W246" s="362"/>
      <c r="X246" s="362"/>
      <c r="Y246" s="362"/>
      <c r="Z246" s="362"/>
      <c r="AA246" s="260"/>
      <c r="AB246" s="260"/>
    </row>
    <row r="247" spans="1:28" x14ac:dyDescent="0.2">
      <c r="A247" s="231"/>
      <c r="B247" s="323" t="s">
        <v>1061</v>
      </c>
      <c r="C247" s="226" t="s">
        <v>0</v>
      </c>
      <c r="D247" s="227" t="s">
        <v>191</v>
      </c>
      <c r="E247" s="226" t="s">
        <v>600</v>
      </c>
      <c r="F247" s="226" t="s">
        <v>955</v>
      </c>
      <c r="G247" s="226" t="s">
        <v>40</v>
      </c>
      <c r="H247" s="229">
        <v>3.2697547683923713</v>
      </c>
      <c r="I247" s="226" t="e">
        <f>#REF!</f>
        <v>#REF!</v>
      </c>
      <c r="J247" s="387" t="e">
        <f t="shared" si="3"/>
        <v>#REF!</v>
      </c>
      <c r="O247" s="361"/>
      <c r="P247" s="361"/>
      <c r="Q247" s="361"/>
      <c r="R247" s="361"/>
      <c r="S247" s="361"/>
      <c r="T247" s="362"/>
      <c r="U247" s="362"/>
      <c r="V247" s="362"/>
      <c r="W247" s="362"/>
      <c r="X247" s="362"/>
      <c r="Y247" s="362"/>
      <c r="Z247" s="362"/>
      <c r="AA247" s="260"/>
      <c r="AB247" s="260"/>
    </row>
    <row r="248" spans="1:28" x14ac:dyDescent="0.2">
      <c r="A248" s="231" t="s">
        <v>2118</v>
      </c>
      <c r="B248" s="322" t="s">
        <v>1055</v>
      </c>
      <c r="C248" s="224" t="s">
        <v>0</v>
      </c>
      <c r="D248" s="228" t="s">
        <v>201</v>
      </c>
      <c r="E248" s="224" t="s">
        <v>600</v>
      </c>
      <c r="F248" s="224" t="s">
        <v>955</v>
      </c>
      <c r="G248" s="224" t="s">
        <v>40</v>
      </c>
      <c r="H248" s="230">
        <v>2.1227906088260311</v>
      </c>
      <c r="I248" s="224" t="e">
        <f>#REF!</f>
        <v>#REF!</v>
      </c>
      <c r="J248" s="385" t="e">
        <f t="shared" si="3"/>
        <v>#REF!</v>
      </c>
      <c r="O248" s="361"/>
      <c r="P248" s="361"/>
      <c r="Q248" s="361"/>
      <c r="R248" s="361"/>
      <c r="S248" s="361"/>
      <c r="T248" s="362"/>
      <c r="U248" s="362"/>
      <c r="V248" s="362"/>
      <c r="W248" s="362"/>
      <c r="X248" s="362"/>
      <c r="Y248" s="362"/>
      <c r="Z248" s="362"/>
      <c r="AA248" s="260"/>
      <c r="AB248" s="260"/>
    </row>
    <row r="249" spans="1:28" x14ac:dyDescent="0.2">
      <c r="A249" s="231"/>
      <c r="B249" s="323" t="s">
        <v>1051</v>
      </c>
      <c r="C249" s="226" t="s">
        <v>0</v>
      </c>
      <c r="D249" s="227" t="s">
        <v>830</v>
      </c>
      <c r="E249" s="226" t="s">
        <v>600</v>
      </c>
      <c r="F249" s="226" t="s">
        <v>955</v>
      </c>
      <c r="G249" s="226" t="s">
        <v>832</v>
      </c>
      <c r="H249" s="229">
        <v>2.3851851851851853</v>
      </c>
      <c r="I249" s="226" t="e">
        <f>#REF!</f>
        <v>#REF!</v>
      </c>
      <c r="J249" s="387" t="e">
        <f t="shared" si="3"/>
        <v>#REF!</v>
      </c>
      <c r="O249" s="361"/>
      <c r="P249" s="361"/>
      <c r="Q249" s="361"/>
      <c r="R249" s="361"/>
      <c r="S249" s="361"/>
      <c r="T249" s="362"/>
      <c r="U249" s="362"/>
      <c r="V249" s="362"/>
      <c r="W249" s="362"/>
      <c r="X249" s="362"/>
      <c r="Y249" s="362"/>
      <c r="Z249" s="362"/>
      <c r="AA249" s="260"/>
      <c r="AB249" s="260"/>
    </row>
    <row r="250" spans="1:28" x14ac:dyDescent="0.2">
      <c r="A250" s="231"/>
      <c r="B250" s="322" t="s">
        <v>1052</v>
      </c>
      <c r="C250" s="224" t="s">
        <v>0</v>
      </c>
      <c r="D250" s="228" t="s">
        <v>831</v>
      </c>
      <c r="E250" s="224" t="s">
        <v>600</v>
      </c>
      <c r="F250" s="224" t="s">
        <v>955</v>
      </c>
      <c r="G250" s="224" t="s">
        <v>832</v>
      </c>
      <c r="H250" s="230">
        <v>2.7259259259259259</v>
      </c>
      <c r="I250" s="224" t="e">
        <f>#REF!</f>
        <v>#REF!</v>
      </c>
      <c r="J250" s="385" t="e">
        <f t="shared" si="3"/>
        <v>#REF!</v>
      </c>
      <c r="O250" s="361"/>
      <c r="P250" s="361"/>
      <c r="Q250" s="361"/>
      <c r="R250" s="361"/>
      <c r="S250" s="361"/>
      <c r="T250" s="362"/>
      <c r="U250" s="362"/>
      <c r="V250" s="362"/>
      <c r="W250" s="362"/>
      <c r="X250" s="362"/>
      <c r="Y250" s="362"/>
      <c r="Z250" s="362"/>
      <c r="AA250" s="260"/>
      <c r="AB250" s="260"/>
    </row>
    <row r="251" spans="1:28" x14ac:dyDescent="0.2">
      <c r="A251" s="231"/>
      <c r="B251" s="323" t="s">
        <v>1005</v>
      </c>
      <c r="C251" s="226" t="s">
        <v>0</v>
      </c>
      <c r="D251" s="227" t="s">
        <v>169</v>
      </c>
      <c r="E251" s="226" t="s">
        <v>600</v>
      </c>
      <c r="F251" s="226" t="s">
        <v>955</v>
      </c>
      <c r="G251" s="226" t="s">
        <v>40</v>
      </c>
      <c r="H251" s="229">
        <v>0.85301241295791685</v>
      </c>
      <c r="I251" s="226" t="e">
        <f>#REF!</f>
        <v>#REF!</v>
      </c>
      <c r="J251" s="387" t="e">
        <f t="shared" si="3"/>
        <v>#REF!</v>
      </c>
      <c r="O251" s="361"/>
      <c r="P251" s="361"/>
      <c r="Q251" s="361"/>
      <c r="R251" s="361"/>
      <c r="S251" s="361"/>
      <c r="T251" s="362"/>
      <c r="U251" s="362"/>
      <c r="V251" s="362"/>
      <c r="W251" s="362"/>
      <c r="X251" s="362"/>
      <c r="Y251" s="362"/>
      <c r="Z251" s="362"/>
      <c r="AA251" s="260"/>
      <c r="AB251" s="260"/>
    </row>
    <row r="252" spans="1:28" x14ac:dyDescent="0.2">
      <c r="A252" s="231"/>
      <c r="B252" s="322" t="s">
        <v>1045</v>
      </c>
      <c r="C252" s="224" t="s">
        <v>0</v>
      </c>
      <c r="D252" s="228" t="s">
        <v>824</v>
      </c>
      <c r="E252" s="224" t="s">
        <v>600</v>
      </c>
      <c r="F252" s="224" t="s">
        <v>955</v>
      </c>
      <c r="G252" s="224" t="s">
        <v>832</v>
      </c>
      <c r="H252" s="230">
        <v>1.874074074074074</v>
      </c>
      <c r="I252" s="224" t="e">
        <f>#REF!</f>
        <v>#REF!</v>
      </c>
      <c r="J252" s="385" t="e">
        <f t="shared" si="3"/>
        <v>#REF!</v>
      </c>
      <c r="O252" s="361"/>
      <c r="P252" s="361"/>
      <c r="Q252" s="361"/>
      <c r="R252" s="361"/>
      <c r="S252" s="361"/>
      <c r="T252" s="362"/>
      <c r="U252" s="362"/>
      <c r="V252" s="362"/>
      <c r="W252" s="362"/>
      <c r="X252" s="362"/>
      <c r="Y252" s="362"/>
      <c r="Z252" s="362"/>
      <c r="AA252" s="260"/>
      <c r="AB252" s="260"/>
    </row>
    <row r="253" spans="1:28" x14ac:dyDescent="0.2">
      <c r="A253" s="231"/>
      <c r="B253" s="315" t="s">
        <v>1046</v>
      </c>
      <c r="C253" s="226" t="s">
        <v>0</v>
      </c>
      <c r="D253" s="227" t="s">
        <v>825</v>
      </c>
      <c r="E253" s="226" t="s">
        <v>600</v>
      </c>
      <c r="F253" s="226" t="s">
        <v>955</v>
      </c>
      <c r="G253" s="226" t="s">
        <v>832</v>
      </c>
      <c r="H253" s="229">
        <v>2.2148148148148148</v>
      </c>
      <c r="I253" s="226" t="e">
        <f>#REF!</f>
        <v>#REF!</v>
      </c>
      <c r="J253" s="387" t="e">
        <f t="shared" si="3"/>
        <v>#REF!</v>
      </c>
      <c r="O253" s="361"/>
      <c r="P253" s="361"/>
      <c r="Q253" s="361"/>
      <c r="R253" s="361"/>
      <c r="S253" s="361"/>
      <c r="T253" s="362"/>
      <c r="U253" s="362"/>
      <c r="V253" s="362"/>
      <c r="W253" s="362"/>
      <c r="X253" s="362"/>
      <c r="Y253" s="362"/>
      <c r="Z253" s="362"/>
      <c r="AA253" s="260"/>
      <c r="AB253" s="260"/>
    </row>
    <row r="254" spans="1:28" x14ac:dyDescent="0.2">
      <c r="A254" s="231"/>
      <c r="B254" s="322" t="s">
        <v>1708</v>
      </c>
      <c r="C254" s="224" t="s">
        <v>628</v>
      </c>
      <c r="D254" s="228" t="s">
        <v>543</v>
      </c>
      <c r="E254" s="224" t="s">
        <v>600</v>
      </c>
      <c r="F254" s="224" t="s">
        <v>946</v>
      </c>
      <c r="G254" s="224" t="s">
        <v>631</v>
      </c>
      <c r="H254" s="230">
        <v>5236</v>
      </c>
      <c r="I254" s="224" t="e">
        <f>#REF!</f>
        <v>#REF!</v>
      </c>
      <c r="J254" s="385" t="e">
        <f t="shared" si="3"/>
        <v>#REF!</v>
      </c>
      <c r="O254" s="361"/>
      <c r="P254" s="361"/>
      <c r="Q254" s="361"/>
      <c r="R254" s="361"/>
      <c r="S254" s="361"/>
      <c r="T254" s="362"/>
      <c r="U254" s="362"/>
      <c r="V254" s="362"/>
      <c r="W254" s="362"/>
      <c r="X254" s="362"/>
      <c r="Y254" s="362"/>
      <c r="Z254" s="362"/>
      <c r="AA254" s="260"/>
      <c r="AB254" s="260"/>
    </row>
    <row r="255" spans="1:28" x14ac:dyDescent="0.2">
      <c r="A255" s="231"/>
      <c r="B255" s="323" t="s">
        <v>1666</v>
      </c>
      <c r="C255" s="226" t="s">
        <v>628</v>
      </c>
      <c r="D255" s="227" t="s">
        <v>311</v>
      </c>
      <c r="E255" s="226" t="s">
        <v>600</v>
      </c>
      <c r="F255" s="226" t="s">
        <v>946</v>
      </c>
      <c r="G255" s="226" t="s">
        <v>41</v>
      </c>
      <c r="H255" s="229">
        <v>3832.4</v>
      </c>
      <c r="I255" s="226" t="e">
        <f>#REF!</f>
        <v>#REF!</v>
      </c>
      <c r="J255" s="387" t="e">
        <f t="shared" si="3"/>
        <v>#REF!</v>
      </c>
      <c r="O255" s="361"/>
      <c r="P255" s="361"/>
      <c r="Q255" s="361"/>
      <c r="R255" s="361"/>
      <c r="S255" s="361"/>
      <c r="T255" s="362"/>
      <c r="U255" s="362"/>
      <c r="V255" s="362"/>
      <c r="W255" s="362"/>
      <c r="X255" s="362"/>
      <c r="Y255" s="362"/>
      <c r="Z255" s="362"/>
      <c r="AA255" s="260"/>
      <c r="AB255" s="260"/>
    </row>
    <row r="256" spans="1:28" x14ac:dyDescent="0.2">
      <c r="A256" s="231"/>
      <c r="B256" s="322" t="s">
        <v>1692</v>
      </c>
      <c r="C256" s="224" t="s">
        <v>628</v>
      </c>
      <c r="D256" s="228" t="s">
        <v>542</v>
      </c>
      <c r="E256" s="224" t="s">
        <v>600</v>
      </c>
      <c r="F256" s="224" t="s">
        <v>946</v>
      </c>
      <c r="G256" s="224" t="s">
        <v>631</v>
      </c>
      <c r="H256" s="230">
        <v>4461.6000000000004</v>
      </c>
      <c r="I256" s="224" t="e">
        <f>#REF!</f>
        <v>#REF!</v>
      </c>
      <c r="J256" s="385" t="e">
        <f t="shared" si="3"/>
        <v>#REF!</v>
      </c>
      <c r="O256" s="361"/>
      <c r="P256" s="361"/>
      <c r="Q256" s="361"/>
      <c r="R256" s="361"/>
      <c r="S256" s="361"/>
      <c r="T256" s="362"/>
      <c r="U256" s="362"/>
      <c r="V256" s="362"/>
      <c r="W256" s="362"/>
      <c r="X256" s="362"/>
      <c r="Y256" s="362"/>
      <c r="Z256" s="362"/>
      <c r="AA256" s="260"/>
      <c r="AB256" s="260"/>
    </row>
    <row r="257" spans="1:28" x14ac:dyDescent="0.2">
      <c r="A257" s="231"/>
      <c r="B257" s="315" t="s">
        <v>1662</v>
      </c>
      <c r="C257" s="226" t="s">
        <v>628</v>
      </c>
      <c r="D257" s="227" t="s">
        <v>540</v>
      </c>
      <c r="E257" s="226" t="s">
        <v>600</v>
      </c>
      <c r="F257" s="226" t="s">
        <v>946</v>
      </c>
      <c r="G257" s="226" t="s">
        <v>631</v>
      </c>
      <c r="H257" s="229">
        <v>3696.0000000000005</v>
      </c>
      <c r="I257" s="226" t="e">
        <f>#REF!</f>
        <v>#REF!</v>
      </c>
      <c r="J257" s="387" t="e">
        <f t="shared" si="3"/>
        <v>#REF!</v>
      </c>
      <c r="O257" s="361"/>
      <c r="P257" s="361"/>
      <c r="Q257" s="361"/>
      <c r="R257" s="361"/>
      <c r="S257" s="361"/>
      <c r="T257" s="362"/>
      <c r="U257" s="362"/>
      <c r="V257" s="362"/>
      <c r="W257" s="362"/>
      <c r="X257" s="362"/>
      <c r="Y257" s="362"/>
      <c r="Z257" s="362"/>
      <c r="AA257" s="260"/>
      <c r="AB257" s="260"/>
    </row>
    <row r="258" spans="1:28" x14ac:dyDescent="0.2">
      <c r="A258" s="231"/>
      <c r="B258" s="316" t="s">
        <v>1675</v>
      </c>
      <c r="C258" s="224" t="s">
        <v>628</v>
      </c>
      <c r="D258" s="228" t="s">
        <v>541</v>
      </c>
      <c r="E258" s="224" t="s">
        <v>600</v>
      </c>
      <c r="F258" s="224" t="s">
        <v>946</v>
      </c>
      <c r="G258" s="224" t="s">
        <v>631</v>
      </c>
      <c r="H258" s="230">
        <v>4083.2000000000003</v>
      </c>
      <c r="I258" s="224" t="e">
        <f>#REF!</f>
        <v>#REF!</v>
      </c>
      <c r="J258" s="385" t="e">
        <f t="shared" si="3"/>
        <v>#REF!</v>
      </c>
      <c r="O258" s="361"/>
      <c r="P258" s="361"/>
      <c r="Q258" s="361"/>
      <c r="R258" s="361"/>
      <c r="S258" s="361"/>
      <c r="T258" s="362"/>
      <c r="U258" s="362"/>
      <c r="V258" s="362"/>
      <c r="W258" s="362"/>
      <c r="X258" s="362"/>
      <c r="Y258" s="362"/>
      <c r="Z258" s="362"/>
      <c r="AA258" s="260"/>
      <c r="AB258" s="260"/>
    </row>
    <row r="259" spans="1:28" x14ac:dyDescent="0.2">
      <c r="A259" s="231"/>
      <c r="B259" s="315" t="s">
        <v>1684</v>
      </c>
      <c r="C259" s="226" t="s">
        <v>628</v>
      </c>
      <c r="D259" s="227" t="s">
        <v>534</v>
      </c>
      <c r="E259" s="226" t="s">
        <v>600</v>
      </c>
      <c r="F259" s="226" t="s">
        <v>946</v>
      </c>
      <c r="G259" s="226" t="s">
        <v>41</v>
      </c>
      <c r="H259" s="229">
        <v>4268</v>
      </c>
      <c r="I259" s="226" t="e">
        <f>#REF!</f>
        <v>#REF!</v>
      </c>
      <c r="J259" s="387" t="e">
        <f t="shared" si="3"/>
        <v>#REF!</v>
      </c>
      <c r="O259" s="361"/>
      <c r="P259" s="361"/>
      <c r="Q259" s="361"/>
      <c r="R259" s="361"/>
      <c r="S259" s="361"/>
      <c r="T259" s="362"/>
      <c r="U259" s="362"/>
      <c r="V259" s="362"/>
      <c r="W259" s="362"/>
      <c r="X259" s="362"/>
      <c r="Y259" s="362"/>
      <c r="Z259" s="362"/>
      <c r="AA259" s="260"/>
      <c r="AB259" s="260"/>
    </row>
    <row r="260" spans="1:28" x14ac:dyDescent="0.2">
      <c r="A260" s="231"/>
      <c r="B260" s="322" t="s">
        <v>1652</v>
      </c>
      <c r="C260" s="224" t="s">
        <v>628</v>
      </c>
      <c r="D260" s="228" t="s">
        <v>532</v>
      </c>
      <c r="E260" s="224" t="s">
        <v>600</v>
      </c>
      <c r="F260" s="224" t="s">
        <v>946</v>
      </c>
      <c r="G260" s="224" t="s">
        <v>41</v>
      </c>
      <c r="H260" s="230">
        <v>3361.6000000000004</v>
      </c>
      <c r="I260" s="224" t="e">
        <f>#REF!</f>
        <v>#REF!</v>
      </c>
      <c r="J260" s="385" t="e">
        <f t="shared" si="3"/>
        <v>#REF!</v>
      </c>
      <c r="O260" s="361"/>
      <c r="P260" s="361"/>
      <c r="Q260" s="361"/>
      <c r="R260" s="361"/>
      <c r="S260" s="361"/>
      <c r="T260" s="362"/>
      <c r="U260" s="362"/>
      <c r="V260" s="362"/>
      <c r="W260" s="362"/>
      <c r="X260" s="362"/>
      <c r="Y260" s="362"/>
      <c r="Z260" s="362"/>
      <c r="AA260" s="260"/>
      <c r="AB260" s="260"/>
    </row>
    <row r="261" spans="1:28" x14ac:dyDescent="0.2">
      <c r="A261" s="231"/>
      <c r="B261" s="315" t="s">
        <v>1780</v>
      </c>
      <c r="C261" s="226" t="s">
        <v>628</v>
      </c>
      <c r="D261" s="227" t="s">
        <v>506</v>
      </c>
      <c r="E261" s="226" t="s">
        <v>600</v>
      </c>
      <c r="F261" s="226" t="s">
        <v>946</v>
      </c>
      <c r="G261" s="226" t="s">
        <v>631</v>
      </c>
      <c r="H261" s="229">
        <v>10947.2</v>
      </c>
      <c r="I261" s="226" t="e">
        <f>#REF!</f>
        <v>#REF!</v>
      </c>
      <c r="J261" s="387" t="e">
        <f t="shared" si="3"/>
        <v>#REF!</v>
      </c>
      <c r="O261" s="361"/>
      <c r="P261" s="361"/>
      <c r="Q261" s="361"/>
      <c r="R261" s="361"/>
      <c r="S261" s="361"/>
      <c r="T261" s="362"/>
      <c r="U261" s="362"/>
      <c r="V261" s="362"/>
      <c r="W261" s="362"/>
      <c r="X261" s="362"/>
      <c r="Y261" s="362"/>
      <c r="Z261" s="362"/>
      <c r="AA261" s="260"/>
      <c r="AB261" s="260"/>
    </row>
    <row r="262" spans="1:28" x14ac:dyDescent="0.2">
      <c r="A262" s="231"/>
      <c r="B262" s="316" t="s">
        <v>1759</v>
      </c>
      <c r="C262" s="224" t="s">
        <v>628</v>
      </c>
      <c r="D262" s="228" t="s">
        <v>502</v>
      </c>
      <c r="E262" s="224" t="s">
        <v>600</v>
      </c>
      <c r="F262" s="224" t="s">
        <v>946</v>
      </c>
      <c r="G262" s="224" t="s">
        <v>41</v>
      </c>
      <c r="H262" s="230">
        <v>8879.2000000000007</v>
      </c>
      <c r="I262" s="224" t="e">
        <f>#REF!</f>
        <v>#REF!</v>
      </c>
      <c r="J262" s="385" t="e">
        <f t="shared" ref="J262:J325" si="4">H262-H262*I262</f>
        <v>#REF!</v>
      </c>
      <c r="O262" s="361"/>
      <c r="P262" s="361"/>
      <c r="Q262" s="361"/>
      <c r="R262" s="361"/>
      <c r="S262" s="361"/>
      <c r="T262" s="362"/>
      <c r="U262" s="362"/>
      <c r="V262" s="362"/>
      <c r="W262" s="362"/>
      <c r="X262" s="362"/>
      <c r="Y262" s="362"/>
      <c r="Z262" s="362"/>
      <c r="AA262" s="260"/>
      <c r="AB262" s="260"/>
    </row>
    <row r="263" spans="1:28" x14ac:dyDescent="0.2">
      <c r="A263" s="231"/>
      <c r="B263" s="315" t="s">
        <v>1802</v>
      </c>
      <c r="C263" s="226" t="s">
        <v>628</v>
      </c>
      <c r="D263" s="227" t="s">
        <v>507</v>
      </c>
      <c r="E263" s="226" t="s">
        <v>600</v>
      </c>
      <c r="F263" s="226" t="s">
        <v>946</v>
      </c>
      <c r="G263" s="226" t="s">
        <v>631</v>
      </c>
      <c r="H263" s="229">
        <v>15765.2</v>
      </c>
      <c r="I263" s="226" t="e">
        <f>#REF!</f>
        <v>#REF!</v>
      </c>
      <c r="J263" s="387" t="e">
        <f t="shared" si="4"/>
        <v>#REF!</v>
      </c>
      <c r="O263" s="361"/>
      <c r="P263" s="361"/>
      <c r="Q263" s="361"/>
      <c r="R263" s="361"/>
      <c r="S263" s="361"/>
      <c r="T263" s="362"/>
      <c r="U263" s="362"/>
      <c r="V263" s="362"/>
      <c r="W263" s="362"/>
      <c r="X263" s="362"/>
      <c r="Y263" s="362"/>
      <c r="Z263" s="362"/>
      <c r="AA263" s="260"/>
      <c r="AB263" s="260"/>
    </row>
    <row r="264" spans="1:28" x14ac:dyDescent="0.2">
      <c r="A264" s="231"/>
      <c r="B264" s="316" t="s">
        <v>1658</v>
      </c>
      <c r="C264" s="224" t="s">
        <v>628</v>
      </c>
      <c r="D264" s="228" t="s">
        <v>533</v>
      </c>
      <c r="E264" s="224" t="s">
        <v>600</v>
      </c>
      <c r="F264" s="224" t="s">
        <v>946</v>
      </c>
      <c r="G264" s="224" t="s">
        <v>41</v>
      </c>
      <c r="H264" s="230">
        <v>3616.8</v>
      </c>
      <c r="I264" s="224" t="e">
        <f>#REF!</f>
        <v>#REF!</v>
      </c>
      <c r="J264" s="385" t="e">
        <f t="shared" si="4"/>
        <v>#REF!</v>
      </c>
      <c r="O264" s="361"/>
      <c r="P264" s="361"/>
      <c r="Q264" s="361"/>
      <c r="R264" s="361"/>
      <c r="S264" s="361"/>
      <c r="T264" s="362"/>
      <c r="U264" s="362"/>
      <c r="V264" s="362"/>
      <c r="W264" s="362"/>
      <c r="X264" s="362"/>
      <c r="Y264" s="362"/>
      <c r="Z264" s="362"/>
      <c r="AA264" s="260"/>
      <c r="AB264" s="260"/>
    </row>
    <row r="265" spans="1:28" x14ac:dyDescent="0.2">
      <c r="A265" s="231"/>
      <c r="B265" s="323" t="s">
        <v>1602</v>
      </c>
      <c r="C265" s="226" t="s">
        <v>628</v>
      </c>
      <c r="D265" s="227" t="s">
        <v>511</v>
      </c>
      <c r="E265" s="226" t="s">
        <v>600</v>
      </c>
      <c r="F265" s="226" t="s">
        <v>946</v>
      </c>
      <c r="G265" s="226" t="s">
        <v>41</v>
      </c>
      <c r="H265" s="229">
        <v>2024.0000000000002</v>
      </c>
      <c r="I265" s="226" t="e">
        <f>#REF!</f>
        <v>#REF!</v>
      </c>
      <c r="J265" s="387" t="e">
        <f t="shared" si="4"/>
        <v>#REF!</v>
      </c>
      <c r="O265" s="361"/>
      <c r="P265" s="361"/>
      <c r="Q265" s="361"/>
      <c r="R265" s="361"/>
      <c r="S265" s="361"/>
      <c r="T265" s="362"/>
      <c r="U265" s="362"/>
      <c r="V265" s="362"/>
      <c r="W265" s="362"/>
      <c r="X265" s="362"/>
      <c r="Y265" s="362"/>
      <c r="Z265" s="362"/>
      <c r="AA265" s="260"/>
      <c r="AB265" s="260"/>
    </row>
    <row r="266" spans="1:28" x14ac:dyDescent="0.2">
      <c r="A266" s="231"/>
      <c r="B266" s="322" t="s">
        <v>1621</v>
      </c>
      <c r="C266" s="224" t="s">
        <v>628</v>
      </c>
      <c r="D266" s="228" t="s">
        <v>513</v>
      </c>
      <c r="E266" s="224" t="s">
        <v>600</v>
      </c>
      <c r="F266" s="224" t="s">
        <v>946</v>
      </c>
      <c r="G266" s="224" t="s">
        <v>41</v>
      </c>
      <c r="H266" s="230">
        <v>2706</v>
      </c>
      <c r="I266" s="224" t="e">
        <f>#REF!</f>
        <v>#REF!</v>
      </c>
      <c r="J266" s="385" t="e">
        <f t="shared" si="4"/>
        <v>#REF!</v>
      </c>
      <c r="O266" s="361"/>
      <c r="P266" s="361"/>
      <c r="Q266" s="361"/>
      <c r="R266" s="361"/>
      <c r="S266" s="361"/>
      <c r="T266" s="362"/>
      <c r="U266" s="362"/>
      <c r="V266" s="362"/>
      <c r="W266" s="362"/>
      <c r="X266" s="362"/>
      <c r="Y266" s="362"/>
      <c r="Z266" s="362"/>
      <c r="AA266" s="260"/>
      <c r="AB266" s="260"/>
    </row>
    <row r="267" spans="1:28" x14ac:dyDescent="0.2">
      <c r="A267" s="231"/>
      <c r="B267" s="323" t="s">
        <v>1644</v>
      </c>
      <c r="C267" s="226" t="s">
        <v>628</v>
      </c>
      <c r="D267" s="227" t="s">
        <v>634</v>
      </c>
      <c r="E267" s="226" t="s">
        <v>600</v>
      </c>
      <c r="F267" s="226" t="s">
        <v>946</v>
      </c>
      <c r="G267" s="226" t="s">
        <v>631</v>
      </c>
      <c r="H267" s="229">
        <v>3198.8</v>
      </c>
      <c r="I267" s="226" t="e">
        <f>#REF!</f>
        <v>#REF!</v>
      </c>
      <c r="J267" s="387" t="e">
        <f t="shared" si="4"/>
        <v>#REF!</v>
      </c>
      <c r="O267" s="361"/>
      <c r="P267" s="361"/>
      <c r="Q267" s="361"/>
      <c r="R267" s="361"/>
      <c r="S267" s="361"/>
      <c r="T267" s="362"/>
      <c r="U267" s="362"/>
      <c r="V267" s="362"/>
      <c r="W267" s="362"/>
      <c r="X267" s="362"/>
      <c r="Y267" s="362"/>
      <c r="Z267" s="362"/>
      <c r="AA267" s="260"/>
      <c r="AB267" s="260"/>
    </row>
    <row r="268" spans="1:28" x14ac:dyDescent="0.2">
      <c r="A268" s="231"/>
      <c r="B268" s="316" t="s">
        <v>1636</v>
      </c>
      <c r="C268" s="224" t="s">
        <v>628</v>
      </c>
      <c r="D268" s="228" t="s">
        <v>388</v>
      </c>
      <c r="E268" s="224" t="s">
        <v>600</v>
      </c>
      <c r="F268" s="224" t="s">
        <v>946</v>
      </c>
      <c r="G268" s="224" t="s">
        <v>41</v>
      </c>
      <c r="H268" s="230">
        <v>2912.8</v>
      </c>
      <c r="I268" s="224" t="e">
        <f>#REF!</f>
        <v>#REF!</v>
      </c>
      <c r="J268" s="385" t="e">
        <f t="shared" si="4"/>
        <v>#REF!</v>
      </c>
      <c r="O268" s="361"/>
      <c r="P268" s="361"/>
      <c r="Q268" s="361"/>
      <c r="R268" s="361"/>
      <c r="S268" s="361"/>
      <c r="T268" s="362"/>
      <c r="U268" s="362"/>
      <c r="V268" s="362"/>
      <c r="W268" s="362"/>
      <c r="X268" s="362"/>
      <c r="Y268" s="362"/>
      <c r="Z268" s="362"/>
      <c r="AA268" s="260"/>
      <c r="AB268" s="260"/>
    </row>
    <row r="269" spans="1:28" x14ac:dyDescent="0.2">
      <c r="A269" s="231"/>
      <c r="B269" s="323" t="s">
        <v>1646</v>
      </c>
      <c r="C269" s="226" t="s">
        <v>628</v>
      </c>
      <c r="D269" s="227" t="s">
        <v>454</v>
      </c>
      <c r="E269" s="226" t="s">
        <v>600</v>
      </c>
      <c r="F269" s="226" t="s">
        <v>946</v>
      </c>
      <c r="G269" s="226" t="s">
        <v>41</v>
      </c>
      <c r="H269" s="229">
        <v>3256.0000000000005</v>
      </c>
      <c r="I269" s="226" t="e">
        <f>#REF!</f>
        <v>#REF!</v>
      </c>
      <c r="J269" s="387" t="e">
        <f t="shared" si="4"/>
        <v>#REF!</v>
      </c>
      <c r="O269" s="361"/>
      <c r="P269" s="361"/>
      <c r="Q269" s="361"/>
      <c r="R269" s="361"/>
      <c r="S269" s="361"/>
      <c r="T269" s="362"/>
      <c r="U269" s="362"/>
      <c r="V269" s="362"/>
      <c r="W269" s="362"/>
      <c r="X269" s="362"/>
      <c r="Y269" s="362"/>
      <c r="Z269" s="362"/>
      <c r="AA269" s="260"/>
      <c r="AB269" s="260"/>
    </row>
    <row r="270" spans="1:28" x14ac:dyDescent="0.2">
      <c r="A270" s="231"/>
      <c r="B270" s="316" t="s">
        <v>1603</v>
      </c>
      <c r="C270" s="224" t="s">
        <v>628</v>
      </c>
      <c r="D270" s="228" t="s">
        <v>385</v>
      </c>
      <c r="E270" s="224" t="s">
        <v>600</v>
      </c>
      <c r="F270" s="224" t="s">
        <v>946</v>
      </c>
      <c r="G270" s="224" t="s">
        <v>41</v>
      </c>
      <c r="H270" s="230">
        <v>2063.6000000000004</v>
      </c>
      <c r="I270" s="224" t="e">
        <f>#REF!</f>
        <v>#REF!</v>
      </c>
      <c r="J270" s="385" t="e">
        <f t="shared" si="4"/>
        <v>#REF!</v>
      </c>
      <c r="O270" s="361"/>
      <c r="P270" s="361"/>
      <c r="Q270" s="361"/>
      <c r="R270" s="361"/>
      <c r="S270" s="361"/>
      <c r="T270" s="362"/>
      <c r="U270" s="362"/>
      <c r="V270" s="362"/>
      <c r="W270" s="362"/>
      <c r="X270" s="362"/>
      <c r="Y270" s="362"/>
      <c r="Z270" s="362"/>
      <c r="AA270" s="260"/>
      <c r="AB270" s="260"/>
    </row>
    <row r="271" spans="1:28" x14ac:dyDescent="0.2">
      <c r="A271" s="231"/>
      <c r="B271" s="323" t="s">
        <v>1691</v>
      </c>
      <c r="C271" s="226" t="s">
        <v>628</v>
      </c>
      <c r="D271" s="227" t="s">
        <v>463</v>
      </c>
      <c r="E271" s="226" t="s">
        <v>600</v>
      </c>
      <c r="F271" s="226" t="s">
        <v>946</v>
      </c>
      <c r="G271" s="226" t="s">
        <v>631</v>
      </c>
      <c r="H271" s="229">
        <v>4378</v>
      </c>
      <c r="I271" s="226" t="e">
        <f>#REF!</f>
        <v>#REF!</v>
      </c>
      <c r="J271" s="387" t="e">
        <f t="shared" si="4"/>
        <v>#REF!</v>
      </c>
      <c r="O271" s="361"/>
      <c r="P271" s="361"/>
      <c r="Q271" s="361"/>
      <c r="R271" s="361"/>
      <c r="S271" s="361"/>
      <c r="T271" s="362"/>
      <c r="U271" s="362"/>
      <c r="V271" s="362"/>
      <c r="W271" s="362"/>
      <c r="X271" s="362"/>
      <c r="Y271" s="362"/>
      <c r="Z271" s="362"/>
      <c r="AA271" s="260"/>
      <c r="AB271" s="260"/>
    </row>
    <row r="272" spans="1:28" x14ac:dyDescent="0.2">
      <c r="A272" s="231"/>
      <c r="B272" s="322" t="s">
        <v>1648</v>
      </c>
      <c r="C272" s="224" t="s">
        <v>628</v>
      </c>
      <c r="D272" s="228" t="s">
        <v>315</v>
      </c>
      <c r="E272" s="224" t="s">
        <v>600</v>
      </c>
      <c r="F272" s="224" t="s">
        <v>946</v>
      </c>
      <c r="G272" s="224" t="s">
        <v>42</v>
      </c>
      <c r="H272" s="230">
        <v>3286.8</v>
      </c>
      <c r="I272" s="224" t="e">
        <f>#REF!</f>
        <v>#REF!</v>
      </c>
      <c r="J272" s="385" t="e">
        <f t="shared" si="4"/>
        <v>#REF!</v>
      </c>
      <c r="O272" s="361"/>
      <c r="P272" s="361"/>
      <c r="Q272" s="361"/>
      <c r="R272" s="361"/>
      <c r="S272" s="361"/>
      <c r="T272" s="362"/>
      <c r="U272" s="362"/>
      <c r="V272" s="362"/>
      <c r="W272" s="362"/>
      <c r="X272" s="362"/>
      <c r="Y272" s="362"/>
      <c r="Z272" s="362"/>
      <c r="AA272" s="260"/>
      <c r="AB272" s="260"/>
    </row>
    <row r="273" spans="1:28" x14ac:dyDescent="0.2">
      <c r="A273" s="231"/>
      <c r="B273" s="323" t="s">
        <v>1612</v>
      </c>
      <c r="C273" s="226" t="s">
        <v>628</v>
      </c>
      <c r="D273" s="227" t="s">
        <v>312</v>
      </c>
      <c r="E273" s="226" t="s">
        <v>600</v>
      </c>
      <c r="F273" s="226" t="s">
        <v>946</v>
      </c>
      <c r="G273" s="226" t="s">
        <v>42</v>
      </c>
      <c r="H273" s="229">
        <v>2455.2000000000003</v>
      </c>
      <c r="I273" s="226" t="e">
        <f>#REF!</f>
        <v>#REF!</v>
      </c>
      <c r="J273" s="387" t="e">
        <f t="shared" si="4"/>
        <v>#REF!</v>
      </c>
      <c r="O273" s="361"/>
      <c r="P273" s="361"/>
      <c r="Q273" s="361"/>
      <c r="R273" s="361"/>
      <c r="S273" s="361"/>
      <c r="T273" s="362"/>
      <c r="U273" s="362"/>
      <c r="V273" s="362"/>
      <c r="W273" s="362"/>
      <c r="X273" s="362"/>
      <c r="Y273" s="362"/>
      <c r="Z273" s="362"/>
      <c r="AA273" s="260"/>
      <c r="AB273" s="260"/>
    </row>
    <row r="274" spans="1:28" x14ac:dyDescent="0.2">
      <c r="A274" s="231"/>
      <c r="B274" s="322" t="s">
        <v>1614</v>
      </c>
      <c r="C274" s="224" t="s">
        <v>628</v>
      </c>
      <c r="D274" s="228" t="s">
        <v>635</v>
      </c>
      <c r="E274" s="224" t="s">
        <v>600</v>
      </c>
      <c r="F274" s="224" t="s">
        <v>946</v>
      </c>
      <c r="G274" s="224" t="s">
        <v>631</v>
      </c>
      <c r="H274" s="230">
        <v>2516.8000000000002</v>
      </c>
      <c r="I274" s="224" t="e">
        <f>#REF!</f>
        <v>#REF!</v>
      </c>
      <c r="J274" s="385" t="e">
        <f t="shared" si="4"/>
        <v>#REF!</v>
      </c>
      <c r="O274" s="361"/>
      <c r="P274" s="361"/>
      <c r="Q274" s="361"/>
      <c r="R274" s="361"/>
      <c r="S274" s="361"/>
      <c r="T274" s="362"/>
      <c r="U274" s="362"/>
      <c r="V274" s="362"/>
      <c r="W274" s="362"/>
      <c r="X274" s="362"/>
      <c r="Y274" s="362"/>
      <c r="Z274" s="362"/>
      <c r="AA274" s="260"/>
      <c r="AB274" s="260"/>
    </row>
    <row r="275" spans="1:28" x14ac:dyDescent="0.2">
      <c r="A275" s="231"/>
      <c r="B275" s="323" t="s">
        <v>1669</v>
      </c>
      <c r="C275" s="226" t="s">
        <v>628</v>
      </c>
      <c r="D275" s="227" t="s">
        <v>396</v>
      </c>
      <c r="E275" s="226" t="s">
        <v>600</v>
      </c>
      <c r="F275" s="226" t="s">
        <v>946</v>
      </c>
      <c r="G275" s="226" t="s">
        <v>631</v>
      </c>
      <c r="H275" s="229">
        <v>3916.0000000000005</v>
      </c>
      <c r="I275" s="226" t="e">
        <f>#REF!</f>
        <v>#REF!</v>
      </c>
      <c r="J275" s="387" t="e">
        <f t="shared" si="4"/>
        <v>#REF!</v>
      </c>
      <c r="O275" s="361"/>
      <c r="P275" s="361"/>
      <c r="Q275" s="361"/>
      <c r="R275" s="361"/>
      <c r="S275" s="361"/>
      <c r="T275" s="362"/>
      <c r="U275" s="362"/>
      <c r="V275" s="362"/>
      <c r="W275" s="362"/>
      <c r="X275" s="362"/>
      <c r="Y275" s="362"/>
      <c r="Z275" s="362"/>
      <c r="AA275" s="260"/>
      <c r="AB275" s="260"/>
    </row>
    <row r="276" spans="1:28" x14ac:dyDescent="0.2">
      <c r="A276" s="231"/>
      <c r="B276" s="322" t="s">
        <v>1568</v>
      </c>
      <c r="C276" s="224" t="s">
        <v>628</v>
      </c>
      <c r="D276" s="228" t="s">
        <v>356</v>
      </c>
      <c r="E276" s="224" t="s">
        <v>600</v>
      </c>
      <c r="F276" s="224" t="s">
        <v>946</v>
      </c>
      <c r="G276" s="224" t="s">
        <v>42</v>
      </c>
      <c r="H276" s="230">
        <v>1394.8000000000002</v>
      </c>
      <c r="I276" s="224" t="e">
        <f>#REF!</f>
        <v>#REF!</v>
      </c>
      <c r="J276" s="385" t="e">
        <f t="shared" si="4"/>
        <v>#REF!</v>
      </c>
      <c r="O276" s="361"/>
      <c r="P276" s="361"/>
      <c r="Q276" s="361"/>
      <c r="R276" s="361"/>
      <c r="S276" s="361"/>
      <c r="T276" s="362"/>
      <c r="U276" s="362"/>
      <c r="V276" s="362"/>
      <c r="W276" s="362"/>
      <c r="X276" s="362"/>
      <c r="Y276" s="362"/>
      <c r="Z276" s="362"/>
      <c r="AA276" s="260"/>
      <c r="AB276" s="260"/>
    </row>
    <row r="277" spans="1:28" x14ac:dyDescent="0.2">
      <c r="A277" s="231"/>
      <c r="B277" s="323" t="s">
        <v>1613</v>
      </c>
      <c r="C277" s="226" t="s">
        <v>628</v>
      </c>
      <c r="D277" s="227" t="s">
        <v>387</v>
      </c>
      <c r="E277" s="226" t="s">
        <v>600</v>
      </c>
      <c r="F277" s="226" t="s">
        <v>946</v>
      </c>
      <c r="G277" s="226" t="s">
        <v>41</v>
      </c>
      <c r="H277" s="229">
        <v>2486</v>
      </c>
      <c r="I277" s="226" t="e">
        <f>#REF!</f>
        <v>#REF!</v>
      </c>
      <c r="J277" s="387" t="e">
        <f t="shared" si="4"/>
        <v>#REF!</v>
      </c>
      <c r="O277" s="361"/>
      <c r="P277" s="361"/>
      <c r="Q277" s="361"/>
      <c r="R277" s="361"/>
      <c r="S277" s="361"/>
      <c r="T277" s="362"/>
      <c r="U277" s="362"/>
      <c r="V277" s="362"/>
      <c r="W277" s="362"/>
      <c r="X277" s="362"/>
      <c r="Y277" s="362"/>
      <c r="Z277" s="362"/>
      <c r="AA277" s="260"/>
      <c r="AB277" s="260"/>
    </row>
    <row r="278" spans="1:28" x14ac:dyDescent="0.2">
      <c r="A278" s="231"/>
      <c r="B278" s="322" t="s">
        <v>1615</v>
      </c>
      <c r="C278" s="224" t="s">
        <v>628</v>
      </c>
      <c r="D278" s="228" t="s">
        <v>451</v>
      </c>
      <c r="E278" s="224" t="s">
        <v>600</v>
      </c>
      <c r="F278" s="224" t="s">
        <v>946</v>
      </c>
      <c r="G278" s="224" t="s">
        <v>41</v>
      </c>
      <c r="H278" s="230">
        <v>2525.6000000000004</v>
      </c>
      <c r="I278" s="224" t="e">
        <f>#REF!</f>
        <v>#REF!</v>
      </c>
      <c r="J278" s="385" t="e">
        <f t="shared" si="4"/>
        <v>#REF!</v>
      </c>
      <c r="O278" s="361"/>
      <c r="P278" s="361"/>
      <c r="Q278" s="361"/>
      <c r="R278" s="361"/>
      <c r="S278" s="361"/>
      <c r="T278" s="361"/>
      <c r="U278" s="361"/>
      <c r="V278" s="361"/>
      <c r="W278" s="361"/>
      <c r="X278" s="361"/>
      <c r="Y278" s="361"/>
      <c r="Z278" s="361"/>
    </row>
    <row r="279" spans="1:28" x14ac:dyDescent="0.2">
      <c r="A279" s="231" t="s">
        <v>2118</v>
      </c>
      <c r="B279" s="323" t="s">
        <v>1674</v>
      </c>
      <c r="C279" s="226" t="s">
        <v>628</v>
      </c>
      <c r="D279" s="227" t="s">
        <v>318</v>
      </c>
      <c r="E279" s="226" t="s">
        <v>600</v>
      </c>
      <c r="F279" s="226" t="s">
        <v>946</v>
      </c>
      <c r="G279" s="226" t="s">
        <v>42</v>
      </c>
      <c r="H279" s="229">
        <v>4074.4000000000005</v>
      </c>
      <c r="I279" s="226" t="e">
        <f>#REF!</f>
        <v>#REF!</v>
      </c>
      <c r="J279" s="387" t="e">
        <f t="shared" si="4"/>
        <v>#REF!</v>
      </c>
      <c r="O279" s="361"/>
      <c r="P279" s="361"/>
      <c r="Q279" s="361"/>
      <c r="R279" s="361"/>
      <c r="S279" s="361"/>
      <c r="T279" s="361"/>
      <c r="U279" s="361"/>
      <c r="V279" s="361"/>
      <c r="W279" s="361"/>
      <c r="X279" s="361"/>
      <c r="Y279" s="361"/>
      <c r="Z279" s="361"/>
    </row>
    <row r="280" spans="1:28" x14ac:dyDescent="0.2">
      <c r="A280" s="231"/>
      <c r="B280" s="322" t="s">
        <v>1638</v>
      </c>
      <c r="C280" s="224" t="s">
        <v>628</v>
      </c>
      <c r="D280" s="228" t="s">
        <v>636</v>
      </c>
      <c r="E280" s="224" t="s">
        <v>600</v>
      </c>
      <c r="F280" s="224" t="s">
        <v>946</v>
      </c>
      <c r="G280" s="224" t="s">
        <v>631</v>
      </c>
      <c r="H280" s="230">
        <v>2956.8</v>
      </c>
      <c r="I280" s="224" t="e">
        <f>#REF!</f>
        <v>#REF!</v>
      </c>
      <c r="J280" s="385" t="e">
        <f t="shared" si="4"/>
        <v>#REF!</v>
      </c>
      <c r="O280" s="361"/>
      <c r="P280" s="361"/>
      <c r="Q280" s="361"/>
      <c r="R280" s="361"/>
      <c r="S280" s="361"/>
      <c r="T280" s="361"/>
      <c r="U280" s="361"/>
      <c r="V280" s="361"/>
      <c r="W280" s="361"/>
      <c r="X280" s="361"/>
      <c r="Y280" s="361"/>
      <c r="Z280" s="361"/>
    </row>
    <row r="281" spans="1:28" x14ac:dyDescent="0.2">
      <c r="A281" s="231"/>
      <c r="B281" s="323" t="s">
        <v>1719</v>
      </c>
      <c r="C281" s="226" t="s">
        <v>628</v>
      </c>
      <c r="D281" s="227" t="s">
        <v>389</v>
      </c>
      <c r="E281" s="226" t="s">
        <v>600</v>
      </c>
      <c r="F281" s="226" t="s">
        <v>946</v>
      </c>
      <c r="G281" s="226" t="s">
        <v>41</v>
      </c>
      <c r="H281" s="229">
        <v>5896.0000000000009</v>
      </c>
      <c r="I281" s="226" t="e">
        <f>#REF!</f>
        <v>#REF!</v>
      </c>
      <c r="J281" s="387" t="e">
        <f t="shared" si="4"/>
        <v>#REF!</v>
      </c>
      <c r="O281" s="361"/>
      <c r="P281" s="361"/>
      <c r="Q281" s="361"/>
      <c r="R281" s="361"/>
      <c r="S281" s="361"/>
      <c r="T281" s="361"/>
      <c r="U281" s="361"/>
      <c r="V281" s="361"/>
      <c r="W281" s="361"/>
      <c r="X281" s="361"/>
      <c r="Y281" s="361"/>
      <c r="Z281" s="361"/>
    </row>
    <row r="282" spans="1:28" x14ac:dyDescent="0.2">
      <c r="A282" s="231"/>
      <c r="B282" s="322" t="s">
        <v>1763</v>
      </c>
      <c r="C282" s="224" t="s">
        <v>628</v>
      </c>
      <c r="D282" s="228" t="s">
        <v>66</v>
      </c>
      <c r="E282" s="224" t="s">
        <v>600</v>
      </c>
      <c r="F282" s="224" t="s">
        <v>946</v>
      </c>
      <c r="G282" s="224" t="s">
        <v>44</v>
      </c>
      <c r="H282" s="230">
        <v>8971.6</v>
      </c>
      <c r="I282" s="224" t="e">
        <f>#REF!</f>
        <v>#REF!</v>
      </c>
      <c r="J282" s="385" t="e">
        <f t="shared" si="4"/>
        <v>#REF!</v>
      </c>
    </row>
    <row r="283" spans="1:28" x14ac:dyDescent="0.2">
      <c r="A283" s="231"/>
      <c r="B283" s="323" t="s">
        <v>1693</v>
      </c>
      <c r="C283" s="226" t="s">
        <v>628</v>
      </c>
      <c r="D283" s="227" t="s">
        <v>319</v>
      </c>
      <c r="E283" s="226" t="s">
        <v>600</v>
      </c>
      <c r="F283" s="226" t="s">
        <v>946</v>
      </c>
      <c r="G283" s="226" t="s">
        <v>42</v>
      </c>
      <c r="H283" s="229">
        <v>4483.6000000000004</v>
      </c>
      <c r="I283" s="226" t="e">
        <f>#REF!</f>
        <v>#REF!</v>
      </c>
      <c r="J283" s="387" t="e">
        <f t="shared" si="4"/>
        <v>#REF!</v>
      </c>
      <c r="O283" s="361"/>
      <c r="P283" s="361"/>
      <c r="Q283" s="361"/>
      <c r="R283" s="361"/>
      <c r="S283" s="361"/>
      <c r="T283" s="361"/>
      <c r="U283" s="361"/>
      <c r="V283" s="361"/>
      <c r="W283" s="361"/>
      <c r="X283" s="361"/>
      <c r="Y283" s="361"/>
      <c r="Z283" s="361"/>
    </row>
    <row r="284" spans="1:28" x14ac:dyDescent="0.2">
      <c r="A284" s="231"/>
      <c r="B284" s="322" t="s">
        <v>1668</v>
      </c>
      <c r="C284" s="224" t="s">
        <v>628</v>
      </c>
      <c r="D284" s="228" t="s">
        <v>404</v>
      </c>
      <c r="E284" s="224" t="s">
        <v>600</v>
      </c>
      <c r="F284" s="224" t="s">
        <v>946</v>
      </c>
      <c r="G284" s="224" t="s">
        <v>41</v>
      </c>
      <c r="H284" s="230">
        <v>3894.0000000000014</v>
      </c>
      <c r="I284" s="224" t="e">
        <f>#REF!</f>
        <v>#REF!</v>
      </c>
      <c r="J284" s="385" t="e">
        <f t="shared" si="4"/>
        <v>#REF!</v>
      </c>
      <c r="O284" s="361"/>
      <c r="P284" s="361"/>
      <c r="Q284" s="361"/>
      <c r="R284" s="361"/>
      <c r="S284" s="361"/>
      <c r="T284" s="361"/>
      <c r="U284" s="361"/>
      <c r="V284" s="361"/>
      <c r="W284" s="361"/>
      <c r="X284" s="361"/>
      <c r="Y284" s="361"/>
      <c r="Z284" s="361"/>
    </row>
    <row r="285" spans="1:28" x14ac:dyDescent="0.2">
      <c r="A285" s="231"/>
      <c r="B285" s="323" t="s">
        <v>1755</v>
      </c>
      <c r="C285" s="226" t="s">
        <v>628</v>
      </c>
      <c r="D285" s="227" t="s">
        <v>68</v>
      </c>
      <c r="E285" s="226" t="s">
        <v>600</v>
      </c>
      <c r="F285" s="226" t="s">
        <v>946</v>
      </c>
      <c r="G285" s="226" t="s">
        <v>631</v>
      </c>
      <c r="H285" s="229">
        <v>8470</v>
      </c>
      <c r="I285" s="226" t="e">
        <f>#REF!</f>
        <v>#REF!</v>
      </c>
      <c r="J285" s="387" t="e">
        <f t="shared" si="4"/>
        <v>#REF!</v>
      </c>
      <c r="O285" s="361"/>
      <c r="P285" s="361"/>
      <c r="Q285" s="361"/>
      <c r="R285" s="361"/>
      <c r="S285" s="361"/>
      <c r="T285" s="361"/>
      <c r="U285" s="361"/>
      <c r="V285" s="361"/>
      <c r="W285" s="361"/>
      <c r="X285" s="361"/>
      <c r="Y285" s="361"/>
      <c r="Z285" s="361"/>
    </row>
    <row r="286" spans="1:28" x14ac:dyDescent="0.2">
      <c r="A286" s="231"/>
      <c r="B286" s="322" t="s">
        <v>1543</v>
      </c>
      <c r="C286" s="224" t="s">
        <v>628</v>
      </c>
      <c r="D286" s="228" t="s">
        <v>355</v>
      </c>
      <c r="E286" s="224" t="s">
        <v>600</v>
      </c>
      <c r="F286" s="224" t="s">
        <v>946</v>
      </c>
      <c r="G286" s="224" t="s">
        <v>41</v>
      </c>
      <c r="H286" s="230">
        <v>946.00000000000011</v>
      </c>
      <c r="I286" s="224" t="e">
        <f>#REF!</f>
        <v>#REF!</v>
      </c>
      <c r="J286" s="385" t="e">
        <f t="shared" si="4"/>
        <v>#REF!</v>
      </c>
      <c r="O286" s="361"/>
      <c r="P286" s="361"/>
      <c r="Q286" s="361"/>
      <c r="R286" s="361"/>
      <c r="S286" s="361"/>
      <c r="T286" s="361"/>
      <c r="U286" s="361"/>
      <c r="V286" s="361"/>
      <c r="W286" s="361"/>
      <c r="X286" s="361"/>
      <c r="Y286" s="361"/>
      <c r="Z286" s="361"/>
    </row>
    <row r="287" spans="1:28" x14ac:dyDescent="0.2">
      <c r="A287" s="231"/>
      <c r="B287" s="323" t="s">
        <v>1557</v>
      </c>
      <c r="C287" s="226" t="s">
        <v>628</v>
      </c>
      <c r="D287" s="227" t="s">
        <v>357</v>
      </c>
      <c r="E287" s="226" t="s">
        <v>600</v>
      </c>
      <c r="F287" s="226" t="s">
        <v>946</v>
      </c>
      <c r="G287" s="226" t="s">
        <v>631</v>
      </c>
      <c r="H287" s="229">
        <v>1192.4000000000001</v>
      </c>
      <c r="I287" s="226" t="e">
        <f>#REF!</f>
        <v>#REF!</v>
      </c>
      <c r="J287" s="387" t="e">
        <f t="shared" si="4"/>
        <v>#REF!</v>
      </c>
      <c r="O287" s="361"/>
      <c r="P287" s="361"/>
      <c r="Q287" s="361"/>
      <c r="R287" s="361"/>
      <c r="S287" s="361"/>
      <c r="T287" s="361"/>
      <c r="U287" s="361"/>
      <c r="V287" s="361"/>
      <c r="W287" s="361"/>
      <c r="X287" s="361"/>
      <c r="Y287" s="361"/>
      <c r="Z287" s="361"/>
    </row>
    <row r="288" spans="1:28" x14ac:dyDescent="0.2">
      <c r="A288" s="231"/>
      <c r="B288" s="322" t="s">
        <v>1623</v>
      </c>
      <c r="C288" s="224" t="s">
        <v>628</v>
      </c>
      <c r="D288" s="228" t="s">
        <v>460</v>
      </c>
      <c r="E288" s="224" t="s">
        <v>600</v>
      </c>
      <c r="F288" s="224" t="s">
        <v>946</v>
      </c>
      <c r="G288" s="224" t="s">
        <v>631</v>
      </c>
      <c r="H288" s="230">
        <v>2732.4</v>
      </c>
      <c r="I288" s="224" t="e">
        <f>#REF!</f>
        <v>#REF!</v>
      </c>
      <c r="J288" s="385" t="e">
        <f t="shared" si="4"/>
        <v>#REF!</v>
      </c>
      <c r="O288" s="361"/>
      <c r="P288" s="361"/>
      <c r="Q288" s="361"/>
      <c r="R288" s="361"/>
      <c r="S288" s="361"/>
      <c r="T288" s="361"/>
      <c r="U288" s="361"/>
      <c r="V288" s="361"/>
      <c r="W288" s="361"/>
      <c r="X288" s="361"/>
      <c r="Y288" s="361"/>
      <c r="Z288" s="361"/>
    </row>
    <row r="289" spans="1:26" x14ac:dyDescent="0.2">
      <c r="A289" s="231"/>
      <c r="B289" s="323" t="s">
        <v>1757</v>
      </c>
      <c r="C289" s="226" t="s">
        <v>628</v>
      </c>
      <c r="D289" s="227" t="s">
        <v>495</v>
      </c>
      <c r="E289" s="226" t="s">
        <v>600</v>
      </c>
      <c r="F289" s="226" t="s">
        <v>946</v>
      </c>
      <c r="G289" s="226" t="s">
        <v>631</v>
      </c>
      <c r="H289" s="229">
        <v>8694.4000000000015</v>
      </c>
      <c r="I289" s="226" t="e">
        <f>#REF!</f>
        <v>#REF!</v>
      </c>
      <c r="J289" s="387" t="e">
        <f t="shared" si="4"/>
        <v>#REF!</v>
      </c>
      <c r="O289" s="361"/>
      <c r="P289" s="361"/>
      <c r="Q289" s="361"/>
      <c r="R289" s="361"/>
      <c r="S289" s="361"/>
      <c r="T289" s="361"/>
      <c r="U289" s="361"/>
      <c r="V289" s="361"/>
      <c r="W289" s="361"/>
      <c r="X289" s="361"/>
      <c r="Y289" s="361"/>
      <c r="Z289" s="361"/>
    </row>
    <row r="290" spans="1:26" x14ac:dyDescent="0.2">
      <c r="A290" s="231"/>
      <c r="B290" s="322" t="s">
        <v>1751</v>
      </c>
      <c r="C290" s="224" t="s">
        <v>628</v>
      </c>
      <c r="D290" s="228" t="s">
        <v>317</v>
      </c>
      <c r="E290" s="224" t="s">
        <v>600</v>
      </c>
      <c r="F290" s="224" t="s">
        <v>946</v>
      </c>
      <c r="G290" s="224" t="s">
        <v>42</v>
      </c>
      <c r="H290" s="230">
        <v>8052.0000000000009</v>
      </c>
      <c r="I290" s="224" t="e">
        <f>#REF!</f>
        <v>#REF!</v>
      </c>
      <c r="J290" s="385" t="e">
        <f t="shared" si="4"/>
        <v>#REF!</v>
      </c>
      <c r="O290" s="361"/>
      <c r="P290" s="361"/>
      <c r="Q290" s="361"/>
      <c r="R290" s="361"/>
      <c r="S290" s="361"/>
      <c r="T290" s="361"/>
      <c r="U290" s="361"/>
      <c r="V290" s="361"/>
      <c r="W290" s="361"/>
      <c r="X290" s="361"/>
      <c r="Y290" s="361"/>
      <c r="Z290" s="361"/>
    </row>
    <row r="291" spans="1:26" x14ac:dyDescent="0.2">
      <c r="A291" s="231"/>
      <c r="B291" s="323" t="s">
        <v>2156</v>
      </c>
      <c r="C291" s="226" t="s">
        <v>628</v>
      </c>
      <c r="D291" s="227" t="s">
        <v>487</v>
      </c>
      <c r="E291" s="226" t="s">
        <v>600</v>
      </c>
      <c r="F291" s="226" t="s">
        <v>946</v>
      </c>
      <c r="G291" s="226" t="s">
        <v>41</v>
      </c>
      <c r="H291" s="229">
        <v>6617.6</v>
      </c>
      <c r="I291" s="226" t="e">
        <f>#REF!</f>
        <v>#REF!</v>
      </c>
      <c r="J291" s="387" t="e">
        <f t="shared" si="4"/>
        <v>#REF!</v>
      </c>
      <c r="O291" s="361"/>
      <c r="P291" s="361"/>
      <c r="Q291" s="361"/>
      <c r="R291" s="361"/>
      <c r="S291" s="361"/>
      <c r="T291" s="361"/>
      <c r="U291" s="361"/>
      <c r="V291" s="361"/>
      <c r="W291" s="361"/>
      <c r="X291" s="361"/>
      <c r="Y291" s="361"/>
      <c r="Z291" s="361"/>
    </row>
    <row r="292" spans="1:26" x14ac:dyDescent="0.2">
      <c r="A292" s="231"/>
      <c r="B292" s="316" t="s">
        <v>1770</v>
      </c>
      <c r="C292" s="224" t="s">
        <v>628</v>
      </c>
      <c r="D292" s="228" t="s">
        <v>488</v>
      </c>
      <c r="E292" s="224" t="s">
        <v>600</v>
      </c>
      <c r="F292" s="224" t="s">
        <v>946</v>
      </c>
      <c r="G292" s="224" t="s">
        <v>41</v>
      </c>
      <c r="H292" s="230">
        <v>9719.6</v>
      </c>
      <c r="I292" s="224" t="e">
        <f>#REF!</f>
        <v>#REF!</v>
      </c>
      <c r="J292" s="385" t="e">
        <f t="shared" si="4"/>
        <v>#REF!</v>
      </c>
      <c r="O292" s="361"/>
      <c r="P292" s="361"/>
      <c r="Q292" s="361"/>
      <c r="R292" s="361"/>
      <c r="S292" s="361"/>
      <c r="T292" s="361"/>
      <c r="U292" s="361"/>
      <c r="V292" s="361"/>
      <c r="W292" s="361"/>
      <c r="X292" s="361"/>
      <c r="Y292" s="361"/>
      <c r="Z292" s="361"/>
    </row>
    <row r="293" spans="1:26" x14ac:dyDescent="0.2">
      <c r="A293" s="231"/>
      <c r="B293" s="315" t="s">
        <v>1725</v>
      </c>
      <c r="C293" s="226" t="s">
        <v>628</v>
      </c>
      <c r="D293" s="227" t="s">
        <v>494</v>
      </c>
      <c r="E293" s="226" t="s">
        <v>600</v>
      </c>
      <c r="F293" s="226" t="s">
        <v>946</v>
      </c>
      <c r="G293" s="226" t="s">
        <v>631</v>
      </c>
      <c r="H293" s="229">
        <v>6265.6</v>
      </c>
      <c r="I293" s="226" t="e">
        <f>#REF!</f>
        <v>#REF!</v>
      </c>
      <c r="J293" s="387" t="e">
        <f t="shared" si="4"/>
        <v>#REF!</v>
      </c>
      <c r="O293" s="361"/>
      <c r="P293" s="361"/>
      <c r="Q293" s="361"/>
      <c r="R293" s="361"/>
      <c r="S293" s="361"/>
      <c r="T293" s="361"/>
      <c r="U293" s="361"/>
      <c r="V293" s="361"/>
      <c r="W293" s="361"/>
      <c r="X293" s="361"/>
      <c r="Y293" s="361"/>
      <c r="Z293" s="361"/>
    </row>
    <row r="294" spans="1:26" x14ac:dyDescent="0.2">
      <c r="A294" s="231"/>
      <c r="B294" s="322" t="s">
        <v>1794</v>
      </c>
      <c r="C294" s="224" t="s">
        <v>628</v>
      </c>
      <c r="D294" s="228" t="s">
        <v>496</v>
      </c>
      <c r="E294" s="224" t="s">
        <v>600</v>
      </c>
      <c r="F294" s="224" t="s">
        <v>946</v>
      </c>
      <c r="G294" s="224" t="s">
        <v>631</v>
      </c>
      <c r="H294" s="230">
        <v>13574.000000000002</v>
      </c>
      <c r="I294" s="224" t="e">
        <f>#REF!</f>
        <v>#REF!</v>
      </c>
      <c r="J294" s="385" t="e">
        <f t="shared" si="4"/>
        <v>#REF!</v>
      </c>
      <c r="O294" s="361"/>
      <c r="P294" s="361"/>
      <c r="Q294" s="361"/>
      <c r="R294" s="361"/>
      <c r="S294" s="361"/>
      <c r="T294" s="361"/>
      <c r="U294" s="361"/>
      <c r="V294" s="361"/>
      <c r="W294" s="361"/>
      <c r="X294" s="361"/>
      <c r="Y294" s="361"/>
      <c r="Z294" s="361"/>
    </row>
    <row r="295" spans="1:26" x14ac:dyDescent="0.2">
      <c r="A295" s="231"/>
      <c r="B295" s="315" t="s">
        <v>1608</v>
      </c>
      <c r="C295" s="226" t="s">
        <v>628</v>
      </c>
      <c r="D295" s="227" t="s">
        <v>386</v>
      </c>
      <c r="E295" s="226" t="s">
        <v>600</v>
      </c>
      <c r="F295" s="226" t="s">
        <v>946</v>
      </c>
      <c r="G295" s="226" t="s">
        <v>41</v>
      </c>
      <c r="H295" s="229">
        <v>2274.8000000000002</v>
      </c>
      <c r="I295" s="226" t="e">
        <f>#REF!</f>
        <v>#REF!</v>
      </c>
      <c r="J295" s="387" t="e">
        <f t="shared" si="4"/>
        <v>#REF!</v>
      </c>
      <c r="O295" s="361"/>
      <c r="P295" s="361"/>
      <c r="Q295" s="361"/>
      <c r="R295" s="361"/>
      <c r="S295" s="361"/>
      <c r="T295" s="361"/>
      <c r="U295" s="361"/>
      <c r="V295" s="361"/>
      <c r="W295" s="361"/>
      <c r="X295" s="361"/>
      <c r="Y295" s="361"/>
      <c r="Z295" s="361"/>
    </row>
    <row r="296" spans="1:26" x14ac:dyDescent="0.2">
      <c r="A296" s="231"/>
      <c r="B296" s="316" t="s">
        <v>1628</v>
      </c>
      <c r="C296" s="224" t="s">
        <v>628</v>
      </c>
      <c r="D296" s="228" t="s">
        <v>453</v>
      </c>
      <c r="E296" s="224" t="s">
        <v>600</v>
      </c>
      <c r="F296" s="224" t="s">
        <v>946</v>
      </c>
      <c r="G296" s="224" t="s">
        <v>41</v>
      </c>
      <c r="H296" s="230">
        <v>2829.2000000000003</v>
      </c>
      <c r="I296" s="224" t="e">
        <f>#REF!</f>
        <v>#REF!</v>
      </c>
      <c r="J296" s="385" t="e">
        <f t="shared" si="4"/>
        <v>#REF!</v>
      </c>
      <c r="O296" s="361"/>
      <c r="P296" s="361"/>
      <c r="Q296" s="361"/>
      <c r="R296" s="361"/>
      <c r="S296" s="361"/>
      <c r="T296" s="361"/>
      <c r="U296" s="361"/>
      <c r="V296" s="361"/>
      <c r="W296" s="361"/>
      <c r="X296" s="361"/>
      <c r="Y296" s="361"/>
      <c r="Z296" s="361"/>
    </row>
    <row r="297" spans="1:26" x14ac:dyDescent="0.2">
      <c r="A297" s="231"/>
      <c r="B297" s="315" t="s">
        <v>1618</v>
      </c>
      <c r="C297" s="226" t="s">
        <v>628</v>
      </c>
      <c r="D297" s="227" t="s">
        <v>452</v>
      </c>
      <c r="E297" s="226" t="s">
        <v>600</v>
      </c>
      <c r="F297" s="226" t="s">
        <v>946</v>
      </c>
      <c r="G297" s="226" t="s">
        <v>41</v>
      </c>
      <c r="H297" s="229">
        <v>2613.6000000000004</v>
      </c>
      <c r="I297" s="226" t="e">
        <f>#REF!</f>
        <v>#REF!</v>
      </c>
      <c r="J297" s="387" t="e">
        <f t="shared" si="4"/>
        <v>#REF!</v>
      </c>
      <c r="O297" s="361"/>
      <c r="P297" s="361"/>
      <c r="Q297" s="361"/>
      <c r="R297" s="361"/>
      <c r="S297" s="361"/>
      <c r="T297" s="361"/>
      <c r="U297" s="361"/>
      <c r="V297" s="361"/>
      <c r="W297" s="361"/>
      <c r="X297" s="361"/>
      <c r="Y297" s="361"/>
      <c r="Z297" s="361"/>
    </row>
    <row r="298" spans="1:26" x14ac:dyDescent="0.2">
      <c r="A298" s="231"/>
      <c r="B298" s="316" t="s">
        <v>1641</v>
      </c>
      <c r="C298" s="224" t="s">
        <v>628</v>
      </c>
      <c r="D298" s="228" t="s">
        <v>461</v>
      </c>
      <c r="E298" s="224" t="s">
        <v>600</v>
      </c>
      <c r="F298" s="224" t="s">
        <v>946</v>
      </c>
      <c r="G298" s="224" t="s">
        <v>631</v>
      </c>
      <c r="H298" s="230">
        <v>3115.2000000000003</v>
      </c>
      <c r="I298" s="224" t="e">
        <f>#REF!</f>
        <v>#REF!</v>
      </c>
      <c r="J298" s="385" t="e">
        <f t="shared" si="4"/>
        <v>#REF!</v>
      </c>
      <c r="O298" s="361"/>
      <c r="P298" s="361"/>
      <c r="Q298" s="361"/>
      <c r="R298" s="361"/>
      <c r="S298" s="361"/>
      <c r="T298" s="361"/>
      <c r="U298" s="361"/>
      <c r="V298" s="361"/>
      <c r="W298" s="361"/>
      <c r="X298" s="361"/>
      <c r="Y298" s="361"/>
      <c r="Z298" s="361"/>
    </row>
    <row r="299" spans="1:26" x14ac:dyDescent="0.2">
      <c r="A299" s="231"/>
      <c r="B299" s="323" t="s">
        <v>1655</v>
      </c>
      <c r="C299" s="226" t="s">
        <v>628</v>
      </c>
      <c r="D299" s="227" t="s">
        <v>462</v>
      </c>
      <c r="E299" s="226" t="s">
        <v>600</v>
      </c>
      <c r="F299" s="226" t="s">
        <v>946</v>
      </c>
      <c r="G299" s="226" t="s">
        <v>631</v>
      </c>
      <c r="H299" s="229">
        <v>3493.6000000000004</v>
      </c>
      <c r="I299" s="226" t="e">
        <f>#REF!</f>
        <v>#REF!</v>
      </c>
      <c r="J299" s="387" t="e">
        <f t="shared" si="4"/>
        <v>#REF!</v>
      </c>
      <c r="O299" s="361"/>
      <c r="P299" s="361"/>
      <c r="Q299" s="361"/>
      <c r="R299" s="361"/>
      <c r="S299" s="361"/>
      <c r="T299" s="361"/>
      <c r="U299" s="361"/>
      <c r="V299" s="361"/>
      <c r="W299" s="361"/>
      <c r="X299" s="361"/>
      <c r="Y299" s="361"/>
      <c r="Z299" s="361"/>
    </row>
    <row r="300" spans="1:26" x14ac:dyDescent="0.2">
      <c r="A300" s="231"/>
      <c r="B300" s="316" t="s">
        <v>1798</v>
      </c>
      <c r="C300" s="224" t="s">
        <v>628</v>
      </c>
      <c r="D300" s="228" t="s">
        <v>392</v>
      </c>
      <c r="E300" s="224" t="s">
        <v>600</v>
      </c>
      <c r="F300" s="224" t="s">
        <v>946</v>
      </c>
      <c r="G300" s="224" t="s">
        <v>42</v>
      </c>
      <c r="H300" s="230">
        <v>14282.400000000001</v>
      </c>
      <c r="I300" s="224" t="e">
        <f>#REF!</f>
        <v>#REF!</v>
      </c>
      <c r="J300" s="385" t="e">
        <f t="shared" si="4"/>
        <v>#REF!</v>
      </c>
      <c r="O300" s="361"/>
      <c r="P300" s="361"/>
      <c r="Q300" s="361"/>
      <c r="R300" s="361"/>
      <c r="S300" s="361"/>
      <c r="T300" s="361"/>
      <c r="U300" s="361"/>
      <c r="V300" s="361"/>
      <c r="W300" s="361"/>
      <c r="X300" s="361"/>
      <c r="Y300" s="361"/>
      <c r="Z300" s="361"/>
    </row>
    <row r="301" spans="1:26" x14ac:dyDescent="0.2">
      <c r="A301" s="231"/>
      <c r="B301" s="323" t="s">
        <v>1749</v>
      </c>
      <c r="C301" s="226" t="s">
        <v>628</v>
      </c>
      <c r="D301" s="227" t="s">
        <v>397</v>
      </c>
      <c r="E301" s="226" t="s">
        <v>600</v>
      </c>
      <c r="F301" s="226" t="s">
        <v>946</v>
      </c>
      <c r="G301" s="226" t="s">
        <v>631</v>
      </c>
      <c r="H301" s="229">
        <v>7950.8000000000011</v>
      </c>
      <c r="I301" s="226" t="e">
        <f>#REF!</f>
        <v>#REF!</v>
      </c>
      <c r="J301" s="387" t="e">
        <f t="shared" si="4"/>
        <v>#REF!</v>
      </c>
      <c r="O301" s="361"/>
      <c r="P301" s="361"/>
      <c r="Q301" s="361"/>
      <c r="R301" s="361"/>
      <c r="S301" s="361"/>
      <c r="T301" s="361"/>
      <c r="U301" s="361"/>
      <c r="V301" s="361"/>
      <c r="W301" s="361"/>
      <c r="X301" s="361"/>
      <c r="Y301" s="361"/>
      <c r="Z301" s="361"/>
    </row>
    <row r="302" spans="1:26" x14ac:dyDescent="0.2">
      <c r="A302" s="231"/>
      <c r="B302" s="322" t="s">
        <v>1624</v>
      </c>
      <c r="C302" s="224" t="s">
        <v>628</v>
      </c>
      <c r="D302" s="228" t="s">
        <v>522</v>
      </c>
      <c r="E302" s="224" t="s">
        <v>600</v>
      </c>
      <c r="F302" s="224" t="s">
        <v>946</v>
      </c>
      <c r="G302" s="224" t="s">
        <v>631</v>
      </c>
      <c r="H302" s="230">
        <v>2736.8</v>
      </c>
      <c r="I302" s="224" t="e">
        <f>#REF!</f>
        <v>#REF!</v>
      </c>
      <c r="J302" s="385" t="e">
        <f t="shared" si="4"/>
        <v>#REF!</v>
      </c>
      <c r="O302" s="361"/>
      <c r="P302" s="361"/>
      <c r="Q302" s="361"/>
      <c r="R302" s="361"/>
      <c r="S302" s="361"/>
      <c r="T302" s="361"/>
      <c r="U302" s="361"/>
      <c r="V302" s="361"/>
      <c r="W302" s="361"/>
      <c r="X302" s="361"/>
      <c r="Y302" s="361"/>
      <c r="Z302" s="361"/>
    </row>
    <row r="303" spans="1:26" x14ac:dyDescent="0.2">
      <c r="A303" s="231"/>
      <c r="B303" s="315" t="s">
        <v>1657</v>
      </c>
      <c r="C303" s="226" t="s">
        <v>628</v>
      </c>
      <c r="D303" s="227" t="s">
        <v>523</v>
      </c>
      <c r="E303" s="226" t="s">
        <v>600</v>
      </c>
      <c r="F303" s="226" t="s">
        <v>946</v>
      </c>
      <c r="G303" s="226" t="s">
        <v>631</v>
      </c>
      <c r="H303" s="229">
        <v>3577.2000000000003</v>
      </c>
      <c r="I303" s="226" t="e">
        <f>#REF!</f>
        <v>#REF!</v>
      </c>
      <c r="J303" s="387" t="e">
        <f t="shared" si="4"/>
        <v>#REF!</v>
      </c>
      <c r="O303" s="361"/>
      <c r="P303" s="361"/>
      <c r="Q303" s="361"/>
      <c r="R303" s="361"/>
      <c r="S303" s="361"/>
      <c r="T303" s="361"/>
      <c r="U303" s="361"/>
      <c r="V303" s="361"/>
      <c r="W303" s="361"/>
      <c r="X303" s="361"/>
      <c r="Y303" s="361"/>
      <c r="Z303" s="361"/>
    </row>
    <row r="304" spans="1:26" x14ac:dyDescent="0.2">
      <c r="A304" s="231"/>
      <c r="B304" s="316" t="s">
        <v>1632</v>
      </c>
      <c r="C304" s="224" t="s">
        <v>628</v>
      </c>
      <c r="D304" s="228" t="s">
        <v>514</v>
      </c>
      <c r="E304" s="224" t="s">
        <v>600</v>
      </c>
      <c r="F304" s="224" t="s">
        <v>946</v>
      </c>
      <c r="G304" s="224" t="s">
        <v>41</v>
      </c>
      <c r="H304" s="230">
        <v>2873.2000000000003</v>
      </c>
      <c r="I304" s="224" t="e">
        <f>#REF!</f>
        <v>#REF!</v>
      </c>
      <c r="J304" s="385" t="e">
        <f t="shared" si="4"/>
        <v>#REF!</v>
      </c>
      <c r="O304" s="361"/>
      <c r="P304" s="361"/>
      <c r="Q304" s="361"/>
      <c r="R304" s="361"/>
      <c r="S304" s="361"/>
      <c r="T304" s="361"/>
      <c r="U304" s="361"/>
      <c r="V304" s="361"/>
      <c r="W304" s="361"/>
      <c r="X304" s="361"/>
      <c r="Y304" s="361"/>
      <c r="Z304" s="361"/>
    </row>
    <row r="305" spans="1:26" x14ac:dyDescent="0.2">
      <c r="A305" s="231"/>
      <c r="B305" s="323" t="s">
        <v>1597</v>
      </c>
      <c r="C305" s="226" t="s">
        <v>628</v>
      </c>
      <c r="D305" s="227" t="s">
        <v>510</v>
      </c>
      <c r="E305" s="226" t="s">
        <v>600</v>
      </c>
      <c r="F305" s="226" t="s">
        <v>946</v>
      </c>
      <c r="G305" s="226" t="s">
        <v>44</v>
      </c>
      <c r="H305" s="229">
        <v>1940.4</v>
      </c>
      <c r="I305" s="226" t="e">
        <f>#REF!</f>
        <v>#REF!</v>
      </c>
      <c r="J305" s="387" t="e">
        <f t="shared" si="4"/>
        <v>#REF!</v>
      </c>
    </row>
    <row r="306" spans="1:26" x14ac:dyDescent="0.2">
      <c r="A306" s="231"/>
      <c r="B306" s="316" t="s">
        <v>1804</v>
      </c>
      <c r="C306" s="224" t="s">
        <v>628</v>
      </c>
      <c r="D306" s="228" t="s">
        <v>393</v>
      </c>
      <c r="E306" s="224" t="s">
        <v>600</v>
      </c>
      <c r="F306" s="224" t="s">
        <v>946</v>
      </c>
      <c r="G306" s="224" t="s">
        <v>42</v>
      </c>
      <c r="H306" s="230">
        <v>19663.600000000002</v>
      </c>
      <c r="I306" s="224" t="e">
        <f>#REF!</f>
        <v>#REF!</v>
      </c>
      <c r="J306" s="385" t="e">
        <f t="shared" si="4"/>
        <v>#REF!</v>
      </c>
      <c r="O306" s="361"/>
      <c r="P306" s="361"/>
      <c r="Q306" s="361"/>
      <c r="R306" s="361"/>
      <c r="S306" s="361"/>
      <c r="T306" s="361"/>
      <c r="U306" s="361"/>
      <c r="V306" s="361"/>
      <c r="W306" s="361"/>
      <c r="X306" s="361"/>
      <c r="Y306" s="361"/>
      <c r="Z306" s="361"/>
    </row>
    <row r="307" spans="1:26" x14ac:dyDescent="0.2">
      <c r="A307" s="231"/>
      <c r="B307" s="315" t="s">
        <v>1813</v>
      </c>
      <c r="C307" s="226" t="s">
        <v>628</v>
      </c>
      <c r="D307" s="227" t="s">
        <v>394</v>
      </c>
      <c r="E307" s="226" t="s">
        <v>600</v>
      </c>
      <c r="F307" s="226" t="s">
        <v>946</v>
      </c>
      <c r="G307" s="226" t="s">
        <v>42</v>
      </c>
      <c r="H307" s="229">
        <v>25770.800000000003</v>
      </c>
      <c r="I307" s="226" t="e">
        <f>#REF!</f>
        <v>#REF!</v>
      </c>
      <c r="J307" s="387" t="e">
        <f t="shared" si="4"/>
        <v>#REF!</v>
      </c>
      <c r="O307" s="361"/>
      <c r="P307" s="361"/>
      <c r="Q307" s="361"/>
      <c r="R307" s="361"/>
      <c r="S307" s="361"/>
      <c r="T307" s="361"/>
      <c r="U307" s="361"/>
      <c r="V307" s="361"/>
      <c r="W307" s="361"/>
      <c r="X307" s="361"/>
      <c r="Y307" s="361"/>
      <c r="Z307" s="361"/>
    </row>
    <row r="308" spans="1:26" x14ac:dyDescent="0.2">
      <c r="A308" s="231"/>
      <c r="B308" s="322" t="s">
        <v>1756</v>
      </c>
      <c r="C308" s="224" t="s">
        <v>628</v>
      </c>
      <c r="D308" s="228" t="s">
        <v>438</v>
      </c>
      <c r="E308" s="224" t="s">
        <v>600</v>
      </c>
      <c r="F308" s="224" t="s">
        <v>946</v>
      </c>
      <c r="G308" s="224" t="s">
        <v>631</v>
      </c>
      <c r="H308" s="230">
        <v>8553.6</v>
      </c>
      <c r="I308" s="224" t="e">
        <f>#REF!</f>
        <v>#REF!</v>
      </c>
      <c r="J308" s="385" t="e">
        <f t="shared" si="4"/>
        <v>#REF!</v>
      </c>
      <c r="O308" s="361"/>
      <c r="P308" s="361"/>
      <c r="Q308" s="361"/>
      <c r="R308" s="361"/>
      <c r="S308" s="361"/>
      <c r="T308" s="361"/>
      <c r="U308" s="361"/>
      <c r="V308" s="361"/>
      <c r="W308" s="361"/>
      <c r="X308" s="361"/>
      <c r="Y308" s="361"/>
      <c r="Z308" s="361"/>
    </row>
    <row r="309" spans="1:26" x14ac:dyDescent="0.2">
      <c r="A309" s="231"/>
      <c r="B309" s="323" t="s">
        <v>1764</v>
      </c>
      <c r="C309" s="226" t="s">
        <v>628</v>
      </c>
      <c r="D309" s="227" t="s">
        <v>498</v>
      </c>
      <c r="E309" s="226" t="s">
        <v>600</v>
      </c>
      <c r="F309" s="226" t="s">
        <v>946</v>
      </c>
      <c r="G309" s="226" t="s">
        <v>44</v>
      </c>
      <c r="H309" s="229">
        <v>8976</v>
      </c>
      <c r="I309" s="226" t="e">
        <f>#REF!</f>
        <v>#REF!</v>
      </c>
      <c r="J309" s="387" t="e">
        <f t="shared" si="4"/>
        <v>#REF!</v>
      </c>
    </row>
    <row r="310" spans="1:26" x14ac:dyDescent="0.2">
      <c r="A310" s="231"/>
      <c r="B310" s="322" t="s">
        <v>1649</v>
      </c>
      <c r="C310" s="224" t="s">
        <v>628</v>
      </c>
      <c r="D310" s="228" t="s">
        <v>526</v>
      </c>
      <c r="E310" s="224" t="s">
        <v>600</v>
      </c>
      <c r="F310" s="224" t="s">
        <v>946</v>
      </c>
      <c r="G310" s="224" t="s">
        <v>44</v>
      </c>
      <c r="H310" s="230">
        <v>3326.4</v>
      </c>
      <c r="I310" s="224" t="e">
        <f>#REF!</f>
        <v>#REF!</v>
      </c>
      <c r="J310" s="385" t="e">
        <f t="shared" si="4"/>
        <v>#REF!</v>
      </c>
    </row>
    <row r="311" spans="1:26" x14ac:dyDescent="0.2">
      <c r="A311" s="231"/>
      <c r="B311" s="315" t="s">
        <v>1695</v>
      </c>
      <c r="C311" s="226" t="s">
        <v>628</v>
      </c>
      <c r="D311" s="227" t="s">
        <v>390</v>
      </c>
      <c r="E311" s="226" t="s">
        <v>600</v>
      </c>
      <c r="F311" s="226" t="s">
        <v>946</v>
      </c>
      <c r="G311" s="226" t="s">
        <v>41</v>
      </c>
      <c r="H311" s="229">
        <v>4545.2000000000007</v>
      </c>
      <c r="I311" s="226" t="e">
        <f>#REF!</f>
        <v>#REF!</v>
      </c>
      <c r="J311" s="387" t="e">
        <f t="shared" si="4"/>
        <v>#REF!</v>
      </c>
      <c r="O311" s="361"/>
      <c r="P311" s="361"/>
      <c r="Q311" s="361"/>
      <c r="R311" s="361"/>
      <c r="S311" s="361"/>
      <c r="T311" s="361"/>
      <c r="U311" s="361"/>
      <c r="V311" s="361"/>
      <c r="W311" s="361"/>
      <c r="X311" s="361"/>
      <c r="Y311" s="361"/>
      <c r="Z311" s="361"/>
    </row>
    <row r="312" spans="1:26" x14ac:dyDescent="0.2">
      <c r="A312" s="231"/>
      <c r="B312" s="322" t="s">
        <v>1747</v>
      </c>
      <c r="C312" s="224" t="s">
        <v>628</v>
      </c>
      <c r="D312" s="228" t="s">
        <v>544</v>
      </c>
      <c r="E312" s="224" t="s">
        <v>600</v>
      </c>
      <c r="F312" s="224" t="s">
        <v>946</v>
      </c>
      <c r="G312" s="224" t="s">
        <v>631</v>
      </c>
      <c r="H312" s="230">
        <v>7832.0000000000009</v>
      </c>
      <c r="I312" s="224" t="e">
        <f>#REF!</f>
        <v>#REF!</v>
      </c>
      <c r="J312" s="385" t="e">
        <f t="shared" si="4"/>
        <v>#REF!</v>
      </c>
      <c r="O312" s="361"/>
      <c r="P312" s="361"/>
      <c r="Q312" s="361"/>
      <c r="R312" s="361"/>
      <c r="S312" s="361"/>
      <c r="T312" s="361"/>
      <c r="U312" s="361"/>
      <c r="V312" s="361"/>
      <c r="W312" s="361"/>
      <c r="X312" s="361"/>
      <c r="Y312" s="361"/>
      <c r="Z312" s="361"/>
    </row>
    <row r="313" spans="1:26" x14ac:dyDescent="0.2">
      <c r="A313" s="231"/>
      <c r="B313" s="315" t="s">
        <v>1709</v>
      </c>
      <c r="C313" s="226" t="s">
        <v>628</v>
      </c>
      <c r="D313" s="227" t="s">
        <v>486</v>
      </c>
      <c r="E313" s="226" t="s">
        <v>600</v>
      </c>
      <c r="F313" s="226" t="s">
        <v>946</v>
      </c>
      <c r="G313" s="226" t="s">
        <v>41</v>
      </c>
      <c r="H313" s="229">
        <v>5249.2000000000007</v>
      </c>
      <c r="I313" s="226" t="e">
        <f>#REF!</f>
        <v>#REF!</v>
      </c>
      <c r="J313" s="387" t="e">
        <f t="shared" si="4"/>
        <v>#REF!</v>
      </c>
      <c r="O313" s="361"/>
      <c r="P313" s="361"/>
      <c r="Q313" s="361"/>
      <c r="R313" s="361"/>
      <c r="S313" s="361"/>
      <c r="T313" s="361"/>
      <c r="U313" s="361"/>
      <c r="V313" s="361"/>
      <c r="W313" s="361"/>
      <c r="X313" s="361"/>
      <c r="Y313" s="361"/>
      <c r="Z313" s="361"/>
    </row>
    <row r="314" spans="1:26" x14ac:dyDescent="0.2">
      <c r="A314" s="231"/>
      <c r="B314" s="316" t="s">
        <v>1712</v>
      </c>
      <c r="C314" s="224" t="s">
        <v>628</v>
      </c>
      <c r="D314" s="228" t="s">
        <v>535</v>
      </c>
      <c r="E314" s="224" t="s">
        <v>600</v>
      </c>
      <c r="F314" s="224" t="s">
        <v>946</v>
      </c>
      <c r="G314" s="224" t="s">
        <v>41</v>
      </c>
      <c r="H314" s="230">
        <v>5438.4000000000005</v>
      </c>
      <c r="I314" s="224" t="e">
        <f>#REF!</f>
        <v>#REF!</v>
      </c>
      <c r="J314" s="385" t="e">
        <f t="shared" si="4"/>
        <v>#REF!</v>
      </c>
      <c r="O314" s="361"/>
      <c r="P314" s="361"/>
      <c r="Q314" s="361"/>
      <c r="R314" s="361"/>
      <c r="S314" s="361"/>
      <c r="T314" s="361"/>
      <c r="U314" s="361"/>
      <c r="V314" s="361"/>
      <c r="W314" s="361"/>
      <c r="X314" s="361"/>
      <c r="Y314" s="361"/>
      <c r="Z314" s="361"/>
    </row>
    <row r="315" spans="1:26" x14ac:dyDescent="0.2">
      <c r="A315" s="231"/>
      <c r="B315" s="323" t="s">
        <v>1686</v>
      </c>
      <c r="C315" s="226" t="s">
        <v>628</v>
      </c>
      <c r="D315" s="227" t="s">
        <v>411</v>
      </c>
      <c r="E315" s="226" t="s">
        <v>600</v>
      </c>
      <c r="F315" s="226" t="s">
        <v>946</v>
      </c>
      <c r="G315" s="226" t="s">
        <v>631</v>
      </c>
      <c r="H315" s="229">
        <v>4295.5000000000009</v>
      </c>
      <c r="I315" s="226" t="e">
        <f>#REF!</f>
        <v>#REF!</v>
      </c>
      <c r="J315" s="387" t="e">
        <f t="shared" si="4"/>
        <v>#REF!</v>
      </c>
      <c r="O315" s="361"/>
      <c r="P315" s="361"/>
      <c r="Q315" s="361"/>
      <c r="R315" s="361"/>
      <c r="S315" s="361"/>
      <c r="T315" s="361"/>
      <c r="U315" s="361"/>
      <c r="V315" s="361"/>
      <c r="W315" s="361"/>
      <c r="X315" s="361"/>
      <c r="Y315" s="361"/>
      <c r="Z315" s="361"/>
    </row>
    <row r="316" spans="1:26" x14ac:dyDescent="0.2">
      <c r="A316" s="231"/>
      <c r="B316" s="316" t="s">
        <v>1671</v>
      </c>
      <c r="C316" s="224" t="s">
        <v>628</v>
      </c>
      <c r="D316" s="228" t="s">
        <v>405</v>
      </c>
      <c r="E316" s="224" t="s">
        <v>600</v>
      </c>
      <c r="F316" s="224" t="s">
        <v>946</v>
      </c>
      <c r="G316" s="224" t="s">
        <v>41</v>
      </c>
      <c r="H316" s="230">
        <v>3971.0000000000009</v>
      </c>
      <c r="I316" s="224" t="e">
        <f>#REF!</f>
        <v>#REF!</v>
      </c>
      <c r="J316" s="385" t="e">
        <f t="shared" si="4"/>
        <v>#REF!</v>
      </c>
      <c r="O316" s="361"/>
      <c r="P316" s="361"/>
      <c r="Q316" s="361"/>
      <c r="R316" s="361"/>
      <c r="S316" s="361"/>
      <c r="T316" s="361"/>
      <c r="U316" s="361"/>
      <c r="V316" s="361"/>
      <c r="W316" s="361"/>
      <c r="X316" s="361"/>
      <c r="Y316" s="361"/>
      <c r="Z316" s="361"/>
    </row>
    <row r="317" spans="1:26" x14ac:dyDescent="0.2">
      <c r="A317" s="231"/>
      <c r="B317" s="323" t="s">
        <v>1731</v>
      </c>
      <c r="C317" s="226" t="s">
        <v>628</v>
      </c>
      <c r="D317" s="227" t="s">
        <v>525</v>
      </c>
      <c r="E317" s="226" t="s">
        <v>600</v>
      </c>
      <c r="F317" s="226" t="s">
        <v>946</v>
      </c>
      <c r="G317" s="226" t="s">
        <v>631</v>
      </c>
      <c r="H317" s="229">
        <v>6652.8</v>
      </c>
      <c r="I317" s="226" t="e">
        <f>#REF!</f>
        <v>#REF!</v>
      </c>
      <c r="J317" s="387" t="e">
        <f t="shared" si="4"/>
        <v>#REF!</v>
      </c>
      <c r="O317" s="361"/>
      <c r="P317" s="361"/>
      <c r="Q317" s="361"/>
      <c r="R317" s="361"/>
      <c r="S317" s="361"/>
      <c r="T317" s="361"/>
      <c r="U317" s="361"/>
      <c r="V317" s="361"/>
      <c r="W317" s="361"/>
      <c r="X317" s="361"/>
      <c r="Y317" s="361"/>
      <c r="Z317" s="361"/>
    </row>
    <row r="318" spans="1:26" x14ac:dyDescent="0.2">
      <c r="A318" s="231"/>
      <c r="B318" s="316" t="s">
        <v>1727</v>
      </c>
      <c r="C318" s="224" t="s">
        <v>628</v>
      </c>
      <c r="D318" s="228" t="s">
        <v>436</v>
      </c>
      <c r="E318" s="224" t="s">
        <v>600</v>
      </c>
      <c r="F318" s="224" t="s">
        <v>946</v>
      </c>
      <c r="G318" s="224" t="s">
        <v>41</v>
      </c>
      <c r="H318" s="230">
        <v>6472.4000000000005</v>
      </c>
      <c r="I318" s="224" t="e">
        <f>#REF!</f>
        <v>#REF!</v>
      </c>
      <c r="J318" s="385" t="e">
        <f t="shared" si="4"/>
        <v>#REF!</v>
      </c>
      <c r="O318" s="361"/>
      <c r="P318" s="361"/>
      <c r="Q318" s="361"/>
      <c r="R318" s="361"/>
      <c r="S318" s="361"/>
      <c r="T318" s="361"/>
      <c r="U318" s="361"/>
      <c r="V318" s="361"/>
      <c r="W318" s="361"/>
      <c r="X318" s="361"/>
      <c r="Y318" s="361"/>
      <c r="Z318" s="361"/>
    </row>
    <row r="319" spans="1:26" x14ac:dyDescent="0.2">
      <c r="A319" s="231"/>
      <c r="B319" s="315" t="s">
        <v>1699</v>
      </c>
      <c r="C319" s="226" t="s">
        <v>628</v>
      </c>
      <c r="D319" s="227" t="s">
        <v>455</v>
      </c>
      <c r="E319" s="226" t="s">
        <v>600</v>
      </c>
      <c r="F319" s="226" t="s">
        <v>946</v>
      </c>
      <c r="G319" s="226" t="s">
        <v>41</v>
      </c>
      <c r="H319" s="229">
        <v>4659.6000000000004</v>
      </c>
      <c r="I319" s="226" t="e">
        <f>#REF!</f>
        <v>#REF!</v>
      </c>
      <c r="J319" s="387" t="e">
        <f t="shared" si="4"/>
        <v>#REF!</v>
      </c>
      <c r="O319" s="361"/>
      <c r="P319" s="361"/>
      <c r="Q319" s="361"/>
      <c r="R319" s="361"/>
      <c r="S319" s="361"/>
      <c r="T319" s="361"/>
      <c r="U319" s="361"/>
      <c r="V319" s="361"/>
      <c r="W319" s="361"/>
      <c r="X319" s="361"/>
      <c r="Y319" s="361"/>
      <c r="Z319" s="361"/>
    </row>
    <row r="320" spans="1:26" x14ac:dyDescent="0.2">
      <c r="A320" s="231"/>
      <c r="B320" s="322" t="s">
        <v>1768</v>
      </c>
      <c r="C320" s="224" t="s">
        <v>628</v>
      </c>
      <c r="D320" s="228" t="s">
        <v>383</v>
      </c>
      <c r="E320" s="224" t="s">
        <v>600</v>
      </c>
      <c r="F320" s="224" t="s">
        <v>946</v>
      </c>
      <c r="G320" s="224" t="s">
        <v>44</v>
      </c>
      <c r="H320" s="230">
        <v>9526</v>
      </c>
      <c r="I320" s="224" t="e">
        <f>#REF!</f>
        <v>#REF!</v>
      </c>
      <c r="J320" s="385" t="e">
        <f t="shared" si="4"/>
        <v>#REF!</v>
      </c>
    </row>
    <row r="321" spans="1:26" x14ac:dyDescent="0.2">
      <c r="A321" s="231"/>
      <c r="B321" s="323" t="s">
        <v>1711</v>
      </c>
      <c r="C321" s="226" t="s">
        <v>628</v>
      </c>
      <c r="D321" s="227" t="s">
        <v>466</v>
      </c>
      <c r="E321" s="226" t="s">
        <v>600</v>
      </c>
      <c r="F321" s="226" t="s">
        <v>946</v>
      </c>
      <c r="G321" s="226" t="s">
        <v>44</v>
      </c>
      <c r="H321" s="229">
        <v>5359.2000000000007</v>
      </c>
      <c r="I321" s="226" t="e">
        <f>#REF!</f>
        <v>#REF!</v>
      </c>
      <c r="J321" s="387" t="e">
        <f t="shared" si="4"/>
        <v>#REF!</v>
      </c>
    </row>
    <row r="322" spans="1:26" x14ac:dyDescent="0.2">
      <c r="A322" s="231"/>
      <c r="B322" s="322" t="s">
        <v>1766</v>
      </c>
      <c r="C322" s="224" t="s">
        <v>628</v>
      </c>
      <c r="D322" s="228" t="s">
        <v>471</v>
      </c>
      <c r="E322" s="224" t="s">
        <v>600</v>
      </c>
      <c r="F322" s="224" t="s">
        <v>946</v>
      </c>
      <c r="G322" s="224" t="s">
        <v>44</v>
      </c>
      <c r="H322" s="230">
        <v>9064</v>
      </c>
      <c r="I322" s="224" t="e">
        <f>#REF!</f>
        <v>#REF!</v>
      </c>
      <c r="J322" s="385" t="e">
        <f t="shared" si="4"/>
        <v>#REF!</v>
      </c>
    </row>
    <row r="323" spans="1:26" x14ac:dyDescent="0.2">
      <c r="A323" s="231"/>
      <c r="B323" s="323" t="s">
        <v>1654</v>
      </c>
      <c r="C323" s="226" t="s">
        <v>628</v>
      </c>
      <c r="D323" s="227" t="s">
        <v>400</v>
      </c>
      <c r="E323" s="226" t="s">
        <v>600</v>
      </c>
      <c r="F323" s="226" t="s">
        <v>946</v>
      </c>
      <c r="G323" s="226" t="s">
        <v>44</v>
      </c>
      <c r="H323" s="229">
        <v>3454.0000000000009</v>
      </c>
      <c r="I323" s="226" t="e">
        <f>#REF!</f>
        <v>#REF!</v>
      </c>
      <c r="J323" s="387" t="e">
        <f t="shared" si="4"/>
        <v>#REF!</v>
      </c>
    </row>
    <row r="324" spans="1:26" x14ac:dyDescent="0.2">
      <c r="A324" s="231"/>
      <c r="B324" s="316" t="s">
        <v>1769</v>
      </c>
      <c r="C324" s="224" t="s">
        <v>628</v>
      </c>
      <c r="D324" s="228" t="s">
        <v>391</v>
      </c>
      <c r="E324" s="224" t="s">
        <v>600</v>
      </c>
      <c r="F324" s="224" t="s">
        <v>946</v>
      </c>
      <c r="G324" s="224" t="s">
        <v>41</v>
      </c>
      <c r="H324" s="230">
        <v>9640.4000000000015</v>
      </c>
      <c r="I324" s="224" t="e">
        <f>#REF!</f>
        <v>#REF!</v>
      </c>
      <c r="J324" s="385" t="e">
        <f t="shared" si="4"/>
        <v>#REF!</v>
      </c>
      <c r="O324" s="361"/>
      <c r="P324" s="361"/>
      <c r="Q324" s="361"/>
      <c r="R324" s="361"/>
      <c r="S324" s="361"/>
      <c r="T324" s="361"/>
      <c r="U324" s="361"/>
      <c r="V324" s="361"/>
      <c r="W324" s="361"/>
      <c r="X324" s="361"/>
      <c r="Y324" s="361"/>
      <c r="Z324" s="361"/>
    </row>
    <row r="325" spans="1:26" x14ac:dyDescent="0.2">
      <c r="A325" s="231"/>
      <c r="B325" s="323" t="s">
        <v>1792</v>
      </c>
      <c r="C325" s="226" t="s">
        <v>628</v>
      </c>
      <c r="D325" s="227" t="s">
        <v>399</v>
      </c>
      <c r="E325" s="226" t="s">
        <v>600</v>
      </c>
      <c r="F325" s="226" t="s">
        <v>946</v>
      </c>
      <c r="G325" s="226" t="s">
        <v>631</v>
      </c>
      <c r="H325" s="229">
        <v>13186.800000000001</v>
      </c>
      <c r="I325" s="226" t="e">
        <f>#REF!</f>
        <v>#REF!</v>
      </c>
      <c r="J325" s="387" t="e">
        <f t="shared" si="4"/>
        <v>#REF!</v>
      </c>
      <c r="O325" s="361"/>
      <c r="P325" s="361"/>
      <c r="Q325" s="361"/>
      <c r="R325" s="361"/>
      <c r="S325" s="361"/>
      <c r="T325" s="361"/>
      <c r="U325" s="361"/>
      <c r="V325" s="361"/>
      <c r="W325" s="361"/>
      <c r="X325" s="361"/>
      <c r="Y325" s="361"/>
      <c r="Z325" s="361"/>
    </row>
    <row r="326" spans="1:26" x14ac:dyDescent="0.2">
      <c r="A326" s="231"/>
      <c r="B326" s="316" t="s">
        <v>1703</v>
      </c>
      <c r="C326" s="224" t="s">
        <v>628</v>
      </c>
      <c r="D326" s="228" t="s">
        <v>407</v>
      </c>
      <c r="E326" s="224" t="s">
        <v>600</v>
      </c>
      <c r="F326" s="224" t="s">
        <v>946</v>
      </c>
      <c r="G326" s="224" t="s">
        <v>41</v>
      </c>
      <c r="H326" s="230">
        <v>4768.5000000000009</v>
      </c>
      <c r="I326" s="224" t="e">
        <f>#REF!</f>
        <v>#REF!</v>
      </c>
      <c r="J326" s="385" t="e">
        <f t="shared" ref="J326:J389" si="5">H326-H326*I326</f>
        <v>#REF!</v>
      </c>
      <c r="O326" s="361"/>
      <c r="P326" s="361"/>
      <c r="Q326" s="361"/>
      <c r="R326" s="361"/>
      <c r="S326" s="361"/>
      <c r="T326" s="361"/>
      <c r="U326" s="361"/>
      <c r="V326" s="361"/>
      <c r="W326" s="361"/>
      <c r="X326" s="361"/>
      <c r="Y326" s="361"/>
      <c r="Z326" s="361"/>
    </row>
    <row r="327" spans="1:26" x14ac:dyDescent="0.2">
      <c r="A327" s="231"/>
      <c r="B327" s="315" t="s">
        <v>1774</v>
      </c>
      <c r="C327" s="226" t="s">
        <v>628</v>
      </c>
      <c r="D327" s="227" t="s">
        <v>55</v>
      </c>
      <c r="E327" s="226" t="s">
        <v>600</v>
      </c>
      <c r="F327" s="226" t="s">
        <v>946</v>
      </c>
      <c r="G327" s="226" t="s">
        <v>41</v>
      </c>
      <c r="H327" s="229">
        <v>10263.000000000004</v>
      </c>
      <c r="I327" s="226" t="e">
        <f>#REF!</f>
        <v>#REF!</v>
      </c>
      <c r="J327" s="387" t="e">
        <f t="shared" si="5"/>
        <v>#REF!</v>
      </c>
      <c r="O327" s="361"/>
      <c r="P327" s="361"/>
      <c r="Q327" s="361"/>
      <c r="R327" s="361"/>
      <c r="S327" s="361"/>
      <c r="T327" s="361"/>
      <c r="U327" s="361"/>
      <c r="V327" s="361"/>
      <c r="W327" s="361"/>
      <c r="X327" s="361"/>
      <c r="Y327" s="361"/>
      <c r="Z327" s="361"/>
    </row>
    <row r="328" spans="1:26" x14ac:dyDescent="0.2">
      <c r="A328" s="231"/>
      <c r="B328" s="316" t="s">
        <v>1721</v>
      </c>
      <c r="C328" s="224" t="s">
        <v>628</v>
      </c>
      <c r="D328" s="228" t="s">
        <v>414</v>
      </c>
      <c r="E328" s="224" t="s">
        <v>600</v>
      </c>
      <c r="F328" s="224" t="s">
        <v>946</v>
      </c>
      <c r="G328" s="224" t="s">
        <v>631</v>
      </c>
      <c r="H328" s="230">
        <v>6022.5000000000009</v>
      </c>
      <c r="I328" s="224" t="e">
        <f>#REF!</f>
        <v>#REF!</v>
      </c>
      <c r="J328" s="385" t="e">
        <f t="shared" si="5"/>
        <v>#REF!</v>
      </c>
      <c r="O328" s="361"/>
      <c r="P328" s="361"/>
      <c r="Q328" s="361"/>
      <c r="R328" s="361"/>
      <c r="S328" s="361"/>
      <c r="T328" s="361"/>
      <c r="U328" s="361"/>
      <c r="V328" s="361"/>
      <c r="W328" s="361"/>
      <c r="X328" s="361"/>
      <c r="Y328" s="361"/>
      <c r="Z328" s="361"/>
    </row>
    <row r="329" spans="1:26" x14ac:dyDescent="0.2">
      <c r="A329" s="231"/>
      <c r="B329" s="315" t="s">
        <v>1762</v>
      </c>
      <c r="C329" s="226" t="s">
        <v>628</v>
      </c>
      <c r="D329" s="227" t="s">
        <v>67</v>
      </c>
      <c r="E329" s="226" t="s">
        <v>600</v>
      </c>
      <c r="F329" s="226" t="s">
        <v>946</v>
      </c>
      <c r="G329" s="226" t="s">
        <v>41</v>
      </c>
      <c r="H329" s="229">
        <v>8958.4000000000015</v>
      </c>
      <c r="I329" s="226" t="e">
        <f>#REF!</f>
        <v>#REF!</v>
      </c>
      <c r="J329" s="387" t="e">
        <f t="shared" si="5"/>
        <v>#REF!</v>
      </c>
      <c r="O329" s="361"/>
      <c r="P329" s="361"/>
      <c r="Q329" s="361"/>
      <c r="R329" s="361"/>
      <c r="S329" s="361"/>
      <c r="T329" s="361"/>
      <c r="U329" s="361"/>
      <c r="V329" s="361"/>
      <c r="W329" s="361"/>
      <c r="X329" s="361"/>
      <c r="Y329" s="361"/>
      <c r="Z329" s="361"/>
    </row>
    <row r="330" spans="1:26" x14ac:dyDescent="0.2">
      <c r="A330" s="231"/>
      <c r="B330" s="322" t="s">
        <v>1667</v>
      </c>
      <c r="C330" s="224" t="s">
        <v>628</v>
      </c>
      <c r="D330" s="228" t="s">
        <v>524</v>
      </c>
      <c r="E330" s="224" t="s">
        <v>600</v>
      </c>
      <c r="F330" s="224" t="s">
        <v>946</v>
      </c>
      <c r="G330" s="224" t="s">
        <v>631</v>
      </c>
      <c r="H330" s="230">
        <v>3876.4</v>
      </c>
      <c r="I330" s="224" t="e">
        <f>#REF!</f>
        <v>#REF!</v>
      </c>
      <c r="J330" s="385" t="e">
        <f t="shared" si="5"/>
        <v>#REF!</v>
      </c>
      <c r="O330" s="361"/>
      <c r="P330" s="361"/>
      <c r="Q330" s="361"/>
      <c r="R330" s="361"/>
      <c r="S330" s="361"/>
      <c r="T330" s="361"/>
      <c r="U330" s="361"/>
      <c r="V330" s="361"/>
      <c r="W330" s="361"/>
      <c r="X330" s="361"/>
      <c r="Y330" s="361"/>
      <c r="Z330" s="361"/>
    </row>
    <row r="331" spans="1:26" x14ac:dyDescent="0.2">
      <c r="A331" s="231" t="s">
        <v>2118</v>
      </c>
      <c r="B331" s="323" t="s">
        <v>1640</v>
      </c>
      <c r="C331" s="226" t="s">
        <v>628</v>
      </c>
      <c r="D331" s="227" t="s">
        <v>322</v>
      </c>
      <c r="E331" s="226" t="s">
        <v>600</v>
      </c>
      <c r="F331" s="226" t="s">
        <v>946</v>
      </c>
      <c r="G331" s="226" t="s">
        <v>44</v>
      </c>
      <c r="H331" s="229">
        <v>3080.0000000000005</v>
      </c>
      <c r="I331" s="226" t="e">
        <f>#REF!</f>
        <v>#REF!</v>
      </c>
      <c r="J331" s="387" t="e">
        <f t="shared" si="5"/>
        <v>#REF!</v>
      </c>
    </row>
    <row r="332" spans="1:26" x14ac:dyDescent="0.2">
      <c r="A332" s="231"/>
      <c r="B332" s="316" t="s">
        <v>1791</v>
      </c>
      <c r="C332" s="224" t="s">
        <v>628</v>
      </c>
      <c r="D332" s="228" t="s">
        <v>57</v>
      </c>
      <c r="E332" s="224" t="s">
        <v>600</v>
      </c>
      <c r="F332" s="224" t="s">
        <v>946</v>
      </c>
      <c r="G332" s="224" t="s">
        <v>42</v>
      </c>
      <c r="H332" s="230">
        <v>13024.000000000004</v>
      </c>
      <c r="I332" s="224" t="e">
        <f>#REF!</f>
        <v>#REF!</v>
      </c>
      <c r="J332" s="385" t="e">
        <f t="shared" si="5"/>
        <v>#REF!</v>
      </c>
      <c r="O332" s="361"/>
      <c r="P332" s="361"/>
      <c r="Q332" s="361"/>
      <c r="R332" s="361"/>
      <c r="S332" s="361"/>
      <c r="T332" s="361"/>
      <c r="U332" s="361"/>
      <c r="V332" s="361"/>
      <c r="W332" s="361"/>
      <c r="X332" s="361"/>
      <c r="Y332" s="361"/>
      <c r="Z332" s="361"/>
    </row>
    <row r="333" spans="1:26" x14ac:dyDescent="0.2">
      <c r="A333" s="231"/>
      <c r="B333" s="315" t="s">
        <v>1706</v>
      </c>
      <c r="C333" s="226" t="s">
        <v>628</v>
      </c>
      <c r="D333" s="227" t="s">
        <v>53</v>
      </c>
      <c r="E333" s="226" t="s">
        <v>600</v>
      </c>
      <c r="F333" s="226" t="s">
        <v>946</v>
      </c>
      <c r="G333" s="226" t="s">
        <v>43</v>
      </c>
      <c r="H333" s="229">
        <v>5002.8</v>
      </c>
      <c r="I333" s="226" t="e">
        <f>#REF!</f>
        <v>#REF!</v>
      </c>
      <c r="J333" s="387" t="e">
        <f t="shared" si="5"/>
        <v>#REF!</v>
      </c>
      <c r="O333" s="361"/>
      <c r="P333" s="361"/>
      <c r="Q333" s="361"/>
      <c r="R333" s="361"/>
      <c r="S333" s="361"/>
      <c r="T333" s="361"/>
      <c r="U333" s="361"/>
      <c r="V333" s="361"/>
      <c r="W333" s="361"/>
      <c r="X333" s="361"/>
      <c r="Y333" s="361"/>
      <c r="Z333" s="361"/>
    </row>
    <row r="334" spans="1:26" x14ac:dyDescent="0.2">
      <c r="A334" s="231"/>
      <c r="B334" s="316" t="s">
        <v>1620</v>
      </c>
      <c r="C334" s="224" t="s">
        <v>628</v>
      </c>
      <c r="D334" s="228" t="s">
        <v>521</v>
      </c>
      <c r="E334" s="224" t="s">
        <v>600</v>
      </c>
      <c r="F334" s="224" t="s">
        <v>946</v>
      </c>
      <c r="G334" s="224" t="s">
        <v>631</v>
      </c>
      <c r="H334" s="230">
        <v>2692.8</v>
      </c>
      <c r="I334" s="224" t="e">
        <f>#REF!</f>
        <v>#REF!</v>
      </c>
      <c r="J334" s="385" t="e">
        <f t="shared" si="5"/>
        <v>#REF!</v>
      </c>
      <c r="O334" s="361"/>
      <c r="P334" s="361"/>
      <c r="Q334" s="361"/>
      <c r="R334" s="361"/>
      <c r="S334" s="361"/>
      <c r="T334" s="361"/>
      <c r="U334" s="361"/>
      <c r="V334" s="361"/>
      <c r="W334" s="361"/>
      <c r="X334" s="361"/>
      <c r="Y334" s="361"/>
      <c r="Z334" s="361"/>
    </row>
    <row r="335" spans="1:26" x14ac:dyDescent="0.2">
      <c r="A335" s="231"/>
      <c r="B335" s="315" t="s">
        <v>1687</v>
      </c>
      <c r="C335" s="226" t="s">
        <v>628</v>
      </c>
      <c r="D335" s="227" t="s">
        <v>515</v>
      </c>
      <c r="E335" s="226" t="s">
        <v>600</v>
      </c>
      <c r="F335" s="226" t="s">
        <v>946</v>
      </c>
      <c r="G335" s="226" t="s">
        <v>41</v>
      </c>
      <c r="H335" s="229">
        <v>4303.2000000000007</v>
      </c>
      <c r="I335" s="226" t="e">
        <f>#REF!</f>
        <v>#REF!</v>
      </c>
      <c r="J335" s="387" t="e">
        <f t="shared" si="5"/>
        <v>#REF!</v>
      </c>
      <c r="O335" s="361"/>
      <c r="P335" s="361"/>
      <c r="Q335" s="361"/>
      <c r="R335" s="361"/>
      <c r="S335" s="361"/>
      <c r="T335" s="361"/>
      <c r="U335" s="361"/>
      <c r="V335" s="361"/>
      <c r="W335" s="361"/>
      <c r="X335" s="361"/>
      <c r="Y335" s="361"/>
      <c r="Z335" s="361"/>
    </row>
    <row r="336" spans="1:26" x14ac:dyDescent="0.2">
      <c r="A336" s="231"/>
      <c r="B336" s="322" t="s">
        <v>1645</v>
      </c>
      <c r="C336" s="224" t="s">
        <v>628</v>
      </c>
      <c r="D336" s="228" t="s">
        <v>331</v>
      </c>
      <c r="E336" s="224" t="s">
        <v>600</v>
      </c>
      <c r="F336" s="224" t="s">
        <v>946</v>
      </c>
      <c r="G336" s="224" t="s">
        <v>44</v>
      </c>
      <c r="H336" s="230">
        <v>3234.0000000000005</v>
      </c>
      <c r="I336" s="224" t="e">
        <f>#REF!</f>
        <v>#REF!</v>
      </c>
      <c r="J336" s="385" t="e">
        <f t="shared" si="5"/>
        <v>#REF!</v>
      </c>
    </row>
    <row r="337" spans="1:26" x14ac:dyDescent="0.2">
      <c r="A337" s="231"/>
      <c r="B337" s="323" t="s">
        <v>1723</v>
      </c>
      <c r="C337" s="226" t="s">
        <v>628</v>
      </c>
      <c r="D337" s="227" t="s">
        <v>468</v>
      </c>
      <c r="E337" s="226" t="s">
        <v>600</v>
      </c>
      <c r="F337" s="226" t="s">
        <v>946</v>
      </c>
      <c r="G337" s="226" t="s">
        <v>44</v>
      </c>
      <c r="H337" s="229">
        <v>6226.0000000000009</v>
      </c>
      <c r="I337" s="226" t="e">
        <f>#REF!</f>
        <v>#REF!</v>
      </c>
      <c r="J337" s="387" t="e">
        <f t="shared" si="5"/>
        <v>#REF!</v>
      </c>
    </row>
    <row r="338" spans="1:26" x14ac:dyDescent="0.2">
      <c r="A338" s="231"/>
      <c r="B338" s="316" t="s">
        <v>1679</v>
      </c>
      <c r="C338" s="224" t="s">
        <v>628</v>
      </c>
      <c r="D338" s="228" t="s">
        <v>314</v>
      </c>
      <c r="E338" s="224" t="s">
        <v>600</v>
      </c>
      <c r="F338" s="224" t="s">
        <v>946</v>
      </c>
      <c r="G338" s="224" t="s">
        <v>42</v>
      </c>
      <c r="H338" s="230">
        <v>4184.4000000000005</v>
      </c>
      <c r="I338" s="224" t="e">
        <f>#REF!</f>
        <v>#REF!</v>
      </c>
      <c r="J338" s="385" t="e">
        <f t="shared" si="5"/>
        <v>#REF!</v>
      </c>
      <c r="O338" s="361"/>
      <c r="P338" s="361"/>
      <c r="Q338" s="361"/>
      <c r="R338" s="361"/>
      <c r="S338" s="361"/>
      <c r="T338" s="361"/>
      <c r="U338" s="361"/>
      <c r="V338" s="361"/>
      <c r="W338" s="361"/>
      <c r="X338" s="361"/>
      <c r="Y338" s="361"/>
      <c r="Z338" s="361"/>
    </row>
    <row r="339" spans="1:26" x14ac:dyDescent="0.2">
      <c r="A339" s="231"/>
      <c r="B339" s="323" t="s">
        <v>1787</v>
      </c>
      <c r="C339" s="226" t="s">
        <v>628</v>
      </c>
      <c r="D339" s="227" t="s">
        <v>474</v>
      </c>
      <c r="E339" s="226" t="s">
        <v>600</v>
      </c>
      <c r="F339" s="226" t="s">
        <v>946</v>
      </c>
      <c r="G339" s="226" t="s">
        <v>44</v>
      </c>
      <c r="H339" s="229">
        <v>12667.6</v>
      </c>
      <c r="I339" s="226" t="e">
        <f>#REF!</f>
        <v>#REF!</v>
      </c>
      <c r="J339" s="387" t="e">
        <f t="shared" si="5"/>
        <v>#REF!</v>
      </c>
    </row>
    <row r="340" spans="1:26" x14ac:dyDescent="0.2">
      <c r="A340" s="231"/>
      <c r="B340" s="322" t="s">
        <v>1720</v>
      </c>
      <c r="C340" s="224" t="s">
        <v>628</v>
      </c>
      <c r="D340" s="228" t="s">
        <v>467</v>
      </c>
      <c r="E340" s="224" t="s">
        <v>600</v>
      </c>
      <c r="F340" s="224" t="s">
        <v>946</v>
      </c>
      <c r="G340" s="224" t="s">
        <v>44</v>
      </c>
      <c r="H340" s="230">
        <v>5997.2000000000007</v>
      </c>
      <c r="I340" s="224" t="e">
        <f>#REF!</f>
        <v>#REF!</v>
      </c>
      <c r="J340" s="385" t="e">
        <f t="shared" si="5"/>
        <v>#REF!</v>
      </c>
    </row>
    <row r="341" spans="1:26" x14ac:dyDescent="0.2">
      <c r="A341" s="231"/>
      <c r="B341" s="323" t="s">
        <v>1688</v>
      </c>
      <c r="C341" s="226" t="s">
        <v>628</v>
      </c>
      <c r="D341" s="227" t="s">
        <v>465</v>
      </c>
      <c r="E341" s="226" t="s">
        <v>600</v>
      </c>
      <c r="F341" s="226" t="s">
        <v>946</v>
      </c>
      <c r="G341" s="226" t="s">
        <v>44</v>
      </c>
      <c r="H341" s="229">
        <v>4316.4000000000005</v>
      </c>
      <c r="I341" s="226" t="e">
        <f>#REF!</f>
        <v>#REF!</v>
      </c>
      <c r="J341" s="387" t="e">
        <f t="shared" si="5"/>
        <v>#REF!</v>
      </c>
    </row>
    <row r="342" spans="1:26" x14ac:dyDescent="0.2">
      <c r="A342" s="231"/>
      <c r="B342" s="322" t="s">
        <v>1670</v>
      </c>
      <c r="C342" s="224" t="s">
        <v>628</v>
      </c>
      <c r="D342" s="228" t="s">
        <v>381</v>
      </c>
      <c r="E342" s="224" t="s">
        <v>600</v>
      </c>
      <c r="F342" s="224" t="s">
        <v>946</v>
      </c>
      <c r="G342" s="224" t="s">
        <v>44</v>
      </c>
      <c r="H342" s="230">
        <v>3955.6000000000004</v>
      </c>
      <c r="I342" s="224" t="e">
        <f>#REF!</f>
        <v>#REF!</v>
      </c>
      <c r="J342" s="385" t="e">
        <f t="shared" si="5"/>
        <v>#REF!</v>
      </c>
    </row>
    <row r="343" spans="1:26" x14ac:dyDescent="0.2">
      <c r="A343" s="231"/>
      <c r="B343" s="315" t="s">
        <v>1696</v>
      </c>
      <c r="C343" s="226" t="s">
        <v>628</v>
      </c>
      <c r="D343" s="227" t="s">
        <v>537</v>
      </c>
      <c r="E343" s="226" t="s">
        <v>600</v>
      </c>
      <c r="F343" s="226" t="s">
        <v>946</v>
      </c>
      <c r="G343" s="226" t="s">
        <v>42</v>
      </c>
      <c r="H343" s="229">
        <v>4611.2000000000007</v>
      </c>
      <c r="I343" s="226" t="e">
        <f>#REF!</f>
        <v>#REF!</v>
      </c>
      <c r="J343" s="387" t="e">
        <f t="shared" si="5"/>
        <v>#REF!</v>
      </c>
      <c r="O343" s="361"/>
      <c r="P343" s="361"/>
      <c r="Q343" s="361"/>
      <c r="R343" s="361"/>
      <c r="S343" s="361"/>
      <c r="T343" s="361"/>
      <c r="U343" s="361"/>
      <c r="V343" s="361"/>
      <c r="W343" s="361"/>
      <c r="X343" s="361"/>
      <c r="Y343" s="361"/>
      <c r="Z343" s="361"/>
    </row>
    <row r="344" spans="1:26" x14ac:dyDescent="0.2">
      <c r="A344" s="231" t="s">
        <v>2118</v>
      </c>
      <c r="B344" s="322" t="s">
        <v>1617</v>
      </c>
      <c r="C344" s="224" t="s">
        <v>628</v>
      </c>
      <c r="D344" s="228" t="s">
        <v>380</v>
      </c>
      <c r="E344" s="224" t="s">
        <v>600</v>
      </c>
      <c r="F344" s="224" t="s">
        <v>946</v>
      </c>
      <c r="G344" s="224" t="s">
        <v>44</v>
      </c>
      <c r="H344" s="230">
        <v>2590.5000000000009</v>
      </c>
      <c r="I344" s="224" t="e">
        <f>#REF!</f>
        <v>#REF!</v>
      </c>
      <c r="J344" s="385" t="e">
        <f t="shared" si="5"/>
        <v>#REF!</v>
      </c>
    </row>
    <row r="345" spans="1:26" x14ac:dyDescent="0.2">
      <c r="A345" s="231"/>
      <c r="B345" s="323" t="s">
        <v>1685</v>
      </c>
      <c r="C345" s="226" t="s">
        <v>628</v>
      </c>
      <c r="D345" s="227" t="s">
        <v>546</v>
      </c>
      <c r="E345" s="226" t="s">
        <v>600</v>
      </c>
      <c r="F345" s="226" t="s">
        <v>946</v>
      </c>
      <c r="G345" s="226" t="s">
        <v>44</v>
      </c>
      <c r="H345" s="229">
        <v>4281.2000000000007</v>
      </c>
      <c r="I345" s="226" t="e">
        <f>#REF!</f>
        <v>#REF!</v>
      </c>
      <c r="J345" s="387" t="e">
        <f t="shared" si="5"/>
        <v>#REF!</v>
      </c>
    </row>
    <row r="346" spans="1:26" x14ac:dyDescent="0.2">
      <c r="A346" s="231"/>
      <c r="B346" s="322" t="s">
        <v>1683</v>
      </c>
      <c r="C346" s="224" t="s">
        <v>628</v>
      </c>
      <c r="D346" s="228" t="s">
        <v>527</v>
      </c>
      <c r="E346" s="224" t="s">
        <v>600</v>
      </c>
      <c r="F346" s="224" t="s">
        <v>946</v>
      </c>
      <c r="G346" s="224" t="s">
        <v>44</v>
      </c>
      <c r="H346" s="230">
        <v>4263.6000000000004</v>
      </c>
      <c r="I346" s="224" t="e">
        <f>#REF!</f>
        <v>#REF!</v>
      </c>
      <c r="J346" s="385" t="e">
        <f t="shared" si="5"/>
        <v>#REF!</v>
      </c>
    </row>
    <row r="347" spans="1:26" x14ac:dyDescent="0.2">
      <c r="A347" s="231" t="s">
        <v>2118</v>
      </c>
      <c r="B347" s="315" t="s">
        <v>1633</v>
      </c>
      <c r="C347" s="226" t="s">
        <v>628</v>
      </c>
      <c r="D347" s="227" t="s">
        <v>637</v>
      </c>
      <c r="E347" s="226" t="s">
        <v>600</v>
      </c>
      <c r="F347" s="226" t="s">
        <v>946</v>
      </c>
      <c r="G347" s="226" t="s">
        <v>42</v>
      </c>
      <c r="H347" s="229">
        <v>2873.2000000000003</v>
      </c>
      <c r="I347" s="226" t="e">
        <f>#REF!</f>
        <v>#REF!</v>
      </c>
      <c r="J347" s="387" t="e">
        <f t="shared" si="5"/>
        <v>#REF!</v>
      </c>
      <c r="O347" s="361"/>
      <c r="P347" s="361"/>
      <c r="Q347" s="361"/>
      <c r="R347" s="361"/>
      <c r="S347" s="361"/>
      <c r="T347" s="361"/>
      <c r="U347" s="361"/>
      <c r="V347" s="361"/>
      <c r="W347" s="361"/>
      <c r="X347" s="361"/>
      <c r="Y347" s="361"/>
      <c r="Z347" s="361"/>
    </row>
    <row r="348" spans="1:26" x14ac:dyDescent="0.2">
      <c r="A348" s="231"/>
      <c r="B348" s="322" t="s">
        <v>1643</v>
      </c>
      <c r="C348" s="224" t="s">
        <v>628</v>
      </c>
      <c r="D348" s="228" t="s">
        <v>450</v>
      </c>
      <c r="E348" s="224" t="s">
        <v>600</v>
      </c>
      <c r="F348" s="224" t="s">
        <v>946</v>
      </c>
      <c r="G348" s="224" t="s">
        <v>44</v>
      </c>
      <c r="H348" s="230">
        <v>3190.0000000000005</v>
      </c>
      <c r="I348" s="224" t="e">
        <f>#REF!</f>
        <v>#REF!</v>
      </c>
      <c r="J348" s="385" t="e">
        <f t="shared" si="5"/>
        <v>#REF!</v>
      </c>
    </row>
    <row r="349" spans="1:26" x14ac:dyDescent="0.2">
      <c r="A349" s="231"/>
      <c r="B349" s="323" t="s">
        <v>1715</v>
      </c>
      <c r="C349" s="226" t="s">
        <v>628</v>
      </c>
      <c r="D349" s="227" t="s">
        <v>439</v>
      </c>
      <c r="E349" s="226" t="s">
        <v>600</v>
      </c>
      <c r="F349" s="226" t="s">
        <v>946</v>
      </c>
      <c r="G349" s="226" t="s">
        <v>44</v>
      </c>
      <c r="H349" s="229">
        <v>5579.2000000000007</v>
      </c>
      <c r="I349" s="226" t="e">
        <f>#REF!</f>
        <v>#REF!</v>
      </c>
      <c r="J349" s="387" t="e">
        <f t="shared" si="5"/>
        <v>#REF!</v>
      </c>
    </row>
    <row r="350" spans="1:26" x14ac:dyDescent="0.2">
      <c r="A350" s="231"/>
      <c r="B350" s="322" t="s">
        <v>1722</v>
      </c>
      <c r="C350" s="224" t="s">
        <v>628</v>
      </c>
      <c r="D350" s="228" t="s">
        <v>442</v>
      </c>
      <c r="E350" s="224" t="s">
        <v>600</v>
      </c>
      <c r="F350" s="224" t="s">
        <v>946</v>
      </c>
      <c r="G350" s="224" t="s">
        <v>44</v>
      </c>
      <c r="H350" s="230">
        <v>6217.2000000000007</v>
      </c>
      <c r="I350" s="224" t="e">
        <f>#REF!</f>
        <v>#REF!</v>
      </c>
      <c r="J350" s="385" t="e">
        <f t="shared" si="5"/>
        <v>#REF!</v>
      </c>
    </row>
    <row r="351" spans="1:26" x14ac:dyDescent="0.2">
      <c r="A351" s="231"/>
      <c r="B351" s="323" t="s">
        <v>1742</v>
      </c>
      <c r="C351" s="226" t="s">
        <v>628</v>
      </c>
      <c r="D351" s="227" t="s">
        <v>443</v>
      </c>
      <c r="E351" s="226" t="s">
        <v>600</v>
      </c>
      <c r="F351" s="226" t="s">
        <v>946</v>
      </c>
      <c r="G351" s="226" t="s">
        <v>44</v>
      </c>
      <c r="H351" s="229">
        <v>7260.0000000000009</v>
      </c>
      <c r="I351" s="226" t="e">
        <f>#REF!</f>
        <v>#REF!</v>
      </c>
      <c r="J351" s="387" t="e">
        <f t="shared" si="5"/>
        <v>#REF!</v>
      </c>
    </row>
    <row r="352" spans="1:26" x14ac:dyDescent="0.2">
      <c r="A352" s="231"/>
      <c r="B352" s="322" t="s">
        <v>1765</v>
      </c>
      <c r="C352" s="224" t="s">
        <v>628</v>
      </c>
      <c r="D352" s="228" t="s">
        <v>444</v>
      </c>
      <c r="E352" s="224" t="s">
        <v>600</v>
      </c>
      <c r="F352" s="224" t="s">
        <v>946</v>
      </c>
      <c r="G352" s="224" t="s">
        <v>44</v>
      </c>
      <c r="H352" s="230">
        <v>9037.6</v>
      </c>
      <c r="I352" s="224" t="e">
        <f>#REF!</f>
        <v>#REF!</v>
      </c>
      <c r="J352" s="385" t="e">
        <f t="shared" si="5"/>
        <v>#REF!</v>
      </c>
    </row>
    <row r="353" spans="1:10" x14ac:dyDescent="0.2">
      <c r="A353" s="231"/>
      <c r="B353" s="323" t="s">
        <v>1778</v>
      </c>
      <c r="C353" s="226" t="s">
        <v>628</v>
      </c>
      <c r="D353" s="227" t="s">
        <v>445</v>
      </c>
      <c r="E353" s="226" t="s">
        <v>600</v>
      </c>
      <c r="F353" s="226" t="s">
        <v>946</v>
      </c>
      <c r="G353" s="226" t="s">
        <v>44</v>
      </c>
      <c r="H353" s="229">
        <v>10841.6</v>
      </c>
      <c r="I353" s="226" t="e">
        <f>#REF!</f>
        <v>#REF!</v>
      </c>
      <c r="J353" s="387" t="e">
        <f t="shared" si="5"/>
        <v>#REF!</v>
      </c>
    </row>
    <row r="354" spans="1:10" x14ac:dyDescent="0.2">
      <c r="A354" s="231"/>
      <c r="B354" s="322" t="s">
        <v>1789</v>
      </c>
      <c r="C354" s="224" t="s">
        <v>628</v>
      </c>
      <c r="D354" s="228" t="s">
        <v>446</v>
      </c>
      <c r="E354" s="224" t="s">
        <v>600</v>
      </c>
      <c r="F354" s="224" t="s">
        <v>946</v>
      </c>
      <c r="G354" s="224" t="s">
        <v>44</v>
      </c>
      <c r="H354" s="230">
        <v>12980.000000000002</v>
      </c>
      <c r="I354" s="224" t="e">
        <f>#REF!</f>
        <v>#REF!</v>
      </c>
      <c r="J354" s="385" t="e">
        <f t="shared" si="5"/>
        <v>#REF!</v>
      </c>
    </row>
    <row r="355" spans="1:10" x14ac:dyDescent="0.2">
      <c r="A355" s="231"/>
      <c r="B355" s="323" t="s">
        <v>1605</v>
      </c>
      <c r="C355" s="226" t="s">
        <v>628</v>
      </c>
      <c r="D355" s="227" t="s">
        <v>447</v>
      </c>
      <c r="E355" s="226" t="s">
        <v>600</v>
      </c>
      <c r="F355" s="226" t="s">
        <v>946</v>
      </c>
      <c r="G355" s="226" t="s">
        <v>44</v>
      </c>
      <c r="H355" s="229">
        <v>2134</v>
      </c>
      <c r="I355" s="226" t="e">
        <f>#REF!</f>
        <v>#REF!</v>
      </c>
      <c r="J355" s="387" t="e">
        <f t="shared" si="5"/>
        <v>#REF!</v>
      </c>
    </row>
    <row r="356" spans="1:10" x14ac:dyDescent="0.2">
      <c r="A356" s="231"/>
      <c r="B356" s="322" t="s">
        <v>1606</v>
      </c>
      <c r="C356" s="224" t="s">
        <v>628</v>
      </c>
      <c r="D356" s="228" t="s">
        <v>448</v>
      </c>
      <c r="E356" s="224" t="s">
        <v>600</v>
      </c>
      <c r="F356" s="224" t="s">
        <v>946</v>
      </c>
      <c r="G356" s="224" t="s">
        <v>44</v>
      </c>
      <c r="H356" s="230">
        <v>2235.2000000000003</v>
      </c>
      <c r="I356" s="224" t="e">
        <f>#REF!</f>
        <v>#REF!</v>
      </c>
      <c r="J356" s="385" t="e">
        <f t="shared" si="5"/>
        <v>#REF!</v>
      </c>
    </row>
    <row r="357" spans="1:10" x14ac:dyDescent="0.2">
      <c r="A357" s="231"/>
      <c r="B357" s="315" t="s">
        <v>1609</v>
      </c>
      <c r="C357" s="226" t="s">
        <v>628</v>
      </c>
      <c r="D357" s="227" t="s">
        <v>333</v>
      </c>
      <c r="E357" s="226" t="s">
        <v>600</v>
      </c>
      <c r="F357" s="226" t="s">
        <v>946</v>
      </c>
      <c r="G357" s="226" t="s">
        <v>44</v>
      </c>
      <c r="H357" s="229">
        <v>2323.2000000000003</v>
      </c>
      <c r="I357" s="226" t="e">
        <f>#REF!</f>
        <v>#REF!</v>
      </c>
      <c r="J357" s="387" t="e">
        <f t="shared" si="5"/>
        <v>#REF!</v>
      </c>
    </row>
    <row r="358" spans="1:10" x14ac:dyDescent="0.2">
      <c r="A358" s="231"/>
      <c r="B358" s="316" t="s">
        <v>1610</v>
      </c>
      <c r="C358" s="224" t="s">
        <v>628</v>
      </c>
      <c r="D358" s="228" t="s">
        <v>449</v>
      </c>
      <c r="E358" s="224" t="s">
        <v>600</v>
      </c>
      <c r="F358" s="224" t="s">
        <v>946</v>
      </c>
      <c r="G358" s="224" t="s">
        <v>44</v>
      </c>
      <c r="H358" s="230">
        <v>2406.8000000000002</v>
      </c>
      <c r="I358" s="224" t="e">
        <f>#REF!</f>
        <v>#REF!</v>
      </c>
      <c r="J358" s="385" t="e">
        <f t="shared" si="5"/>
        <v>#REF!</v>
      </c>
    </row>
    <row r="359" spans="1:10" x14ac:dyDescent="0.2">
      <c r="A359" s="231"/>
      <c r="B359" s="315" t="s">
        <v>1743</v>
      </c>
      <c r="C359" s="226" t="s">
        <v>628</v>
      </c>
      <c r="D359" s="227" t="s">
        <v>469</v>
      </c>
      <c r="E359" s="226" t="s">
        <v>600</v>
      </c>
      <c r="F359" s="226" t="s">
        <v>946</v>
      </c>
      <c r="G359" s="226" t="s">
        <v>44</v>
      </c>
      <c r="H359" s="229">
        <v>7264.4000000000005</v>
      </c>
      <c r="I359" s="226" t="e">
        <f>#REF!</f>
        <v>#REF!</v>
      </c>
      <c r="J359" s="387" t="e">
        <f t="shared" si="5"/>
        <v>#REF!</v>
      </c>
    </row>
    <row r="360" spans="1:10" x14ac:dyDescent="0.2">
      <c r="A360" s="231"/>
      <c r="B360" s="316" t="s">
        <v>1744</v>
      </c>
      <c r="C360" s="224" t="s">
        <v>628</v>
      </c>
      <c r="D360" s="228" t="s">
        <v>470</v>
      </c>
      <c r="E360" s="224" t="s">
        <v>600</v>
      </c>
      <c r="F360" s="224" t="s">
        <v>946</v>
      </c>
      <c r="G360" s="224" t="s">
        <v>44</v>
      </c>
      <c r="H360" s="230">
        <v>7343.6</v>
      </c>
      <c r="I360" s="224" t="e">
        <f>#REF!</f>
        <v>#REF!</v>
      </c>
      <c r="J360" s="385" t="e">
        <f t="shared" si="5"/>
        <v>#REF!</v>
      </c>
    </row>
    <row r="361" spans="1:10" x14ac:dyDescent="0.2">
      <c r="A361" s="231"/>
      <c r="B361" s="315" t="s">
        <v>1775</v>
      </c>
      <c r="C361" s="226" t="s">
        <v>628</v>
      </c>
      <c r="D361" s="227" t="s">
        <v>472</v>
      </c>
      <c r="E361" s="226" t="s">
        <v>600</v>
      </c>
      <c r="F361" s="226" t="s">
        <v>946</v>
      </c>
      <c r="G361" s="226" t="s">
        <v>44</v>
      </c>
      <c r="H361" s="229">
        <v>10388.400000000001</v>
      </c>
      <c r="I361" s="226" t="e">
        <f>#REF!</f>
        <v>#REF!</v>
      </c>
      <c r="J361" s="387" t="e">
        <f t="shared" si="5"/>
        <v>#REF!</v>
      </c>
    </row>
    <row r="362" spans="1:10" x14ac:dyDescent="0.2">
      <c r="A362" s="231"/>
      <c r="B362" s="316" t="s">
        <v>1781</v>
      </c>
      <c r="C362" s="224" t="s">
        <v>628</v>
      </c>
      <c r="D362" s="228" t="s">
        <v>473</v>
      </c>
      <c r="E362" s="224" t="s">
        <v>600</v>
      </c>
      <c r="F362" s="224" t="s">
        <v>946</v>
      </c>
      <c r="G362" s="224" t="s">
        <v>44</v>
      </c>
      <c r="H362" s="230">
        <v>11026.400000000001</v>
      </c>
      <c r="I362" s="224" t="e">
        <f>#REF!</f>
        <v>#REF!</v>
      </c>
      <c r="J362" s="385" t="e">
        <f t="shared" si="5"/>
        <v>#REF!</v>
      </c>
    </row>
    <row r="363" spans="1:10" x14ac:dyDescent="0.2">
      <c r="A363" s="231"/>
      <c r="B363" s="315" t="s">
        <v>1809</v>
      </c>
      <c r="C363" s="226" t="s">
        <v>628</v>
      </c>
      <c r="D363" s="227" t="s">
        <v>481</v>
      </c>
      <c r="E363" s="226" t="s">
        <v>600</v>
      </c>
      <c r="F363" s="226" t="s">
        <v>946</v>
      </c>
      <c r="G363" s="226" t="s">
        <v>44</v>
      </c>
      <c r="H363" s="229">
        <v>22092.400000000001</v>
      </c>
      <c r="I363" s="226" t="e">
        <f>#REF!</f>
        <v>#REF!</v>
      </c>
      <c r="J363" s="387" t="e">
        <f t="shared" si="5"/>
        <v>#REF!</v>
      </c>
    </row>
    <row r="364" spans="1:10" x14ac:dyDescent="0.2">
      <c r="A364" s="231"/>
      <c r="B364" s="316" t="s">
        <v>993</v>
      </c>
      <c r="C364" s="224" t="s">
        <v>628</v>
      </c>
      <c r="D364" s="228" t="s">
        <v>484</v>
      </c>
      <c r="E364" s="224" t="s">
        <v>600</v>
      </c>
      <c r="F364" s="224" t="s">
        <v>946</v>
      </c>
      <c r="G364" s="224" t="s">
        <v>44</v>
      </c>
      <c r="H364" s="230">
        <v>33382.800000000003</v>
      </c>
      <c r="I364" s="224" t="e">
        <f>#REF!</f>
        <v>#REF!</v>
      </c>
      <c r="J364" s="385" t="e">
        <f t="shared" si="5"/>
        <v>#REF!</v>
      </c>
    </row>
    <row r="365" spans="1:10" x14ac:dyDescent="0.2">
      <c r="A365" s="231"/>
      <c r="B365" s="315" t="s">
        <v>1733</v>
      </c>
      <c r="C365" s="226" t="s">
        <v>628</v>
      </c>
      <c r="D365" s="227" t="s">
        <v>320</v>
      </c>
      <c r="E365" s="226" t="s">
        <v>600</v>
      </c>
      <c r="F365" s="226" t="s">
        <v>946</v>
      </c>
      <c r="G365" s="226" t="s">
        <v>44</v>
      </c>
      <c r="H365" s="229">
        <v>6745.2000000000007</v>
      </c>
      <c r="I365" s="226" t="e">
        <f>#REF!</f>
        <v>#REF!</v>
      </c>
      <c r="J365" s="387" t="e">
        <f t="shared" si="5"/>
        <v>#REF!</v>
      </c>
    </row>
    <row r="366" spans="1:10" x14ac:dyDescent="0.2">
      <c r="A366" s="231"/>
      <c r="B366" s="316" t="s">
        <v>1754</v>
      </c>
      <c r="C366" s="224" t="s">
        <v>628</v>
      </c>
      <c r="D366" s="228" t="s">
        <v>497</v>
      </c>
      <c r="E366" s="224" t="s">
        <v>600</v>
      </c>
      <c r="F366" s="224" t="s">
        <v>946</v>
      </c>
      <c r="G366" s="224" t="s">
        <v>44</v>
      </c>
      <c r="H366" s="230">
        <v>8417.2000000000007</v>
      </c>
      <c r="I366" s="224" t="e">
        <f>#REF!</f>
        <v>#REF!</v>
      </c>
      <c r="J366" s="385" t="e">
        <f t="shared" si="5"/>
        <v>#REF!</v>
      </c>
    </row>
    <row r="367" spans="1:10" x14ac:dyDescent="0.2">
      <c r="A367" s="231"/>
      <c r="B367" s="315" t="s">
        <v>1604</v>
      </c>
      <c r="C367" s="226" t="s">
        <v>628</v>
      </c>
      <c r="D367" s="227" t="s">
        <v>328</v>
      </c>
      <c r="E367" s="226" t="s">
        <v>600</v>
      </c>
      <c r="F367" s="226" t="s">
        <v>946</v>
      </c>
      <c r="G367" s="226" t="s">
        <v>44</v>
      </c>
      <c r="H367" s="229">
        <v>2103.2000000000003</v>
      </c>
      <c r="I367" s="226" t="e">
        <f>#REF!</f>
        <v>#REF!</v>
      </c>
      <c r="J367" s="387" t="e">
        <f t="shared" si="5"/>
        <v>#REF!</v>
      </c>
    </row>
    <row r="368" spans="1:10" x14ac:dyDescent="0.2">
      <c r="A368" s="231"/>
      <c r="B368" s="316" t="s">
        <v>1629</v>
      </c>
      <c r="C368" s="224" t="s">
        <v>628</v>
      </c>
      <c r="D368" s="228" t="s">
        <v>325</v>
      </c>
      <c r="E368" s="224" t="s">
        <v>600</v>
      </c>
      <c r="F368" s="224" t="s">
        <v>946</v>
      </c>
      <c r="G368" s="224" t="s">
        <v>44</v>
      </c>
      <c r="H368" s="230">
        <v>2838.0000000000005</v>
      </c>
      <c r="I368" s="224" t="e">
        <f>#REF!</f>
        <v>#REF!</v>
      </c>
      <c r="J368" s="385" t="e">
        <f t="shared" si="5"/>
        <v>#REF!</v>
      </c>
    </row>
    <row r="369" spans="1:10" x14ac:dyDescent="0.2">
      <c r="A369" s="231"/>
      <c r="B369" s="315" t="s">
        <v>1710</v>
      </c>
      <c r="C369" s="226" t="s">
        <v>628</v>
      </c>
      <c r="D369" s="227" t="s">
        <v>529</v>
      </c>
      <c r="E369" s="226" t="s">
        <v>600</v>
      </c>
      <c r="F369" s="226" t="s">
        <v>946</v>
      </c>
      <c r="G369" s="226" t="s">
        <v>44</v>
      </c>
      <c r="H369" s="229">
        <v>5253.6</v>
      </c>
      <c r="I369" s="226" t="e">
        <f>#REF!</f>
        <v>#REF!</v>
      </c>
      <c r="J369" s="387" t="e">
        <f t="shared" si="5"/>
        <v>#REF!</v>
      </c>
    </row>
    <row r="370" spans="1:10" x14ac:dyDescent="0.2">
      <c r="A370" s="231"/>
      <c r="B370" s="316" t="s">
        <v>1718</v>
      </c>
      <c r="C370" s="224" t="s">
        <v>628</v>
      </c>
      <c r="D370" s="228" t="s">
        <v>530</v>
      </c>
      <c r="E370" s="224" t="s">
        <v>600</v>
      </c>
      <c r="F370" s="224" t="s">
        <v>946</v>
      </c>
      <c r="G370" s="224" t="s">
        <v>44</v>
      </c>
      <c r="H370" s="230">
        <v>5812.4000000000005</v>
      </c>
      <c r="I370" s="224" t="e">
        <f>#REF!</f>
        <v>#REF!</v>
      </c>
      <c r="J370" s="385" t="e">
        <f t="shared" si="5"/>
        <v>#REF!</v>
      </c>
    </row>
    <row r="371" spans="1:10" x14ac:dyDescent="0.2">
      <c r="A371" s="231"/>
      <c r="B371" s="315" t="s">
        <v>1639</v>
      </c>
      <c r="C371" s="226" t="s">
        <v>628</v>
      </c>
      <c r="D371" s="227" t="s">
        <v>531</v>
      </c>
      <c r="E371" s="226" t="s">
        <v>600</v>
      </c>
      <c r="F371" s="226" t="s">
        <v>946</v>
      </c>
      <c r="G371" s="226" t="s">
        <v>44</v>
      </c>
      <c r="H371" s="229">
        <v>3009.6000000000004</v>
      </c>
      <c r="I371" s="226" t="e">
        <f>#REF!</f>
        <v>#REF!</v>
      </c>
      <c r="J371" s="387" t="e">
        <f t="shared" si="5"/>
        <v>#REF!</v>
      </c>
    </row>
    <row r="372" spans="1:10" x14ac:dyDescent="0.2">
      <c r="A372" s="231"/>
      <c r="B372" s="316" t="s">
        <v>1642</v>
      </c>
      <c r="C372" s="224" t="s">
        <v>628</v>
      </c>
      <c r="D372" s="228" t="s">
        <v>321</v>
      </c>
      <c r="E372" s="224" t="s">
        <v>600</v>
      </c>
      <c r="F372" s="224" t="s">
        <v>946</v>
      </c>
      <c r="G372" s="224" t="s">
        <v>44</v>
      </c>
      <c r="H372" s="230">
        <v>3168.0000000000005</v>
      </c>
      <c r="I372" s="224" t="e">
        <f>#REF!</f>
        <v>#REF!</v>
      </c>
      <c r="J372" s="385" t="e">
        <f t="shared" si="5"/>
        <v>#REF!</v>
      </c>
    </row>
    <row r="373" spans="1:10" x14ac:dyDescent="0.2">
      <c r="A373" s="231"/>
      <c r="B373" s="315" t="s">
        <v>1653</v>
      </c>
      <c r="C373" s="226" t="s">
        <v>628</v>
      </c>
      <c r="D373" s="227" t="s">
        <v>324</v>
      </c>
      <c r="E373" s="226" t="s">
        <v>600</v>
      </c>
      <c r="F373" s="226" t="s">
        <v>946</v>
      </c>
      <c r="G373" s="226" t="s">
        <v>44</v>
      </c>
      <c r="H373" s="229">
        <v>3374.8</v>
      </c>
      <c r="I373" s="226" t="e">
        <f>#REF!</f>
        <v>#REF!</v>
      </c>
      <c r="J373" s="387" t="e">
        <f t="shared" si="5"/>
        <v>#REF!</v>
      </c>
    </row>
    <row r="374" spans="1:10" x14ac:dyDescent="0.2">
      <c r="A374" s="231"/>
      <c r="B374" s="316" t="s">
        <v>1591</v>
      </c>
      <c r="C374" s="224" t="s">
        <v>628</v>
      </c>
      <c r="D374" s="228" t="s">
        <v>332</v>
      </c>
      <c r="E374" s="224" t="s">
        <v>600</v>
      </c>
      <c r="F374" s="224" t="s">
        <v>946</v>
      </c>
      <c r="G374" s="224" t="s">
        <v>44</v>
      </c>
      <c r="H374" s="230">
        <v>1856.8000000000002</v>
      </c>
      <c r="I374" s="224" t="e">
        <f>#REF!</f>
        <v>#REF!</v>
      </c>
      <c r="J374" s="385" t="e">
        <f t="shared" si="5"/>
        <v>#REF!</v>
      </c>
    </row>
    <row r="375" spans="1:10" x14ac:dyDescent="0.2">
      <c r="A375" s="231" t="s">
        <v>2118</v>
      </c>
      <c r="B375" s="315" t="s">
        <v>1596</v>
      </c>
      <c r="C375" s="226" t="s">
        <v>628</v>
      </c>
      <c r="D375" s="227" t="s">
        <v>330</v>
      </c>
      <c r="E375" s="226" t="s">
        <v>600</v>
      </c>
      <c r="F375" s="226" t="s">
        <v>946</v>
      </c>
      <c r="G375" s="226" t="s">
        <v>44</v>
      </c>
      <c r="H375" s="229">
        <v>1892.0000000000002</v>
      </c>
      <c r="I375" s="226" t="e">
        <f>#REF!</f>
        <v>#REF!</v>
      </c>
      <c r="J375" s="387" t="e">
        <f t="shared" si="5"/>
        <v>#REF!</v>
      </c>
    </row>
    <row r="376" spans="1:10" x14ac:dyDescent="0.2">
      <c r="A376" s="231"/>
      <c r="B376" s="316" t="s">
        <v>1599</v>
      </c>
      <c r="C376" s="224" t="s">
        <v>628</v>
      </c>
      <c r="D376" s="228" t="s">
        <v>329</v>
      </c>
      <c r="E376" s="224" t="s">
        <v>600</v>
      </c>
      <c r="F376" s="224" t="s">
        <v>946</v>
      </c>
      <c r="G376" s="224" t="s">
        <v>44</v>
      </c>
      <c r="H376" s="230">
        <v>1980.0000000000002</v>
      </c>
      <c r="I376" s="224" t="e">
        <f>#REF!</f>
        <v>#REF!</v>
      </c>
      <c r="J376" s="385" t="e">
        <f t="shared" si="5"/>
        <v>#REF!</v>
      </c>
    </row>
    <row r="377" spans="1:10" x14ac:dyDescent="0.2">
      <c r="A377" s="231"/>
      <c r="B377" s="315" t="s">
        <v>1724</v>
      </c>
      <c r="C377" s="226" t="s">
        <v>628</v>
      </c>
      <c r="D377" s="227" t="s">
        <v>326</v>
      </c>
      <c r="E377" s="226" t="s">
        <v>600</v>
      </c>
      <c r="F377" s="226" t="s">
        <v>946</v>
      </c>
      <c r="G377" s="226" t="s">
        <v>44</v>
      </c>
      <c r="H377" s="229">
        <v>6248.0000000000009</v>
      </c>
      <c r="I377" s="226" t="e">
        <f>#REF!</f>
        <v>#REF!</v>
      </c>
      <c r="J377" s="387" t="e">
        <f t="shared" si="5"/>
        <v>#REF!</v>
      </c>
    </row>
    <row r="378" spans="1:10" x14ac:dyDescent="0.2">
      <c r="A378" s="231"/>
      <c r="B378" s="316" t="s">
        <v>1748</v>
      </c>
      <c r="C378" s="224" t="s">
        <v>628</v>
      </c>
      <c r="D378" s="228" t="s">
        <v>382</v>
      </c>
      <c r="E378" s="224" t="s">
        <v>600</v>
      </c>
      <c r="F378" s="224" t="s">
        <v>946</v>
      </c>
      <c r="G378" s="224" t="s">
        <v>44</v>
      </c>
      <c r="H378" s="230">
        <v>7858.4000000000005</v>
      </c>
      <c r="I378" s="224" t="e">
        <f>#REF!</f>
        <v>#REF!</v>
      </c>
      <c r="J378" s="385" t="e">
        <f t="shared" si="5"/>
        <v>#REF!</v>
      </c>
    </row>
    <row r="379" spans="1:10" x14ac:dyDescent="0.2">
      <c r="A379" s="231"/>
      <c r="B379" s="315" t="s">
        <v>1793</v>
      </c>
      <c r="C379" s="226" t="s">
        <v>628</v>
      </c>
      <c r="D379" s="227" t="s">
        <v>384</v>
      </c>
      <c r="E379" s="226" t="s">
        <v>600</v>
      </c>
      <c r="F379" s="226" t="s">
        <v>946</v>
      </c>
      <c r="G379" s="226" t="s">
        <v>44</v>
      </c>
      <c r="H379" s="229">
        <v>13261.6</v>
      </c>
      <c r="I379" s="226" t="e">
        <f>#REF!</f>
        <v>#REF!</v>
      </c>
      <c r="J379" s="387" t="e">
        <f t="shared" si="5"/>
        <v>#REF!</v>
      </c>
    </row>
    <row r="380" spans="1:10" x14ac:dyDescent="0.2">
      <c r="A380" s="231"/>
      <c r="B380" s="316" t="s">
        <v>1627</v>
      </c>
      <c r="C380" s="224" t="s">
        <v>628</v>
      </c>
      <c r="D380" s="228" t="s">
        <v>419</v>
      </c>
      <c r="E380" s="224" t="s">
        <v>600</v>
      </c>
      <c r="F380" s="224" t="s">
        <v>946</v>
      </c>
      <c r="G380" s="224" t="s">
        <v>44</v>
      </c>
      <c r="H380" s="230">
        <v>2798.4</v>
      </c>
      <c r="I380" s="224" t="e">
        <f>#REF!</f>
        <v>#REF!</v>
      </c>
      <c r="J380" s="385" t="e">
        <f t="shared" si="5"/>
        <v>#REF!</v>
      </c>
    </row>
    <row r="381" spans="1:10" x14ac:dyDescent="0.2">
      <c r="A381" s="231"/>
      <c r="B381" s="315" t="s">
        <v>1663</v>
      </c>
      <c r="C381" s="226" t="s">
        <v>628</v>
      </c>
      <c r="D381" s="227" t="s">
        <v>420</v>
      </c>
      <c r="E381" s="226" t="s">
        <v>600</v>
      </c>
      <c r="F381" s="226" t="s">
        <v>946</v>
      </c>
      <c r="G381" s="226" t="s">
        <v>44</v>
      </c>
      <c r="H381" s="229">
        <v>3797.2000000000003</v>
      </c>
      <c r="I381" s="226" t="e">
        <f>#REF!</f>
        <v>#REF!</v>
      </c>
      <c r="J381" s="387" t="e">
        <f t="shared" si="5"/>
        <v>#REF!</v>
      </c>
    </row>
    <row r="382" spans="1:10" x14ac:dyDescent="0.2">
      <c r="A382" s="231"/>
      <c r="B382" s="316" t="s">
        <v>1704</v>
      </c>
      <c r="C382" s="224" t="s">
        <v>628</v>
      </c>
      <c r="D382" s="228" t="s">
        <v>428</v>
      </c>
      <c r="E382" s="224" t="s">
        <v>600</v>
      </c>
      <c r="F382" s="224" t="s">
        <v>946</v>
      </c>
      <c r="G382" s="224" t="s">
        <v>44</v>
      </c>
      <c r="H382" s="230">
        <v>4967.6000000000004</v>
      </c>
      <c r="I382" s="224" t="e">
        <f>#REF!</f>
        <v>#REF!</v>
      </c>
      <c r="J382" s="385" t="e">
        <f t="shared" si="5"/>
        <v>#REF!</v>
      </c>
    </row>
    <row r="383" spans="1:10" x14ac:dyDescent="0.2">
      <c r="A383" s="231"/>
      <c r="B383" s="315" t="s">
        <v>1729</v>
      </c>
      <c r="C383" s="226" t="s">
        <v>628</v>
      </c>
      <c r="D383" s="227" t="s">
        <v>430</v>
      </c>
      <c r="E383" s="226" t="s">
        <v>600</v>
      </c>
      <c r="F383" s="226" t="s">
        <v>946</v>
      </c>
      <c r="G383" s="226" t="s">
        <v>44</v>
      </c>
      <c r="H383" s="229">
        <v>6490.0000000000009</v>
      </c>
      <c r="I383" s="226" t="e">
        <f>#REF!</f>
        <v>#REF!</v>
      </c>
      <c r="J383" s="387" t="e">
        <f t="shared" si="5"/>
        <v>#REF!</v>
      </c>
    </row>
    <row r="384" spans="1:10" x14ac:dyDescent="0.2">
      <c r="A384" s="231"/>
      <c r="B384" s="316" t="s">
        <v>1734</v>
      </c>
      <c r="C384" s="224" t="s">
        <v>628</v>
      </c>
      <c r="D384" s="228" t="s">
        <v>431</v>
      </c>
      <c r="E384" s="224" t="s">
        <v>600</v>
      </c>
      <c r="F384" s="224" t="s">
        <v>946</v>
      </c>
      <c r="G384" s="224" t="s">
        <v>44</v>
      </c>
      <c r="H384" s="230">
        <v>6868.4000000000005</v>
      </c>
      <c r="I384" s="224" t="e">
        <f>#REF!</f>
        <v>#REF!</v>
      </c>
      <c r="J384" s="385" t="e">
        <f t="shared" si="5"/>
        <v>#REF!</v>
      </c>
    </row>
    <row r="385" spans="1:26" x14ac:dyDescent="0.2">
      <c r="A385" s="231"/>
      <c r="B385" s="315" t="s">
        <v>1752</v>
      </c>
      <c r="C385" s="226" t="s">
        <v>628</v>
      </c>
      <c r="D385" s="227" t="s">
        <v>432</v>
      </c>
      <c r="E385" s="226" t="s">
        <v>600</v>
      </c>
      <c r="F385" s="226" t="s">
        <v>946</v>
      </c>
      <c r="G385" s="226" t="s">
        <v>44</v>
      </c>
      <c r="H385" s="229">
        <v>8078.4000000000005</v>
      </c>
      <c r="I385" s="226" t="e">
        <f>#REF!</f>
        <v>#REF!</v>
      </c>
      <c r="J385" s="387" t="e">
        <f t="shared" si="5"/>
        <v>#REF!</v>
      </c>
    </row>
    <row r="386" spans="1:26" x14ac:dyDescent="0.2">
      <c r="A386" s="231"/>
      <c r="B386" s="316" t="s">
        <v>1773</v>
      </c>
      <c r="C386" s="224" t="s">
        <v>628</v>
      </c>
      <c r="D386" s="228" t="s">
        <v>433</v>
      </c>
      <c r="E386" s="224" t="s">
        <v>600</v>
      </c>
      <c r="F386" s="224" t="s">
        <v>946</v>
      </c>
      <c r="G386" s="224" t="s">
        <v>44</v>
      </c>
      <c r="H386" s="230">
        <v>10177.200000000001</v>
      </c>
      <c r="I386" s="224" t="e">
        <f>#REF!</f>
        <v>#REF!</v>
      </c>
      <c r="J386" s="385" t="e">
        <f t="shared" si="5"/>
        <v>#REF!</v>
      </c>
    </row>
    <row r="387" spans="1:26" x14ac:dyDescent="0.2">
      <c r="A387" s="231"/>
      <c r="B387" s="315" t="s">
        <v>1784</v>
      </c>
      <c r="C387" s="226" t="s">
        <v>628</v>
      </c>
      <c r="D387" s="227" t="s">
        <v>434</v>
      </c>
      <c r="E387" s="226" t="s">
        <v>600</v>
      </c>
      <c r="F387" s="226" t="s">
        <v>946</v>
      </c>
      <c r="G387" s="226" t="s">
        <v>44</v>
      </c>
      <c r="H387" s="229">
        <v>11726.000000000002</v>
      </c>
      <c r="I387" s="226" t="e">
        <f>#REF!</f>
        <v>#REF!</v>
      </c>
      <c r="J387" s="387" t="e">
        <f t="shared" si="5"/>
        <v>#REF!</v>
      </c>
    </row>
    <row r="388" spans="1:26" x14ac:dyDescent="0.2">
      <c r="A388" s="231"/>
      <c r="B388" s="316" t="s">
        <v>1795</v>
      </c>
      <c r="C388" s="224" t="s">
        <v>628</v>
      </c>
      <c r="D388" s="228" t="s">
        <v>435</v>
      </c>
      <c r="E388" s="224" t="s">
        <v>600</v>
      </c>
      <c r="F388" s="224" t="s">
        <v>946</v>
      </c>
      <c r="G388" s="224" t="s">
        <v>44</v>
      </c>
      <c r="H388" s="230">
        <v>13657.6</v>
      </c>
      <c r="I388" s="224" t="e">
        <f>#REF!</f>
        <v>#REF!</v>
      </c>
      <c r="J388" s="385" t="e">
        <f t="shared" si="5"/>
        <v>#REF!</v>
      </c>
    </row>
    <row r="389" spans="1:26" x14ac:dyDescent="0.2">
      <c r="A389" s="231"/>
      <c r="B389" s="315" t="s">
        <v>1758</v>
      </c>
      <c r="C389" s="226" t="s">
        <v>628</v>
      </c>
      <c r="D389" s="227" t="s">
        <v>415</v>
      </c>
      <c r="E389" s="226" t="s">
        <v>600</v>
      </c>
      <c r="F389" s="226" t="s">
        <v>946</v>
      </c>
      <c r="G389" s="226" t="s">
        <v>44</v>
      </c>
      <c r="H389" s="229">
        <v>8706.5000000000036</v>
      </c>
      <c r="I389" s="226" t="e">
        <f>#REF!</f>
        <v>#REF!</v>
      </c>
      <c r="J389" s="387" t="e">
        <f t="shared" si="5"/>
        <v>#REF!</v>
      </c>
    </row>
    <row r="390" spans="1:26" x14ac:dyDescent="0.2">
      <c r="A390" s="231"/>
      <c r="B390" s="316" t="s">
        <v>1772</v>
      </c>
      <c r="C390" s="224" t="s">
        <v>628</v>
      </c>
      <c r="D390" s="228" t="s">
        <v>416</v>
      </c>
      <c r="E390" s="224" t="s">
        <v>600</v>
      </c>
      <c r="F390" s="224" t="s">
        <v>946</v>
      </c>
      <c r="G390" s="224" t="s">
        <v>44</v>
      </c>
      <c r="H390" s="230">
        <v>9867.0000000000018</v>
      </c>
      <c r="I390" s="224" t="e">
        <f>#REF!</f>
        <v>#REF!</v>
      </c>
      <c r="J390" s="385" t="e">
        <f t="shared" ref="J390:J453" si="6">H390-H390*I390</f>
        <v>#REF!</v>
      </c>
    </row>
    <row r="391" spans="1:26" x14ac:dyDescent="0.2">
      <c r="A391" s="231"/>
      <c r="B391" s="315" t="s">
        <v>1783</v>
      </c>
      <c r="C391" s="226" t="s">
        <v>628</v>
      </c>
      <c r="D391" s="227" t="s">
        <v>417</v>
      </c>
      <c r="E391" s="226" t="s">
        <v>600</v>
      </c>
      <c r="F391" s="226" t="s">
        <v>946</v>
      </c>
      <c r="G391" s="226" t="s">
        <v>44</v>
      </c>
      <c r="H391" s="229">
        <v>11418.000000000004</v>
      </c>
      <c r="I391" s="226" t="e">
        <f>#REF!</f>
        <v>#REF!</v>
      </c>
      <c r="J391" s="387" t="e">
        <f t="shared" si="6"/>
        <v>#REF!</v>
      </c>
    </row>
    <row r="392" spans="1:26" x14ac:dyDescent="0.2">
      <c r="A392" s="231"/>
      <c r="B392" s="316" t="s">
        <v>1788</v>
      </c>
      <c r="C392" s="224" t="s">
        <v>628</v>
      </c>
      <c r="D392" s="228" t="s">
        <v>418</v>
      </c>
      <c r="E392" s="224" t="s">
        <v>600</v>
      </c>
      <c r="F392" s="224" t="s">
        <v>946</v>
      </c>
      <c r="G392" s="224" t="s">
        <v>44</v>
      </c>
      <c r="H392" s="230">
        <v>12974.500000000004</v>
      </c>
      <c r="I392" s="224" t="e">
        <f>#REF!</f>
        <v>#REF!</v>
      </c>
      <c r="J392" s="385" t="e">
        <f t="shared" si="6"/>
        <v>#REF!</v>
      </c>
    </row>
    <row r="393" spans="1:26" x14ac:dyDescent="0.2">
      <c r="A393" s="231"/>
      <c r="B393" s="315" t="s">
        <v>1586</v>
      </c>
      <c r="C393" s="226" t="s">
        <v>628</v>
      </c>
      <c r="D393" s="227" t="s">
        <v>75</v>
      </c>
      <c r="E393" s="226" t="s">
        <v>600</v>
      </c>
      <c r="F393" s="226" t="s">
        <v>946</v>
      </c>
      <c r="G393" s="226" t="s">
        <v>44</v>
      </c>
      <c r="H393" s="229">
        <v>1707.2</v>
      </c>
      <c r="I393" s="226" t="e">
        <f>#REF!</f>
        <v>#REF!</v>
      </c>
      <c r="J393" s="387" t="e">
        <f t="shared" si="6"/>
        <v>#REF!</v>
      </c>
    </row>
    <row r="394" spans="1:26" x14ac:dyDescent="0.2">
      <c r="A394" s="231"/>
      <c r="B394" s="316" t="s">
        <v>1705</v>
      </c>
      <c r="C394" s="224" t="s">
        <v>628</v>
      </c>
      <c r="D394" s="228" t="s">
        <v>547</v>
      </c>
      <c r="E394" s="224" t="s">
        <v>600</v>
      </c>
      <c r="F394" s="224" t="s">
        <v>946</v>
      </c>
      <c r="G394" s="224" t="s">
        <v>44</v>
      </c>
      <c r="H394" s="230">
        <v>4972</v>
      </c>
      <c r="I394" s="224" t="e">
        <f>#REF!</f>
        <v>#REF!</v>
      </c>
      <c r="J394" s="385" t="e">
        <f t="shared" si="6"/>
        <v>#REF!</v>
      </c>
    </row>
    <row r="395" spans="1:26" x14ac:dyDescent="0.2">
      <c r="A395" s="231"/>
      <c r="B395" s="315" t="s">
        <v>1714</v>
      </c>
      <c r="C395" s="226" t="s">
        <v>628</v>
      </c>
      <c r="D395" s="227" t="s">
        <v>548</v>
      </c>
      <c r="E395" s="226" t="s">
        <v>600</v>
      </c>
      <c r="F395" s="226" t="s">
        <v>946</v>
      </c>
      <c r="G395" s="226" t="s">
        <v>44</v>
      </c>
      <c r="H395" s="229">
        <v>5478</v>
      </c>
      <c r="I395" s="226" t="e">
        <f>#REF!</f>
        <v>#REF!</v>
      </c>
      <c r="J395" s="387" t="e">
        <f t="shared" si="6"/>
        <v>#REF!</v>
      </c>
    </row>
    <row r="396" spans="1:26" x14ac:dyDescent="0.2">
      <c r="A396" s="231"/>
      <c r="B396" s="316" t="s">
        <v>1726</v>
      </c>
      <c r="C396" s="224" t="s">
        <v>628</v>
      </c>
      <c r="D396" s="228" t="s">
        <v>549</v>
      </c>
      <c r="E396" s="224" t="s">
        <v>600</v>
      </c>
      <c r="F396" s="224" t="s">
        <v>946</v>
      </c>
      <c r="G396" s="224" t="s">
        <v>44</v>
      </c>
      <c r="H396" s="230">
        <v>6353.6</v>
      </c>
      <c r="I396" s="224" t="e">
        <f>#REF!</f>
        <v>#REF!</v>
      </c>
      <c r="J396" s="385" t="e">
        <f t="shared" si="6"/>
        <v>#REF!</v>
      </c>
    </row>
    <row r="397" spans="1:26" x14ac:dyDescent="0.2">
      <c r="A397" s="231"/>
      <c r="B397" s="315" t="s">
        <v>1736</v>
      </c>
      <c r="C397" s="226" t="s">
        <v>628</v>
      </c>
      <c r="D397" s="227" t="s">
        <v>550</v>
      </c>
      <c r="E397" s="226" t="s">
        <v>600</v>
      </c>
      <c r="F397" s="226" t="s">
        <v>946</v>
      </c>
      <c r="G397" s="226" t="s">
        <v>44</v>
      </c>
      <c r="H397" s="229">
        <v>6916.8</v>
      </c>
      <c r="I397" s="226" t="e">
        <f>#REF!</f>
        <v>#REF!</v>
      </c>
      <c r="J397" s="387" t="e">
        <f t="shared" si="6"/>
        <v>#REF!</v>
      </c>
    </row>
    <row r="398" spans="1:26" x14ac:dyDescent="0.2">
      <c r="A398" s="231"/>
      <c r="B398" s="316" t="s">
        <v>1538</v>
      </c>
      <c r="C398" s="224" t="s">
        <v>628</v>
      </c>
      <c r="D398" s="228" t="s">
        <v>353</v>
      </c>
      <c r="E398" s="224" t="s">
        <v>600</v>
      </c>
      <c r="F398" s="224" t="s">
        <v>946</v>
      </c>
      <c r="G398" s="224" t="s">
        <v>44</v>
      </c>
      <c r="H398" s="230">
        <v>888.80000000000007</v>
      </c>
      <c r="I398" s="224" t="e">
        <f>#REF!</f>
        <v>#REF!</v>
      </c>
      <c r="J398" s="385" t="e">
        <f t="shared" si="6"/>
        <v>#REF!</v>
      </c>
    </row>
    <row r="399" spans="1:26" x14ac:dyDescent="0.2">
      <c r="A399" s="231"/>
      <c r="B399" s="315" t="s">
        <v>1539</v>
      </c>
      <c r="C399" s="226" t="s">
        <v>628</v>
      </c>
      <c r="D399" s="227" t="s">
        <v>354</v>
      </c>
      <c r="E399" s="226" t="s">
        <v>600</v>
      </c>
      <c r="F399" s="226" t="s">
        <v>946</v>
      </c>
      <c r="G399" s="226" t="s">
        <v>44</v>
      </c>
      <c r="H399" s="229">
        <v>888.80000000000007</v>
      </c>
      <c r="I399" s="226" t="e">
        <f>#REF!</f>
        <v>#REF!</v>
      </c>
      <c r="J399" s="387" t="e">
        <f t="shared" si="6"/>
        <v>#REF!</v>
      </c>
    </row>
    <row r="400" spans="1:26" x14ac:dyDescent="0.2">
      <c r="A400" s="231"/>
      <c r="B400" s="316" t="s">
        <v>1817</v>
      </c>
      <c r="C400" s="224" t="s">
        <v>628</v>
      </c>
      <c r="D400" s="228" t="s">
        <v>493</v>
      </c>
      <c r="E400" s="224" t="s">
        <v>600</v>
      </c>
      <c r="F400" s="224" t="s">
        <v>946</v>
      </c>
      <c r="G400" s="224" t="s">
        <v>42</v>
      </c>
      <c r="H400" s="230">
        <v>37386.800000000003</v>
      </c>
      <c r="I400" s="224" t="e">
        <f>#REF!</f>
        <v>#REF!</v>
      </c>
      <c r="J400" s="385" t="e">
        <f t="shared" si="6"/>
        <v>#REF!</v>
      </c>
      <c r="O400" s="361"/>
      <c r="P400" s="361"/>
      <c r="Q400" s="361"/>
      <c r="R400" s="361"/>
      <c r="S400" s="361"/>
      <c r="T400" s="361"/>
      <c r="U400" s="361"/>
      <c r="V400" s="361"/>
      <c r="W400" s="361"/>
      <c r="X400" s="361"/>
      <c r="Y400" s="361"/>
      <c r="Z400" s="361"/>
    </row>
    <row r="401" spans="1:26" x14ac:dyDescent="0.2">
      <c r="A401" s="231"/>
      <c r="B401" s="315" t="s">
        <v>1807</v>
      </c>
      <c r="C401" s="226" t="s">
        <v>628</v>
      </c>
      <c r="D401" s="227" t="s">
        <v>478</v>
      </c>
      <c r="E401" s="226" t="s">
        <v>600</v>
      </c>
      <c r="F401" s="226" t="s">
        <v>946</v>
      </c>
      <c r="G401" s="226" t="s">
        <v>44</v>
      </c>
      <c r="H401" s="229">
        <v>21084.800000000003</v>
      </c>
      <c r="I401" s="226" t="e">
        <f>#REF!</f>
        <v>#REF!</v>
      </c>
      <c r="J401" s="387" t="e">
        <f t="shared" si="6"/>
        <v>#REF!</v>
      </c>
    </row>
    <row r="402" spans="1:26" x14ac:dyDescent="0.2">
      <c r="A402" s="231" t="s">
        <v>2118</v>
      </c>
      <c r="B402" s="316" t="s">
        <v>1672</v>
      </c>
      <c r="C402" s="224" t="s">
        <v>628</v>
      </c>
      <c r="D402" s="228" t="s">
        <v>323</v>
      </c>
      <c r="E402" s="224" t="s">
        <v>600</v>
      </c>
      <c r="F402" s="224" t="s">
        <v>946</v>
      </c>
      <c r="G402" s="224" t="s">
        <v>44</v>
      </c>
      <c r="H402" s="230">
        <v>3999.6000000000004</v>
      </c>
      <c r="I402" s="224" t="e">
        <f>#REF!</f>
        <v>#REF!</v>
      </c>
      <c r="J402" s="385" t="e">
        <f t="shared" si="6"/>
        <v>#REF!</v>
      </c>
    </row>
    <row r="403" spans="1:26" x14ac:dyDescent="0.2">
      <c r="A403" s="231"/>
      <c r="B403" s="315" t="s">
        <v>1619</v>
      </c>
      <c r="C403" s="226" t="s">
        <v>628</v>
      </c>
      <c r="D403" s="227" t="s">
        <v>61</v>
      </c>
      <c r="E403" s="226" t="s">
        <v>600</v>
      </c>
      <c r="F403" s="226" t="s">
        <v>946</v>
      </c>
      <c r="G403" s="226" t="s">
        <v>44</v>
      </c>
      <c r="H403" s="229">
        <v>2635.6000000000004</v>
      </c>
      <c r="I403" s="226" t="e">
        <f>#REF!</f>
        <v>#REF!</v>
      </c>
      <c r="J403" s="387" t="e">
        <f t="shared" si="6"/>
        <v>#REF!</v>
      </c>
    </row>
    <row r="404" spans="1:26" x14ac:dyDescent="0.2">
      <c r="A404" s="231"/>
      <c r="B404" s="316" t="s">
        <v>1767</v>
      </c>
      <c r="C404" s="224" t="s">
        <v>628</v>
      </c>
      <c r="D404" s="228" t="s">
        <v>490</v>
      </c>
      <c r="E404" s="224" t="s">
        <v>600</v>
      </c>
      <c r="F404" s="224" t="s">
        <v>946</v>
      </c>
      <c r="G404" s="224" t="s">
        <v>42</v>
      </c>
      <c r="H404" s="230">
        <v>9099.2000000000007</v>
      </c>
      <c r="I404" s="224" t="e">
        <f>#REF!</f>
        <v>#REF!</v>
      </c>
      <c r="J404" s="385" t="e">
        <f t="shared" si="6"/>
        <v>#REF!</v>
      </c>
      <c r="O404" s="361"/>
      <c r="P404" s="361"/>
      <c r="Q404" s="361"/>
      <c r="R404" s="361"/>
      <c r="S404" s="361"/>
      <c r="T404" s="361"/>
      <c r="U404" s="361"/>
      <c r="V404" s="361"/>
      <c r="W404" s="361"/>
      <c r="X404" s="361"/>
      <c r="Y404" s="361"/>
      <c r="Z404" s="361"/>
    </row>
    <row r="405" spans="1:26" x14ac:dyDescent="0.2">
      <c r="A405" s="231"/>
      <c r="B405" s="315" t="s">
        <v>1800</v>
      </c>
      <c r="C405" s="226" t="s">
        <v>628</v>
      </c>
      <c r="D405" s="227" t="s">
        <v>491</v>
      </c>
      <c r="E405" s="226" t="s">
        <v>600</v>
      </c>
      <c r="F405" s="226" t="s">
        <v>946</v>
      </c>
      <c r="G405" s="226" t="s">
        <v>42</v>
      </c>
      <c r="H405" s="229">
        <v>14722.400000000001</v>
      </c>
      <c r="I405" s="226" t="e">
        <f>#REF!</f>
        <v>#REF!</v>
      </c>
      <c r="J405" s="387" t="e">
        <f t="shared" si="6"/>
        <v>#REF!</v>
      </c>
      <c r="O405" s="361"/>
      <c r="P405" s="361"/>
      <c r="Q405" s="361"/>
      <c r="R405" s="361"/>
      <c r="S405" s="361"/>
      <c r="T405" s="361"/>
      <c r="U405" s="361"/>
      <c r="V405" s="361"/>
      <c r="W405" s="361"/>
      <c r="X405" s="361"/>
      <c r="Y405" s="361"/>
      <c r="Z405" s="361"/>
    </row>
    <row r="406" spans="1:26" x14ac:dyDescent="0.2">
      <c r="A406" s="231"/>
      <c r="B406" s="316" t="s">
        <v>1815</v>
      </c>
      <c r="C406" s="224" t="s">
        <v>628</v>
      </c>
      <c r="D406" s="228" t="s">
        <v>483</v>
      </c>
      <c r="E406" s="224" t="s">
        <v>600</v>
      </c>
      <c r="F406" s="224" t="s">
        <v>946</v>
      </c>
      <c r="G406" s="224" t="s">
        <v>44</v>
      </c>
      <c r="H406" s="230">
        <v>28177.600000000002</v>
      </c>
      <c r="I406" s="224" t="e">
        <f>#REF!</f>
        <v>#REF!</v>
      </c>
      <c r="J406" s="385" t="e">
        <f t="shared" si="6"/>
        <v>#REF!</v>
      </c>
    </row>
    <row r="407" spans="1:26" x14ac:dyDescent="0.2">
      <c r="A407" s="231"/>
      <c r="B407" s="315" t="s">
        <v>1690</v>
      </c>
      <c r="C407" s="226" t="s">
        <v>628</v>
      </c>
      <c r="D407" s="227" t="s">
        <v>427</v>
      </c>
      <c r="E407" s="226" t="s">
        <v>600</v>
      </c>
      <c r="F407" s="226" t="s">
        <v>946</v>
      </c>
      <c r="G407" s="226" t="s">
        <v>44</v>
      </c>
      <c r="H407" s="229">
        <v>4325.2000000000007</v>
      </c>
      <c r="I407" s="226" t="e">
        <f>#REF!</f>
        <v>#REF!</v>
      </c>
      <c r="J407" s="387" t="e">
        <f t="shared" si="6"/>
        <v>#REF!</v>
      </c>
    </row>
    <row r="408" spans="1:26" x14ac:dyDescent="0.2">
      <c r="A408" s="231"/>
      <c r="B408" s="316" t="s">
        <v>1680</v>
      </c>
      <c r="C408" s="224" t="s">
        <v>628</v>
      </c>
      <c r="D408" s="228" t="s">
        <v>408</v>
      </c>
      <c r="E408" s="224" t="s">
        <v>600</v>
      </c>
      <c r="F408" s="224" t="s">
        <v>946</v>
      </c>
      <c r="G408" s="224" t="s">
        <v>42</v>
      </c>
      <c r="H408" s="230">
        <v>4196.5000000000009</v>
      </c>
      <c r="I408" s="224" t="e">
        <f>#REF!</f>
        <v>#REF!</v>
      </c>
      <c r="J408" s="385" t="e">
        <f t="shared" si="6"/>
        <v>#REF!</v>
      </c>
      <c r="O408" s="361"/>
      <c r="P408" s="361"/>
      <c r="Q408" s="361"/>
      <c r="R408" s="361"/>
      <c r="S408" s="361"/>
      <c r="T408" s="361"/>
      <c r="U408" s="361"/>
      <c r="V408" s="361"/>
      <c r="W408" s="361"/>
      <c r="X408" s="361"/>
      <c r="Y408" s="361"/>
      <c r="Z408" s="361"/>
    </row>
    <row r="409" spans="1:26" x14ac:dyDescent="0.2">
      <c r="A409" s="231"/>
      <c r="B409" s="315" t="s">
        <v>1812</v>
      </c>
      <c r="C409" s="226" t="s">
        <v>628</v>
      </c>
      <c r="D409" s="227" t="s">
        <v>59</v>
      </c>
      <c r="E409" s="226" t="s">
        <v>600</v>
      </c>
      <c r="F409" s="226" t="s">
        <v>946</v>
      </c>
      <c r="G409" s="226" t="s">
        <v>42</v>
      </c>
      <c r="H409" s="229">
        <v>25696.000000000011</v>
      </c>
      <c r="I409" s="226" t="e">
        <f>#REF!</f>
        <v>#REF!</v>
      </c>
      <c r="J409" s="387" t="e">
        <f t="shared" si="6"/>
        <v>#REF!</v>
      </c>
      <c r="O409" s="361"/>
      <c r="P409" s="361"/>
      <c r="Q409" s="361"/>
      <c r="R409" s="361"/>
      <c r="S409" s="361"/>
      <c r="T409" s="361"/>
      <c r="U409" s="361"/>
      <c r="V409" s="361"/>
      <c r="W409" s="361"/>
      <c r="X409" s="361"/>
      <c r="Y409" s="361"/>
      <c r="Z409" s="361"/>
    </row>
    <row r="410" spans="1:26" x14ac:dyDescent="0.2">
      <c r="A410" s="231"/>
      <c r="B410" s="316" t="s">
        <v>1616</v>
      </c>
      <c r="C410" s="224" t="s">
        <v>628</v>
      </c>
      <c r="D410" s="228" t="s">
        <v>60</v>
      </c>
      <c r="E410" s="224" t="s">
        <v>600</v>
      </c>
      <c r="F410" s="224" t="s">
        <v>946</v>
      </c>
      <c r="G410" s="224" t="s">
        <v>44</v>
      </c>
      <c r="H410" s="230">
        <v>2569.6000000000004</v>
      </c>
      <c r="I410" s="224" t="e">
        <f>#REF!</f>
        <v>#REF!</v>
      </c>
      <c r="J410" s="385" t="e">
        <f t="shared" si="6"/>
        <v>#REF!</v>
      </c>
    </row>
    <row r="411" spans="1:26" x14ac:dyDescent="0.2">
      <c r="A411" s="231"/>
      <c r="B411" s="315" t="s">
        <v>1682</v>
      </c>
      <c r="C411" s="226" t="s">
        <v>628</v>
      </c>
      <c r="D411" s="227" t="s">
        <v>406</v>
      </c>
      <c r="E411" s="226" t="s">
        <v>600</v>
      </c>
      <c r="F411" s="226" t="s">
        <v>946</v>
      </c>
      <c r="G411" s="226" t="s">
        <v>41</v>
      </c>
      <c r="H411" s="229">
        <v>4235.0000000000018</v>
      </c>
      <c r="I411" s="226" t="e">
        <f>#REF!</f>
        <v>#REF!</v>
      </c>
      <c r="J411" s="387" t="e">
        <f t="shared" si="6"/>
        <v>#REF!</v>
      </c>
      <c r="O411" s="361"/>
      <c r="P411" s="361"/>
      <c r="Q411" s="361"/>
      <c r="R411" s="361"/>
      <c r="S411" s="361"/>
      <c r="T411" s="361"/>
      <c r="U411" s="361"/>
      <c r="V411" s="361"/>
      <c r="W411" s="361"/>
      <c r="X411" s="361"/>
      <c r="Y411" s="361"/>
      <c r="Z411" s="361"/>
    </row>
    <row r="412" spans="1:26" x14ac:dyDescent="0.2">
      <c r="A412" s="231"/>
      <c r="B412" s="316" t="s">
        <v>1776</v>
      </c>
      <c r="C412" s="224" t="s">
        <v>628</v>
      </c>
      <c r="D412" s="228" t="s">
        <v>499</v>
      </c>
      <c r="E412" s="224" t="s">
        <v>600</v>
      </c>
      <c r="F412" s="224" t="s">
        <v>946</v>
      </c>
      <c r="G412" s="224" t="s">
        <v>44</v>
      </c>
      <c r="H412" s="230">
        <v>10445.6</v>
      </c>
      <c r="I412" s="224" t="e">
        <f>#REF!</f>
        <v>#REF!</v>
      </c>
      <c r="J412" s="385" t="e">
        <f t="shared" si="6"/>
        <v>#REF!</v>
      </c>
    </row>
    <row r="413" spans="1:26" x14ac:dyDescent="0.2">
      <c r="A413" s="231"/>
      <c r="B413" s="315" t="s">
        <v>1730</v>
      </c>
      <c r="C413" s="226" t="s">
        <v>628</v>
      </c>
      <c r="D413" s="227" t="s">
        <v>489</v>
      </c>
      <c r="E413" s="226" t="s">
        <v>600</v>
      </c>
      <c r="F413" s="226" t="s">
        <v>946</v>
      </c>
      <c r="G413" s="226" t="s">
        <v>42</v>
      </c>
      <c r="H413" s="229">
        <v>6490.0000000000009</v>
      </c>
      <c r="I413" s="226" t="e">
        <f>#REF!</f>
        <v>#REF!</v>
      </c>
      <c r="J413" s="387" t="e">
        <f t="shared" si="6"/>
        <v>#REF!</v>
      </c>
      <c r="O413" s="361"/>
      <c r="P413" s="361"/>
      <c r="Q413" s="361"/>
      <c r="R413" s="361"/>
      <c r="S413" s="361"/>
      <c r="T413" s="361"/>
      <c r="U413" s="361"/>
      <c r="V413" s="361"/>
      <c r="W413" s="361"/>
      <c r="X413" s="361"/>
      <c r="Y413" s="361"/>
      <c r="Z413" s="361"/>
    </row>
    <row r="414" spans="1:26" x14ac:dyDescent="0.2">
      <c r="A414" s="231"/>
      <c r="B414" s="316" t="s">
        <v>1563</v>
      </c>
      <c r="C414" s="224" t="s">
        <v>628</v>
      </c>
      <c r="D414" s="228" t="s">
        <v>78</v>
      </c>
      <c r="E414" s="224" t="s">
        <v>600</v>
      </c>
      <c r="F414" s="224" t="s">
        <v>946</v>
      </c>
      <c r="G414" s="224" t="s">
        <v>44</v>
      </c>
      <c r="H414" s="230">
        <v>1368.4</v>
      </c>
      <c r="I414" s="224" t="e">
        <f>#REF!</f>
        <v>#REF!</v>
      </c>
      <c r="J414" s="385" t="e">
        <f t="shared" si="6"/>
        <v>#REF!</v>
      </c>
    </row>
    <row r="415" spans="1:26" x14ac:dyDescent="0.2">
      <c r="A415" s="231"/>
      <c r="B415" s="315" t="s">
        <v>1661</v>
      </c>
      <c r="C415" s="226" t="s">
        <v>628</v>
      </c>
      <c r="D415" s="227" t="s">
        <v>441</v>
      </c>
      <c r="E415" s="226" t="s">
        <v>600</v>
      </c>
      <c r="F415" s="226" t="s">
        <v>946</v>
      </c>
      <c r="G415" s="226" t="s">
        <v>44</v>
      </c>
      <c r="H415" s="229">
        <v>3678.4</v>
      </c>
      <c r="I415" s="226" t="e">
        <f>#REF!</f>
        <v>#REF!</v>
      </c>
      <c r="J415" s="387" t="e">
        <f t="shared" si="6"/>
        <v>#REF!</v>
      </c>
    </row>
    <row r="416" spans="1:26" x14ac:dyDescent="0.2">
      <c r="A416" s="231"/>
      <c r="B416" s="316" t="s">
        <v>1689</v>
      </c>
      <c r="C416" s="224" t="s">
        <v>628</v>
      </c>
      <c r="D416" s="228" t="s">
        <v>440</v>
      </c>
      <c r="E416" s="224" t="s">
        <v>600</v>
      </c>
      <c r="F416" s="224" t="s">
        <v>946</v>
      </c>
      <c r="G416" s="224" t="s">
        <v>44</v>
      </c>
      <c r="H416" s="230">
        <v>4316.4000000000005</v>
      </c>
      <c r="I416" s="224" t="e">
        <f>#REF!</f>
        <v>#REF!</v>
      </c>
      <c r="J416" s="385" t="e">
        <f t="shared" si="6"/>
        <v>#REF!</v>
      </c>
    </row>
    <row r="417" spans="1:26" x14ac:dyDescent="0.2">
      <c r="A417" s="231"/>
      <c r="B417" s="315" t="s">
        <v>1717</v>
      </c>
      <c r="C417" s="226" t="s">
        <v>628</v>
      </c>
      <c r="D417" s="227" t="s">
        <v>429</v>
      </c>
      <c r="E417" s="226" t="s">
        <v>600</v>
      </c>
      <c r="F417" s="226" t="s">
        <v>946</v>
      </c>
      <c r="G417" s="226" t="s">
        <v>44</v>
      </c>
      <c r="H417" s="229">
        <v>5601.2000000000007</v>
      </c>
      <c r="I417" s="226" t="e">
        <f>#REF!</f>
        <v>#REF!</v>
      </c>
      <c r="J417" s="387" t="e">
        <f t="shared" si="6"/>
        <v>#REF!</v>
      </c>
    </row>
    <row r="418" spans="1:26" x14ac:dyDescent="0.2">
      <c r="A418" s="231"/>
      <c r="B418" s="316" t="s">
        <v>1803</v>
      </c>
      <c r="C418" s="224" t="s">
        <v>628</v>
      </c>
      <c r="D418" s="228" t="s">
        <v>477</v>
      </c>
      <c r="E418" s="224" t="s">
        <v>600</v>
      </c>
      <c r="F418" s="224" t="s">
        <v>946</v>
      </c>
      <c r="G418" s="224" t="s">
        <v>44</v>
      </c>
      <c r="H418" s="230">
        <v>16711.2</v>
      </c>
      <c r="I418" s="224" t="e">
        <f>#REF!</f>
        <v>#REF!</v>
      </c>
      <c r="J418" s="385" t="e">
        <f t="shared" si="6"/>
        <v>#REF!</v>
      </c>
    </row>
    <row r="419" spans="1:26" x14ac:dyDescent="0.2">
      <c r="A419" s="231"/>
      <c r="B419" s="315" t="s">
        <v>1806</v>
      </c>
      <c r="C419" s="226" t="s">
        <v>628</v>
      </c>
      <c r="D419" s="227" t="s">
        <v>480</v>
      </c>
      <c r="E419" s="226" t="s">
        <v>600</v>
      </c>
      <c r="F419" s="226" t="s">
        <v>946</v>
      </c>
      <c r="G419" s="226" t="s">
        <v>44</v>
      </c>
      <c r="H419" s="229">
        <v>20820.800000000003</v>
      </c>
      <c r="I419" s="226" t="e">
        <f>#REF!</f>
        <v>#REF!</v>
      </c>
      <c r="J419" s="387" t="e">
        <f t="shared" si="6"/>
        <v>#REF!</v>
      </c>
    </row>
    <row r="420" spans="1:26" x14ac:dyDescent="0.2">
      <c r="A420" s="231"/>
      <c r="B420" s="316" t="s">
        <v>1818</v>
      </c>
      <c r="C420" s="224" t="s">
        <v>628</v>
      </c>
      <c r="D420" s="228" t="s">
        <v>485</v>
      </c>
      <c r="E420" s="224" t="s">
        <v>600</v>
      </c>
      <c r="F420" s="224" t="s">
        <v>946</v>
      </c>
      <c r="G420" s="224" t="s">
        <v>44</v>
      </c>
      <c r="H420" s="230">
        <v>50199.600000000006</v>
      </c>
      <c r="I420" s="224" t="e">
        <f>#REF!</f>
        <v>#REF!</v>
      </c>
      <c r="J420" s="385" t="e">
        <f t="shared" si="6"/>
        <v>#REF!</v>
      </c>
    </row>
    <row r="421" spans="1:26" x14ac:dyDescent="0.2">
      <c r="A421" s="231"/>
      <c r="B421" s="315" t="s">
        <v>1805</v>
      </c>
      <c r="C421" s="226" t="s">
        <v>628</v>
      </c>
      <c r="D421" s="227" t="s">
        <v>479</v>
      </c>
      <c r="E421" s="226" t="s">
        <v>600</v>
      </c>
      <c r="F421" s="226" t="s">
        <v>946</v>
      </c>
      <c r="G421" s="226" t="s">
        <v>44</v>
      </c>
      <c r="H421" s="229">
        <v>20178.400000000001</v>
      </c>
      <c r="I421" s="226" t="e">
        <f>#REF!</f>
        <v>#REF!</v>
      </c>
      <c r="J421" s="387" t="e">
        <f t="shared" si="6"/>
        <v>#REF!</v>
      </c>
    </row>
    <row r="422" spans="1:26" x14ac:dyDescent="0.2">
      <c r="A422" s="231"/>
      <c r="B422" s="316" t="s">
        <v>1664</v>
      </c>
      <c r="C422" s="224" t="s">
        <v>628</v>
      </c>
      <c r="D422" s="228" t="s">
        <v>403</v>
      </c>
      <c r="E422" s="224" t="s">
        <v>600</v>
      </c>
      <c r="F422" s="224" t="s">
        <v>946</v>
      </c>
      <c r="G422" s="224" t="s">
        <v>44</v>
      </c>
      <c r="H422" s="230">
        <v>3817.0000000000014</v>
      </c>
      <c r="I422" s="224" t="e">
        <f>#REF!</f>
        <v>#REF!</v>
      </c>
      <c r="J422" s="385" t="e">
        <f t="shared" si="6"/>
        <v>#REF!</v>
      </c>
    </row>
    <row r="423" spans="1:26" x14ac:dyDescent="0.2">
      <c r="A423" s="231"/>
      <c r="B423" s="315" t="s">
        <v>1650</v>
      </c>
      <c r="C423" s="226" t="s">
        <v>628</v>
      </c>
      <c r="D423" s="227" t="s">
        <v>457</v>
      </c>
      <c r="E423" s="226" t="s">
        <v>600</v>
      </c>
      <c r="F423" s="226" t="s">
        <v>946</v>
      </c>
      <c r="G423" s="226" t="s">
        <v>42</v>
      </c>
      <c r="H423" s="229">
        <v>3344.0000000000005</v>
      </c>
      <c r="I423" s="226" t="e">
        <f>#REF!</f>
        <v>#REF!</v>
      </c>
      <c r="J423" s="387" t="e">
        <f t="shared" si="6"/>
        <v>#REF!</v>
      </c>
      <c r="O423" s="361"/>
      <c r="P423" s="361"/>
      <c r="Q423" s="361"/>
      <c r="R423" s="361"/>
      <c r="S423" s="361"/>
      <c r="T423" s="361"/>
      <c r="U423" s="361"/>
      <c r="V423" s="361"/>
      <c r="W423" s="361"/>
      <c r="X423" s="361"/>
      <c r="Y423" s="361"/>
      <c r="Z423" s="361"/>
    </row>
    <row r="424" spans="1:26" x14ac:dyDescent="0.2">
      <c r="A424" s="231"/>
      <c r="B424" s="316" t="s">
        <v>1697</v>
      </c>
      <c r="C424" s="224" t="s">
        <v>628</v>
      </c>
      <c r="D424" s="228" t="s">
        <v>528</v>
      </c>
      <c r="E424" s="224" t="s">
        <v>600</v>
      </c>
      <c r="F424" s="224" t="s">
        <v>946</v>
      </c>
      <c r="G424" s="224" t="s">
        <v>44</v>
      </c>
      <c r="H424" s="230">
        <v>4615.6000000000004</v>
      </c>
      <c r="I424" s="224" t="e">
        <f>#REF!</f>
        <v>#REF!</v>
      </c>
      <c r="J424" s="385" t="e">
        <f t="shared" si="6"/>
        <v>#REF!</v>
      </c>
    </row>
    <row r="425" spans="1:26" x14ac:dyDescent="0.2">
      <c r="A425" s="231"/>
      <c r="B425" s="315" t="s">
        <v>1782</v>
      </c>
      <c r="C425" s="226" t="s">
        <v>628</v>
      </c>
      <c r="D425" s="227" t="s">
        <v>475</v>
      </c>
      <c r="E425" s="226" t="s">
        <v>600</v>
      </c>
      <c r="F425" s="226" t="s">
        <v>946</v>
      </c>
      <c r="G425" s="226" t="s">
        <v>44</v>
      </c>
      <c r="H425" s="229">
        <v>11171.6</v>
      </c>
      <c r="I425" s="226" t="e">
        <f>#REF!</f>
        <v>#REF!</v>
      </c>
      <c r="J425" s="387" t="e">
        <f t="shared" si="6"/>
        <v>#REF!</v>
      </c>
    </row>
    <row r="426" spans="1:26" x14ac:dyDescent="0.2">
      <c r="A426" s="231"/>
      <c r="B426" s="316" t="s">
        <v>1700</v>
      </c>
      <c r="C426" s="224" t="s">
        <v>628</v>
      </c>
      <c r="D426" s="228" t="s">
        <v>412</v>
      </c>
      <c r="E426" s="224" t="s">
        <v>600</v>
      </c>
      <c r="F426" s="224" t="s">
        <v>946</v>
      </c>
      <c r="G426" s="224" t="s">
        <v>631</v>
      </c>
      <c r="H426" s="230">
        <v>4664.0000000000018</v>
      </c>
      <c r="I426" s="224" t="e">
        <f>#REF!</f>
        <v>#REF!</v>
      </c>
      <c r="J426" s="385" t="e">
        <f t="shared" si="6"/>
        <v>#REF!</v>
      </c>
      <c r="O426" s="361"/>
      <c r="P426" s="361"/>
      <c r="Q426" s="361"/>
      <c r="R426" s="361"/>
      <c r="S426" s="361"/>
      <c r="T426" s="361"/>
      <c r="U426" s="361"/>
      <c r="V426" s="361"/>
      <c r="W426" s="361"/>
      <c r="X426" s="361"/>
      <c r="Y426" s="361"/>
      <c r="Z426" s="361"/>
    </row>
    <row r="427" spans="1:26" x14ac:dyDescent="0.2">
      <c r="A427" s="231"/>
      <c r="B427" s="315" t="s">
        <v>1630</v>
      </c>
      <c r="C427" s="226" t="s">
        <v>628</v>
      </c>
      <c r="D427" s="227" t="s">
        <v>517</v>
      </c>
      <c r="E427" s="226" t="s">
        <v>600</v>
      </c>
      <c r="F427" s="226" t="s">
        <v>946</v>
      </c>
      <c r="G427" s="226" t="s">
        <v>42</v>
      </c>
      <c r="H427" s="229">
        <v>2838.0000000000005</v>
      </c>
      <c r="I427" s="226" t="e">
        <f>#REF!</f>
        <v>#REF!</v>
      </c>
      <c r="J427" s="387" t="e">
        <f t="shared" si="6"/>
        <v>#REF!</v>
      </c>
      <c r="O427" s="361"/>
      <c r="P427" s="361"/>
      <c r="Q427" s="361"/>
      <c r="R427" s="361"/>
      <c r="S427" s="361"/>
      <c r="T427" s="361"/>
      <c r="U427" s="361"/>
      <c r="V427" s="361"/>
      <c r="W427" s="361"/>
      <c r="X427" s="361"/>
      <c r="Y427" s="361"/>
      <c r="Z427" s="361"/>
    </row>
    <row r="428" spans="1:26" x14ac:dyDescent="0.2">
      <c r="A428" s="231"/>
      <c r="B428" s="316" t="s">
        <v>1673</v>
      </c>
      <c r="C428" s="224" t="s">
        <v>628</v>
      </c>
      <c r="D428" s="228" t="s">
        <v>518</v>
      </c>
      <c r="E428" s="224" t="s">
        <v>600</v>
      </c>
      <c r="F428" s="224" t="s">
        <v>946</v>
      </c>
      <c r="G428" s="224" t="s">
        <v>42</v>
      </c>
      <c r="H428" s="230">
        <v>4008.4000000000005</v>
      </c>
      <c r="I428" s="224" t="e">
        <f>#REF!</f>
        <v>#REF!</v>
      </c>
      <c r="J428" s="385" t="e">
        <f t="shared" si="6"/>
        <v>#REF!</v>
      </c>
      <c r="O428" s="361"/>
      <c r="P428" s="361"/>
      <c r="Q428" s="361"/>
      <c r="R428" s="361"/>
      <c r="S428" s="361"/>
      <c r="T428" s="361"/>
      <c r="U428" s="361"/>
      <c r="V428" s="361"/>
      <c r="W428" s="361"/>
      <c r="X428" s="361"/>
      <c r="Y428" s="361"/>
      <c r="Z428" s="361"/>
    </row>
    <row r="429" spans="1:26" x14ac:dyDescent="0.2">
      <c r="A429" s="231"/>
      <c r="B429" s="315" t="s">
        <v>1677</v>
      </c>
      <c r="C429" s="226" t="s">
        <v>628</v>
      </c>
      <c r="D429" s="227" t="s">
        <v>519</v>
      </c>
      <c r="E429" s="226" t="s">
        <v>600</v>
      </c>
      <c r="F429" s="226" t="s">
        <v>946</v>
      </c>
      <c r="G429" s="226" t="s">
        <v>42</v>
      </c>
      <c r="H429" s="229">
        <v>4100.8</v>
      </c>
      <c r="I429" s="226" t="e">
        <f>#REF!</f>
        <v>#REF!</v>
      </c>
      <c r="J429" s="387" t="e">
        <f t="shared" si="6"/>
        <v>#REF!</v>
      </c>
      <c r="O429" s="361"/>
      <c r="P429" s="361"/>
      <c r="Q429" s="361"/>
      <c r="R429" s="361"/>
      <c r="S429" s="361"/>
      <c r="T429" s="361"/>
      <c r="U429" s="361"/>
      <c r="V429" s="361"/>
      <c r="W429" s="361"/>
      <c r="X429" s="361"/>
      <c r="Y429" s="361"/>
      <c r="Z429" s="361"/>
    </row>
    <row r="430" spans="1:26" x14ac:dyDescent="0.2">
      <c r="A430" s="231"/>
      <c r="B430" s="316" t="s">
        <v>1808</v>
      </c>
      <c r="C430" s="224" t="s">
        <v>628</v>
      </c>
      <c r="D430" s="228" t="s">
        <v>58</v>
      </c>
      <c r="E430" s="224" t="s">
        <v>600</v>
      </c>
      <c r="F430" s="224" t="s">
        <v>946</v>
      </c>
      <c r="G430" s="224" t="s">
        <v>42</v>
      </c>
      <c r="H430" s="230">
        <v>21587.500000000004</v>
      </c>
      <c r="I430" s="224" t="e">
        <f>#REF!</f>
        <v>#REF!</v>
      </c>
      <c r="J430" s="385" t="e">
        <f t="shared" si="6"/>
        <v>#REF!</v>
      </c>
      <c r="O430" s="361"/>
      <c r="P430" s="361"/>
      <c r="Q430" s="361"/>
      <c r="R430" s="361"/>
      <c r="S430" s="361"/>
      <c r="T430" s="361"/>
      <c r="U430" s="361"/>
      <c r="V430" s="361"/>
      <c r="W430" s="361"/>
      <c r="X430" s="361"/>
      <c r="Y430" s="361"/>
      <c r="Z430" s="361"/>
    </row>
    <row r="431" spans="1:26" x14ac:dyDescent="0.2">
      <c r="A431" s="231"/>
      <c r="B431" s="315" t="s">
        <v>1797</v>
      </c>
      <c r="C431" s="226" t="s">
        <v>628</v>
      </c>
      <c r="D431" s="227" t="s">
        <v>501</v>
      </c>
      <c r="E431" s="226" t="s">
        <v>600</v>
      </c>
      <c r="F431" s="226" t="s">
        <v>946</v>
      </c>
      <c r="G431" s="226" t="s">
        <v>44</v>
      </c>
      <c r="H431" s="229">
        <v>13882.000000000002</v>
      </c>
      <c r="I431" s="226" t="e">
        <f>#REF!</f>
        <v>#REF!</v>
      </c>
      <c r="J431" s="387" t="e">
        <f t="shared" si="6"/>
        <v>#REF!</v>
      </c>
    </row>
    <row r="432" spans="1:26" x14ac:dyDescent="0.2">
      <c r="A432" s="231"/>
      <c r="B432" s="316" t="s">
        <v>1611</v>
      </c>
      <c r="C432" s="224" t="s">
        <v>628</v>
      </c>
      <c r="D432" s="228" t="s">
        <v>74</v>
      </c>
      <c r="E432" s="224" t="s">
        <v>600</v>
      </c>
      <c r="F432" s="224" t="s">
        <v>946</v>
      </c>
      <c r="G432" s="224" t="s">
        <v>44</v>
      </c>
      <c r="H432" s="230">
        <v>2428.8000000000002</v>
      </c>
      <c r="I432" s="224" t="e">
        <f>#REF!</f>
        <v>#REF!</v>
      </c>
      <c r="J432" s="385" t="e">
        <f t="shared" si="6"/>
        <v>#REF!</v>
      </c>
    </row>
    <row r="433" spans="1:26" x14ac:dyDescent="0.2">
      <c r="A433" s="231" t="s">
        <v>2118</v>
      </c>
      <c r="B433" s="315" t="s">
        <v>1732</v>
      </c>
      <c r="C433" s="226" t="s">
        <v>628</v>
      </c>
      <c r="D433" s="227" t="s">
        <v>52</v>
      </c>
      <c r="E433" s="226" t="s">
        <v>600</v>
      </c>
      <c r="F433" s="226" t="s">
        <v>946</v>
      </c>
      <c r="G433" s="226" t="s">
        <v>43</v>
      </c>
      <c r="H433" s="229">
        <v>6692.4000000000005</v>
      </c>
      <c r="I433" s="226" t="e">
        <f>#REF!</f>
        <v>#REF!</v>
      </c>
      <c r="J433" s="387" t="e">
        <f t="shared" si="6"/>
        <v>#REF!</v>
      </c>
      <c r="O433" s="361"/>
      <c r="P433" s="361"/>
      <c r="Q433" s="361"/>
      <c r="R433" s="361"/>
      <c r="S433" s="361"/>
      <c r="T433" s="361"/>
      <c r="U433" s="361"/>
      <c r="V433" s="361"/>
      <c r="W433" s="361"/>
      <c r="X433" s="361"/>
      <c r="Y433" s="361"/>
      <c r="Z433" s="361"/>
    </row>
    <row r="434" spans="1:26" x14ac:dyDescent="0.2">
      <c r="A434" s="231"/>
      <c r="B434" s="316" t="s">
        <v>1790</v>
      </c>
      <c r="C434" s="224" t="s">
        <v>628</v>
      </c>
      <c r="D434" s="228" t="s">
        <v>51</v>
      </c>
      <c r="E434" s="224" t="s">
        <v>600</v>
      </c>
      <c r="F434" s="224" t="s">
        <v>946</v>
      </c>
      <c r="G434" s="224" t="s">
        <v>43</v>
      </c>
      <c r="H434" s="230">
        <v>13002.000000000002</v>
      </c>
      <c r="I434" s="224" t="e">
        <f>#REF!</f>
        <v>#REF!</v>
      </c>
      <c r="J434" s="385" t="e">
        <f t="shared" si="6"/>
        <v>#REF!</v>
      </c>
      <c r="O434" s="361"/>
      <c r="P434" s="361"/>
      <c r="Q434" s="361"/>
      <c r="R434" s="361"/>
      <c r="S434" s="361"/>
      <c r="T434" s="361"/>
      <c r="U434" s="361"/>
      <c r="V434" s="361"/>
      <c r="W434" s="361"/>
      <c r="X434" s="361"/>
      <c r="Y434" s="361"/>
      <c r="Z434" s="361"/>
    </row>
    <row r="435" spans="1:26" x14ac:dyDescent="0.2">
      <c r="A435" s="231"/>
      <c r="B435" s="315" t="s">
        <v>1592</v>
      </c>
      <c r="C435" s="226" t="s">
        <v>628</v>
      </c>
      <c r="D435" s="227" t="s">
        <v>509</v>
      </c>
      <c r="E435" s="226" t="s">
        <v>600</v>
      </c>
      <c r="F435" s="226" t="s">
        <v>946</v>
      </c>
      <c r="G435" s="226" t="s">
        <v>44</v>
      </c>
      <c r="H435" s="229">
        <v>1856.8000000000002</v>
      </c>
      <c r="I435" s="226" t="e">
        <f>#REF!</f>
        <v>#REF!</v>
      </c>
      <c r="J435" s="387" t="e">
        <f t="shared" si="6"/>
        <v>#REF!</v>
      </c>
    </row>
    <row r="436" spans="1:26" x14ac:dyDescent="0.2">
      <c r="A436" s="231"/>
      <c r="B436" s="316" t="s">
        <v>1607</v>
      </c>
      <c r="C436" s="224" t="s">
        <v>628</v>
      </c>
      <c r="D436" s="228" t="s">
        <v>512</v>
      </c>
      <c r="E436" s="224" t="s">
        <v>600</v>
      </c>
      <c r="F436" s="224" t="s">
        <v>946</v>
      </c>
      <c r="G436" s="224" t="s">
        <v>41</v>
      </c>
      <c r="H436" s="230">
        <v>2235.2000000000003</v>
      </c>
      <c r="I436" s="224" t="e">
        <f>#REF!</f>
        <v>#REF!</v>
      </c>
      <c r="J436" s="385" t="e">
        <f t="shared" si="6"/>
        <v>#REF!</v>
      </c>
      <c r="O436" s="361"/>
      <c r="P436" s="361"/>
      <c r="Q436" s="361"/>
      <c r="R436" s="361"/>
      <c r="S436" s="361"/>
      <c r="T436" s="361"/>
      <c r="U436" s="361"/>
      <c r="V436" s="361"/>
      <c r="W436" s="361"/>
      <c r="X436" s="361"/>
      <c r="Y436" s="361"/>
      <c r="Z436" s="361"/>
    </row>
    <row r="437" spans="1:26" x14ac:dyDescent="0.2">
      <c r="A437" s="231"/>
      <c r="B437" s="315" t="s">
        <v>1799</v>
      </c>
      <c r="C437" s="226" t="s">
        <v>628</v>
      </c>
      <c r="D437" s="227" t="s">
        <v>476</v>
      </c>
      <c r="E437" s="226" t="s">
        <v>600</v>
      </c>
      <c r="F437" s="226" t="s">
        <v>946</v>
      </c>
      <c r="G437" s="226" t="s">
        <v>44</v>
      </c>
      <c r="H437" s="229">
        <v>14330.800000000001</v>
      </c>
      <c r="I437" s="226" t="e">
        <f>#REF!</f>
        <v>#REF!</v>
      </c>
      <c r="J437" s="387" t="e">
        <f t="shared" si="6"/>
        <v>#REF!</v>
      </c>
    </row>
    <row r="438" spans="1:26" x14ac:dyDescent="0.2">
      <c r="A438" s="231"/>
      <c r="B438" s="316" t="s">
        <v>1631</v>
      </c>
      <c r="C438" s="224" t="s">
        <v>628</v>
      </c>
      <c r="D438" s="228" t="s">
        <v>63</v>
      </c>
      <c r="E438" s="224" t="s">
        <v>600</v>
      </c>
      <c r="F438" s="224" t="s">
        <v>946</v>
      </c>
      <c r="G438" s="224" t="s">
        <v>41</v>
      </c>
      <c r="H438" s="230">
        <v>2838.0000000000005</v>
      </c>
      <c r="I438" s="224" t="e">
        <f>#REF!</f>
        <v>#REF!</v>
      </c>
      <c r="J438" s="385" t="e">
        <f t="shared" si="6"/>
        <v>#REF!</v>
      </c>
      <c r="O438" s="361"/>
      <c r="P438" s="361"/>
      <c r="Q438" s="361"/>
      <c r="R438" s="361"/>
      <c r="S438" s="361"/>
      <c r="T438" s="361"/>
      <c r="U438" s="361"/>
      <c r="V438" s="361"/>
      <c r="W438" s="361"/>
      <c r="X438" s="361"/>
      <c r="Y438" s="361"/>
      <c r="Z438" s="361"/>
    </row>
    <row r="439" spans="1:26" x14ac:dyDescent="0.2">
      <c r="A439" s="231"/>
      <c r="B439" s="315" t="s">
        <v>1811</v>
      </c>
      <c r="C439" s="226" t="s">
        <v>628</v>
      </c>
      <c r="D439" s="227" t="s">
        <v>49</v>
      </c>
      <c r="E439" s="226" t="s">
        <v>600</v>
      </c>
      <c r="F439" s="226" t="s">
        <v>946</v>
      </c>
      <c r="G439" s="226" t="s">
        <v>43</v>
      </c>
      <c r="H439" s="229">
        <v>24490.400000000001</v>
      </c>
      <c r="I439" s="226" t="e">
        <f>#REF!</f>
        <v>#REF!</v>
      </c>
      <c r="J439" s="387" t="e">
        <f t="shared" si="6"/>
        <v>#REF!</v>
      </c>
      <c r="O439" s="361"/>
      <c r="P439" s="361"/>
      <c r="Q439" s="361"/>
      <c r="R439" s="361"/>
      <c r="S439" s="361"/>
      <c r="T439" s="361"/>
      <c r="U439" s="361"/>
      <c r="V439" s="361"/>
      <c r="W439" s="361"/>
      <c r="X439" s="361"/>
      <c r="Y439" s="361"/>
      <c r="Z439" s="361"/>
    </row>
    <row r="440" spans="1:26" x14ac:dyDescent="0.2">
      <c r="A440" s="231"/>
      <c r="B440" s="316" t="s">
        <v>1587</v>
      </c>
      <c r="C440" s="224" t="s">
        <v>628</v>
      </c>
      <c r="D440" s="228" t="s">
        <v>508</v>
      </c>
      <c r="E440" s="224" t="s">
        <v>600</v>
      </c>
      <c r="F440" s="224" t="s">
        <v>946</v>
      </c>
      <c r="G440" s="224" t="s">
        <v>44</v>
      </c>
      <c r="H440" s="230">
        <v>1755.6000000000001</v>
      </c>
      <c r="I440" s="224" t="e">
        <f>#REF!</f>
        <v>#REF!</v>
      </c>
      <c r="J440" s="385" t="e">
        <f t="shared" si="6"/>
        <v>#REF!</v>
      </c>
    </row>
    <row r="441" spans="1:26" x14ac:dyDescent="0.2">
      <c r="A441" s="231"/>
      <c r="B441" s="315" t="s">
        <v>1527</v>
      </c>
      <c r="C441" s="226" t="s">
        <v>628</v>
      </c>
      <c r="D441" s="227" t="s">
        <v>359</v>
      </c>
      <c r="E441" s="226" t="s">
        <v>600</v>
      </c>
      <c r="F441" s="226" t="s">
        <v>946</v>
      </c>
      <c r="G441" s="226" t="s">
        <v>44</v>
      </c>
      <c r="H441" s="229">
        <v>774.40000000000009</v>
      </c>
      <c r="I441" s="226" t="e">
        <f>#REF!</f>
        <v>#REF!</v>
      </c>
      <c r="J441" s="387" t="e">
        <f t="shared" si="6"/>
        <v>#REF!</v>
      </c>
    </row>
    <row r="442" spans="1:26" x14ac:dyDescent="0.2">
      <c r="A442" s="231"/>
      <c r="B442" s="316" t="s">
        <v>1600</v>
      </c>
      <c r="C442" s="224" t="s">
        <v>628</v>
      </c>
      <c r="D442" s="228" t="s">
        <v>72</v>
      </c>
      <c r="E442" s="224" t="s">
        <v>600</v>
      </c>
      <c r="F442" s="224" t="s">
        <v>946</v>
      </c>
      <c r="G442" s="224" t="s">
        <v>44</v>
      </c>
      <c r="H442" s="230">
        <v>1984.4</v>
      </c>
      <c r="I442" s="224" t="e">
        <f>#REF!</f>
        <v>#REF!</v>
      </c>
      <c r="J442" s="385" t="e">
        <f t="shared" si="6"/>
        <v>#REF!</v>
      </c>
    </row>
    <row r="443" spans="1:26" x14ac:dyDescent="0.2">
      <c r="A443" s="231"/>
      <c r="B443" s="315" t="s">
        <v>1622</v>
      </c>
      <c r="C443" s="226" t="s">
        <v>628</v>
      </c>
      <c r="D443" s="227" t="s">
        <v>73</v>
      </c>
      <c r="E443" s="226" t="s">
        <v>600</v>
      </c>
      <c r="F443" s="226" t="s">
        <v>946</v>
      </c>
      <c r="G443" s="226" t="s">
        <v>44</v>
      </c>
      <c r="H443" s="229">
        <v>2714.8</v>
      </c>
      <c r="I443" s="226" t="e">
        <f>#REF!</f>
        <v>#REF!</v>
      </c>
      <c r="J443" s="387" t="e">
        <f t="shared" si="6"/>
        <v>#REF!</v>
      </c>
    </row>
    <row r="444" spans="1:26" x14ac:dyDescent="0.2">
      <c r="A444" s="231"/>
      <c r="B444" s="316" t="s">
        <v>1814</v>
      </c>
      <c r="C444" s="224" t="s">
        <v>628</v>
      </c>
      <c r="D444" s="228" t="s">
        <v>482</v>
      </c>
      <c r="E444" s="224" t="s">
        <v>600</v>
      </c>
      <c r="F444" s="224" t="s">
        <v>946</v>
      </c>
      <c r="G444" s="224" t="s">
        <v>44</v>
      </c>
      <c r="H444" s="230">
        <v>26694.800000000003</v>
      </c>
      <c r="I444" s="224" t="e">
        <f>#REF!</f>
        <v>#REF!</v>
      </c>
      <c r="J444" s="385" t="e">
        <f t="shared" si="6"/>
        <v>#REF!</v>
      </c>
    </row>
    <row r="445" spans="1:26" x14ac:dyDescent="0.2">
      <c r="A445" s="231"/>
      <c r="B445" s="315" t="s">
        <v>1779</v>
      </c>
      <c r="C445" s="226" t="s">
        <v>628</v>
      </c>
      <c r="D445" s="227" t="s">
        <v>500</v>
      </c>
      <c r="E445" s="226" t="s">
        <v>600</v>
      </c>
      <c r="F445" s="226" t="s">
        <v>946</v>
      </c>
      <c r="G445" s="226" t="s">
        <v>44</v>
      </c>
      <c r="H445" s="229">
        <v>10898.800000000001</v>
      </c>
      <c r="I445" s="226" t="e">
        <f>#REF!</f>
        <v>#REF!</v>
      </c>
      <c r="J445" s="387" t="e">
        <f t="shared" si="6"/>
        <v>#REF!</v>
      </c>
    </row>
    <row r="446" spans="1:26" x14ac:dyDescent="0.2">
      <c r="A446" s="231"/>
      <c r="B446" s="316" t="s">
        <v>1625</v>
      </c>
      <c r="C446" s="224" t="s">
        <v>628</v>
      </c>
      <c r="D446" s="228" t="s">
        <v>62</v>
      </c>
      <c r="E446" s="224" t="s">
        <v>600</v>
      </c>
      <c r="F446" s="224" t="s">
        <v>946</v>
      </c>
      <c r="G446" s="224" t="s">
        <v>44</v>
      </c>
      <c r="H446" s="230">
        <v>2750</v>
      </c>
      <c r="I446" s="224" t="e">
        <f>#REF!</f>
        <v>#REF!</v>
      </c>
      <c r="J446" s="385" t="e">
        <f t="shared" si="6"/>
        <v>#REF!</v>
      </c>
    </row>
    <row r="447" spans="1:26" x14ac:dyDescent="0.2">
      <c r="A447" s="231"/>
      <c r="B447" s="315" t="s">
        <v>1810</v>
      </c>
      <c r="C447" s="226" t="s">
        <v>628</v>
      </c>
      <c r="D447" s="227" t="s">
        <v>65</v>
      </c>
      <c r="E447" s="226" t="s">
        <v>600</v>
      </c>
      <c r="F447" s="226" t="s">
        <v>946</v>
      </c>
      <c r="G447" s="226" t="s">
        <v>44</v>
      </c>
      <c r="H447" s="229">
        <v>22145.200000000001</v>
      </c>
      <c r="I447" s="226" t="e">
        <f>#REF!</f>
        <v>#REF!</v>
      </c>
      <c r="J447" s="387" t="e">
        <f t="shared" si="6"/>
        <v>#REF!</v>
      </c>
    </row>
    <row r="448" spans="1:26" x14ac:dyDescent="0.2">
      <c r="A448" s="231"/>
      <c r="B448" s="316" t="s">
        <v>998</v>
      </c>
      <c r="C448" s="224" t="s">
        <v>628</v>
      </c>
      <c r="D448" s="228" t="s">
        <v>77</v>
      </c>
      <c r="E448" s="224" t="s">
        <v>600</v>
      </c>
      <c r="F448" s="224" t="s">
        <v>946</v>
      </c>
      <c r="G448" s="224" t="s">
        <v>44</v>
      </c>
      <c r="H448" s="230">
        <v>1544.4</v>
      </c>
      <c r="I448" s="224" t="e">
        <f>#REF!</f>
        <v>#REF!</v>
      </c>
      <c r="J448" s="385" t="e">
        <f t="shared" si="6"/>
        <v>#REF!</v>
      </c>
    </row>
    <row r="449" spans="1:26" x14ac:dyDescent="0.2">
      <c r="A449" s="231"/>
      <c r="B449" s="315" t="s">
        <v>996</v>
      </c>
      <c r="C449" s="226" t="s">
        <v>628</v>
      </c>
      <c r="D449" s="227" t="s">
        <v>76</v>
      </c>
      <c r="E449" s="226" t="s">
        <v>600</v>
      </c>
      <c r="F449" s="226" t="s">
        <v>946</v>
      </c>
      <c r="G449" s="226" t="s">
        <v>44</v>
      </c>
      <c r="H449" s="229">
        <v>1698.4</v>
      </c>
      <c r="I449" s="226" t="e">
        <f>#REF!</f>
        <v>#REF!</v>
      </c>
      <c r="J449" s="387" t="e">
        <f t="shared" si="6"/>
        <v>#REF!</v>
      </c>
    </row>
    <row r="450" spans="1:26" x14ac:dyDescent="0.2">
      <c r="A450" s="231"/>
      <c r="B450" s="316" t="s">
        <v>1659</v>
      </c>
      <c r="C450" s="224" t="s">
        <v>628</v>
      </c>
      <c r="D450" s="228" t="s">
        <v>545</v>
      </c>
      <c r="E450" s="224" t="s">
        <v>600</v>
      </c>
      <c r="F450" s="224" t="s">
        <v>946</v>
      </c>
      <c r="G450" s="224" t="s">
        <v>44</v>
      </c>
      <c r="H450" s="230">
        <v>3616.8</v>
      </c>
      <c r="I450" s="224" t="e">
        <f>#REF!</f>
        <v>#REF!</v>
      </c>
      <c r="J450" s="385" t="e">
        <f t="shared" si="6"/>
        <v>#REF!</v>
      </c>
    </row>
    <row r="451" spans="1:26" x14ac:dyDescent="0.2">
      <c r="A451" s="231"/>
      <c r="B451" s="323" t="s">
        <v>1735</v>
      </c>
      <c r="C451" s="226" t="s">
        <v>628</v>
      </c>
      <c r="D451" s="227" t="s">
        <v>398</v>
      </c>
      <c r="E451" s="226" t="s">
        <v>600</v>
      </c>
      <c r="F451" s="226" t="s">
        <v>946</v>
      </c>
      <c r="G451" s="226" t="s">
        <v>631</v>
      </c>
      <c r="H451" s="229">
        <v>6894.8</v>
      </c>
      <c r="I451" s="226" t="e">
        <f>#REF!</f>
        <v>#REF!</v>
      </c>
      <c r="J451" s="387" t="e">
        <f t="shared" si="6"/>
        <v>#REF!</v>
      </c>
      <c r="O451" s="361"/>
      <c r="P451" s="361"/>
      <c r="Q451" s="361"/>
      <c r="R451" s="361"/>
      <c r="S451" s="361"/>
      <c r="T451" s="361"/>
      <c r="U451" s="361"/>
      <c r="V451" s="361"/>
      <c r="W451" s="361"/>
      <c r="X451" s="361"/>
      <c r="Y451" s="361"/>
      <c r="Z451" s="361"/>
    </row>
    <row r="452" spans="1:26" x14ac:dyDescent="0.2">
      <c r="A452" s="231"/>
      <c r="B452" s="316" t="s">
        <v>1740</v>
      </c>
      <c r="C452" s="224" t="s">
        <v>628</v>
      </c>
      <c r="D452" s="228" t="s">
        <v>313</v>
      </c>
      <c r="E452" s="224" t="s">
        <v>600</v>
      </c>
      <c r="F452" s="224" t="s">
        <v>946</v>
      </c>
      <c r="G452" s="224" t="s">
        <v>42</v>
      </c>
      <c r="H452" s="230">
        <v>7114.8</v>
      </c>
      <c r="I452" s="224" t="e">
        <f>#REF!</f>
        <v>#REF!</v>
      </c>
      <c r="J452" s="385" t="e">
        <f t="shared" si="6"/>
        <v>#REF!</v>
      </c>
      <c r="O452" s="361"/>
      <c r="P452" s="361"/>
      <c r="Q452" s="361"/>
      <c r="R452" s="361"/>
      <c r="S452" s="361"/>
      <c r="T452" s="361"/>
      <c r="U452" s="361"/>
      <c r="V452" s="361"/>
      <c r="W452" s="361"/>
      <c r="X452" s="361"/>
      <c r="Y452" s="361"/>
      <c r="Z452" s="361"/>
    </row>
    <row r="453" spans="1:26" x14ac:dyDescent="0.2">
      <c r="A453" s="231"/>
      <c r="B453" s="315" t="s">
        <v>1728</v>
      </c>
      <c r="C453" s="226" t="s">
        <v>628</v>
      </c>
      <c r="D453" s="227" t="s">
        <v>316</v>
      </c>
      <c r="E453" s="226" t="s">
        <v>600</v>
      </c>
      <c r="F453" s="226" t="s">
        <v>946</v>
      </c>
      <c r="G453" s="226" t="s">
        <v>42</v>
      </c>
      <c r="H453" s="229">
        <v>6479.0000000000027</v>
      </c>
      <c r="I453" s="226" t="e">
        <f>#REF!</f>
        <v>#REF!</v>
      </c>
      <c r="J453" s="387" t="e">
        <f t="shared" si="6"/>
        <v>#REF!</v>
      </c>
      <c r="O453" s="361"/>
      <c r="P453" s="361"/>
      <c r="Q453" s="361"/>
      <c r="R453" s="361"/>
      <c r="S453" s="361"/>
      <c r="T453" s="361"/>
      <c r="U453" s="361"/>
      <c r="V453" s="361"/>
      <c r="W453" s="361"/>
      <c r="X453" s="361"/>
      <c r="Y453" s="361"/>
      <c r="Z453" s="361"/>
    </row>
    <row r="454" spans="1:26" x14ac:dyDescent="0.2">
      <c r="A454" s="231"/>
      <c r="B454" s="316" t="s">
        <v>1528</v>
      </c>
      <c r="C454" s="224" t="s">
        <v>628</v>
      </c>
      <c r="D454" s="228" t="s">
        <v>358</v>
      </c>
      <c r="E454" s="224" t="s">
        <v>600</v>
      </c>
      <c r="F454" s="224" t="s">
        <v>946</v>
      </c>
      <c r="G454" s="224" t="s">
        <v>44</v>
      </c>
      <c r="H454" s="230">
        <v>774.40000000000009</v>
      </c>
      <c r="I454" s="224" t="e">
        <f>#REF!</f>
        <v>#REF!</v>
      </c>
      <c r="J454" s="385" t="e">
        <f t="shared" ref="J454:J517" si="7">H454-H454*I454</f>
        <v>#REF!</v>
      </c>
    </row>
    <row r="455" spans="1:26" x14ac:dyDescent="0.2">
      <c r="A455" s="231"/>
      <c r="B455" s="315" t="s">
        <v>1570</v>
      </c>
      <c r="C455" s="226" t="s">
        <v>628</v>
      </c>
      <c r="D455" s="227" t="s">
        <v>361</v>
      </c>
      <c r="E455" s="226" t="s">
        <v>600</v>
      </c>
      <c r="F455" s="226" t="s">
        <v>946</v>
      </c>
      <c r="G455" s="226" t="s">
        <v>41</v>
      </c>
      <c r="H455" s="229">
        <v>1408</v>
      </c>
      <c r="I455" s="226" t="e">
        <f>#REF!</f>
        <v>#REF!</v>
      </c>
      <c r="J455" s="387" t="e">
        <f t="shared" si="7"/>
        <v>#REF!</v>
      </c>
      <c r="O455" s="361"/>
      <c r="P455" s="361"/>
      <c r="Q455" s="361"/>
      <c r="R455" s="361"/>
      <c r="S455" s="361"/>
      <c r="T455" s="361"/>
      <c r="U455" s="361"/>
      <c r="V455" s="361"/>
      <c r="W455" s="361"/>
      <c r="X455" s="361"/>
      <c r="Y455" s="361"/>
      <c r="Z455" s="361"/>
    </row>
    <row r="456" spans="1:26" x14ac:dyDescent="0.2">
      <c r="A456" s="231"/>
      <c r="B456" s="316" t="s">
        <v>1551</v>
      </c>
      <c r="C456" s="224" t="s">
        <v>628</v>
      </c>
      <c r="D456" s="228" t="s">
        <v>363</v>
      </c>
      <c r="E456" s="224" t="s">
        <v>600</v>
      </c>
      <c r="F456" s="224" t="s">
        <v>946</v>
      </c>
      <c r="G456" s="224" t="s">
        <v>631</v>
      </c>
      <c r="H456" s="230">
        <v>1091.2</v>
      </c>
      <c r="I456" s="224" t="e">
        <f>#REF!</f>
        <v>#REF!</v>
      </c>
      <c r="J456" s="385" t="e">
        <f t="shared" si="7"/>
        <v>#REF!</v>
      </c>
      <c r="O456" s="361"/>
      <c r="P456" s="361"/>
      <c r="Q456" s="361"/>
      <c r="R456" s="361"/>
      <c r="S456" s="361"/>
      <c r="T456" s="361"/>
      <c r="U456" s="361"/>
      <c r="V456" s="361"/>
      <c r="W456" s="361"/>
      <c r="X456" s="361"/>
      <c r="Y456" s="361"/>
      <c r="Z456" s="361"/>
    </row>
    <row r="457" spans="1:26" x14ac:dyDescent="0.2">
      <c r="A457" s="231"/>
      <c r="B457" s="315" t="s">
        <v>1556</v>
      </c>
      <c r="C457" s="226" t="s">
        <v>628</v>
      </c>
      <c r="D457" s="227" t="s">
        <v>377</v>
      </c>
      <c r="E457" s="226" t="s">
        <v>600</v>
      </c>
      <c r="F457" s="226" t="s">
        <v>946</v>
      </c>
      <c r="G457" s="226" t="s">
        <v>47</v>
      </c>
      <c r="H457" s="229">
        <v>1183.6000000000001</v>
      </c>
      <c r="I457" s="226" t="e">
        <f>#REF!</f>
        <v>#REF!</v>
      </c>
      <c r="J457" s="387" t="e">
        <f t="shared" si="7"/>
        <v>#REF!</v>
      </c>
      <c r="O457" s="361"/>
      <c r="P457" s="361"/>
      <c r="Q457" s="361"/>
      <c r="R457" s="361"/>
      <c r="S457" s="361"/>
      <c r="T457" s="361"/>
      <c r="U457" s="361"/>
      <c r="V457" s="361"/>
      <c r="W457" s="361"/>
      <c r="X457" s="361"/>
      <c r="Y457" s="361"/>
      <c r="Z457" s="361"/>
    </row>
    <row r="458" spans="1:26" x14ac:dyDescent="0.2">
      <c r="A458" s="231"/>
      <c r="B458" s="316" t="s">
        <v>999</v>
      </c>
      <c r="C458" s="224" t="s">
        <v>628</v>
      </c>
      <c r="D458" s="228" t="s">
        <v>327</v>
      </c>
      <c r="E458" s="224" t="s">
        <v>600</v>
      </c>
      <c r="F458" s="224" t="s">
        <v>946</v>
      </c>
      <c r="G458" s="224" t="s">
        <v>44</v>
      </c>
      <c r="H458" s="230">
        <v>981.2</v>
      </c>
      <c r="I458" s="224" t="e">
        <f>#REF!</f>
        <v>#REF!</v>
      </c>
      <c r="J458" s="385" t="e">
        <f t="shared" si="7"/>
        <v>#REF!</v>
      </c>
    </row>
    <row r="459" spans="1:26" x14ac:dyDescent="0.2">
      <c r="A459" s="231"/>
      <c r="B459" s="315" t="s">
        <v>1577</v>
      </c>
      <c r="C459" s="226" t="s">
        <v>628</v>
      </c>
      <c r="D459" s="227" t="s">
        <v>379</v>
      </c>
      <c r="E459" s="226" t="s">
        <v>600</v>
      </c>
      <c r="F459" s="226" t="s">
        <v>946</v>
      </c>
      <c r="G459" s="226" t="s">
        <v>47</v>
      </c>
      <c r="H459" s="229">
        <v>1553.2</v>
      </c>
      <c r="I459" s="226" t="e">
        <f>#REF!</f>
        <v>#REF!</v>
      </c>
      <c r="J459" s="387" t="e">
        <f t="shared" si="7"/>
        <v>#REF!</v>
      </c>
      <c r="O459" s="361"/>
      <c r="P459" s="361"/>
      <c r="Q459" s="361"/>
      <c r="R459" s="361"/>
      <c r="S459" s="361"/>
      <c r="T459" s="361"/>
      <c r="U459" s="361"/>
      <c r="V459" s="361"/>
      <c r="W459" s="361"/>
      <c r="X459" s="361"/>
      <c r="Y459" s="361"/>
      <c r="Z459" s="361"/>
    </row>
    <row r="460" spans="1:26" x14ac:dyDescent="0.2">
      <c r="A460" s="231"/>
      <c r="B460" s="316" t="s">
        <v>1548</v>
      </c>
      <c r="C460" s="224" t="s">
        <v>628</v>
      </c>
      <c r="D460" s="228" t="s">
        <v>378</v>
      </c>
      <c r="E460" s="224" t="s">
        <v>600</v>
      </c>
      <c r="F460" s="224" t="s">
        <v>946</v>
      </c>
      <c r="G460" s="224" t="s">
        <v>47</v>
      </c>
      <c r="H460" s="230">
        <v>1025.2</v>
      </c>
      <c r="I460" s="224" t="e">
        <f>#REF!</f>
        <v>#REF!</v>
      </c>
      <c r="J460" s="385" t="e">
        <f t="shared" si="7"/>
        <v>#REF!</v>
      </c>
      <c r="O460" s="361"/>
      <c r="P460" s="361"/>
      <c r="Q460" s="361"/>
      <c r="R460" s="361"/>
      <c r="S460" s="361"/>
      <c r="T460" s="361"/>
      <c r="U460" s="361"/>
      <c r="V460" s="361"/>
      <c r="W460" s="361"/>
      <c r="X460" s="361"/>
      <c r="Y460" s="361"/>
      <c r="Z460" s="361"/>
    </row>
    <row r="461" spans="1:26" x14ac:dyDescent="0.2">
      <c r="A461" s="231"/>
      <c r="B461" s="315" t="s">
        <v>1713</v>
      </c>
      <c r="C461" s="226" t="s">
        <v>628</v>
      </c>
      <c r="D461" s="227" t="s">
        <v>538</v>
      </c>
      <c r="E461" s="226" t="s">
        <v>600</v>
      </c>
      <c r="F461" s="226" t="s">
        <v>946</v>
      </c>
      <c r="G461" s="226" t="s">
        <v>42</v>
      </c>
      <c r="H461" s="229">
        <v>5460.4000000000005</v>
      </c>
      <c r="I461" s="226" t="e">
        <f>#REF!</f>
        <v>#REF!</v>
      </c>
      <c r="J461" s="387" t="e">
        <f t="shared" si="7"/>
        <v>#REF!</v>
      </c>
      <c r="O461" s="361"/>
      <c r="P461" s="361"/>
      <c r="Q461" s="361"/>
      <c r="R461" s="361"/>
      <c r="S461" s="361"/>
      <c r="T461" s="361"/>
      <c r="U461" s="361"/>
      <c r="V461" s="361"/>
      <c r="W461" s="361"/>
      <c r="X461" s="361"/>
      <c r="Y461" s="361"/>
      <c r="Z461" s="361"/>
    </row>
    <row r="462" spans="1:26" x14ac:dyDescent="0.2">
      <c r="A462" s="231"/>
      <c r="B462" s="316" t="s">
        <v>994</v>
      </c>
      <c r="C462" s="224" t="s">
        <v>628</v>
      </c>
      <c r="D462" s="228" t="s">
        <v>551</v>
      </c>
      <c r="E462" s="224" t="s">
        <v>600</v>
      </c>
      <c r="F462" s="224" t="s">
        <v>946</v>
      </c>
      <c r="G462" s="224" t="s">
        <v>44</v>
      </c>
      <c r="H462" s="230">
        <v>8047.6</v>
      </c>
      <c r="I462" s="224" t="e">
        <f>#REF!</f>
        <v>#REF!</v>
      </c>
      <c r="J462" s="385" t="e">
        <f t="shared" si="7"/>
        <v>#REF!</v>
      </c>
    </row>
    <row r="463" spans="1:26" x14ac:dyDescent="0.2">
      <c r="A463" s="231"/>
      <c r="B463" s="315" t="s">
        <v>1771</v>
      </c>
      <c r="C463" s="226" t="s">
        <v>628</v>
      </c>
      <c r="D463" s="227" t="s">
        <v>552</v>
      </c>
      <c r="E463" s="226" t="s">
        <v>600</v>
      </c>
      <c r="F463" s="226" t="s">
        <v>946</v>
      </c>
      <c r="G463" s="226" t="s">
        <v>44</v>
      </c>
      <c r="H463" s="229">
        <v>9741.6</v>
      </c>
      <c r="I463" s="226" t="e">
        <f>#REF!</f>
        <v>#REF!</v>
      </c>
      <c r="J463" s="387" t="e">
        <f t="shared" si="7"/>
        <v>#REF!</v>
      </c>
    </row>
    <row r="464" spans="1:26" x14ac:dyDescent="0.2">
      <c r="A464" s="231"/>
      <c r="B464" s="316" t="s">
        <v>1647</v>
      </c>
      <c r="C464" s="224" t="s">
        <v>628</v>
      </c>
      <c r="D464" s="228" t="s">
        <v>64</v>
      </c>
      <c r="E464" s="224" t="s">
        <v>600</v>
      </c>
      <c r="F464" s="224" t="s">
        <v>946</v>
      </c>
      <c r="G464" s="224" t="s">
        <v>42</v>
      </c>
      <c r="H464" s="230">
        <v>3256.0000000000005</v>
      </c>
      <c r="I464" s="224" t="e">
        <f>#REF!</f>
        <v>#REF!</v>
      </c>
      <c r="J464" s="385" t="e">
        <f t="shared" si="7"/>
        <v>#REF!</v>
      </c>
      <c r="O464" s="361"/>
      <c r="P464" s="361"/>
      <c r="Q464" s="361"/>
      <c r="R464" s="361"/>
      <c r="S464" s="361"/>
      <c r="T464" s="361"/>
      <c r="U464" s="361"/>
      <c r="V464" s="361"/>
      <c r="W464" s="361"/>
      <c r="X464" s="361"/>
      <c r="Y464" s="361"/>
      <c r="Z464" s="361"/>
    </row>
    <row r="465" spans="1:26" x14ac:dyDescent="0.2">
      <c r="A465" s="231"/>
      <c r="B465" s="315" t="s">
        <v>1702</v>
      </c>
      <c r="C465" s="226" t="s">
        <v>628</v>
      </c>
      <c r="D465" s="227" t="s">
        <v>409</v>
      </c>
      <c r="E465" s="226" t="s">
        <v>600</v>
      </c>
      <c r="F465" s="226" t="s">
        <v>946</v>
      </c>
      <c r="G465" s="226" t="s">
        <v>42</v>
      </c>
      <c r="H465" s="229">
        <v>4719.0000000000018</v>
      </c>
      <c r="I465" s="226" t="e">
        <f>#REF!</f>
        <v>#REF!</v>
      </c>
      <c r="J465" s="387" t="e">
        <f t="shared" si="7"/>
        <v>#REF!</v>
      </c>
      <c r="O465" s="361"/>
      <c r="P465" s="361"/>
      <c r="Q465" s="361"/>
      <c r="R465" s="361"/>
      <c r="S465" s="361"/>
      <c r="T465" s="361"/>
      <c r="U465" s="361"/>
      <c r="V465" s="361"/>
      <c r="W465" s="361"/>
      <c r="X465" s="361"/>
      <c r="Y465" s="361"/>
      <c r="Z465" s="361"/>
    </row>
    <row r="466" spans="1:26" x14ac:dyDescent="0.2">
      <c r="A466" s="231"/>
      <c r="B466" s="316" t="s">
        <v>1753</v>
      </c>
      <c r="C466" s="224" t="s">
        <v>628</v>
      </c>
      <c r="D466" s="228" t="s">
        <v>80</v>
      </c>
      <c r="E466" s="224" t="s">
        <v>600</v>
      </c>
      <c r="F466" s="224" t="s">
        <v>946</v>
      </c>
      <c r="G466" s="224" t="s">
        <v>44</v>
      </c>
      <c r="H466" s="230">
        <v>8382</v>
      </c>
      <c r="I466" s="224" t="e">
        <f>#REF!</f>
        <v>#REF!</v>
      </c>
      <c r="J466" s="385" t="e">
        <f t="shared" si="7"/>
        <v>#REF!</v>
      </c>
    </row>
    <row r="467" spans="1:26" x14ac:dyDescent="0.2">
      <c r="A467" s="231"/>
      <c r="B467" s="315" t="s">
        <v>995</v>
      </c>
      <c r="C467" s="226" t="s">
        <v>628</v>
      </c>
      <c r="D467" s="227" t="s">
        <v>82</v>
      </c>
      <c r="E467" s="226" t="s">
        <v>600</v>
      </c>
      <c r="F467" s="226" t="s">
        <v>946</v>
      </c>
      <c r="G467" s="226" t="s">
        <v>44</v>
      </c>
      <c r="H467" s="229">
        <v>6578.0000000000009</v>
      </c>
      <c r="I467" s="226" t="e">
        <f>#REF!</f>
        <v>#REF!</v>
      </c>
      <c r="J467" s="387" t="e">
        <f t="shared" si="7"/>
        <v>#REF!</v>
      </c>
    </row>
    <row r="468" spans="1:26" x14ac:dyDescent="0.2">
      <c r="A468" s="231"/>
      <c r="B468" s="316" t="s">
        <v>1739</v>
      </c>
      <c r="C468" s="224" t="s">
        <v>628</v>
      </c>
      <c r="D468" s="228" t="s">
        <v>81</v>
      </c>
      <c r="E468" s="224" t="s">
        <v>600</v>
      </c>
      <c r="F468" s="224" t="s">
        <v>946</v>
      </c>
      <c r="G468" s="224" t="s">
        <v>44</v>
      </c>
      <c r="H468" s="230">
        <v>7097.2000000000007</v>
      </c>
      <c r="I468" s="224" t="e">
        <f>#REF!</f>
        <v>#REF!</v>
      </c>
      <c r="J468" s="385" t="e">
        <f t="shared" si="7"/>
        <v>#REF!</v>
      </c>
    </row>
    <row r="469" spans="1:26" x14ac:dyDescent="0.2">
      <c r="A469" s="231"/>
      <c r="B469" s="315" t="s">
        <v>1656</v>
      </c>
      <c r="C469" s="226" t="s">
        <v>628</v>
      </c>
      <c r="D469" s="227" t="s">
        <v>401</v>
      </c>
      <c r="E469" s="226" t="s">
        <v>600</v>
      </c>
      <c r="F469" s="226" t="s">
        <v>946</v>
      </c>
      <c r="G469" s="226" t="s">
        <v>44</v>
      </c>
      <c r="H469" s="229">
        <v>3498.0000000000009</v>
      </c>
      <c r="I469" s="226" t="e">
        <f>#REF!</f>
        <v>#REF!</v>
      </c>
      <c r="J469" s="387" t="e">
        <f t="shared" si="7"/>
        <v>#REF!</v>
      </c>
    </row>
    <row r="470" spans="1:26" x14ac:dyDescent="0.2">
      <c r="A470" s="231"/>
      <c r="B470" s="316" t="s">
        <v>1816</v>
      </c>
      <c r="C470" s="224" t="s">
        <v>628</v>
      </c>
      <c r="D470" s="228" t="s">
        <v>88</v>
      </c>
      <c r="E470" s="224" t="s">
        <v>600</v>
      </c>
      <c r="F470" s="224" t="s">
        <v>946</v>
      </c>
      <c r="G470" s="224" t="s">
        <v>42</v>
      </c>
      <c r="H470" s="230">
        <v>30079.500000000011</v>
      </c>
      <c r="I470" s="224" t="e">
        <f>#REF!</f>
        <v>#REF!</v>
      </c>
      <c r="J470" s="385" t="e">
        <f t="shared" si="7"/>
        <v>#REF!</v>
      </c>
      <c r="O470" s="361"/>
      <c r="P470" s="361"/>
      <c r="Q470" s="361"/>
      <c r="R470" s="361"/>
      <c r="S470" s="361"/>
      <c r="T470" s="361"/>
      <c r="U470" s="361"/>
      <c r="V470" s="361"/>
      <c r="W470" s="361"/>
      <c r="X470" s="361"/>
      <c r="Y470" s="361"/>
      <c r="Z470" s="361"/>
    </row>
    <row r="471" spans="1:26" x14ac:dyDescent="0.2">
      <c r="A471" s="231"/>
      <c r="B471" s="315" t="s">
        <v>1482</v>
      </c>
      <c r="C471" s="226" t="s">
        <v>628</v>
      </c>
      <c r="D471" s="227" t="s">
        <v>345</v>
      </c>
      <c r="E471" s="226" t="s">
        <v>600</v>
      </c>
      <c r="F471" s="226" t="s">
        <v>946</v>
      </c>
      <c r="G471" s="226" t="s">
        <v>44</v>
      </c>
      <c r="H471" s="229">
        <v>457.6</v>
      </c>
      <c r="I471" s="226" t="e">
        <f>#REF!</f>
        <v>#REF!</v>
      </c>
      <c r="J471" s="387" t="e">
        <f t="shared" si="7"/>
        <v>#REF!</v>
      </c>
    </row>
    <row r="472" spans="1:26" x14ac:dyDescent="0.2">
      <c r="A472" s="231"/>
      <c r="B472" s="316" t="s">
        <v>1483</v>
      </c>
      <c r="C472" s="224" t="s">
        <v>628</v>
      </c>
      <c r="D472" s="228" t="s">
        <v>346</v>
      </c>
      <c r="E472" s="224" t="s">
        <v>600</v>
      </c>
      <c r="F472" s="224" t="s">
        <v>946</v>
      </c>
      <c r="G472" s="224" t="s">
        <v>44</v>
      </c>
      <c r="H472" s="230">
        <v>457.6</v>
      </c>
      <c r="I472" s="224" t="e">
        <f>#REF!</f>
        <v>#REF!</v>
      </c>
      <c r="J472" s="385" t="e">
        <f t="shared" si="7"/>
        <v>#REF!</v>
      </c>
    </row>
    <row r="473" spans="1:26" x14ac:dyDescent="0.2">
      <c r="A473" s="231"/>
      <c r="B473" s="315" t="s">
        <v>1517</v>
      </c>
      <c r="C473" s="226" t="s">
        <v>628</v>
      </c>
      <c r="D473" s="227" t="s">
        <v>349</v>
      </c>
      <c r="E473" s="226" t="s">
        <v>600</v>
      </c>
      <c r="F473" s="226" t="s">
        <v>946</v>
      </c>
      <c r="G473" s="226" t="s">
        <v>42</v>
      </c>
      <c r="H473" s="229">
        <v>712.80000000000007</v>
      </c>
      <c r="I473" s="226" t="e">
        <f>#REF!</f>
        <v>#REF!</v>
      </c>
      <c r="J473" s="387" t="e">
        <f t="shared" si="7"/>
        <v>#REF!</v>
      </c>
      <c r="O473" s="361"/>
      <c r="P473" s="361"/>
      <c r="Q473" s="361"/>
      <c r="R473" s="361"/>
      <c r="S473" s="361"/>
      <c r="T473" s="361"/>
      <c r="U473" s="361"/>
      <c r="V473" s="361"/>
      <c r="W473" s="361"/>
      <c r="X473" s="361"/>
      <c r="Y473" s="361"/>
      <c r="Z473" s="361"/>
    </row>
    <row r="474" spans="1:26" x14ac:dyDescent="0.2">
      <c r="A474" s="231"/>
      <c r="B474" s="316" t="s">
        <v>1504</v>
      </c>
      <c r="C474" s="224" t="s">
        <v>628</v>
      </c>
      <c r="D474" s="228" t="s">
        <v>351</v>
      </c>
      <c r="E474" s="224" t="s">
        <v>600</v>
      </c>
      <c r="F474" s="224" t="s">
        <v>946</v>
      </c>
      <c r="G474" s="224" t="s">
        <v>631</v>
      </c>
      <c r="H474" s="230">
        <v>611.6</v>
      </c>
      <c r="I474" s="224" t="e">
        <f>#REF!</f>
        <v>#REF!</v>
      </c>
      <c r="J474" s="385" t="e">
        <f t="shared" si="7"/>
        <v>#REF!</v>
      </c>
      <c r="O474" s="361"/>
      <c r="P474" s="361"/>
      <c r="Q474" s="361"/>
      <c r="R474" s="361"/>
      <c r="S474" s="361"/>
      <c r="T474" s="361"/>
      <c r="U474" s="361"/>
      <c r="V474" s="361"/>
      <c r="W474" s="361"/>
      <c r="X474" s="361"/>
      <c r="Y474" s="361"/>
      <c r="Z474" s="361"/>
    </row>
    <row r="475" spans="1:26" x14ac:dyDescent="0.2">
      <c r="A475" s="231"/>
      <c r="B475" s="315" t="s">
        <v>1540</v>
      </c>
      <c r="C475" s="226" t="s">
        <v>628</v>
      </c>
      <c r="D475" s="227" t="s">
        <v>347</v>
      </c>
      <c r="E475" s="226" t="s">
        <v>600</v>
      </c>
      <c r="F475" s="226" t="s">
        <v>946</v>
      </c>
      <c r="G475" s="226" t="s">
        <v>44</v>
      </c>
      <c r="H475" s="229">
        <v>893.2</v>
      </c>
      <c r="I475" s="226" t="e">
        <f>#REF!</f>
        <v>#REF!</v>
      </c>
      <c r="J475" s="387" t="e">
        <f t="shared" si="7"/>
        <v>#REF!</v>
      </c>
    </row>
    <row r="476" spans="1:26" x14ac:dyDescent="0.2">
      <c r="A476" s="231"/>
      <c r="B476" s="316" t="s">
        <v>1541</v>
      </c>
      <c r="C476" s="224" t="s">
        <v>628</v>
      </c>
      <c r="D476" s="228" t="s">
        <v>348</v>
      </c>
      <c r="E476" s="224" t="s">
        <v>600</v>
      </c>
      <c r="F476" s="224" t="s">
        <v>946</v>
      </c>
      <c r="G476" s="224" t="s">
        <v>44</v>
      </c>
      <c r="H476" s="230">
        <v>893.2</v>
      </c>
      <c r="I476" s="224" t="e">
        <f>#REF!</f>
        <v>#REF!</v>
      </c>
      <c r="J476" s="385" t="e">
        <f t="shared" si="7"/>
        <v>#REF!</v>
      </c>
    </row>
    <row r="477" spans="1:26" x14ac:dyDescent="0.2">
      <c r="A477" s="231"/>
      <c r="B477" s="315" t="s">
        <v>1524</v>
      </c>
      <c r="C477" s="226" t="s">
        <v>628</v>
      </c>
      <c r="D477" s="227" t="s">
        <v>350</v>
      </c>
      <c r="E477" s="226" t="s">
        <v>600</v>
      </c>
      <c r="F477" s="226" t="s">
        <v>946</v>
      </c>
      <c r="G477" s="226" t="s">
        <v>42</v>
      </c>
      <c r="H477" s="229">
        <v>770.00000000000011</v>
      </c>
      <c r="I477" s="226" t="e">
        <f>#REF!</f>
        <v>#REF!</v>
      </c>
      <c r="J477" s="387" t="e">
        <f t="shared" si="7"/>
        <v>#REF!</v>
      </c>
      <c r="O477" s="361"/>
      <c r="P477" s="361"/>
      <c r="Q477" s="361"/>
      <c r="R477" s="361"/>
      <c r="S477" s="361"/>
      <c r="T477" s="361"/>
      <c r="U477" s="361"/>
      <c r="V477" s="361"/>
      <c r="W477" s="361"/>
      <c r="X477" s="361"/>
      <c r="Y477" s="361"/>
      <c r="Z477" s="361"/>
    </row>
    <row r="478" spans="1:26" x14ac:dyDescent="0.2">
      <c r="A478" s="231"/>
      <c r="B478" s="316" t="s">
        <v>1532</v>
      </c>
      <c r="C478" s="224" t="s">
        <v>628</v>
      </c>
      <c r="D478" s="228" t="s">
        <v>352</v>
      </c>
      <c r="E478" s="224" t="s">
        <v>600</v>
      </c>
      <c r="F478" s="224" t="s">
        <v>946</v>
      </c>
      <c r="G478" s="224" t="s">
        <v>631</v>
      </c>
      <c r="H478" s="230">
        <v>792.00000000000011</v>
      </c>
      <c r="I478" s="224" t="e">
        <f>#REF!</f>
        <v>#REF!</v>
      </c>
      <c r="J478" s="385" t="e">
        <f t="shared" si="7"/>
        <v>#REF!</v>
      </c>
      <c r="O478" s="361"/>
      <c r="P478" s="361"/>
      <c r="Q478" s="361"/>
      <c r="R478" s="361"/>
      <c r="S478" s="361"/>
      <c r="T478" s="361"/>
      <c r="U478" s="361"/>
      <c r="V478" s="361"/>
      <c r="W478" s="361"/>
      <c r="X478" s="361"/>
      <c r="Y478" s="361"/>
      <c r="Z478" s="361"/>
    </row>
    <row r="479" spans="1:26" x14ac:dyDescent="0.2">
      <c r="A479" s="231"/>
      <c r="B479" s="315" t="s">
        <v>997</v>
      </c>
      <c r="C479" s="226" t="s">
        <v>628</v>
      </c>
      <c r="D479" s="227" t="s">
        <v>366</v>
      </c>
      <c r="E479" s="226" t="s">
        <v>600</v>
      </c>
      <c r="F479" s="226" t="s">
        <v>946</v>
      </c>
      <c r="G479" s="226" t="s">
        <v>44</v>
      </c>
      <c r="H479" s="229">
        <v>1262.8000000000002</v>
      </c>
      <c r="I479" s="226" t="e">
        <f>#REF!</f>
        <v>#REF!</v>
      </c>
      <c r="J479" s="387" t="e">
        <f t="shared" si="7"/>
        <v>#REF!</v>
      </c>
    </row>
    <row r="480" spans="1:26" x14ac:dyDescent="0.2">
      <c r="A480" s="231"/>
      <c r="B480" s="316" t="s">
        <v>1559</v>
      </c>
      <c r="C480" s="224" t="s">
        <v>628</v>
      </c>
      <c r="D480" s="228" t="s">
        <v>367</v>
      </c>
      <c r="E480" s="224" t="s">
        <v>600</v>
      </c>
      <c r="F480" s="224" t="s">
        <v>946</v>
      </c>
      <c r="G480" s="224" t="s">
        <v>44</v>
      </c>
      <c r="H480" s="230">
        <v>1262.8000000000002</v>
      </c>
      <c r="I480" s="224" t="e">
        <f>#REF!</f>
        <v>#REF!</v>
      </c>
      <c r="J480" s="385" t="e">
        <f t="shared" si="7"/>
        <v>#REF!</v>
      </c>
    </row>
    <row r="481" spans="1:26" x14ac:dyDescent="0.2">
      <c r="A481" s="231"/>
      <c r="B481" s="315" t="s">
        <v>1573</v>
      </c>
      <c r="C481" s="226" t="s">
        <v>628</v>
      </c>
      <c r="D481" s="227" t="s">
        <v>370</v>
      </c>
      <c r="E481" s="226" t="s">
        <v>600</v>
      </c>
      <c r="F481" s="226" t="s">
        <v>946</v>
      </c>
      <c r="G481" s="226" t="s">
        <v>41</v>
      </c>
      <c r="H481" s="229">
        <v>1434.4</v>
      </c>
      <c r="I481" s="226" t="e">
        <f>#REF!</f>
        <v>#REF!</v>
      </c>
      <c r="J481" s="387" t="e">
        <f t="shared" si="7"/>
        <v>#REF!</v>
      </c>
      <c r="O481" s="361"/>
      <c r="P481" s="361"/>
      <c r="Q481" s="361"/>
      <c r="R481" s="361"/>
      <c r="S481" s="361"/>
      <c r="T481" s="361"/>
      <c r="U481" s="361"/>
      <c r="V481" s="361"/>
      <c r="W481" s="361"/>
      <c r="X481" s="361"/>
      <c r="Y481" s="361"/>
      <c r="Z481" s="361"/>
    </row>
    <row r="482" spans="1:26" x14ac:dyDescent="0.2">
      <c r="A482" s="231"/>
      <c r="B482" s="316" t="s">
        <v>1589</v>
      </c>
      <c r="C482" s="224" t="s">
        <v>628</v>
      </c>
      <c r="D482" s="228" t="s">
        <v>372</v>
      </c>
      <c r="E482" s="224" t="s">
        <v>600</v>
      </c>
      <c r="F482" s="224" t="s">
        <v>946</v>
      </c>
      <c r="G482" s="224" t="s">
        <v>42</v>
      </c>
      <c r="H482" s="230">
        <v>1804.0000000000002</v>
      </c>
      <c r="I482" s="224" t="e">
        <f>#REF!</f>
        <v>#REF!</v>
      </c>
      <c r="J482" s="385" t="e">
        <f t="shared" si="7"/>
        <v>#REF!</v>
      </c>
      <c r="O482" s="361"/>
      <c r="P482" s="361"/>
      <c r="Q482" s="361"/>
      <c r="R482" s="361"/>
      <c r="S482" s="361"/>
      <c r="T482" s="361"/>
      <c r="U482" s="361"/>
      <c r="V482" s="361"/>
      <c r="W482" s="361"/>
      <c r="X482" s="361"/>
      <c r="Y482" s="361"/>
      <c r="Z482" s="361"/>
    </row>
    <row r="483" spans="1:26" x14ac:dyDescent="0.2">
      <c r="A483" s="231"/>
      <c r="B483" s="323" t="s">
        <v>1585</v>
      </c>
      <c r="C483" s="226" t="s">
        <v>628</v>
      </c>
      <c r="D483" s="227" t="s">
        <v>375</v>
      </c>
      <c r="E483" s="226" t="s">
        <v>600</v>
      </c>
      <c r="F483" s="226" t="s">
        <v>946</v>
      </c>
      <c r="G483" s="226" t="s">
        <v>631</v>
      </c>
      <c r="H483" s="229">
        <v>1650.0000000000002</v>
      </c>
      <c r="I483" s="226" t="e">
        <f>#REF!</f>
        <v>#REF!</v>
      </c>
      <c r="J483" s="387" t="e">
        <f t="shared" si="7"/>
        <v>#REF!</v>
      </c>
      <c r="O483" s="361"/>
      <c r="P483" s="361"/>
      <c r="Q483" s="361"/>
      <c r="R483" s="361"/>
      <c r="S483" s="361"/>
      <c r="T483" s="361"/>
      <c r="U483" s="361"/>
      <c r="V483" s="361"/>
      <c r="W483" s="361"/>
      <c r="X483" s="361"/>
      <c r="Y483" s="361"/>
      <c r="Z483" s="361"/>
    </row>
    <row r="484" spans="1:26" x14ac:dyDescent="0.2">
      <c r="A484" s="231"/>
      <c r="B484" s="316" t="s">
        <v>1582</v>
      </c>
      <c r="C484" s="224" t="s">
        <v>628</v>
      </c>
      <c r="D484" s="228" t="s">
        <v>368</v>
      </c>
      <c r="E484" s="224" t="s">
        <v>600</v>
      </c>
      <c r="F484" s="224" t="s">
        <v>946</v>
      </c>
      <c r="G484" s="224" t="s">
        <v>44</v>
      </c>
      <c r="H484" s="230">
        <v>1619.2</v>
      </c>
      <c r="I484" s="224" t="e">
        <f>#REF!</f>
        <v>#REF!</v>
      </c>
      <c r="J484" s="385" t="e">
        <f t="shared" si="7"/>
        <v>#REF!</v>
      </c>
    </row>
    <row r="485" spans="1:26" x14ac:dyDescent="0.2">
      <c r="A485" s="231"/>
      <c r="B485" s="315" t="s">
        <v>1583</v>
      </c>
      <c r="C485" s="226" t="s">
        <v>628</v>
      </c>
      <c r="D485" s="227" t="s">
        <v>369</v>
      </c>
      <c r="E485" s="226" t="s">
        <v>600</v>
      </c>
      <c r="F485" s="226" t="s">
        <v>946</v>
      </c>
      <c r="G485" s="226" t="s">
        <v>44</v>
      </c>
      <c r="H485" s="229">
        <v>1619.2</v>
      </c>
      <c r="I485" s="226" t="e">
        <f>#REF!</f>
        <v>#REF!</v>
      </c>
      <c r="J485" s="387" t="e">
        <f t="shared" si="7"/>
        <v>#REF!</v>
      </c>
    </row>
    <row r="486" spans="1:26" x14ac:dyDescent="0.2">
      <c r="A486" s="231"/>
      <c r="B486" s="316" t="s">
        <v>1584</v>
      </c>
      <c r="C486" s="224" t="s">
        <v>628</v>
      </c>
      <c r="D486" s="228" t="s">
        <v>371</v>
      </c>
      <c r="E486" s="224" t="s">
        <v>600</v>
      </c>
      <c r="F486" s="224" t="s">
        <v>946</v>
      </c>
      <c r="G486" s="224" t="s">
        <v>41</v>
      </c>
      <c r="H486" s="230">
        <v>1641.2</v>
      </c>
      <c r="I486" s="224" t="e">
        <f>#REF!</f>
        <v>#REF!</v>
      </c>
      <c r="J486" s="385" t="e">
        <f t="shared" si="7"/>
        <v>#REF!</v>
      </c>
      <c r="O486" s="361"/>
      <c r="P486" s="361"/>
      <c r="Q486" s="361"/>
      <c r="R486" s="361"/>
      <c r="S486" s="361"/>
      <c r="T486" s="361"/>
      <c r="U486" s="361"/>
      <c r="V486" s="361"/>
      <c r="W486" s="361"/>
      <c r="X486" s="361"/>
      <c r="Y486" s="361"/>
      <c r="Z486" s="361"/>
    </row>
    <row r="487" spans="1:26" x14ac:dyDescent="0.2">
      <c r="A487" s="231"/>
      <c r="B487" s="315" t="s">
        <v>1601</v>
      </c>
      <c r="C487" s="226" t="s">
        <v>628</v>
      </c>
      <c r="D487" s="227" t="s">
        <v>373</v>
      </c>
      <c r="E487" s="226" t="s">
        <v>600</v>
      </c>
      <c r="F487" s="226" t="s">
        <v>946</v>
      </c>
      <c r="G487" s="226" t="s">
        <v>42</v>
      </c>
      <c r="H487" s="229">
        <v>2006.4</v>
      </c>
      <c r="I487" s="226" t="e">
        <f>#REF!</f>
        <v>#REF!</v>
      </c>
      <c r="J487" s="387" t="e">
        <f t="shared" si="7"/>
        <v>#REF!</v>
      </c>
      <c r="O487" s="361"/>
      <c r="P487" s="361"/>
      <c r="Q487" s="361"/>
      <c r="R487" s="361"/>
      <c r="S487" s="361"/>
      <c r="T487" s="361"/>
      <c r="U487" s="361"/>
      <c r="V487" s="361"/>
      <c r="W487" s="361"/>
      <c r="X487" s="361"/>
      <c r="Y487" s="361"/>
      <c r="Z487" s="361"/>
    </row>
    <row r="488" spans="1:26" x14ac:dyDescent="0.2">
      <c r="A488" s="231"/>
      <c r="B488" s="316" t="s">
        <v>1588</v>
      </c>
      <c r="C488" s="224" t="s">
        <v>628</v>
      </c>
      <c r="D488" s="228" t="s">
        <v>376</v>
      </c>
      <c r="E488" s="224" t="s">
        <v>600</v>
      </c>
      <c r="F488" s="224" t="s">
        <v>946</v>
      </c>
      <c r="G488" s="224" t="s">
        <v>631</v>
      </c>
      <c r="H488" s="230">
        <v>1782.0000000000002</v>
      </c>
      <c r="I488" s="224" t="e">
        <f>#REF!</f>
        <v>#REF!</v>
      </c>
      <c r="J488" s="385" t="e">
        <f t="shared" si="7"/>
        <v>#REF!</v>
      </c>
      <c r="O488" s="361"/>
      <c r="P488" s="361"/>
      <c r="Q488" s="361"/>
      <c r="R488" s="361"/>
      <c r="S488" s="361"/>
      <c r="T488" s="361"/>
      <c r="U488" s="361"/>
      <c r="V488" s="361"/>
      <c r="W488" s="361"/>
      <c r="X488" s="361"/>
      <c r="Y488" s="361"/>
      <c r="Z488" s="361"/>
    </row>
    <row r="489" spans="1:26" x14ac:dyDescent="0.2">
      <c r="A489" s="231"/>
      <c r="B489" s="315" t="s">
        <v>1801</v>
      </c>
      <c r="C489" s="226" t="s">
        <v>628</v>
      </c>
      <c r="D489" s="227" t="s">
        <v>56</v>
      </c>
      <c r="E489" s="226" t="s">
        <v>600</v>
      </c>
      <c r="F489" s="226" t="s">
        <v>946</v>
      </c>
      <c r="G489" s="226" t="s">
        <v>41</v>
      </c>
      <c r="H489" s="229">
        <v>15378.000000000005</v>
      </c>
      <c r="I489" s="226" t="e">
        <f>#REF!</f>
        <v>#REF!</v>
      </c>
      <c r="J489" s="387" t="e">
        <f t="shared" si="7"/>
        <v>#REF!</v>
      </c>
      <c r="O489" s="361"/>
      <c r="P489" s="361"/>
      <c r="Q489" s="361"/>
      <c r="R489" s="361"/>
      <c r="S489" s="361"/>
      <c r="T489" s="361"/>
      <c r="U489" s="361"/>
      <c r="V489" s="361"/>
      <c r="W489" s="361"/>
      <c r="X489" s="361"/>
      <c r="Y489" s="361"/>
      <c r="Z489" s="361"/>
    </row>
    <row r="490" spans="1:26" x14ac:dyDescent="0.2">
      <c r="A490" s="231"/>
      <c r="B490" s="316" t="s">
        <v>1637</v>
      </c>
      <c r="C490" s="224" t="s">
        <v>628</v>
      </c>
      <c r="D490" s="228" t="s">
        <v>456</v>
      </c>
      <c r="E490" s="224" t="s">
        <v>600</v>
      </c>
      <c r="F490" s="224" t="s">
        <v>946</v>
      </c>
      <c r="G490" s="224" t="s">
        <v>42</v>
      </c>
      <c r="H490" s="230">
        <v>2934.8</v>
      </c>
      <c r="I490" s="224" t="e">
        <f>#REF!</f>
        <v>#REF!</v>
      </c>
      <c r="J490" s="385" t="e">
        <f t="shared" si="7"/>
        <v>#REF!</v>
      </c>
      <c r="O490" s="361"/>
      <c r="P490" s="361"/>
      <c r="Q490" s="361"/>
      <c r="R490" s="361"/>
      <c r="S490" s="361"/>
      <c r="T490" s="361"/>
      <c r="U490" s="361"/>
      <c r="V490" s="361"/>
      <c r="W490" s="361"/>
      <c r="X490" s="361"/>
      <c r="Y490" s="361"/>
      <c r="Z490" s="361"/>
    </row>
    <row r="491" spans="1:26" x14ac:dyDescent="0.2">
      <c r="A491" s="231"/>
      <c r="B491" s="315" t="s">
        <v>1521</v>
      </c>
      <c r="C491" s="226" t="s">
        <v>628</v>
      </c>
      <c r="D491" s="227" t="s">
        <v>344</v>
      </c>
      <c r="E491" s="226" t="s">
        <v>600</v>
      </c>
      <c r="F491" s="226" t="s">
        <v>946</v>
      </c>
      <c r="G491" s="226" t="s">
        <v>44</v>
      </c>
      <c r="H491" s="229">
        <v>730.40000000000009</v>
      </c>
      <c r="I491" s="226" t="e">
        <f>#REF!</f>
        <v>#REF!</v>
      </c>
      <c r="J491" s="387" t="e">
        <f t="shared" si="7"/>
        <v>#REF!</v>
      </c>
    </row>
    <row r="492" spans="1:26" x14ac:dyDescent="0.2">
      <c r="A492" s="231"/>
      <c r="B492" s="316" t="s">
        <v>1698</v>
      </c>
      <c r="C492" s="224" t="s">
        <v>628</v>
      </c>
      <c r="D492" s="228" t="s">
        <v>79</v>
      </c>
      <c r="E492" s="224" t="s">
        <v>600</v>
      </c>
      <c r="F492" s="224" t="s">
        <v>946</v>
      </c>
      <c r="G492" s="224" t="s">
        <v>44</v>
      </c>
      <c r="H492" s="230">
        <v>4642</v>
      </c>
      <c r="I492" s="224" t="e">
        <f>#REF!</f>
        <v>#REF!</v>
      </c>
      <c r="J492" s="385" t="e">
        <f t="shared" si="7"/>
        <v>#REF!</v>
      </c>
    </row>
    <row r="493" spans="1:26" x14ac:dyDescent="0.2">
      <c r="A493" s="231"/>
      <c r="B493" s="315" t="s">
        <v>1522</v>
      </c>
      <c r="C493" s="226" t="s">
        <v>628</v>
      </c>
      <c r="D493" s="227" t="s">
        <v>343</v>
      </c>
      <c r="E493" s="226" t="s">
        <v>600</v>
      </c>
      <c r="F493" s="226" t="s">
        <v>946</v>
      </c>
      <c r="G493" s="226" t="s">
        <v>44</v>
      </c>
      <c r="H493" s="229">
        <v>730.40000000000009</v>
      </c>
      <c r="I493" s="226" t="e">
        <f>#REF!</f>
        <v>#REF!</v>
      </c>
      <c r="J493" s="387" t="e">
        <f t="shared" si="7"/>
        <v>#REF!</v>
      </c>
    </row>
    <row r="494" spans="1:26" x14ac:dyDescent="0.2">
      <c r="A494" s="231"/>
      <c r="B494" s="316" t="s">
        <v>1579</v>
      </c>
      <c r="C494" s="224" t="s">
        <v>628</v>
      </c>
      <c r="D494" s="228" t="s">
        <v>364</v>
      </c>
      <c r="E494" s="224" t="s">
        <v>600</v>
      </c>
      <c r="F494" s="224" t="s">
        <v>946</v>
      </c>
      <c r="G494" s="224" t="s">
        <v>44</v>
      </c>
      <c r="H494" s="230">
        <v>1610.4</v>
      </c>
      <c r="I494" s="224" t="e">
        <f>#REF!</f>
        <v>#REF!</v>
      </c>
      <c r="J494" s="385" t="e">
        <f t="shared" si="7"/>
        <v>#REF!</v>
      </c>
    </row>
    <row r="495" spans="1:26" x14ac:dyDescent="0.2">
      <c r="A495" s="231"/>
      <c r="B495" s="315" t="s">
        <v>1562</v>
      </c>
      <c r="C495" s="226" t="s">
        <v>628</v>
      </c>
      <c r="D495" s="227" t="s">
        <v>362</v>
      </c>
      <c r="E495" s="226" t="s">
        <v>600</v>
      </c>
      <c r="F495" s="226" t="s">
        <v>946</v>
      </c>
      <c r="G495" s="226" t="s">
        <v>42</v>
      </c>
      <c r="H495" s="229">
        <v>1315.6000000000001</v>
      </c>
      <c r="I495" s="226" t="e">
        <f>#REF!</f>
        <v>#REF!</v>
      </c>
      <c r="J495" s="387" t="e">
        <f t="shared" si="7"/>
        <v>#REF!</v>
      </c>
      <c r="O495" s="361"/>
      <c r="P495" s="361"/>
      <c r="Q495" s="361"/>
      <c r="R495" s="361"/>
      <c r="S495" s="361"/>
      <c r="T495" s="361"/>
      <c r="U495" s="361"/>
      <c r="V495" s="361"/>
      <c r="W495" s="361"/>
      <c r="X495" s="361"/>
      <c r="Y495" s="361"/>
      <c r="Z495" s="361"/>
    </row>
    <row r="496" spans="1:26" x14ac:dyDescent="0.2">
      <c r="A496" s="231"/>
      <c r="B496" s="316" t="s">
        <v>1544</v>
      </c>
      <c r="C496" s="224" t="s">
        <v>628</v>
      </c>
      <c r="D496" s="228" t="s">
        <v>360</v>
      </c>
      <c r="E496" s="224" t="s">
        <v>600</v>
      </c>
      <c r="F496" s="224" t="s">
        <v>946</v>
      </c>
      <c r="G496" s="224" t="s">
        <v>41</v>
      </c>
      <c r="H496" s="230">
        <v>946.00000000000011</v>
      </c>
      <c r="I496" s="224" t="e">
        <f>#REF!</f>
        <v>#REF!</v>
      </c>
      <c r="J496" s="385" t="e">
        <f t="shared" si="7"/>
        <v>#REF!</v>
      </c>
      <c r="O496" s="361"/>
      <c r="P496" s="361"/>
      <c r="Q496" s="361"/>
      <c r="R496" s="361"/>
      <c r="S496" s="361"/>
      <c r="T496" s="361"/>
      <c r="U496" s="361"/>
      <c r="V496" s="361"/>
      <c r="W496" s="361"/>
      <c r="X496" s="361"/>
      <c r="Y496" s="361"/>
      <c r="Z496" s="361"/>
    </row>
    <row r="497" spans="1:26" x14ac:dyDescent="0.2">
      <c r="A497" s="231"/>
      <c r="B497" s="315" t="s">
        <v>1701</v>
      </c>
      <c r="C497" s="226" t="s">
        <v>628</v>
      </c>
      <c r="D497" s="227" t="s">
        <v>425</v>
      </c>
      <c r="E497" s="226" t="s">
        <v>600</v>
      </c>
      <c r="F497" s="226" t="s">
        <v>946</v>
      </c>
      <c r="G497" s="226" t="s">
        <v>631</v>
      </c>
      <c r="H497" s="229">
        <v>4672.8</v>
      </c>
      <c r="I497" s="226" t="e">
        <f>#REF!</f>
        <v>#REF!</v>
      </c>
      <c r="J497" s="387" t="e">
        <f t="shared" si="7"/>
        <v>#REF!</v>
      </c>
      <c r="O497" s="361"/>
      <c r="P497" s="361"/>
      <c r="Q497" s="361"/>
      <c r="R497" s="361"/>
      <c r="S497" s="361"/>
      <c r="T497" s="361"/>
      <c r="U497" s="361"/>
      <c r="V497" s="361"/>
      <c r="W497" s="361"/>
      <c r="X497" s="361"/>
      <c r="Y497" s="361"/>
      <c r="Z497" s="361"/>
    </row>
    <row r="498" spans="1:26" x14ac:dyDescent="0.2">
      <c r="A498" s="231"/>
      <c r="B498" s="316" t="s">
        <v>1760</v>
      </c>
      <c r="C498" s="224" t="s">
        <v>628</v>
      </c>
      <c r="D498" s="228" t="s">
        <v>87</v>
      </c>
      <c r="E498" s="224" t="s">
        <v>600</v>
      </c>
      <c r="F498" s="224" t="s">
        <v>946</v>
      </c>
      <c r="G498" s="224" t="s">
        <v>44</v>
      </c>
      <c r="H498" s="230">
        <v>8923.2000000000007</v>
      </c>
      <c r="I498" s="224" t="e">
        <f>#REF!</f>
        <v>#REF!</v>
      </c>
      <c r="J498" s="385" t="e">
        <f t="shared" si="7"/>
        <v>#REF!</v>
      </c>
    </row>
    <row r="499" spans="1:26" x14ac:dyDescent="0.2">
      <c r="A499" s="231"/>
      <c r="B499" s="315" t="s">
        <v>1707</v>
      </c>
      <c r="C499" s="226" t="s">
        <v>628</v>
      </c>
      <c r="D499" s="227" t="s">
        <v>86</v>
      </c>
      <c r="E499" s="226" t="s">
        <v>600</v>
      </c>
      <c r="F499" s="226" t="s">
        <v>946</v>
      </c>
      <c r="G499" s="226" t="s">
        <v>44</v>
      </c>
      <c r="H499" s="229">
        <v>5183.2000000000007</v>
      </c>
      <c r="I499" s="226" t="e">
        <f>#REF!</f>
        <v>#REF!</v>
      </c>
      <c r="J499" s="387" t="e">
        <f t="shared" si="7"/>
        <v>#REF!</v>
      </c>
    </row>
    <row r="500" spans="1:26" x14ac:dyDescent="0.2">
      <c r="A500" s="231"/>
      <c r="B500" s="316" t="s">
        <v>1761</v>
      </c>
      <c r="C500" s="224" t="s">
        <v>628</v>
      </c>
      <c r="D500" s="228" t="s">
        <v>437</v>
      </c>
      <c r="E500" s="224" t="s">
        <v>600</v>
      </c>
      <c r="F500" s="224" t="s">
        <v>946</v>
      </c>
      <c r="G500" s="224" t="s">
        <v>43</v>
      </c>
      <c r="H500" s="230">
        <v>8954</v>
      </c>
      <c r="I500" s="224" t="e">
        <f>#REF!</f>
        <v>#REF!</v>
      </c>
      <c r="J500" s="385" t="e">
        <f t="shared" si="7"/>
        <v>#REF!</v>
      </c>
      <c r="O500" s="361"/>
      <c r="P500" s="361"/>
      <c r="Q500" s="361"/>
      <c r="R500" s="361"/>
      <c r="S500" s="361"/>
      <c r="T500" s="361"/>
      <c r="U500" s="361"/>
      <c r="V500" s="361"/>
      <c r="W500" s="361"/>
      <c r="X500" s="361"/>
      <c r="Y500" s="361"/>
      <c r="Z500" s="361"/>
    </row>
    <row r="501" spans="1:26" x14ac:dyDescent="0.2">
      <c r="A501" s="231"/>
      <c r="B501" s="315" t="s">
        <v>1746</v>
      </c>
      <c r="C501" s="226" t="s">
        <v>628</v>
      </c>
      <c r="D501" s="227" t="s">
        <v>83</v>
      </c>
      <c r="E501" s="226" t="s">
        <v>600</v>
      </c>
      <c r="F501" s="226" t="s">
        <v>946</v>
      </c>
      <c r="G501" s="226" t="s">
        <v>44</v>
      </c>
      <c r="H501" s="229">
        <v>7528.4000000000005</v>
      </c>
      <c r="I501" s="226" t="e">
        <f>#REF!</f>
        <v>#REF!</v>
      </c>
      <c r="J501" s="387" t="e">
        <f t="shared" si="7"/>
        <v>#REF!</v>
      </c>
    </row>
    <row r="502" spans="1:26" x14ac:dyDescent="0.2">
      <c r="A502" s="231"/>
      <c r="B502" s="316" t="s">
        <v>1786</v>
      </c>
      <c r="C502" s="224" t="s">
        <v>628</v>
      </c>
      <c r="D502" s="228" t="s">
        <v>70</v>
      </c>
      <c r="E502" s="224" t="s">
        <v>600</v>
      </c>
      <c r="F502" s="224" t="s">
        <v>946</v>
      </c>
      <c r="G502" s="224" t="s">
        <v>43</v>
      </c>
      <c r="H502" s="230">
        <v>12262.800000000001</v>
      </c>
      <c r="I502" s="224" t="e">
        <f>#REF!</f>
        <v>#REF!</v>
      </c>
      <c r="J502" s="385" t="e">
        <f t="shared" si="7"/>
        <v>#REF!</v>
      </c>
      <c r="O502" s="361"/>
      <c r="P502" s="361"/>
      <c r="Q502" s="361"/>
      <c r="R502" s="361"/>
      <c r="S502" s="361"/>
      <c r="T502" s="361"/>
      <c r="U502" s="361"/>
      <c r="V502" s="361"/>
      <c r="W502" s="361"/>
      <c r="X502" s="361"/>
      <c r="Y502" s="361"/>
      <c r="Z502" s="361"/>
    </row>
    <row r="503" spans="1:26" x14ac:dyDescent="0.2">
      <c r="A503" s="231"/>
      <c r="B503" s="315" t="s">
        <v>1738</v>
      </c>
      <c r="C503" s="226" t="s">
        <v>628</v>
      </c>
      <c r="D503" s="227" t="s">
        <v>69</v>
      </c>
      <c r="E503" s="226" t="s">
        <v>600</v>
      </c>
      <c r="F503" s="226" t="s">
        <v>946</v>
      </c>
      <c r="G503" s="226" t="s">
        <v>43</v>
      </c>
      <c r="H503" s="229">
        <v>7079.6</v>
      </c>
      <c r="I503" s="226" t="e">
        <f>#REF!</f>
        <v>#REF!</v>
      </c>
      <c r="J503" s="387" t="e">
        <f t="shared" si="7"/>
        <v>#REF!</v>
      </c>
      <c r="O503" s="361"/>
      <c r="P503" s="361"/>
      <c r="Q503" s="361"/>
      <c r="R503" s="361"/>
      <c r="S503" s="361"/>
      <c r="T503" s="361"/>
      <c r="U503" s="361"/>
      <c r="V503" s="361"/>
      <c r="W503" s="361"/>
      <c r="X503" s="361"/>
      <c r="Y503" s="361"/>
      <c r="Z503" s="361"/>
    </row>
    <row r="504" spans="1:26" x14ac:dyDescent="0.2">
      <c r="A504" s="231"/>
      <c r="B504" s="316" t="s">
        <v>1796</v>
      </c>
      <c r="C504" s="224" t="s">
        <v>628</v>
      </c>
      <c r="D504" s="228" t="s">
        <v>84</v>
      </c>
      <c r="E504" s="224" t="s">
        <v>600</v>
      </c>
      <c r="F504" s="224" t="s">
        <v>946</v>
      </c>
      <c r="G504" s="224" t="s">
        <v>44</v>
      </c>
      <c r="H504" s="230">
        <v>13860.000000000002</v>
      </c>
      <c r="I504" s="224" t="e">
        <f>#REF!</f>
        <v>#REF!</v>
      </c>
      <c r="J504" s="385" t="e">
        <f t="shared" si="7"/>
        <v>#REF!</v>
      </c>
    </row>
    <row r="505" spans="1:26" x14ac:dyDescent="0.2">
      <c r="A505" s="231"/>
      <c r="B505" s="315" t="s">
        <v>1741</v>
      </c>
      <c r="C505" s="226" t="s">
        <v>628</v>
      </c>
      <c r="D505" s="227" t="s">
        <v>459</v>
      </c>
      <c r="E505" s="226" t="s">
        <v>600</v>
      </c>
      <c r="F505" s="226" t="s">
        <v>946</v>
      </c>
      <c r="G505" s="226" t="s">
        <v>42</v>
      </c>
      <c r="H505" s="229">
        <v>7154.4000000000005</v>
      </c>
      <c r="I505" s="226" t="e">
        <f>#REF!</f>
        <v>#REF!</v>
      </c>
      <c r="J505" s="387" t="e">
        <f t="shared" si="7"/>
        <v>#REF!</v>
      </c>
      <c r="O505" s="361"/>
      <c r="P505" s="361"/>
      <c r="Q505" s="361"/>
      <c r="R505" s="361"/>
      <c r="S505" s="361"/>
      <c r="T505" s="361"/>
      <c r="U505" s="361"/>
      <c r="V505" s="361"/>
      <c r="W505" s="361"/>
      <c r="X505" s="361"/>
      <c r="Y505" s="361"/>
      <c r="Z505" s="361"/>
    </row>
    <row r="506" spans="1:26" x14ac:dyDescent="0.2">
      <c r="A506" s="231"/>
      <c r="B506" s="316" t="s">
        <v>1750</v>
      </c>
      <c r="C506" s="224" t="s">
        <v>628</v>
      </c>
      <c r="D506" s="228" t="s">
        <v>71</v>
      </c>
      <c r="E506" s="224" t="s">
        <v>600</v>
      </c>
      <c r="F506" s="224" t="s">
        <v>946</v>
      </c>
      <c r="G506" s="224" t="s">
        <v>43</v>
      </c>
      <c r="H506" s="230">
        <v>8012.4000000000005</v>
      </c>
      <c r="I506" s="224" t="e">
        <f>#REF!</f>
        <v>#REF!</v>
      </c>
      <c r="J506" s="385" t="e">
        <f t="shared" si="7"/>
        <v>#REF!</v>
      </c>
      <c r="O506" s="361"/>
      <c r="P506" s="361"/>
      <c r="Q506" s="361"/>
      <c r="R506" s="361"/>
      <c r="S506" s="361"/>
      <c r="T506" s="361"/>
      <c r="U506" s="361"/>
      <c r="V506" s="361"/>
      <c r="W506" s="361"/>
      <c r="X506" s="361"/>
      <c r="Y506" s="361"/>
      <c r="Z506" s="361"/>
    </row>
    <row r="507" spans="1:26" x14ac:dyDescent="0.2">
      <c r="A507" s="231"/>
      <c r="B507" s="315" t="s">
        <v>1676</v>
      </c>
      <c r="C507" s="226" t="s">
        <v>628</v>
      </c>
      <c r="D507" s="227" t="s">
        <v>85</v>
      </c>
      <c r="E507" s="226" t="s">
        <v>600</v>
      </c>
      <c r="F507" s="226" t="s">
        <v>946</v>
      </c>
      <c r="G507" s="226" t="s">
        <v>44</v>
      </c>
      <c r="H507" s="229">
        <v>4092.0000000000005</v>
      </c>
      <c r="I507" s="226" t="e">
        <f>#REF!</f>
        <v>#REF!</v>
      </c>
      <c r="J507" s="387" t="e">
        <f t="shared" si="7"/>
        <v>#REF!</v>
      </c>
    </row>
    <row r="508" spans="1:26" x14ac:dyDescent="0.2">
      <c r="A508" s="231"/>
      <c r="B508" s="316" t="s">
        <v>1651</v>
      </c>
      <c r="C508" s="224" t="s">
        <v>628</v>
      </c>
      <c r="D508" s="228" t="s">
        <v>54</v>
      </c>
      <c r="E508" s="224" t="s">
        <v>600</v>
      </c>
      <c r="F508" s="224" t="s">
        <v>946</v>
      </c>
      <c r="G508" s="224" t="s">
        <v>43</v>
      </c>
      <c r="H508" s="230">
        <v>3344.0000000000005</v>
      </c>
      <c r="I508" s="224" t="e">
        <f>#REF!</f>
        <v>#REF!</v>
      </c>
      <c r="J508" s="385" t="e">
        <f t="shared" si="7"/>
        <v>#REF!</v>
      </c>
      <c r="O508" s="361"/>
      <c r="P508" s="361"/>
      <c r="Q508" s="361"/>
      <c r="R508" s="361"/>
      <c r="S508" s="361"/>
      <c r="T508" s="361"/>
      <c r="U508" s="361"/>
      <c r="V508" s="361"/>
      <c r="W508" s="361"/>
      <c r="X508" s="361"/>
      <c r="Y508" s="361"/>
      <c r="Z508" s="361"/>
    </row>
    <row r="509" spans="1:26" x14ac:dyDescent="0.2">
      <c r="A509" s="231"/>
      <c r="B509" s="315" t="s">
        <v>1785</v>
      </c>
      <c r="C509" s="226" t="s">
        <v>628</v>
      </c>
      <c r="D509" s="227" t="s">
        <v>50</v>
      </c>
      <c r="E509" s="226" t="s">
        <v>600</v>
      </c>
      <c r="F509" s="226" t="s">
        <v>946</v>
      </c>
      <c r="G509" s="226" t="s">
        <v>43</v>
      </c>
      <c r="H509" s="229">
        <v>12144.000000000002</v>
      </c>
      <c r="I509" s="226" t="e">
        <f>#REF!</f>
        <v>#REF!</v>
      </c>
      <c r="J509" s="387" t="e">
        <f t="shared" si="7"/>
        <v>#REF!</v>
      </c>
      <c r="O509" s="361"/>
      <c r="P509" s="361"/>
      <c r="Q509" s="361"/>
      <c r="R509" s="361"/>
      <c r="S509" s="361"/>
      <c r="T509" s="361"/>
      <c r="U509" s="361"/>
      <c r="V509" s="361"/>
      <c r="W509" s="361"/>
      <c r="X509" s="361"/>
      <c r="Y509" s="361"/>
      <c r="Z509" s="361"/>
    </row>
    <row r="510" spans="1:26" x14ac:dyDescent="0.2">
      <c r="A510" s="231"/>
      <c r="B510" s="316" t="s">
        <v>1635</v>
      </c>
      <c r="C510" s="224" t="s">
        <v>628</v>
      </c>
      <c r="D510" s="228" t="s">
        <v>374</v>
      </c>
      <c r="E510" s="224" t="s">
        <v>600</v>
      </c>
      <c r="F510" s="224" t="s">
        <v>946</v>
      </c>
      <c r="G510" s="224" t="s">
        <v>43</v>
      </c>
      <c r="H510" s="230">
        <v>2904.0000000000005</v>
      </c>
      <c r="I510" s="224" t="e">
        <f>#REF!</f>
        <v>#REF!</v>
      </c>
      <c r="J510" s="385" t="e">
        <f t="shared" si="7"/>
        <v>#REF!</v>
      </c>
      <c r="O510" s="361"/>
      <c r="P510" s="361"/>
      <c r="Q510" s="361"/>
      <c r="R510" s="361"/>
      <c r="S510" s="361"/>
      <c r="T510" s="361"/>
      <c r="U510" s="361"/>
      <c r="V510" s="361"/>
      <c r="W510" s="361"/>
      <c r="X510" s="361"/>
      <c r="Y510" s="361"/>
      <c r="Z510" s="361"/>
    </row>
    <row r="511" spans="1:26" x14ac:dyDescent="0.2">
      <c r="A511" s="231" t="s">
        <v>2118</v>
      </c>
      <c r="B511" s="315" t="s">
        <v>1681</v>
      </c>
      <c r="C511" s="226" t="s">
        <v>628</v>
      </c>
      <c r="D511" s="227" t="s">
        <v>395</v>
      </c>
      <c r="E511" s="226" t="s">
        <v>600</v>
      </c>
      <c r="F511" s="226" t="s">
        <v>946</v>
      </c>
      <c r="G511" s="226" t="s">
        <v>43</v>
      </c>
      <c r="H511" s="229">
        <v>4210.8</v>
      </c>
      <c r="I511" s="226" t="e">
        <f>#REF!</f>
        <v>#REF!</v>
      </c>
      <c r="J511" s="387" t="e">
        <f t="shared" si="7"/>
        <v>#REF!</v>
      </c>
      <c r="O511" s="361"/>
      <c r="P511" s="361"/>
      <c r="Q511" s="361"/>
      <c r="R511" s="361"/>
      <c r="S511" s="361"/>
      <c r="T511" s="361"/>
      <c r="U511" s="361"/>
      <c r="V511" s="361"/>
      <c r="W511" s="361"/>
      <c r="X511" s="361"/>
      <c r="Y511" s="361"/>
      <c r="Z511" s="361"/>
    </row>
    <row r="512" spans="1:26" x14ac:dyDescent="0.2">
      <c r="A512" s="231"/>
      <c r="B512" s="316" t="s">
        <v>1494</v>
      </c>
      <c r="C512" s="224" t="s">
        <v>628</v>
      </c>
      <c r="D512" s="228" t="s">
        <v>334</v>
      </c>
      <c r="E512" s="224" t="s">
        <v>600</v>
      </c>
      <c r="F512" s="224" t="s">
        <v>1829</v>
      </c>
      <c r="G512" s="224" t="s">
        <v>44</v>
      </c>
      <c r="H512" s="230">
        <v>572.00000000000011</v>
      </c>
      <c r="I512" s="224" t="e">
        <f>#REF!</f>
        <v>#REF!</v>
      </c>
      <c r="J512" s="385" t="e">
        <f t="shared" si="7"/>
        <v>#REF!</v>
      </c>
    </row>
    <row r="513" spans="1:26" x14ac:dyDescent="0.2">
      <c r="A513" s="231"/>
      <c r="B513" s="315" t="s">
        <v>1552</v>
      </c>
      <c r="C513" s="226" t="s">
        <v>628</v>
      </c>
      <c r="D513" s="227" t="s">
        <v>335</v>
      </c>
      <c r="E513" s="226" t="s">
        <v>600</v>
      </c>
      <c r="F513" s="226" t="s">
        <v>1829</v>
      </c>
      <c r="G513" s="226" t="s">
        <v>45</v>
      </c>
      <c r="H513" s="229">
        <v>1100.0000000000005</v>
      </c>
      <c r="I513" s="226" t="e">
        <f>#REF!</f>
        <v>#REF!</v>
      </c>
      <c r="J513" s="387" t="e">
        <f t="shared" si="7"/>
        <v>#REF!</v>
      </c>
      <c r="O513" s="361"/>
      <c r="P513" s="361"/>
      <c r="Q513" s="361"/>
      <c r="R513" s="361"/>
      <c r="S513" s="361"/>
      <c r="T513" s="361"/>
      <c r="U513" s="361"/>
      <c r="V513" s="361"/>
      <c r="W513" s="361"/>
      <c r="X513" s="361"/>
      <c r="Y513" s="361"/>
      <c r="Z513" s="361"/>
    </row>
    <row r="514" spans="1:26" x14ac:dyDescent="0.2">
      <c r="A514" s="231" t="s">
        <v>2118</v>
      </c>
      <c r="B514" s="316" t="s">
        <v>1496</v>
      </c>
      <c r="C514" s="224" t="s">
        <v>628</v>
      </c>
      <c r="D514" s="228" t="s">
        <v>336</v>
      </c>
      <c r="E514" s="224" t="s">
        <v>600</v>
      </c>
      <c r="F514" s="224" t="s">
        <v>1829</v>
      </c>
      <c r="G514" s="224" t="s">
        <v>44</v>
      </c>
      <c r="H514" s="230">
        <v>572.00000000000011</v>
      </c>
      <c r="I514" s="224" t="e">
        <f>#REF!</f>
        <v>#REF!</v>
      </c>
      <c r="J514" s="385" t="e">
        <f t="shared" si="7"/>
        <v>#REF!</v>
      </c>
    </row>
    <row r="515" spans="1:26" x14ac:dyDescent="0.2">
      <c r="A515" s="231"/>
      <c r="B515" s="315" t="s">
        <v>1553</v>
      </c>
      <c r="C515" s="226" t="s">
        <v>628</v>
      </c>
      <c r="D515" s="227" t="s">
        <v>337</v>
      </c>
      <c r="E515" s="226" t="s">
        <v>600</v>
      </c>
      <c r="F515" s="226" t="s">
        <v>1829</v>
      </c>
      <c r="G515" s="226" t="s">
        <v>45</v>
      </c>
      <c r="H515" s="229">
        <v>1100.0000000000005</v>
      </c>
      <c r="I515" s="226" t="e">
        <f>#REF!</f>
        <v>#REF!</v>
      </c>
      <c r="J515" s="387" t="e">
        <f t="shared" si="7"/>
        <v>#REF!</v>
      </c>
      <c r="O515" s="361"/>
      <c r="P515" s="361"/>
      <c r="Q515" s="361"/>
      <c r="R515" s="361"/>
      <c r="S515" s="361"/>
      <c r="T515" s="361"/>
      <c r="U515" s="361"/>
      <c r="V515" s="361"/>
      <c r="W515" s="361"/>
      <c r="X515" s="361"/>
      <c r="Y515" s="361"/>
      <c r="Z515" s="361"/>
    </row>
    <row r="516" spans="1:26" x14ac:dyDescent="0.2">
      <c r="A516" s="231"/>
      <c r="B516" s="316" t="s">
        <v>1515</v>
      </c>
      <c r="C516" s="224" t="s">
        <v>628</v>
      </c>
      <c r="D516" s="228" t="s">
        <v>338</v>
      </c>
      <c r="E516" s="224" t="s">
        <v>600</v>
      </c>
      <c r="F516" s="224" t="s">
        <v>1829</v>
      </c>
      <c r="G516" s="224" t="s">
        <v>45</v>
      </c>
      <c r="H516" s="230">
        <v>704.00000000000023</v>
      </c>
      <c r="I516" s="224" t="e">
        <f>#REF!</f>
        <v>#REF!</v>
      </c>
      <c r="J516" s="385" t="e">
        <f t="shared" si="7"/>
        <v>#REF!</v>
      </c>
      <c r="O516" s="361"/>
      <c r="P516" s="361"/>
      <c r="Q516" s="361"/>
      <c r="R516" s="361"/>
      <c r="S516" s="361"/>
      <c r="T516" s="361"/>
      <c r="U516" s="361"/>
      <c r="V516" s="361"/>
      <c r="W516" s="361"/>
      <c r="X516" s="361"/>
      <c r="Y516" s="361"/>
      <c r="Z516" s="361"/>
    </row>
    <row r="517" spans="1:26" x14ac:dyDescent="0.2">
      <c r="A517" s="231"/>
      <c r="B517" s="315" t="s">
        <v>1571</v>
      </c>
      <c r="C517" s="226" t="s">
        <v>628</v>
      </c>
      <c r="D517" s="227" t="s">
        <v>638</v>
      </c>
      <c r="E517" s="226" t="s">
        <v>600</v>
      </c>
      <c r="F517" s="226" t="s">
        <v>1829</v>
      </c>
      <c r="G517" s="226" t="s">
        <v>45</v>
      </c>
      <c r="H517" s="229">
        <v>1408.0000000000005</v>
      </c>
      <c r="I517" s="226" t="e">
        <f>#REF!</f>
        <v>#REF!</v>
      </c>
      <c r="J517" s="387" t="e">
        <f t="shared" si="7"/>
        <v>#REF!</v>
      </c>
      <c r="O517" s="361"/>
      <c r="P517" s="361"/>
      <c r="Q517" s="361"/>
      <c r="R517" s="361"/>
      <c r="S517" s="361"/>
      <c r="T517" s="361"/>
      <c r="U517" s="361"/>
      <c r="V517" s="361"/>
      <c r="W517" s="361"/>
      <c r="X517" s="361"/>
      <c r="Y517" s="361"/>
      <c r="Z517" s="361"/>
    </row>
    <row r="518" spans="1:26" x14ac:dyDescent="0.2">
      <c r="A518" s="231"/>
      <c r="B518" s="322" t="s">
        <v>1399</v>
      </c>
      <c r="C518" s="224" t="s">
        <v>0</v>
      </c>
      <c r="D518" s="228" t="s">
        <v>292</v>
      </c>
      <c r="E518" s="224" t="s">
        <v>600</v>
      </c>
      <c r="F518" s="224" t="s">
        <v>585</v>
      </c>
      <c r="G518" s="224" t="s">
        <v>44</v>
      </c>
      <c r="H518" s="230">
        <v>250</v>
      </c>
      <c r="I518" s="224" t="e">
        <f>#REF!</f>
        <v>#REF!</v>
      </c>
      <c r="J518" s="385" t="e">
        <f t="shared" ref="J518:J581" si="8">H518-H518*I518</f>
        <v>#REF!</v>
      </c>
    </row>
    <row r="519" spans="1:26" x14ac:dyDescent="0.2">
      <c r="A519" s="231"/>
      <c r="B519" s="315" t="s">
        <v>1400</v>
      </c>
      <c r="C519" s="226" t="s">
        <v>0</v>
      </c>
      <c r="D519" s="227" t="s">
        <v>293</v>
      </c>
      <c r="E519" s="226" t="s">
        <v>600</v>
      </c>
      <c r="F519" s="226" t="s">
        <v>585</v>
      </c>
      <c r="G519" s="226" t="s">
        <v>44</v>
      </c>
      <c r="H519" s="229">
        <v>425</v>
      </c>
      <c r="I519" s="226" t="e">
        <f>#REF!</f>
        <v>#REF!</v>
      </c>
      <c r="J519" s="387" t="e">
        <f t="shared" si="8"/>
        <v>#REF!</v>
      </c>
    </row>
    <row r="520" spans="1:26" x14ac:dyDescent="0.2">
      <c r="A520" s="231"/>
      <c r="B520" s="316" t="s">
        <v>1403</v>
      </c>
      <c r="C520" s="224" t="s">
        <v>0</v>
      </c>
      <c r="D520" s="228" t="s">
        <v>295</v>
      </c>
      <c r="E520" s="224" t="s">
        <v>600</v>
      </c>
      <c r="F520" s="224" t="s">
        <v>585</v>
      </c>
      <c r="G520" s="224" t="s">
        <v>44</v>
      </c>
      <c r="H520" s="230">
        <v>200</v>
      </c>
      <c r="I520" s="224" t="e">
        <f>#REF!</f>
        <v>#REF!</v>
      </c>
      <c r="J520" s="385" t="e">
        <f t="shared" si="8"/>
        <v>#REF!</v>
      </c>
    </row>
    <row r="521" spans="1:26" x14ac:dyDescent="0.2">
      <c r="A521" s="231"/>
      <c r="B521" s="315" t="s">
        <v>1404</v>
      </c>
      <c r="C521" s="226" t="s">
        <v>0</v>
      </c>
      <c r="D521" s="227" t="s">
        <v>10</v>
      </c>
      <c r="E521" s="226" t="s">
        <v>600</v>
      </c>
      <c r="F521" s="226" t="s">
        <v>585</v>
      </c>
      <c r="G521" s="226" t="s">
        <v>45</v>
      </c>
      <c r="H521" s="229">
        <v>1565</v>
      </c>
      <c r="I521" s="226" t="e">
        <f>#REF!</f>
        <v>#REF!</v>
      </c>
      <c r="J521" s="387" t="e">
        <f t="shared" si="8"/>
        <v>#REF!</v>
      </c>
      <c r="O521" s="361"/>
      <c r="P521" s="361"/>
      <c r="Q521" s="361"/>
      <c r="R521" s="361"/>
      <c r="S521" s="361"/>
      <c r="T521" s="361"/>
      <c r="U521" s="361"/>
      <c r="V521" s="361"/>
      <c r="W521" s="361"/>
      <c r="X521" s="361"/>
      <c r="Y521" s="361"/>
      <c r="Z521" s="361"/>
    </row>
    <row r="522" spans="1:26" x14ac:dyDescent="0.2">
      <c r="A522" s="231"/>
      <c r="B522" s="316" t="s">
        <v>1405</v>
      </c>
      <c r="C522" s="224" t="s">
        <v>0</v>
      </c>
      <c r="D522" s="228" t="s">
        <v>294</v>
      </c>
      <c r="E522" s="224" t="s">
        <v>600</v>
      </c>
      <c r="F522" s="224" t="s">
        <v>585</v>
      </c>
      <c r="G522" s="224" t="s">
        <v>44</v>
      </c>
      <c r="H522" s="230">
        <v>175</v>
      </c>
      <c r="I522" s="224" t="e">
        <f>#REF!</f>
        <v>#REF!</v>
      </c>
      <c r="J522" s="385" t="e">
        <f t="shared" si="8"/>
        <v>#REF!</v>
      </c>
    </row>
    <row r="523" spans="1:26" x14ac:dyDescent="0.2">
      <c r="A523" s="231"/>
      <c r="B523" s="315" t="s">
        <v>1184</v>
      </c>
      <c r="C523" s="226" t="s">
        <v>0</v>
      </c>
      <c r="D523" s="227" t="s">
        <v>9</v>
      </c>
      <c r="E523" s="226" t="s">
        <v>600</v>
      </c>
      <c r="F523" s="226" t="s">
        <v>955</v>
      </c>
      <c r="G523" s="226" t="s">
        <v>45</v>
      </c>
      <c r="H523" s="229">
        <v>13.500000000000002</v>
      </c>
      <c r="I523" s="226" t="e">
        <f>#REF!</f>
        <v>#REF!</v>
      </c>
      <c r="J523" s="387" t="e">
        <f t="shared" si="8"/>
        <v>#REF!</v>
      </c>
      <c r="O523" s="361"/>
      <c r="P523" s="361"/>
      <c r="Q523" s="361"/>
      <c r="R523" s="361"/>
      <c r="S523" s="361"/>
      <c r="T523" s="361"/>
      <c r="U523" s="361"/>
      <c r="V523" s="361"/>
      <c r="W523" s="361"/>
      <c r="X523" s="361"/>
      <c r="Y523" s="361"/>
      <c r="Z523" s="361"/>
    </row>
    <row r="524" spans="1:26" x14ac:dyDescent="0.2">
      <c r="A524" s="231"/>
      <c r="B524" s="322" t="s">
        <v>1111</v>
      </c>
      <c r="C524" s="224" t="s">
        <v>0</v>
      </c>
      <c r="D524" s="228" t="s">
        <v>282</v>
      </c>
      <c r="E524" s="224" t="s">
        <v>600</v>
      </c>
      <c r="F524" s="224" t="s">
        <v>947</v>
      </c>
      <c r="G524" s="224" t="s">
        <v>44</v>
      </c>
      <c r="H524" s="230">
        <v>16.599999999999994</v>
      </c>
      <c r="I524" s="224" t="e">
        <f>#REF!</f>
        <v>#REF!</v>
      </c>
      <c r="J524" s="385" t="e">
        <f t="shared" si="8"/>
        <v>#REF!</v>
      </c>
    </row>
    <row r="525" spans="1:26" x14ac:dyDescent="0.2">
      <c r="A525" s="231"/>
      <c r="B525" s="315" t="s">
        <v>1112</v>
      </c>
      <c r="C525" s="226" t="s">
        <v>0</v>
      </c>
      <c r="D525" s="227" t="s">
        <v>283</v>
      </c>
      <c r="E525" s="226" t="s">
        <v>600</v>
      </c>
      <c r="F525" s="226" t="s">
        <v>947</v>
      </c>
      <c r="G525" s="226" t="s">
        <v>44</v>
      </c>
      <c r="H525" s="229">
        <v>17.266666666666659</v>
      </c>
      <c r="I525" s="226" t="e">
        <f>#REF!</f>
        <v>#REF!</v>
      </c>
      <c r="J525" s="387" t="e">
        <f t="shared" si="8"/>
        <v>#REF!</v>
      </c>
    </row>
    <row r="526" spans="1:26" x14ac:dyDescent="0.2">
      <c r="A526" s="231"/>
      <c r="B526" s="316" t="s">
        <v>1113</v>
      </c>
      <c r="C526" s="224" t="s">
        <v>0</v>
      </c>
      <c r="D526" s="228" t="s">
        <v>284</v>
      </c>
      <c r="E526" s="224" t="s">
        <v>600</v>
      </c>
      <c r="F526" s="224" t="s">
        <v>947</v>
      </c>
      <c r="G526" s="224" t="s">
        <v>44</v>
      </c>
      <c r="H526" s="230">
        <v>17.933333333333326</v>
      </c>
      <c r="I526" s="224" t="e">
        <f>#REF!</f>
        <v>#REF!</v>
      </c>
      <c r="J526" s="385" t="e">
        <f t="shared" si="8"/>
        <v>#REF!</v>
      </c>
    </row>
    <row r="527" spans="1:26" x14ac:dyDescent="0.2">
      <c r="A527" s="231"/>
      <c r="B527" s="315" t="s">
        <v>1114</v>
      </c>
      <c r="C527" s="226" t="s">
        <v>0</v>
      </c>
      <c r="D527" s="227" t="s">
        <v>285</v>
      </c>
      <c r="E527" s="226" t="s">
        <v>600</v>
      </c>
      <c r="F527" s="226" t="s">
        <v>947</v>
      </c>
      <c r="G527" s="226" t="s">
        <v>44</v>
      </c>
      <c r="H527" s="229">
        <v>19.266666666666662</v>
      </c>
      <c r="I527" s="226" t="e">
        <f>#REF!</f>
        <v>#REF!</v>
      </c>
      <c r="J527" s="387" t="e">
        <f t="shared" si="8"/>
        <v>#REF!</v>
      </c>
    </row>
    <row r="528" spans="1:26" x14ac:dyDescent="0.2">
      <c r="A528" s="231"/>
      <c r="B528" s="316" t="s">
        <v>1115</v>
      </c>
      <c r="C528" s="224" t="s">
        <v>0</v>
      </c>
      <c r="D528" s="228" t="s">
        <v>286</v>
      </c>
      <c r="E528" s="224" t="s">
        <v>600</v>
      </c>
      <c r="F528" s="224" t="s">
        <v>947</v>
      </c>
      <c r="G528" s="224" t="s">
        <v>44</v>
      </c>
      <c r="H528" s="230">
        <v>22.599999999999991</v>
      </c>
      <c r="I528" s="224" t="e">
        <f>#REF!</f>
        <v>#REF!</v>
      </c>
      <c r="J528" s="385" t="e">
        <f t="shared" si="8"/>
        <v>#REF!</v>
      </c>
    </row>
    <row r="529" spans="1:26" x14ac:dyDescent="0.2">
      <c r="A529" s="231"/>
      <c r="B529" s="315" t="s">
        <v>1116</v>
      </c>
      <c r="C529" s="226" t="s">
        <v>0</v>
      </c>
      <c r="D529" s="227" t="s">
        <v>287</v>
      </c>
      <c r="E529" s="226" t="s">
        <v>600</v>
      </c>
      <c r="F529" s="226" t="s">
        <v>947</v>
      </c>
      <c r="G529" s="226" t="s">
        <v>44</v>
      </c>
      <c r="H529" s="229">
        <v>17.799999999999994</v>
      </c>
      <c r="I529" s="226" t="e">
        <f>#REF!</f>
        <v>#REF!</v>
      </c>
      <c r="J529" s="387" t="e">
        <f t="shared" si="8"/>
        <v>#REF!</v>
      </c>
    </row>
    <row r="530" spans="1:26" x14ac:dyDescent="0.2">
      <c r="A530" s="231"/>
      <c r="B530" s="316" t="s">
        <v>1117</v>
      </c>
      <c r="C530" s="224" t="s">
        <v>0</v>
      </c>
      <c r="D530" s="228" t="s">
        <v>288</v>
      </c>
      <c r="E530" s="224" t="s">
        <v>600</v>
      </c>
      <c r="F530" s="224" t="s">
        <v>947</v>
      </c>
      <c r="G530" s="224" t="s">
        <v>44</v>
      </c>
      <c r="H530" s="230">
        <v>18.666666666666661</v>
      </c>
      <c r="I530" s="224" t="e">
        <f>#REF!</f>
        <v>#REF!</v>
      </c>
      <c r="J530" s="385" t="e">
        <f t="shared" si="8"/>
        <v>#REF!</v>
      </c>
    </row>
    <row r="531" spans="1:26" x14ac:dyDescent="0.2">
      <c r="A531" s="231"/>
      <c r="B531" s="315" t="s">
        <v>1118</v>
      </c>
      <c r="C531" s="226" t="s">
        <v>0</v>
      </c>
      <c r="D531" s="227" t="s">
        <v>289</v>
      </c>
      <c r="E531" s="226" t="s">
        <v>600</v>
      </c>
      <c r="F531" s="226" t="s">
        <v>947</v>
      </c>
      <c r="G531" s="226" t="s">
        <v>44</v>
      </c>
      <c r="H531" s="229">
        <v>20.799999999999994</v>
      </c>
      <c r="I531" s="226" t="e">
        <f>#REF!</f>
        <v>#REF!</v>
      </c>
      <c r="J531" s="387" t="e">
        <f t="shared" si="8"/>
        <v>#REF!</v>
      </c>
    </row>
    <row r="532" spans="1:26" x14ac:dyDescent="0.2">
      <c r="A532" s="231"/>
      <c r="B532" s="316" t="s">
        <v>1119</v>
      </c>
      <c r="C532" s="224" t="s">
        <v>0</v>
      </c>
      <c r="D532" s="228" t="s">
        <v>290</v>
      </c>
      <c r="E532" s="224" t="s">
        <v>600</v>
      </c>
      <c r="F532" s="224" t="s">
        <v>947</v>
      </c>
      <c r="G532" s="224" t="s">
        <v>44</v>
      </c>
      <c r="H532" s="230">
        <v>21.999999999999993</v>
      </c>
      <c r="I532" s="224" t="e">
        <f>#REF!</f>
        <v>#REF!</v>
      </c>
      <c r="J532" s="385" t="e">
        <f t="shared" si="8"/>
        <v>#REF!</v>
      </c>
    </row>
    <row r="533" spans="1:26" x14ac:dyDescent="0.2">
      <c r="A533" s="231"/>
      <c r="B533" s="315" t="s">
        <v>1121</v>
      </c>
      <c r="C533" s="226" t="s">
        <v>0</v>
      </c>
      <c r="D533" s="227" t="s">
        <v>291</v>
      </c>
      <c r="E533" s="226" t="s">
        <v>600</v>
      </c>
      <c r="F533" s="226" t="s">
        <v>947</v>
      </c>
      <c r="G533" s="226" t="s">
        <v>44</v>
      </c>
      <c r="H533" s="229">
        <v>25.999999999999993</v>
      </c>
      <c r="I533" s="226" t="e">
        <f>#REF!</f>
        <v>#REF!</v>
      </c>
      <c r="J533" s="387" t="e">
        <f t="shared" si="8"/>
        <v>#REF!</v>
      </c>
    </row>
    <row r="534" spans="1:26" x14ac:dyDescent="0.2">
      <c r="A534" s="231"/>
      <c r="B534" s="322" t="s">
        <v>1401</v>
      </c>
      <c r="C534" s="224" t="s">
        <v>0</v>
      </c>
      <c r="D534" s="228" t="s">
        <v>833</v>
      </c>
      <c r="E534" s="224" t="s">
        <v>600</v>
      </c>
      <c r="F534" s="224" t="s">
        <v>585</v>
      </c>
      <c r="G534" s="224" t="s">
        <v>44</v>
      </c>
      <c r="H534" s="230">
        <v>275</v>
      </c>
      <c r="I534" s="224" t="e">
        <f>#REF!</f>
        <v>#REF!</v>
      </c>
      <c r="J534" s="385" t="e">
        <f t="shared" si="8"/>
        <v>#REF!</v>
      </c>
    </row>
    <row r="535" spans="1:26" x14ac:dyDescent="0.2">
      <c r="A535" s="231" t="s">
        <v>2118</v>
      </c>
      <c r="B535" s="323" t="s">
        <v>1402</v>
      </c>
      <c r="C535" s="226" t="s">
        <v>0</v>
      </c>
      <c r="D535" s="227" t="s">
        <v>834</v>
      </c>
      <c r="E535" s="226" t="s">
        <v>600</v>
      </c>
      <c r="F535" s="226" t="s">
        <v>585</v>
      </c>
      <c r="G535" s="226" t="s">
        <v>44</v>
      </c>
      <c r="H535" s="229">
        <v>450</v>
      </c>
      <c r="I535" s="226" t="e">
        <f>#REF!</f>
        <v>#REF!</v>
      </c>
      <c r="J535" s="387" t="e">
        <f t="shared" si="8"/>
        <v>#REF!</v>
      </c>
    </row>
    <row r="536" spans="1:26" x14ac:dyDescent="0.2">
      <c r="A536" s="231"/>
      <c r="B536" s="316" t="s">
        <v>1406</v>
      </c>
      <c r="C536" s="224" t="s">
        <v>0</v>
      </c>
      <c r="D536" s="228" t="s">
        <v>209</v>
      </c>
      <c r="E536" s="224" t="s">
        <v>600</v>
      </c>
      <c r="F536" s="224" t="s">
        <v>585</v>
      </c>
      <c r="G536" s="224" t="s">
        <v>40</v>
      </c>
      <c r="H536" s="230">
        <v>80.862652134423243</v>
      </c>
      <c r="I536" s="224" t="e">
        <f>#REF!</f>
        <v>#REF!</v>
      </c>
      <c r="J536" s="385" t="e">
        <f t="shared" si="8"/>
        <v>#REF!</v>
      </c>
      <c r="O536" s="361"/>
      <c r="P536" s="361"/>
      <c r="Q536" s="361"/>
      <c r="R536" s="361"/>
      <c r="S536" s="361"/>
      <c r="T536" s="361"/>
      <c r="U536" s="361"/>
      <c r="V536" s="361"/>
      <c r="W536" s="361"/>
      <c r="X536" s="361"/>
      <c r="Y536" s="361"/>
      <c r="Z536" s="361"/>
    </row>
    <row r="537" spans="1:26" x14ac:dyDescent="0.2">
      <c r="A537" s="231"/>
      <c r="B537" s="315" t="s">
        <v>1407</v>
      </c>
      <c r="C537" s="226" t="s">
        <v>0</v>
      </c>
      <c r="D537" s="227" t="s">
        <v>554</v>
      </c>
      <c r="E537" s="226" t="s">
        <v>600</v>
      </c>
      <c r="F537" s="226" t="s">
        <v>585</v>
      </c>
      <c r="G537" s="226" t="s">
        <v>40</v>
      </c>
      <c r="H537" s="229">
        <v>87.131666666666646</v>
      </c>
      <c r="I537" s="226" t="e">
        <f>#REF!</f>
        <v>#REF!</v>
      </c>
      <c r="J537" s="387" t="e">
        <f t="shared" si="8"/>
        <v>#REF!</v>
      </c>
      <c r="O537" s="361"/>
      <c r="P537" s="361"/>
      <c r="Q537" s="361"/>
      <c r="R537" s="361"/>
      <c r="S537" s="361"/>
      <c r="T537" s="361"/>
      <c r="U537" s="361"/>
      <c r="V537" s="361"/>
      <c r="W537" s="361"/>
      <c r="X537" s="361"/>
      <c r="Y537" s="361"/>
      <c r="Z537" s="361"/>
    </row>
    <row r="538" spans="1:26" x14ac:dyDescent="0.2">
      <c r="A538" s="231"/>
      <c r="B538" s="322" t="s">
        <v>1408</v>
      </c>
      <c r="C538" s="224" t="s">
        <v>0</v>
      </c>
      <c r="D538" s="228" t="s">
        <v>674</v>
      </c>
      <c r="E538" s="224" t="s">
        <v>600</v>
      </c>
      <c r="F538" s="224" t="s">
        <v>585</v>
      </c>
      <c r="G538" s="224" t="s">
        <v>44</v>
      </c>
      <c r="H538" s="230">
        <v>255.91159613636356</v>
      </c>
      <c r="I538" s="224" t="e">
        <f>#REF!</f>
        <v>#REF!</v>
      </c>
      <c r="J538" s="385" t="e">
        <f t="shared" si="8"/>
        <v>#REF!</v>
      </c>
    </row>
    <row r="539" spans="1:26" x14ac:dyDescent="0.2">
      <c r="A539" s="231" t="s">
        <v>2118</v>
      </c>
      <c r="B539" s="323" t="s">
        <v>1409</v>
      </c>
      <c r="C539" s="226" t="s">
        <v>0</v>
      </c>
      <c r="D539" s="227" t="s">
        <v>249</v>
      </c>
      <c r="E539" s="226" t="s">
        <v>600</v>
      </c>
      <c r="F539" s="226" t="s">
        <v>585</v>
      </c>
      <c r="G539" s="226" t="s">
        <v>44</v>
      </c>
      <c r="H539" s="229">
        <v>266.18167113636355</v>
      </c>
      <c r="I539" s="226" t="e">
        <f>#REF!</f>
        <v>#REF!</v>
      </c>
      <c r="J539" s="387" t="e">
        <f t="shared" si="8"/>
        <v>#REF!</v>
      </c>
    </row>
    <row r="540" spans="1:26" x14ac:dyDescent="0.2">
      <c r="A540" s="231"/>
      <c r="B540" s="322" t="s">
        <v>1410</v>
      </c>
      <c r="C540" s="224" t="s">
        <v>0</v>
      </c>
      <c r="D540" s="228" t="s">
        <v>675</v>
      </c>
      <c r="E540" s="224" t="s">
        <v>600</v>
      </c>
      <c r="F540" s="224" t="s">
        <v>585</v>
      </c>
      <c r="G540" s="224" t="s">
        <v>41</v>
      </c>
      <c r="H540" s="230">
        <v>266.83522136363632</v>
      </c>
      <c r="I540" s="224" t="e">
        <f>#REF!</f>
        <v>#REF!</v>
      </c>
      <c r="J540" s="385" t="e">
        <f t="shared" si="8"/>
        <v>#REF!</v>
      </c>
      <c r="O540" s="361"/>
      <c r="P540" s="361"/>
      <c r="Q540" s="361"/>
      <c r="R540" s="361"/>
      <c r="S540" s="361"/>
      <c r="T540" s="361"/>
      <c r="U540" s="361"/>
      <c r="V540" s="361"/>
      <c r="W540" s="361"/>
      <c r="X540" s="361"/>
      <c r="Y540" s="361"/>
      <c r="Z540" s="361"/>
    </row>
    <row r="541" spans="1:26" x14ac:dyDescent="0.2">
      <c r="A541" s="231" t="s">
        <v>2118</v>
      </c>
      <c r="B541" s="315" t="s">
        <v>1411</v>
      </c>
      <c r="C541" s="226" t="s">
        <v>0</v>
      </c>
      <c r="D541" s="227" t="s">
        <v>676</v>
      </c>
      <c r="E541" s="226" t="s">
        <v>600</v>
      </c>
      <c r="F541" s="226" t="s">
        <v>585</v>
      </c>
      <c r="G541" s="226" t="s">
        <v>42</v>
      </c>
      <c r="H541" s="229">
        <v>274.72450624999999</v>
      </c>
      <c r="I541" s="226" t="e">
        <f>#REF!</f>
        <v>#REF!</v>
      </c>
      <c r="J541" s="387" t="e">
        <f t="shared" si="8"/>
        <v>#REF!</v>
      </c>
      <c r="O541" s="361"/>
      <c r="P541" s="361"/>
      <c r="Q541" s="361"/>
      <c r="R541" s="361"/>
      <c r="S541" s="361"/>
      <c r="T541" s="361"/>
      <c r="U541" s="361"/>
      <c r="V541" s="361"/>
      <c r="W541" s="361"/>
      <c r="X541" s="361"/>
      <c r="Y541" s="361"/>
      <c r="Z541" s="361"/>
    </row>
    <row r="542" spans="1:26" x14ac:dyDescent="0.2">
      <c r="A542" s="231" t="s">
        <v>2118</v>
      </c>
      <c r="B542" s="322" t="s">
        <v>1412</v>
      </c>
      <c r="C542" s="224" t="s">
        <v>0</v>
      </c>
      <c r="D542" s="228" t="s">
        <v>571</v>
      </c>
      <c r="E542" s="224" t="s">
        <v>600</v>
      </c>
      <c r="F542" s="224" t="s">
        <v>585</v>
      </c>
      <c r="G542" s="224" t="s">
        <v>43</v>
      </c>
      <c r="H542" s="230">
        <v>287.79551079545445</v>
      </c>
      <c r="I542" s="224" t="e">
        <f>#REF!</f>
        <v>#REF!</v>
      </c>
      <c r="J542" s="385" t="e">
        <f t="shared" si="8"/>
        <v>#REF!</v>
      </c>
      <c r="O542" s="361"/>
      <c r="P542" s="361"/>
      <c r="Q542" s="361"/>
      <c r="R542" s="361"/>
      <c r="S542" s="361"/>
      <c r="T542" s="361"/>
      <c r="U542" s="361"/>
      <c r="V542" s="361"/>
      <c r="W542" s="361"/>
      <c r="X542" s="361"/>
      <c r="Y542" s="361"/>
      <c r="Z542" s="361"/>
    </row>
    <row r="543" spans="1:26" x14ac:dyDescent="0.2">
      <c r="A543" s="231" t="s">
        <v>2118</v>
      </c>
      <c r="B543" s="315" t="s">
        <v>1414</v>
      </c>
      <c r="C543" s="226" t="s">
        <v>0</v>
      </c>
      <c r="D543" s="227" t="s">
        <v>565</v>
      </c>
      <c r="E543" s="226" t="s">
        <v>600</v>
      </c>
      <c r="F543" s="226" t="s">
        <v>585</v>
      </c>
      <c r="G543" s="226" t="s">
        <v>44</v>
      </c>
      <c r="H543" s="229">
        <v>372.66367602272709</v>
      </c>
      <c r="I543" s="226" t="e">
        <f>#REF!</f>
        <v>#REF!</v>
      </c>
      <c r="J543" s="387" t="e">
        <f t="shared" si="8"/>
        <v>#REF!</v>
      </c>
    </row>
    <row r="544" spans="1:26" x14ac:dyDescent="0.2">
      <c r="A544" s="231"/>
      <c r="B544" s="316" t="s">
        <v>1415</v>
      </c>
      <c r="C544" s="224" t="s">
        <v>0</v>
      </c>
      <c r="D544" s="228" t="s">
        <v>677</v>
      </c>
      <c r="E544" s="224" t="s">
        <v>600</v>
      </c>
      <c r="F544" s="224" t="s">
        <v>585</v>
      </c>
      <c r="G544" s="224" t="s">
        <v>41</v>
      </c>
      <c r="H544" s="230">
        <v>373.97077647727258</v>
      </c>
      <c r="I544" s="224" t="e">
        <f>#REF!</f>
        <v>#REF!</v>
      </c>
      <c r="J544" s="385" t="e">
        <f t="shared" si="8"/>
        <v>#REF!</v>
      </c>
      <c r="O544" s="361"/>
      <c r="P544" s="361"/>
      <c r="Q544" s="361"/>
      <c r="R544" s="361"/>
      <c r="S544" s="361"/>
      <c r="T544" s="361"/>
      <c r="U544" s="361"/>
      <c r="V544" s="361"/>
      <c r="W544" s="361"/>
      <c r="X544" s="361"/>
      <c r="Y544" s="361"/>
      <c r="Z544" s="361"/>
    </row>
    <row r="545" spans="1:26" x14ac:dyDescent="0.2">
      <c r="A545" s="231" t="s">
        <v>2118</v>
      </c>
      <c r="B545" s="315" t="s">
        <v>1416</v>
      </c>
      <c r="C545" s="226" t="s">
        <v>0</v>
      </c>
      <c r="D545" s="227" t="s">
        <v>678</v>
      </c>
      <c r="E545" s="226" t="s">
        <v>600</v>
      </c>
      <c r="F545" s="226" t="s">
        <v>585</v>
      </c>
      <c r="G545" s="226" t="s">
        <v>42</v>
      </c>
      <c r="H545" s="229">
        <v>389.74934624999992</v>
      </c>
      <c r="I545" s="226" t="e">
        <f>#REF!</f>
        <v>#REF!</v>
      </c>
      <c r="J545" s="387" t="e">
        <f t="shared" si="8"/>
        <v>#REF!</v>
      </c>
      <c r="O545" s="361"/>
      <c r="P545" s="361"/>
      <c r="Q545" s="361"/>
      <c r="R545" s="361"/>
      <c r="S545" s="361"/>
      <c r="T545" s="361"/>
      <c r="U545" s="361"/>
      <c r="V545" s="361"/>
      <c r="W545" s="361"/>
      <c r="X545" s="361"/>
      <c r="Y545" s="361"/>
      <c r="Z545" s="361"/>
    </row>
    <row r="546" spans="1:26" x14ac:dyDescent="0.2">
      <c r="A546" s="231" t="s">
        <v>2118</v>
      </c>
      <c r="B546" s="322" t="s">
        <v>1417</v>
      </c>
      <c r="C546" s="224" t="s">
        <v>0</v>
      </c>
      <c r="D546" s="228" t="s">
        <v>572</v>
      </c>
      <c r="E546" s="224" t="s">
        <v>600</v>
      </c>
      <c r="F546" s="224" t="s">
        <v>585</v>
      </c>
      <c r="G546" s="224" t="s">
        <v>43</v>
      </c>
      <c r="H546" s="230">
        <v>415.89135534090923</v>
      </c>
      <c r="I546" s="224" t="e">
        <f>#REF!</f>
        <v>#REF!</v>
      </c>
      <c r="J546" s="385" t="e">
        <f t="shared" si="8"/>
        <v>#REF!</v>
      </c>
      <c r="O546" s="361"/>
      <c r="P546" s="361"/>
      <c r="Q546" s="361"/>
      <c r="R546" s="361"/>
      <c r="S546" s="361"/>
      <c r="T546" s="361"/>
      <c r="U546" s="361"/>
      <c r="V546" s="361"/>
      <c r="W546" s="361"/>
      <c r="X546" s="361"/>
      <c r="Y546" s="361"/>
      <c r="Z546" s="361"/>
    </row>
    <row r="547" spans="1:26" x14ac:dyDescent="0.2">
      <c r="A547" s="231"/>
      <c r="B547" s="323" t="s">
        <v>1418</v>
      </c>
      <c r="C547" s="226" t="s">
        <v>0</v>
      </c>
      <c r="D547" s="227" t="s">
        <v>569</v>
      </c>
      <c r="E547" s="226" t="s">
        <v>600</v>
      </c>
      <c r="F547" s="226" t="s">
        <v>585</v>
      </c>
      <c r="G547" s="226" t="s">
        <v>44</v>
      </c>
      <c r="H547" s="229">
        <v>518.38166666666643</v>
      </c>
      <c r="I547" s="226" t="e">
        <f>#REF!</f>
        <v>#REF!</v>
      </c>
      <c r="J547" s="387" t="e">
        <f t="shared" si="8"/>
        <v>#REF!</v>
      </c>
    </row>
    <row r="548" spans="1:26" x14ac:dyDescent="0.2">
      <c r="A548" s="231"/>
      <c r="B548" s="316" t="s">
        <v>1419</v>
      </c>
      <c r="C548" s="224" t="s">
        <v>0</v>
      </c>
      <c r="D548" s="228" t="s">
        <v>679</v>
      </c>
      <c r="E548" s="224" t="s">
        <v>600</v>
      </c>
      <c r="F548" s="224" t="s">
        <v>585</v>
      </c>
      <c r="G548" s="224" t="s">
        <v>41</v>
      </c>
      <c r="H548" s="230">
        <v>589.40894068181819</v>
      </c>
      <c r="I548" s="224" t="e">
        <f>#REF!</f>
        <v>#REF!</v>
      </c>
      <c r="J548" s="385" t="e">
        <f t="shared" si="8"/>
        <v>#REF!</v>
      </c>
      <c r="O548" s="361"/>
      <c r="P548" s="361"/>
      <c r="Q548" s="361"/>
      <c r="R548" s="361"/>
      <c r="S548" s="361"/>
      <c r="T548" s="361"/>
      <c r="U548" s="361"/>
      <c r="V548" s="361"/>
      <c r="W548" s="361"/>
      <c r="X548" s="361"/>
      <c r="Y548" s="361"/>
      <c r="Z548" s="361"/>
    </row>
    <row r="549" spans="1:26" x14ac:dyDescent="0.2">
      <c r="A549" s="231"/>
      <c r="B549" s="315" t="s">
        <v>1420</v>
      </c>
      <c r="C549" s="226" t="s">
        <v>0</v>
      </c>
      <c r="D549" s="227" t="s">
        <v>559</v>
      </c>
      <c r="E549" s="226" t="s">
        <v>600</v>
      </c>
      <c r="F549" s="226" t="s">
        <v>585</v>
      </c>
      <c r="G549" s="226" t="s">
        <v>42</v>
      </c>
      <c r="H549" s="229">
        <v>620.96608022727287</v>
      </c>
      <c r="I549" s="226" t="e">
        <f>#REF!</f>
        <v>#REF!</v>
      </c>
      <c r="J549" s="387" t="e">
        <f t="shared" si="8"/>
        <v>#REF!</v>
      </c>
      <c r="O549" s="361"/>
      <c r="P549" s="361"/>
      <c r="Q549" s="361"/>
      <c r="R549" s="361"/>
      <c r="S549" s="361"/>
      <c r="T549" s="361"/>
      <c r="U549" s="361"/>
      <c r="V549" s="361"/>
      <c r="W549" s="361"/>
      <c r="X549" s="361"/>
      <c r="Y549" s="361"/>
      <c r="Z549" s="361"/>
    </row>
    <row r="550" spans="1:26" x14ac:dyDescent="0.2">
      <c r="A550" s="231"/>
      <c r="B550" s="316" t="s">
        <v>1423</v>
      </c>
      <c r="C550" s="224" t="s">
        <v>0</v>
      </c>
      <c r="D550" s="228" t="s">
        <v>680</v>
      </c>
      <c r="E550" s="224" t="s">
        <v>600</v>
      </c>
      <c r="F550" s="224" t="s">
        <v>585</v>
      </c>
      <c r="G550" s="224" t="s">
        <v>43</v>
      </c>
      <c r="H550" s="230">
        <v>673.25009840909092</v>
      </c>
      <c r="I550" s="224" t="e">
        <f>#REF!</f>
        <v>#REF!</v>
      </c>
      <c r="J550" s="385" t="e">
        <f t="shared" si="8"/>
        <v>#REF!</v>
      </c>
      <c r="O550" s="361"/>
      <c r="P550" s="361"/>
      <c r="Q550" s="361"/>
      <c r="R550" s="361"/>
      <c r="S550" s="361"/>
      <c r="T550" s="361"/>
      <c r="U550" s="361"/>
      <c r="V550" s="361"/>
      <c r="W550" s="361"/>
      <c r="X550" s="361"/>
      <c r="Y550" s="361"/>
      <c r="Z550" s="361"/>
    </row>
    <row r="551" spans="1:26" x14ac:dyDescent="0.2">
      <c r="A551" s="231" t="s">
        <v>2118</v>
      </c>
      <c r="B551" s="323" t="s">
        <v>1424</v>
      </c>
      <c r="C551" s="226" t="s">
        <v>0</v>
      </c>
      <c r="D551" s="227" t="s">
        <v>566</v>
      </c>
      <c r="E551" s="226" t="s">
        <v>600</v>
      </c>
      <c r="F551" s="226" t="s">
        <v>585</v>
      </c>
      <c r="G551" s="226" t="s">
        <v>44</v>
      </c>
      <c r="H551" s="229">
        <v>238.35910431818169</v>
      </c>
      <c r="I551" s="226" t="e">
        <f>#REF!</f>
        <v>#REF!</v>
      </c>
      <c r="J551" s="387" t="e">
        <f t="shared" si="8"/>
        <v>#REF!</v>
      </c>
    </row>
    <row r="552" spans="1:26" x14ac:dyDescent="0.2">
      <c r="A552" s="231"/>
      <c r="B552" s="316" t="s">
        <v>1425</v>
      </c>
      <c r="C552" s="224" t="s">
        <v>0</v>
      </c>
      <c r="D552" s="228" t="s">
        <v>681</v>
      </c>
      <c r="E552" s="224" t="s">
        <v>600</v>
      </c>
      <c r="F552" s="224" t="s">
        <v>585</v>
      </c>
      <c r="G552" s="224" t="s">
        <v>41</v>
      </c>
      <c r="H552" s="230">
        <v>236.95863954545442</v>
      </c>
      <c r="I552" s="224" t="e">
        <f>#REF!</f>
        <v>#REF!</v>
      </c>
      <c r="J552" s="385" t="e">
        <f t="shared" si="8"/>
        <v>#REF!</v>
      </c>
      <c r="O552" s="361"/>
      <c r="P552" s="361"/>
      <c r="Q552" s="361"/>
      <c r="R552" s="361"/>
      <c r="S552" s="361"/>
      <c r="T552" s="361"/>
      <c r="U552" s="361"/>
      <c r="V552" s="361"/>
      <c r="W552" s="361"/>
      <c r="X552" s="361"/>
      <c r="Y552" s="361"/>
      <c r="Z552" s="361"/>
    </row>
    <row r="553" spans="1:26" x14ac:dyDescent="0.2">
      <c r="A553" s="231" t="s">
        <v>2118</v>
      </c>
      <c r="B553" s="315" t="s">
        <v>1426</v>
      </c>
      <c r="C553" s="226" t="s">
        <v>0</v>
      </c>
      <c r="D553" s="227" t="s">
        <v>562</v>
      </c>
      <c r="E553" s="226" t="s">
        <v>600</v>
      </c>
      <c r="F553" s="226" t="s">
        <v>585</v>
      </c>
      <c r="G553" s="226" t="s">
        <v>42</v>
      </c>
      <c r="H553" s="229">
        <v>247.69553613636359</v>
      </c>
      <c r="I553" s="226" t="e">
        <f>#REF!</f>
        <v>#REF!</v>
      </c>
      <c r="J553" s="387" t="e">
        <f t="shared" si="8"/>
        <v>#REF!</v>
      </c>
      <c r="O553" s="361"/>
      <c r="P553" s="361"/>
      <c r="Q553" s="361"/>
      <c r="R553" s="361"/>
      <c r="S553" s="361"/>
      <c r="T553" s="361"/>
      <c r="U553" s="361"/>
      <c r="V553" s="361"/>
      <c r="W553" s="361"/>
      <c r="X553" s="361"/>
      <c r="Y553" s="361"/>
      <c r="Z553" s="361"/>
    </row>
    <row r="554" spans="1:26" x14ac:dyDescent="0.2">
      <c r="A554" s="231"/>
      <c r="B554" s="316" t="s">
        <v>1427</v>
      </c>
      <c r="C554" s="224" t="s">
        <v>0</v>
      </c>
      <c r="D554" s="228" t="s">
        <v>574</v>
      </c>
      <c r="E554" s="224" t="s">
        <v>600</v>
      </c>
      <c r="F554" s="224" t="s">
        <v>585</v>
      </c>
      <c r="G554" s="224" t="s">
        <v>43</v>
      </c>
      <c r="H554" s="230">
        <v>257.96561113636352</v>
      </c>
      <c r="I554" s="224" t="e">
        <f>#REF!</f>
        <v>#REF!</v>
      </c>
      <c r="J554" s="385" t="e">
        <f t="shared" si="8"/>
        <v>#REF!</v>
      </c>
      <c r="O554" s="361"/>
      <c r="P554" s="361"/>
      <c r="Q554" s="361"/>
      <c r="R554" s="361"/>
      <c r="S554" s="361"/>
      <c r="T554" s="361"/>
      <c r="U554" s="361"/>
      <c r="V554" s="361"/>
      <c r="W554" s="361"/>
      <c r="X554" s="361"/>
      <c r="Y554" s="361"/>
      <c r="Z554" s="361"/>
    </row>
    <row r="555" spans="1:26" x14ac:dyDescent="0.2">
      <c r="A555" s="231" t="s">
        <v>2118</v>
      </c>
      <c r="B555" s="323" t="s">
        <v>1428</v>
      </c>
      <c r="C555" s="226" t="s">
        <v>0</v>
      </c>
      <c r="D555" s="227" t="s">
        <v>561</v>
      </c>
      <c r="E555" s="226" t="s">
        <v>600</v>
      </c>
      <c r="F555" s="226" t="s">
        <v>585</v>
      </c>
      <c r="G555" s="226" t="s">
        <v>44</v>
      </c>
      <c r="H555" s="229">
        <v>331.06987227272714</v>
      </c>
      <c r="I555" s="226" t="e">
        <f>#REF!</f>
        <v>#REF!</v>
      </c>
      <c r="J555" s="387" t="e">
        <f t="shared" si="8"/>
        <v>#REF!</v>
      </c>
    </row>
    <row r="556" spans="1:26" x14ac:dyDescent="0.2">
      <c r="A556" s="231"/>
      <c r="B556" s="316" t="s">
        <v>1429</v>
      </c>
      <c r="C556" s="224" t="s">
        <v>0</v>
      </c>
      <c r="D556" s="228" t="s">
        <v>682</v>
      </c>
      <c r="E556" s="224" t="s">
        <v>600</v>
      </c>
      <c r="F556" s="224" t="s">
        <v>585</v>
      </c>
      <c r="G556" s="224" t="s">
        <v>41</v>
      </c>
      <c r="H556" s="230">
        <v>328.2689427272727</v>
      </c>
      <c r="I556" s="224" t="e">
        <f>#REF!</f>
        <v>#REF!</v>
      </c>
      <c r="J556" s="385" t="e">
        <f t="shared" si="8"/>
        <v>#REF!</v>
      </c>
      <c r="O556" s="361"/>
      <c r="P556" s="361"/>
      <c r="Q556" s="361"/>
      <c r="R556" s="361"/>
      <c r="S556" s="361"/>
      <c r="T556" s="361"/>
      <c r="U556" s="361"/>
      <c r="V556" s="361"/>
      <c r="W556" s="361"/>
      <c r="X556" s="361"/>
      <c r="Y556" s="361"/>
      <c r="Z556" s="361"/>
    </row>
    <row r="557" spans="1:26" x14ac:dyDescent="0.2">
      <c r="A557" s="231" t="s">
        <v>2118</v>
      </c>
      <c r="B557" s="323" t="s">
        <v>1430</v>
      </c>
      <c r="C557" s="226" t="s">
        <v>0</v>
      </c>
      <c r="D557" s="227" t="s">
        <v>560</v>
      </c>
      <c r="E557" s="226" t="s">
        <v>600</v>
      </c>
      <c r="F557" s="226" t="s">
        <v>585</v>
      </c>
      <c r="G557" s="226" t="s">
        <v>42</v>
      </c>
      <c r="H557" s="229">
        <v>349.74273590909075</v>
      </c>
      <c r="I557" s="226" t="e">
        <f>#REF!</f>
        <v>#REF!</v>
      </c>
      <c r="J557" s="387" t="e">
        <f t="shared" si="8"/>
        <v>#REF!</v>
      </c>
      <c r="O557" s="361"/>
      <c r="P557" s="361"/>
      <c r="Q557" s="361"/>
      <c r="R557" s="361"/>
      <c r="S557" s="361"/>
      <c r="T557" s="361"/>
      <c r="U557" s="361"/>
      <c r="V557" s="361"/>
      <c r="W557" s="361"/>
      <c r="X557" s="361"/>
      <c r="Y557" s="361"/>
      <c r="Z557" s="361"/>
    </row>
    <row r="558" spans="1:26" x14ac:dyDescent="0.2">
      <c r="A558" s="231"/>
      <c r="B558" s="316" t="s">
        <v>1431</v>
      </c>
      <c r="C558" s="224" t="s">
        <v>0</v>
      </c>
      <c r="D558" s="228" t="s">
        <v>575</v>
      </c>
      <c r="E558" s="224" t="s">
        <v>600</v>
      </c>
      <c r="F558" s="224" t="s">
        <v>585</v>
      </c>
      <c r="G558" s="224" t="s">
        <v>43</v>
      </c>
      <c r="H558" s="230">
        <v>370.28288590909079</v>
      </c>
      <c r="I558" s="224" t="e">
        <f>#REF!</f>
        <v>#REF!</v>
      </c>
      <c r="J558" s="385" t="e">
        <f t="shared" si="8"/>
        <v>#REF!</v>
      </c>
      <c r="O558" s="361"/>
      <c r="P558" s="361"/>
      <c r="Q558" s="361"/>
      <c r="R558" s="361"/>
      <c r="S558" s="361"/>
      <c r="T558" s="361"/>
      <c r="U558" s="361"/>
      <c r="V558" s="361"/>
      <c r="W558" s="361"/>
      <c r="X558" s="361"/>
      <c r="Y558" s="361"/>
      <c r="Z558" s="361"/>
    </row>
    <row r="559" spans="1:26" x14ac:dyDescent="0.2">
      <c r="A559" s="231"/>
      <c r="B559" s="315" t="s">
        <v>1432</v>
      </c>
      <c r="C559" s="226" t="s">
        <v>0</v>
      </c>
      <c r="D559" s="227" t="s">
        <v>563</v>
      </c>
      <c r="E559" s="226" t="s">
        <v>600</v>
      </c>
      <c r="F559" s="226" t="s">
        <v>585</v>
      </c>
      <c r="G559" s="226" t="s">
        <v>44</v>
      </c>
      <c r="H559" s="229">
        <v>527.60176204545451</v>
      </c>
      <c r="I559" s="226" t="e">
        <f>#REF!</f>
        <v>#REF!</v>
      </c>
      <c r="J559" s="387" t="e">
        <f t="shared" si="8"/>
        <v>#REF!</v>
      </c>
    </row>
    <row r="560" spans="1:26" x14ac:dyDescent="0.2">
      <c r="A560" s="231"/>
      <c r="B560" s="316" t="s">
        <v>1433</v>
      </c>
      <c r="C560" s="224" t="s">
        <v>0</v>
      </c>
      <c r="D560" s="228" t="s">
        <v>683</v>
      </c>
      <c r="E560" s="224" t="s">
        <v>600</v>
      </c>
      <c r="F560" s="224" t="s">
        <v>585</v>
      </c>
      <c r="G560" s="224" t="s">
        <v>41</v>
      </c>
      <c r="H560" s="230">
        <v>521.99990295454541</v>
      </c>
      <c r="I560" s="224" t="e">
        <f>#REF!</f>
        <v>#REF!</v>
      </c>
      <c r="J560" s="385" t="e">
        <f t="shared" si="8"/>
        <v>#REF!</v>
      </c>
      <c r="O560" s="361"/>
      <c r="P560" s="361"/>
      <c r="Q560" s="361"/>
      <c r="R560" s="361"/>
      <c r="S560" s="361"/>
      <c r="T560" s="361"/>
      <c r="U560" s="361"/>
      <c r="V560" s="361"/>
      <c r="W560" s="361"/>
      <c r="X560" s="361"/>
      <c r="Y560" s="361"/>
      <c r="Z560" s="361"/>
    </row>
    <row r="561" spans="1:26" x14ac:dyDescent="0.2">
      <c r="A561" s="231"/>
      <c r="B561" s="315" t="s">
        <v>1434</v>
      </c>
      <c r="C561" s="226" t="s">
        <v>0</v>
      </c>
      <c r="D561" s="227" t="s">
        <v>564</v>
      </c>
      <c r="E561" s="226" t="s">
        <v>600</v>
      </c>
      <c r="F561" s="226" t="s">
        <v>585</v>
      </c>
      <c r="G561" s="226" t="s">
        <v>42</v>
      </c>
      <c r="H561" s="229">
        <v>564.94748931818185</v>
      </c>
      <c r="I561" s="226" t="e">
        <f>#REF!</f>
        <v>#REF!</v>
      </c>
      <c r="J561" s="387" t="e">
        <f t="shared" si="8"/>
        <v>#REF!</v>
      </c>
      <c r="O561" s="361"/>
      <c r="P561" s="361"/>
      <c r="Q561" s="361"/>
      <c r="R561" s="361"/>
      <c r="S561" s="361"/>
      <c r="T561" s="361"/>
      <c r="U561" s="361"/>
      <c r="V561" s="361"/>
      <c r="W561" s="361"/>
      <c r="X561" s="361"/>
      <c r="Y561" s="361"/>
      <c r="Z561" s="361"/>
    </row>
    <row r="562" spans="1:26" x14ac:dyDescent="0.2">
      <c r="A562" s="231"/>
      <c r="B562" s="316" t="s">
        <v>1435</v>
      </c>
      <c r="C562" s="224" t="s">
        <v>0</v>
      </c>
      <c r="D562" s="228" t="s">
        <v>684</v>
      </c>
      <c r="E562" s="224" t="s">
        <v>600</v>
      </c>
      <c r="F562" s="224" t="s">
        <v>585</v>
      </c>
      <c r="G562" s="224" t="s">
        <v>43</v>
      </c>
      <c r="H562" s="230">
        <v>606.0277893181817</v>
      </c>
      <c r="I562" s="224" t="e">
        <f>#REF!</f>
        <v>#REF!</v>
      </c>
      <c r="J562" s="385" t="e">
        <f t="shared" si="8"/>
        <v>#REF!</v>
      </c>
      <c r="O562" s="361"/>
      <c r="P562" s="361"/>
      <c r="Q562" s="361"/>
      <c r="R562" s="361"/>
      <c r="S562" s="361"/>
      <c r="T562" s="361"/>
      <c r="U562" s="361"/>
      <c r="V562" s="361"/>
      <c r="W562" s="361"/>
      <c r="X562" s="361"/>
      <c r="Y562" s="361"/>
      <c r="Z562" s="361"/>
    </row>
    <row r="563" spans="1:26" x14ac:dyDescent="0.2">
      <c r="A563" s="231"/>
      <c r="B563" s="315" t="s">
        <v>1436</v>
      </c>
      <c r="C563" s="226" t="s">
        <v>0</v>
      </c>
      <c r="D563" s="227" t="s">
        <v>685</v>
      </c>
      <c r="E563" s="226" t="s">
        <v>600</v>
      </c>
      <c r="F563" s="226" t="s">
        <v>585</v>
      </c>
      <c r="G563" s="226" t="s">
        <v>44</v>
      </c>
      <c r="H563" s="229">
        <v>221.41348056818171</v>
      </c>
      <c r="I563" s="226" t="e">
        <f>#REF!</f>
        <v>#REF!</v>
      </c>
      <c r="J563" s="387" t="e">
        <f t="shared" si="8"/>
        <v>#REF!</v>
      </c>
    </row>
    <row r="564" spans="1:26" x14ac:dyDescent="0.2">
      <c r="A564" s="231"/>
      <c r="B564" s="322" t="s">
        <v>1437</v>
      </c>
      <c r="C564" s="224" t="s">
        <v>0</v>
      </c>
      <c r="D564" s="228" t="s">
        <v>686</v>
      </c>
      <c r="E564" s="224" t="s">
        <v>600</v>
      </c>
      <c r="F564" s="224" t="s">
        <v>585</v>
      </c>
      <c r="G564" s="224" t="s">
        <v>41</v>
      </c>
      <c r="H564" s="230">
        <v>221.13338761363627</v>
      </c>
      <c r="I564" s="224" t="e">
        <f>#REF!</f>
        <v>#REF!</v>
      </c>
      <c r="J564" s="385" t="e">
        <f t="shared" si="8"/>
        <v>#REF!</v>
      </c>
      <c r="O564" s="361"/>
      <c r="P564" s="361"/>
      <c r="Q564" s="361"/>
      <c r="R564" s="361"/>
      <c r="S564" s="361"/>
      <c r="T564" s="361"/>
      <c r="U564" s="361"/>
      <c r="V564" s="361"/>
      <c r="W564" s="361"/>
      <c r="X564" s="361"/>
      <c r="Y564" s="361"/>
      <c r="Z564" s="361"/>
    </row>
    <row r="565" spans="1:26" x14ac:dyDescent="0.2">
      <c r="A565" s="231"/>
      <c r="B565" s="315" t="s">
        <v>1438</v>
      </c>
      <c r="C565" s="226" t="s">
        <v>0</v>
      </c>
      <c r="D565" s="227" t="s">
        <v>687</v>
      </c>
      <c r="E565" s="226" t="s">
        <v>600</v>
      </c>
      <c r="F565" s="226" t="s">
        <v>585</v>
      </c>
      <c r="G565" s="226" t="s">
        <v>42</v>
      </c>
      <c r="H565" s="229">
        <v>225.05468897727266</v>
      </c>
      <c r="I565" s="226" t="e">
        <f>#REF!</f>
        <v>#REF!</v>
      </c>
      <c r="J565" s="387" t="e">
        <f t="shared" si="8"/>
        <v>#REF!</v>
      </c>
      <c r="O565" s="361"/>
      <c r="P565" s="361"/>
      <c r="Q565" s="361"/>
      <c r="R565" s="361"/>
      <c r="S565" s="361"/>
      <c r="T565" s="361"/>
      <c r="U565" s="361"/>
      <c r="V565" s="361"/>
      <c r="W565" s="361"/>
      <c r="X565" s="361"/>
      <c r="Y565" s="361"/>
      <c r="Z565" s="361"/>
    </row>
    <row r="566" spans="1:26" x14ac:dyDescent="0.2">
      <c r="A566" s="231"/>
      <c r="B566" s="322" t="s">
        <v>1439</v>
      </c>
      <c r="C566" s="224" t="s">
        <v>0</v>
      </c>
      <c r="D566" s="228" t="s">
        <v>570</v>
      </c>
      <c r="E566" s="224" t="s">
        <v>600</v>
      </c>
      <c r="F566" s="224" t="s">
        <v>585</v>
      </c>
      <c r="G566" s="224" t="s">
        <v>44</v>
      </c>
      <c r="H566" s="230">
        <v>249.46945818181808</v>
      </c>
      <c r="I566" s="224" t="e">
        <f>#REF!</f>
        <v>#REF!</v>
      </c>
      <c r="J566" s="385" t="e">
        <f t="shared" si="8"/>
        <v>#REF!</v>
      </c>
    </row>
    <row r="567" spans="1:26" x14ac:dyDescent="0.2">
      <c r="A567" s="231"/>
      <c r="B567" s="315" t="s">
        <v>1440</v>
      </c>
      <c r="C567" s="226" t="s">
        <v>0</v>
      </c>
      <c r="D567" s="227" t="s">
        <v>688</v>
      </c>
      <c r="E567" s="226" t="s">
        <v>600</v>
      </c>
      <c r="F567" s="226" t="s">
        <v>585</v>
      </c>
      <c r="G567" s="226" t="s">
        <v>41</v>
      </c>
      <c r="H567" s="229">
        <v>249.18936522727262</v>
      </c>
      <c r="I567" s="226" t="e">
        <f>#REF!</f>
        <v>#REF!</v>
      </c>
      <c r="J567" s="387" t="e">
        <f t="shared" si="8"/>
        <v>#REF!</v>
      </c>
      <c r="O567" s="361"/>
      <c r="P567" s="361"/>
      <c r="Q567" s="361"/>
      <c r="R567" s="361"/>
      <c r="S567" s="361"/>
      <c r="T567" s="361"/>
      <c r="U567" s="361"/>
      <c r="V567" s="361"/>
      <c r="W567" s="361"/>
      <c r="X567" s="361"/>
      <c r="Y567" s="361"/>
      <c r="Z567" s="361"/>
    </row>
    <row r="568" spans="1:26" x14ac:dyDescent="0.2">
      <c r="A568" s="231"/>
      <c r="B568" s="316" t="s">
        <v>1441</v>
      </c>
      <c r="C568" s="224" t="s">
        <v>0</v>
      </c>
      <c r="D568" s="228" t="s">
        <v>568</v>
      </c>
      <c r="E568" s="224" t="s">
        <v>600</v>
      </c>
      <c r="F568" s="224" t="s">
        <v>585</v>
      </c>
      <c r="G568" s="224" t="s">
        <v>42</v>
      </c>
      <c r="H568" s="230">
        <v>257.07865011363623</v>
      </c>
      <c r="I568" s="224" t="e">
        <f>#REF!</f>
        <v>#REF!</v>
      </c>
      <c r="J568" s="385" t="e">
        <f t="shared" si="8"/>
        <v>#REF!</v>
      </c>
      <c r="O568" s="361"/>
      <c r="P568" s="361"/>
      <c r="Q568" s="361"/>
      <c r="R568" s="361"/>
      <c r="S568" s="361"/>
      <c r="T568" s="361"/>
      <c r="U568" s="361"/>
      <c r="V568" s="361"/>
      <c r="W568" s="361"/>
      <c r="X568" s="361"/>
      <c r="Y568" s="361"/>
      <c r="Z568" s="361"/>
    </row>
    <row r="569" spans="1:26" x14ac:dyDescent="0.2">
      <c r="A569" s="231"/>
      <c r="B569" s="315" t="s">
        <v>1443</v>
      </c>
      <c r="C569" s="226" t="s">
        <v>0</v>
      </c>
      <c r="D569" s="227" t="s">
        <v>689</v>
      </c>
      <c r="E569" s="226" t="s">
        <v>600</v>
      </c>
      <c r="F569" s="226" t="s">
        <v>585</v>
      </c>
      <c r="G569" s="226" t="s">
        <v>44</v>
      </c>
      <c r="H569" s="229">
        <v>347.68872090909082</v>
      </c>
      <c r="I569" s="226" t="e">
        <f>#REF!</f>
        <v>#REF!</v>
      </c>
      <c r="J569" s="387" t="e">
        <f t="shared" si="8"/>
        <v>#REF!</v>
      </c>
    </row>
    <row r="570" spans="1:26" x14ac:dyDescent="0.2">
      <c r="A570" s="231"/>
      <c r="B570" s="316" t="s">
        <v>1444</v>
      </c>
      <c r="C570" s="224" t="s">
        <v>0</v>
      </c>
      <c r="D570" s="228" t="s">
        <v>690</v>
      </c>
      <c r="E570" s="224" t="s">
        <v>600</v>
      </c>
      <c r="F570" s="224" t="s">
        <v>585</v>
      </c>
      <c r="G570" s="224" t="s">
        <v>41</v>
      </c>
      <c r="H570" s="230">
        <v>347.12853499999989</v>
      </c>
      <c r="I570" s="224" t="e">
        <f>#REF!</f>
        <v>#REF!</v>
      </c>
      <c r="J570" s="385" t="e">
        <f t="shared" si="8"/>
        <v>#REF!</v>
      </c>
      <c r="O570" s="361"/>
      <c r="P570" s="361"/>
      <c r="Q570" s="361"/>
      <c r="R570" s="361"/>
      <c r="S570" s="361"/>
      <c r="T570" s="361"/>
      <c r="U570" s="361"/>
      <c r="V570" s="361"/>
      <c r="W570" s="361"/>
      <c r="X570" s="361"/>
      <c r="Y570" s="361"/>
      <c r="Z570" s="361"/>
    </row>
    <row r="571" spans="1:26" x14ac:dyDescent="0.2">
      <c r="A571" s="231"/>
      <c r="B571" s="315" t="s">
        <v>1446</v>
      </c>
      <c r="C571" s="226" t="s">
        <v>0</v>
      </c>
      <c r="D571" s="227" t="s">
        <v>567</v>
      </c>
      <c r="E571" s="226" t="s">
        <v>600</v>
      </c>
      <c r="F571" s="226" t="s">
        <v>585</v>
      </c>
      <c r="G571" s="226" t="s">
        <v>42</v>
      </c>
      <c r="H571" s="229">
        <v>362.90710477272711</v>
      </c>
      <c r="I571" s="226" t="e">
        <f>#REF!</f>
        <v>#REF!</v>
      </c>
      <c r="J571" s="387" t="e">
        <f t="shared" si="8"/>
        <v>#REF!</v>
      </c>
      <c r="O571" s="361"/>
      <c r="P571" s="361"/>
      <c r="Q571" s="361"/>
      <c r="R571" s="361"/>
      <c r="S571" s="361"/>
      <c r="T571" s="361"/>
      <c r="U571" s="361"/>
      <c r="V571" s="361"/>
      <c r="W571" s="361"/>
      <c r="X571" s="361"/>
      <c r="Y571" s="361"/>
      <c r="Z571" s="361"/>
    </row>
    <row r="572" spans="1:26" x14ac:dyDescent="0.2">
      <c r="A572" s="231"/>
      <c r="B572" s="316" t="s">
        <v>1447</v>
      </c>
      <c r="C572" s="224" t="s">
        <v>0</v>
      </c>
      <c r="D572" s="228" t="s">
        <v>665</v>
      </c>
      <c r="E572" s="224" t="s">
        <v>600</v>
      </c>
      <c r="F572" s="224" t="s">
        <v>585</v>
      </c>
      <c r="G572" s="224" t="s">
        <v>44</v>
      </c>
      <c r="H572" s="230">
        <v>162.73400659090908</v>
      </c>
      <c r="I572" s="224" t="e">
        <f>#REF!</f>
        <v>#REF!</v>
      </c>
      <c r="J572" s="385" t="e">
        <f t="shared" si="8"/>
        <v>#REF!</v>
      </c>
    </row>
    <row r="573" spans="1:26" x14ac:dyDescent="0.2">
      <c r="A573" s="231"/>
      <c r="B573" s="315" t="s">
        <v>1448</v>
      </c>
      <c r="C573" s="226" t="s">
        <v>0</v>
      </c>
      <c r="D573" s="227" t="s">
        <v>666</v>
      </c>
      <c r="E573" s="226" t="s">
        <v>600</v>
      </c>
      <c r="F573" s="226" t="s">
        <v>585</v>
      </c>
      <c r="G573" s="226" t="s">
        <v>633</v>
      </c>
      <c r="H573" s="229">
        <v>162.73400659090908</v>
      </c>
      <c r="I573" s="226" t="e">
        <f>#REF!</f>
        <v>#REF!</v>
      </c>
      <c r="J573" s="387" t="e">
        <f t="shared" si="8"/>
        <v>#REF!</v>
      </c>
      <c r="O573" s="361"/>
      <c r="P573" s="361"/>
      <c r="Q573" s="361"/>
      <c r="R573" s="361"/>
      <c r="S573" s="361"/>
      <c r="T573" s="361"/>
      <c r="U573" s="361"/>
      <c r="V573" s="361"/>
      <c r="W573" s="361"/>
      <c r="X573" s="361"/>
      <c r="Y573" s="361"/>
      <c r="Z573" s="361"/>
    </row>
    <row r="574" spans="1:26" x14ac:dyDescent="0.2">
      <c r="A574" s="231"/>
      <c r="B574" s="316" t="s">
        <v>1449</v>
      </c>
      <c r="C574" s="224" t="s">
        <v>0</v>
      </c>
      <c r="D574" s="228" t="s">
        <v>667</v>
      </c>
      <c r="E574" s="224" t="s">
        <v>600</v>
      </c>
      <c r="F574" s="224" t="s">
        <v>585</v>
      </c>
      <c r="G574" s="224" t="s">
        <v>42</v>
      </c>
      <c r="H574" s="230">
        <v>162.73400659090908</v>
      </c>
      <c r="I574" s="224" t="e">
        <f>#REF!</f>
        <v>#REF!</v>
      </c>
      <c r="J574" s="385" t="e">
        <f t="shared" si="8"/>
        <v>#REF!</v>
      </c>
      <c r="O574" s="361"/>
      <c r="P574" s="361"/>
      <c r="Q574" s="361"/>
      <c r="R574" s="361"/>
      <c r="S574" s="361"/>
      <c r="T574" s="361"/>
      <c r="U574" s="361"/>
      <c r="V574" s="361"/>
      <c r="W574" s="361"/>
      <c r="X574" s="361"/>
      <c r="Y574" s="361"/>
      <c r="Z574" s="361"/>
    </row>
    <row r="575" spans="1:26" x14ac:dyDescent="0.2">
      <c r="A575" s="231"/>
      <c r="B575" s="315" t="s">
        <v>1450</v>
      </c>
      <c r="C575" s="226" t="s">
        <v>0</v>
      </c>
      <c r="D575" s="227" t="s">
        <v>668</v>
      </c>
      <c r="E575" s="226" t="s">
        <v>600</v>
      </c>
      <c r="F575" s="226" t="s">
        <v>585</v>
      </c>
      <c r="G575" s="226" t="s">
        <v>43</v>
      </c>
      <c r="H575" s="229">
        <v>162.73400659090908</v>
      </c>
      <c r="I575" s="226" t="e">
        <f>#REF!</f>
        <v>#REF!</v>
      </c>
      <c r="J575" s="387" t="e">
        <f t="shared" si="8"/>
        <v>#REF!</v>
      </c>
      <c r="O575" s="361"/>
      <c r="P575" s="361"/>
      <c r="Q575" s="361"/>
      <c r="R575" s="361"/>
      <c r="S575" s="361"/>
      <c r="T575" s="361"/>
      <c r="U575" s="361"/>
      <c r="V575" s="361"/>
      <c r="W575" s="361"/>
      <c r="X575" s="361"/>
      <c r="Y575" s="361"/>
      <c r="Z575" s="361"/>
    </row>
    <row r="576" spans="1:26" x14ac:dyDescent="0.2">
      <c r="A576" s="231"/>
      <c r="B576" s="322" t="s">
        <v>1451</v>
      </c>
      <c r="C576" s="224" t="s">
        <v>0</v>
      </c>
      <c r="D576" s="228" t="s">
        <v>670</v>
      </c>
      <c r="E576" s="224" t="s">
        <v>600</v>
      </c>
      <c r="F576" s="224" t="s">
        <v>585</v>
      </c>
      <c r="G576" s="224" t="s">
        <v>44</v>
      </c>
      <c r="H576" s="230">
        <v>191.11675931818175</v>
      </c>
      <c r="I576" s="224" t="e">
        <f>#REF!</f>
        <v>#REF!</v>
      </c>
      <c r="J576" s="385" t="e">
        <f t="shared" si="8"/>
        <v>#REF!</v>
      </c>
    </row>
    <row r="577" spans="1:26" x14ac:dyDescent="0.2">
      <c r="A577" s="231"/>
      <c r="B577" s="315" t="s">
        <v>1452</v>
      </c>
      <c r="C577" s="226" t="s">
        <v>0</v>
      </c>
      <c r="D577" s="227" t="s">
        <v>671</v>
      </c>
      <c r="E577" s="226" t="s">
        <v>600</v>
      </c>
      <c r="F577" s="226" t="s">
        <v>585</v>
      </c>
      <c r="G577" s="226" t="s">
        <v>633</v>
      </c>
      <c r="H577" s="229">
        <v>191.11675931818175</v>
      </c>
      <c r="I577" s="226" t="e">
        <f>#REF!</f>
        <v>#REF!</v>
      </c>
      <c r="J577" s="387" t="e">
        <f t="shared" si="8"/>
        <v>#REF!</v>
      </c>
      <c r="O577" s="361"/>
      <c r="P577" s="361"/>
      <c r="Q577" s="361"/>
      <c r="R577" s="361"/>
      <c r="S577" s="361"/>
      <c r="T577" s="361"/>
      <c r="U577" s="361"/>
      <c r="V577" s="361"/>
      <c r="W577" s="361"/>
      <c r="X577" s="361"/>
      <c r="Y577" s="361"/>
      <c r="Z577" s="361"/>
    </row>
    <row r="578" spans="1:26" x14ac:dyDescent="0.2">
      <c r="A578" s="231"/>
      <c r="B578" s="316" t="s">
        <v>1453</v>
      </c>
      <c r="C578" s="224" t="s">
        <v>0</v>
      </c>
      <c r="D578" s="228" t="s">
        <v>672</v>
      </c>
      <c r="E578" s="224" t="s">
        <v>600</v>
      </c>
      <c r="F578" s="224" t="s">
        <v>585</v>
      </c>
      <c r="G578" s="224" t="s">
        <v>42</v>
      </c>
      <c r="H578" s="230">
        <v>191.11675931818175</v>
      </c>
      <c r="I578" s="224" t="e">
        <f>#REF!</f>
        <v>#REF!</v>
      </c>
      <c r="J578" s="385" t="e">
        <f t="shared" si="8"/>
        <v>#REF!</v>
      </c>
      <c r="O578" s="361"/>
      <c r="P578" s="361"/>
      <c r="Q578" s="361"/>
      <c r="R578" s="361"/>
      <c r="S578" s="361"/>
      <c r="T578" s="361"/>
      <c r="U578" s="361"/>
      <c r="V578" s="361"/>
      <c r="W578" s="361"/>
      <c r="X578" s="361"/>
      <c r="Y578" s="361"/>
      <c r="Z578" s="361"/>
    </row>
    <row r="579" spans="1:26" x14ac:dyDescent="0.2">
      <c r="A579" s="231"/>
      <c r="B579" s="315" t="s">
        <v>1454</v>
      </c>
      <c r="C579" s="226" t="s">
        <v>0</v>
      </c>
      <c r="D579" s="227" t="s">
        <v>673</v>
      </c>
      <c r="E579" s="226" t="s">
        <v>600</v>
      </c>
      <c r="F579" s="226" t="s">
        <v>585</v>
      </c>
      <c r="G579" s="226" t="s">
        <v>43</v>
      </c>
      <c r="H579" s="229">
        <v>191.11675931818175</v>
      </c>
      <c r="I579" s="226" t="e">
        <f>#REF!</f>
        <v>#REF!</v>
      </c>
      <c r="J579" s="387" t="e">
        <f t="shared" si="8"/>
        <v>#REF!</v>
      </c>
      <c r="O579" s="361"/>
      <c r="P579" s="361"/>
      <c r="Q579" s="361"/>
      <c r="R579" s="361"/>
      <c r="S579" s="361"/>
      <c r="T579" s="361"/>
      <c r="U579" s="361"/>
      <c r="V579" s="361"/>
      <c r="W579" s="361"/>
      <c r="X579" s="361"/>
      <c r="Y579" s="361"/>
      <c r="Z579" s="361"/>
    </row>
    <row r="580" spans="1:26" x14ac:dyDescent="0.2">
      <c r="A580" s="231"/>
      <c r="B580" s="316" t="s">
        <v>1455</v>
      </c>
      <c r="C580" s="224" t="s">
        <v>0</v>
      </c>
      <c r="D580" s="228" t="s">
        <v>691</v>
      </c>
      <c r="E580" s="224" t="s">
        <v>600</v>
      </c>
      <c r="F580" s="224" t="s">
        <v>585</v>
      </c>
      <c r="G580" s="224" t="s">
        <v>44</v>
      </c>
      <c r="H580" s="230">
        <v>243.21404886363629</v>
      </c>
      <c r="I580" s="224" t="e">
        <f>#REF!</f>
        <v>#REF!</v>
      </c>
      <c r="J580" s="385" t="e">
        <f t="shared" si="8"/>
        <v>#REF!</v>
      </c>
    </row>
    <row r="581" spans="1:26" x14ac:dyDescent="0.2">
      <c r="A581" s="231"/>
      <c r="B581" s="315" t="s">
        <v>1456</v>
      </c>
      <c r="C581" s="226" t="s">
        <v>0</v>
      </c>
      <c r="D581" s="227" t="s">
        <v>692</v>
      </c>
      <c r="E581" s="226" t="s">
        <v>600</v>
      </c>
      <c r="F581" s="226" t="s">
        <v>585</v>
      </c>
      <c r="G581" s="226" t="s">
        <v>633</v>
      </c>
      <c r="H581" s="229">
        <v>243.21404886363629</v>
      </c>
      <c r="I581" s="226" t="e">
        <f>#REF!</f>
        <v>#REF!</v>
      </c>
      <c r="J581" s="387" t="e">
        <f t="shared" si="8"/>
        <v>#REF!</v>
      </c>
      <c r="O581" s="361"/>
      <c r="P581" s="361"/>
      <c r="Q581" s="361"/>
      <c r="R581" s="361"/>
      <c r="S581" s="361"/>
      <c r="T581" s="361"/>
      <c r="U581" s="361"/>
      <c r="V581" s="361"/>
      <c r="W581" s="361"/>
      <c r="X581" s="361"/>
      <c r="Y581" s="361"/>
      <c r="Z581" s="361"/>
    </row>
    <row r="582" spans="1:26" x14ac:dyDescent="0.2">
      <c r="A582" s="231"/>
      <c r="B582" s="316" t="s">
        <v>1457</v>
      </c>
      <c r="C582" s="224" t="s">
        <v>0</v>
      </c>
      <c r="D582" s="228" t="s">
        <v>693</v>
      </c>
      <c r="E582" s="224" t="s">
        <v>600</v>
      </c>
      <c r="F582" s="224" t="s">
        <v>585</v>
      </c>
      <c r="G582" s="224" t="s">
        <v>42</v>
      </c>
      <c r="H582" s="230">
        <v>243.21404886363629</v>
      </c>
      <c r="I582" s="224" t="e">
        <f>#REF!</f>
        <v>#REF!</v>
      </c>
      <c r="J582" s="385" t="e">
        <f t="shared" ref="J582:J645" si="9">H582-H582*I582</f>
        <v>#REF!</v>
      </c>
      <c r="O582" s="361"/>
      <c r="P582" s="361"/>
      <c r="Q582" s="361"/>
      <c r="R582" s="361"/>
      <c r="S582" s="361"/>
      <c r="T582" s="361"/>
      <c r="U582" s="361"/>
      <c r="V582" s="361"/>
      <c r="W582" s="361"/>
      <c r="X582" s="361"/>
      <c r="Y582" s="361"/>
      <c r="Z582" s="361"/>
    </row>
    <row r="583" spans="1:26" x14ac:dyDescent="0.2">
      <c r="A583" s="231"/>
      <c r="B583" s="315" t="s">
        <v>1458</v>
      </c>
      <c r="C583" s="226" t="s">
        <v>0</v>
      </c>
      <c r="D583" s="227" t="s">
        <v>694</v>
      </c>
      <c r="E583" s="226" t="s">
        <v>600</v>
      </c>
      <c r="F583" s="226" t="s">
        <v>585</v>
      </c>
      <c r="G583" s="226" t="s">
        <v>43</v>
      </c>
      <c r="H583" s="229">
        <v>243.21404886363629</v>
      </c>
      <c r="I583" s="226" t="e">
        <f>#REF!</f>
        <v>#REF!</v>
      </c>
      <c r="J583" s="387" t="e">
        <f t="shared" si="9"/>
        <v>#REF!</v>
      </c>
      <c r="O583" s="361"/>
      <c r="P583" s="361"/>
      <c r="Q583" s="361"/>
      <c r="R583" s="361"/>
      <c r="S583" s="361"/>
      <c r="T583" s="361"/>
      <c r="U583" s="361"/>
      <c r="V583" s="361"/>
      <c r="W583" s="361"/>
      <c r="X583" s="361"/>
      <c r="Y583" s="361"/>
      <c r="Z583" s="361"/>
    </row>
    <row r="584" spans="1:26" x14ac:dyDescent="0.2">
      <c r="A584" s="231"/>
      <c r="B584" s="322" t="s">
        <v>1459</v>
      </c>
      <c r="C584" s="224" t="s">
        <v>0</v>
      </c>
      <c r="D584" s="228" t="s">
        <v>657</v>
      </c>
      <c r="E584" s="224" t="s">
        <v>600</v>
      </c>
      <c r="F584" s="224" t="s">
        <v>585</v>
      </c>
      <c r="G584" s="224" t="s">
        <v>44</v>
      </c>
      <c r="H584" s="230">
        <v>139.99979511363634</v>
      </c>
      <c r="I584" s="224" t="e">
        <f>#REF!</f>
        <v>#REF!</v>
      </c>
      <c r="J584" s="385" t="e">
        <f t="shared" si="9"/>
        <v>#REF!</v>
      </c>
    </row>
    <row r="585" spans="1:26" x14ac:dyDescent="0.2">
      <c r="A585" s="231"/>
      <c r="B585" s="315" t="s">
        <v>1460</v>
      </c>
      <c r="C585" s="226" t="s">
        <v>0</v>
      </c>
      <c r="D585" s="227" t="s">
        <v>655</v>
      </c>
      <c r="E585" s="226" t="s">
        <v>600</v>
      </c>
      <c r="F585" s="226" t="s">
        <v>585</v>
      </c>
      <c r="G585" s="226" t="s">
        <v>633</v>
      </c>
      <c r="H585" s="229">
        <v>137.47895852272728</v>
      </c>
      <c r="I585" s="226" t="e">
        <f>#REF!</f>
        <v>#REF!</v>
      </c>
      <c r="J585" s="387" t="e">
        <f t="shared" si="9"/>
        <v>#REF!</v>
      </c>
      <c r="O585" s="361"/>
      <c r="P585" s="361"/>
      <c r="Q585" s="361"/>
      <c r="R585" s="361"/>
      <c r="S585" s="361"/>
      <c r="T585" s="361"/>
      <c r="U585" s="361"/>
      <c r="V585" s="361"/>
      <c r="W585" s="361"/>
      <c r="X585" s="361"/>
      <c r="Y585" s="361"/>
      <c r="Z585" s="361"/>
    </row>
    <row r="586" spans="1:26" x14ac:dyDescent="0.2">
      <c r="A586" s="231"/>
      <c r="B586" s="316" t="s">
        <v>1461</v>
      </c>
      <c r="C586" s="224" t="s">
        <v>0</v>
      </c>
      <c r="D586" s="228" t="s">
        <v>656</v>
      </c>
      <c r="E586" s="224" t="s">
        <v>600</v>
      </c>
      <c r="F586" s="224" t="s">
        <v>585</v>
      </c>
      <c r="G586" s="224" t="s">
        <v>42</v>
      </c>
      <c r="H586" s="230">
        <v>137.47895852272728</v>
      </c>
      <c r="I586" s="224" t="e">
        <f>#REF!</f>
        <v>#REF!</v>
      </c>
      <c r="J586" s="385" t="e">
        <f t="shared" si="9"/>
        <v>#REF!</v>
      </c>
      <c r="O586" s="361"/>
      <c r="P586" s="361"/>
      <c r="Q586" s="361"/>
      <c r="R586" s="361"/>
      <c r="S586" s="361"/>
      <c r="T586" s="361"/>
      <c r="U586" s="361"/>
      <c r="V586" s="361"/>
      <c r="W586" s="361"/>
      <c r="X586" s="361"/>
      <c r="Y586" s="361"/>
      <c r="Z586" s="361"/>
    </row>
    <row r="587" spans="1:26" x14ac:dyDescent="0.2">
      <c r="A587" s="231"/>
      <c r="B587" s="315" t="s">
        <v>1462</v>
      </c>
      <c r="C587" s="226" t="s">
        <v>0</v>
      </c>
      <c r="D587" s="227" t="s">
        <v>658</v>
      </c>
      <c r="E587" s="226" t="s">
        <v>600</v>
      </c>
      <c r="F587" s="226" t="s">
        <v>585</v>
      </c>
      <c r="G587" s="226" t="s">
        <v>43</v>
      </c>
      <c r="H587" s="229">
        <v>139.99979511363634</v>
      </c>
      <c r="I587" s="226" t="e">
        <f>#REF!</f>
        <v>#REF!</v>
      </c>
      <c r="J587" s="387" t="e">
        <f t="shared" si="9"/>
        <v>#REF!</v>
      </c>
      <c r="O587" s="361"/>
      <c r="P587" s="361"/>
      <c r="Q587" s="361"/>
      <c r="R587" s="361"/>
      <c r="S587" s="361"/>
      <c r="T587" s="361"/>
      <c r="U587" s="361"/>
      <c r="V587" s="361"/>
      <c r="W587" s="361"/>
      <c r="X587" s="361"/>
      <c r="Y587" s="361"/>
      <c r="Z587" s="361"/>
    </row>
    <row r="588" spans="1:26" x14ac:dyDescent="0.2">
      <c r="A588" s="231"/>
      <c r="B588" s="316" t="s">
        <v>1463</v>
      </c>
      <c r="C588" s="224" t="s">
        <v>0</v>
      </c>
      <c r="D588" s="228" t="s">
        <v>663</v>
      </c>
      <c r="E588" s="224" t="s">
        <v>600</v>
      </c>
      <c r="F588" s="224" t="s">
        <v>585</v>
      </c>
      <c r="G588" s="224" t="s">
        <v>44</v>
      </c>
      <c r="H588" s="230">
        <v>159.69966624999995</v>
      </c>
      <c r="I588" s="224" t="e">
        <f>#REF!</f>
        <v>#REF!</v>
      </c>
      <c r="J588" s="385" t="e">
        <f t="shared" si="9"/>
        <v>#REF!</v>
      </c>
    </row>
    <row r="589" spans="1:26" x14ac:dyDescent="0.2">
      <c r="A589" s="231"/>
      <c r="B589" s="315" t="s">
        <v>1464</v>
      </c>
      <c r="C589" s="226" t="s">
        <v>0</v>
      </c>
      <c r="D589" s="227" t="s">
        <v>660</v>
      </c>
      <c r="E589" s="226" t="s">
        <v>600</v>
      </c>
      <c r="F589" s="226" t="s">
        <v>585</v>
      </c>
      <c r="G589" s="226" t="s">
        <v>633</v>
      </c>
      <c r="H589" s="229">
        <v>154.65799306818178</v>
      </c>
      <c r="I589" s="226" t="e">
        <f>#REF!</f>
        <v>#REF!</v>
      </c>
      <c r="J589" s="387" t="e">
        <f t="shared" si="9"/>
        <v>#REF!</v>
      </c>
      <c r="O589" s="361"/>
      <c r="P589" s="361"/>
      <c r="Q589" s="361"/>
      <c r="R589" s="361"/>
      <c r="S589" s="361"/>
      <c r="T589" s="361"/>
      <c r="U589" s="361"/>
      <c r="V589" s="361"/>
      <c r="W589" s="361"/>
      <c r="X589" s="361"/>
      <c r="Y589" s="361"/>
      <c r="Z589" s="361"/>
    </row>
    <row r="590" spans="1:26" x14ac:dyDescent="0.2">
      <c r="A590" s="231"/>
      <c r="B590" s="316" t="s">
        <v>1465</v>
      </c>
      <c r="C590" s="224" t="s">
        <v>0</v>
      </c>
      <c r="D590" s="228" t="s">
        <v>661</v>
      </c>
      <c r="E590" s="224" t="s">
        <v>600</v>
      </c>
      <c r="F590" s="224" t="s">
        <v>585</v>
      </c>
      <c r="G590" s="224" t="s">
        <v>42</v>
      </c>
      <c r="H590" s="230">
        <v>154.65799306818178</v>
      </c>
      <c r="I590" s="224" t="e">
        <f>#REF!</f>
        <v>#REF!</v>
      </c>
      <c r="J590" s="385" t="e">
        <f t="shared" si="9"/>
        <v>#REF!</v>
      </c>
      <c r="O590" s="361"/>
      <c r="P590" s="361"/>
      <c r="Q590" s="361"/>
      <c r="R590" s="361"/>
      <c r="S590" s="361"/>
      <c r="T590" s="361"/>
      <c r="U590" s="361"/>
      <c r="V590" s="361"/>
      <c r="W590" s="361"/>
      <c r="X590" s="361"/>
      <c r="Y590" s="361"/>
      <c r="Z590" s="361"/>
    </row>
    <row r="591" spans="1:26" x14ac:dyDescent="0.2">
      <c r="A591" s="231"/>
      <c r="B591" s="315" t="s">
        <v>1466</v>
      </c>
      <c r="C591" s="226" t="s">
        <v>0</v>
      </c>
      <c r="D591" s="227" t="s">
        <v>664</v>
      </c>
      <c r="E591" s="226" t="s">
        <v>600</v>
      </c>
      <c r="F591" s="226" t="s">
        <v>585</v>
      </c>
      <c r="G591" s="226" t="s">
        <v>43</v>
      </c>
      <c r="H591" s="229">
        <v>159.69966624999995</v>
      </c>
      <c r="I591" s="226" t="e">
        <f>#REF!</f>
        <v>#REF!</v>
      </c>
      <c r="J591" s="387" t="e">
        <f t="shared" si="9"/>
        <v>#REF!</v>
      </c>
      <c r="O591" s="361"/>
      <c r="P591" s="361"/>
      <c r="Q591" s="361"/>
      <c r="R591" s="361"/>
      <c r="S591" s="361"/>
      <c r="T591" s="361"/>
      <c r="U591" s="361"/>
      <c r="V591" s="361"/>
      <c r="W591" s="361"/>
      <c r="X591" s="361"/>
      <c r="Y591" s="361"/>
      <c r="Z591" s="361"/>
    </row>
    <row r="592" spans="1:26" x14ac:dyDescent="0.2">
      <c r="A592" s="231"/>
      <c r="B592" s="316" t="s">
        <v>1467</v>
      </c>
      <c r="C592" s="224" t="s">
        <v>0</v>
      </c>
      <c r="D592" s="228" t="s">
        <v>695</v>
      </c>
      <c r="E592" s="224" t="s">
        <v>600</v>
      </c>
      <c r="F592" s="224" t="s">
        <v>585</v>
      </c>
      <c r="G592" s="224" t="s">
        <v>44</v>
      </c>
      <c r="H592" s="230">
        <v>204.37449249999989</v>
      </c>
      <c r="I592" s="224" t="e">
        <f>#REF!</f>
        <v>#REF!</v>
      </c>
      <c r="J592" s="385" t="e">
        <f t="shared" si="9"/>
        <v>#REF!</v>
      </c>
    </row>
    <row r="593" spans="1:26" x14ac:dyDescent="0.2">
      <c r="A593" s="231"/>
      <c r="B593" s="315" t="s">
        <v>1468</v>
      </c>
      <c r="C593" s="226" t="s">
        <v>0</v>
      </c>
      <c r="D593" s="227" t="s">
        <v>696</v>
      </c>
      <c r="E593" s="226" t="s">
        <v>600</v>
      </c>
      <c r="F593" s="226" t="s">
        <v>585</v>
      </c>
      <c r="G593" s="226" t="s">
        <v>633</v>
      </c>
      <c r="H593" s="229">
        <v>194.29114613636361</v>
      </c>
      <c r="I593" s="226" t="e">
        <f>#REF!</f>
        <v>#REF!</v>
      </c>
      <c r="J593" s="387" t="e">
        <f t="shared" si="9"/>
        <v>#REF!</v>
      </c>
      <c r="O593" s="361"/>
      <c r="P593" s="361"/>
      <c r="Q593" s="361"/>
      <c r="R593" s="361"/>
      <c r="S593" s="361"/>
      <c r="T593" s="361"/>
      <c r="U593" s="361"/>
      <c r="V593" s="361"/>
      <c r="W593" s="361"/>
      <c r="X593" s="361"/>
      <c r="Y593" s="361"/>
      <c r="Z593" s="361"/>
    </row>
    <row r="594" spans="1:26" x14ac:dyDescent="0.2">
      <c r="A594" s="231"/>
      <c r="B594" s="316" t="s">
        <v>1469</v>
      </c>
      <c r="C594" s="224" t="s">
        <v>0</v>
      </c>
      <c r="D594" s="228" t="s">
        <v>697</v>
      </c>
      <c r="E594" s="224" t="s">
        <v>600</v>
      </c>
      <c r="F594" s="224" t="s">
        <v>585</v>
      </c>
      <c r="G594" s="224" t="s">
        <v>42</v>
      </c>
      <c r="H594" s="230">
        <v>194.29114613636361</v>
      </c>
      <c r="I594" s="224" t="e">
        <f>#REF!</f>
        <v>#REF!</v>
      </c>
      <c r="J594" s="385" t="e">
        <f t="shared" si="9"/>
        <v>#REF!</v>
      </c>
      <c r="O594" s="361"/>
      <c r="P594" s="361"/>
      <c r="Q594" s="361"/>
      <c r="R594" s="361"/>
      <c r="S594" s="361"/>
      <c r="T594" s="361"/>
      <c r="U594" s="361"/>
      <c r="V594" s="361"/>
      <c r="W594" s="361"/>
      <c r="X594" s="361"/>
      <c r="Y594" s="361"/>
      <c r="Z594" s="361"/>
    </row>
    <row r="595" spans="1:26" x14ac:dyDescent="0.2">
      <c r="A595" s="231"/>
      <c r="B595" s="315" t="s">
        <v>1470</v>
      </c>
      <c r="C595" s="226" t="s">
        <v>0</v>
      </c>
      <c r="D595" s="227" t="s">
        <v>698</v>
      </c>
      <c r="E595" s="226" t="s">
        <v>600</v>
      </c>
      <c r="F595" s="226" t="s">
        <v>585</v>
      </c>
      <c r="G595" s="226" t="s">
        <v>43</v>
      </c>
      <c r="H595" s="229">
        <v>194.29114613636361</v>
      </c>
      <c r="I595" s="226" t="e">
        <f>#REF!</f>
        <v>#REF!</v>
      </c>
      <c r="J595" s="387" t="e">
        <f t="shared" si="9"/>
        <v>#REF!</v>
      </c>
      <c r="O595" s="361"/>
      <c r="P595" s="361"/>
      <c r="Q595" s="361"/>
      <c r="R595" s="361"/>
      <c r="S595" s="361"/>
      <c r="T595" s="361"/>
      <c r="U595" s="361"/>
      <c r="V595" s="361"/>
      <c r="W595" s="361"/>
      <c r="X595" s="361"/>
      <c r="Y595" s="361"/>
      <c r="Z595" s="361"/>
    </row>
    <row r="596" spans="1:26" x14ac:dyDescent="0.2">
      <c r="A596" s="231"/>
      <c r="B596" s="316" t="s">
        <v>1471</v>
      </c>
      <c r="C596" s="224" t="s">
        <v>0</v>
      </c>
      <c r="D596" s="228" t="s">
        <v>659</v>
      </c>
      <c r="E596" s="224" t="s">
        <v>600</v>
      </c>
      <c r="F596" s="224" t="s">
        <v>585</v>
      </c>
      <c r="G596" s="224" t="s">
        <v>44</v>
      </c>
      <c r="H596" s="230">
        <v>142.24053874999998</v>
      </c>
      <c r="I596" s="224" t="e">
        <f>#REF!</f>
        <v>#REF!</v>
      </c>
      <c r="J596" s="385" t="e">
        <f t="shared" si="9"/>
        <v>#REF!</v>
      </c>
    </row>
    <row r="597" spans="1:26" x14ac:dyDescent="0.2">
      <c r="A597" s="231"/>
      <c r="B597" s="315" t="s">
        <v>1472</v>
      </c>
      <c r="C597" s="226" t="s">
        <v>0</v>
      </c>
      <c r="D597" s="227" t="s">
        <v>577</v>
      </c>
      <c r="E597" s="226" t="s">
        <v>600</v>
      </c>
      <c r="F597" s="226" t="s">
        <v>585</v>
      </c>
      <c r="G597" s="226" t="s">
        <v>44</v>
      </c>
      <c r="H597" s="229">
        <v>848.40155931818185</v>
      </c>
      <c r="I597" s="226" t="e">
        <f>#REF!</f>
        <v>#REF!</v>
      </c>
      <c r="J597" s="387" t="e">
        <f t="shared" si="9"/>
        <v>#REF!</v>
      </c>
    </row>
    <row r="598" spans="1:26" x14ac:dyDescent="0.2">
      <c r="A598" s="231"/>
      <c r="B598" s="316" t="s">
        <v>1473</v>
      </c>
      <c r="C598" s="224" t="s">
        <v>0</v>
      </c>
      <c r="D598" s="228" t="s">
        <v>662</v>
      </c>
      <c r="E598" s="224" t="s">
        <v>600</v>
      </c>
      <c r="F598" s="224" t="s">
        <v>585</v>
      </c>
      <c r="G598" s="224" t="s">
        <v>44</v>
      </c>
      <c r="H598" s="230">
        <v>158.57929443181811</v>
      </c>
      <c r="I598" s="224" t="e">
        <f>#REF!</f>
        <v>#REF!</v>
      </c>
      <c r="J598" s="385" t="e">
        <f t="shared" si="9"/>
        <v>#REF!</v>
      </c>
    </row>
    <row r="599" spans="1:26" x14ac:dyDescent="0.2">
      <c r="A599" s="231"/>
      <c r="B599" s="323" t="s">
        <v>1474</v>
      </c>
      <c r="C599" s="226" t="s">
        <v>0</v>
      </c>
      <c r="D599" s="227" t="s">
        <v>699</v>
      </c>
      <c r="E599" s="226" t="s">
        <v>600</v>
      </c>
      <c r="F599" s="226" t="s">
        <v>585</v>
      </c>
      <c r="G599" s="226" t="s">
        <v>41</v>
      </c>
      <c r="H599" s="229">
        <v>255.91159613636356</v>
      </c>
      <c r="I599" s="226" t="e">
        <f>#REF!</f>
        <v>#REF!</v>
      </c>
      <c r="J599" s="387" t="e">
        <f t="shared" si="9"/>
        <v>#REF!</v>
      </c>
      <c r="O599" s="361"/>
      <c r="P599" s="361"/>
      <c r="Q599" s="361"/>
      <c r="R599" s="361"/>
      <c r="S599" s="361"/>
      <c r="T599" s="361"/>
      <c r="U599" s="361"/>
      <c r="V599" s="361"/>
      <c r="W599" s="361"/>
      <c r="X599" s="361"/>
      <c r="Y599" s="361"/>
      <c r="Z599" s="361"/>
    </row>
    <row r="600" spans="1:26" x14ac:dyDescent="0.2">
      <c r="A600" s="231"/>
      <c r="B600" s="316" t="s">
        <v>1475</v>
      </c>
      <c r="C600" s="224" t="s">
        <v>0</v>
      </c>
      <c r="D600" s="228" t="s">
        <v>669</v>
      </c>
      <c r="E600" s="224" t="s">
        <v>600</v>
      </c>
      <c r="F600" s="224" t="s">
        <v>585</v>
      </c>
      <c r="G600" s="224" t="s">
        <v>44</v>
      </c>
      <c r="H600" s="230">
        <v>186.58858988636359</v>
      </c>
      <c r="I600" s="224" t="e">
        <f>#REF!</f>
        <v>#REF!</v>
      </c>
      <c r="J600" s="385" t="e">
        <f t="shared" si="9"/>
        <v>#REF!</v>
      </c>
    </row>
    <row r="601" spans="1:26" x14ac:dyDescent="0.2">
      <c r="A601" s="231"/>
      <c r="B601" s="315" t="s">
        <v>1476</v>
      </c>
      <c r="C601" s="226" t="s">
        <v>0</v>
      </c>
      <c r="D601" s="227" t="s">
        <v>700</v>
      </c>
      <c r="E601" s="226" t="s">
        <v>600</v>
      </c>
      <c r="F601" s="226" t="s">
        <v>585</v>
      </c>
      <c r="G601" s="226" t="s">
        <v>42</v>
      </c>
      <c r="H601" s="229">
        <v>225.70823920454541</v>
      </c>
      <c r="I601" s="226" t="e">
        <f>#REF!</f>
        <v>#REF!</v>
      </c>
      <c r="J601" s="387" t="e">
        <f t="shared" si="9"/>
        <v>#REF!</v>
      </c>
      <c r="O601" s="361"/>
      <c r="P601" s="361"/>
      <c r="Q601" s="361"/>
      <c r="R601" s="361"/>
      <c r="S601" s="361"/>
      <c r="T601" s="361"/>
      <c r="U601" s="361"/>
      <c r="V601" s="361"/>
      <c r="W601" s="361"/>
      <c r="X601" s="361"/>
      <c r="Y601" s="361"/>
      <c r="Z601" s="361"/>
    </row>
    <row r="602" spans="1:26" x14ac:dyDescent="0.2">
      <c r="A602" s="231"/>
      <c r="B602" s="316" t="s">
        <v>1477</v>
      </c>
      <c r="C602" s="224" t="s">
        <v>0</v>
      </c>
      <c r="D602" s="228" t="s">
        <v>573</v>
      </c>
      <c r="E602" s="224" t="s">
        <v>600</v>
      </c>
      <c r="F602" s="224" t="s">
        <v>585</v>
      </c>
      <c r="G602" s="224" t="s">
        <v>43</v>
      </c>
      <c r="H602" s="230">
        <v>1091.8957011363632</v>
      </c>
      <c r="I602" s="224" t="e">
        <f>#REF!</f>
        <v>#REF!</v>
      </c>
      <c r="J602" s="385" t="e">
        <f t="shared" si="9"/>
        <v>#REF!</v>
      </c>
      <c r="O602" s="361"/>
      <c r="P602" s="361"/>
      <c r="Q602" s="361"/>
      <c r="R602" s="361"/>
      <c r="S602" s="361"/>
      <c r="T602" s="361"/>
      <c r="U602" s="361"/>
      <c r="V602" s="361"/>
      <c r="W602" s="361"/>
      <c r="X602" s="361"/>
      <c r="Y602" s="361"/>
      <c r="Z602" s="361"/>
    </row>
    <row r="603" spans="1:26" x14ac:dyDescent="0.2">
      <c r="A603" s="231"/>
      <c r="B603" s="315" t="s">
        <v>1478</v>
      </c>
      <c r="C603" s="226" t="s">
        <v>0</v>
      </c>
      <c r="D603" s="227" t="s">
        <v>701</v>
      </c>
      <c r="E603" s="226" t="s">
        <v>600</v>
      </c>
      <c r="F603" s="226" t="s">
        <v>585</v>
      </c>
      <c r="G603" s="226" t="s">
        <v>43</v>
      </c>
      <c r="H603" s="229">
        <v>326.49502068181812</v>
      </c>
      <c r="I603" s="226" t="e">
        <f>#REF!</f>
        <v>#REF!</v>
      </c>
      <c r="J603" s="387" t="e">
        <f t="shared" si="9"/>
        <v>#REF!</v>
      </c>
      <c r="O603" s="361"/>
      <c r="P603" s="361"/>
      <c r="Q603" s="361"/>
      <c r="R603" s="361"/>
      <c r="S603" s="361"/>
      <c r="T603" s="361"/>
      <c r="U603" s="361"/>
      <c r="V603" s="361"/>
      <c r="W603" s="361"/>
      <c r="X603" s="361"/>
      <c r="Y603" s="361"/>
      <c r="Z603" s="361"/>
    </row>
    <row r="604" spans="1:26" x14ac:dyDescent="0.2">
      <c r="A604" s="231"/>
      <c r="B604" s="316" t="s">
        <v>1479</v>
      </c>
      <c r="C604" s="224" t="s">
        <v>0</v>
      </c>
      <c r="D604" s="228" t="s">
        <v>576</v>
      </c>
      <c r="E604" s="224" t="s">
        <v>600</v>
      </c>
      <c r="F604" s="224" t="s">
        <v>585</v>
      </c>
      <c r="G604" s="224" t="s">
        <v>42</v>
      </c>
      <c r="H604" s="230">
        <v>916.74424022727226</v>
      </c>
      <c r="I604" s="224" t="e">
        <f>#REF!</f>
        <v>#REF!</v>
      </c>
      <c r="J604" s="385" t="e">
        <f t="shared" si="9"/>
        <v>#REF!</v>
      </c>
      <c r="O604" s="361"/>
      <c r="P604" s="361"/>
      <c r="Q604" s="361"/>
      <c r="R604" s="361"/>
      <c r="S604" s="361"/>
      <c r="T604" s="361"/>
      <c r="U604" s="361"/>
      <c r="V604" s="361"/>
      <c r="W604" s="361"/>
      <c r="X604" s="361"/>
      <c r="Y604" s="361"/>
      <c r="Z604" s="361"/>
    </row>
    <row r="605" spans="1:26" x14ac:dyDescent="0.2">
      <c r="A605" s="231"/>
      <c r="B605" s="323" t="s">
        <v>1480</v>
      </c>
      <c r="C605" s="226" t="s">
        <v>0</v>
      </c>
      <c r="D605" s="227" t="s">
        <v>702</v>
      </c>
      <c r="E605" s="226" t="s">
        <v>600</v>
      </c>
      <c r="F605" s="226" t="s">
        <v>585</v>
      </c>
      <c r="G605" s="226" t="s">
        <v>41</v>
      </c>
      <c r="H605" s="229">
        <v>902.64622818181772</v>
      </c>
      <c r="I605" s="226" t="e">
        <f>#REF!</f>
        <v>#REF!</v>
      </c>
      <c r="J605" s="387" t="e">
        <f t="shared" si="9"/>
        <v>#REF!</v>
      </c>
      <c r="O605" s="361"/>
      <c r="P605" s="361"/>
      <c r="Q605" s="361"/>
      <c r="R605" s="361"/>
      <c r="S605" s="361"/>
      <c r="T605" s="361"/>
      <c r="U605" s="361"/>
      <c r="V605" s="361"/>
      <c r="W605" s="361"/>
      <c r="X605" s="361"/>
      <c r="Y605" s="361"/>
      <c r="Z605" s="361"/>
    </row>
    <row r="606" spans="1:26" x14ac:dyDescent="0.2">
      <c r="A606" s="231"/>
      <c r="B606" s="316" t="s">
        <v>1484</v>
      </c>
      <c r="C606" s="224" t="s">
        <v>0</v>
      </c>
      <c r="D606" s="228" t="s">
        <v>180</v>
      </c>
      <c r="E606" s="224" t="s">
        <v>600</v>
      </c>
      <c r="F606" s="224" t="s">
        <v>585</v>
      </c>
      <c r="G606" s="224" t="s">
        <v>40</v>
      </c>
      <c r="H606" s="230">
        <v>352.54816890375253</v>
      </c>
      <c r="I606" s="224" t="e">
        <f>#REF!</f>
        <v>#REF!</v>
      </c>
      <c r="J606" s="385" t="e">
        <f t="shared" si="9"/>
        <v>#REF!</v>
      </c>
      <c r="O606" s="361"/>
      <c r="P606" s="361"/>
      <c r="Q606" s="361"/>
      <c r="R606" s="361"/>
      <c r="S606" s="361"/>
      <c r="T606" s="361"/>
      <c r="U606" s="361"/>
      <c r="V606" s="361"/>
      <c r="W606" s="361"/>
      <c r="X606" s="361"/>
      <c r="Y606" s="361"/>
      <c r="Z606" s="361"/>
    </row>
    <row r="607" spans="1:26" x14ac:dyDescent="0.2">
      <c r="A607" s="231"/>
      <c r="B607" s="315" t="s">
        <v>1298</v>
      </c>
      <c r="C607" s="226" t="s">
        <v>0</v>
      </c>
      <c r="D607" s="227" t="s">
        <v>91</v>
      </c>
      <c r="E607" s="226" t="s">
        <v>600</v>
      </c>
      <c r="F607" s="226" t="s">
        <v>955</v>
      </c>
      <c r="G607" s="226" t="s">
        <v>33</v>
      </c>
      <c r="H607" s="229">
        <v>26.040000000000003</v>
      </c>
      <c r="I607" s="226" t="e">
        <f>#REF!</f>
        <v>#REF!</v>
      </c>
      <c r="J607" s="387" t="e">
        <f t="shared" si="9"/>
        <v>#REF!</v>
      </c>
      <c r="O607" s="361"/>
      <c r="P607" s="361"/>
      <c r="Q607" s="361"/>
      <c r="R607" s="361"/>
      <c r="S607" s="361"/>
      <c r="T607" s="361"/>
      <c r="U607" s="361"/>
      <c r="V607" s="361"/>
      <c r="W607" s="361"/>
      <c r="X607" s="361"/>
      <c r="Y607" s="361"/>
      <c r="Z607" s="361"/>
    </row>
    <row r="608" spans="1:26" x14ac:dyDescent="0.2">
      <c r="A608" s="231"/>
      <c r="B608" s="316" t="s">
        <v>1210</v>
      </c>
      <c r="C608" s="224" t="s">
        <v>0</v>
      </c>
      <c r="D608" s="228" t="s">
        <v>92</v>
      </c>
      <c r="E608" s="224" t="s">
        <v>600</v>
      </c>
      <c r="F608" s="224" t="s">
        <v>955</v>
      </c>
      <c r="G608" s="224" t="s">
        <v>33</v>
      </c>
      <c r="H608" s="230">
        <v>16.920000000000002</v>
      </c>
      <c r="I608" s="224" t="e">
        <f>#REF!</f>
        <v>#REF!</v>
      </c>
      <c r="J608" s="385" t="e">
        <f t="shared" si="9"/>
        <v>#REF!</v>
      </c>
      <c r="O608" s="361"/>
      <c r="P608" s="361"/>
      <c r="Q608" s="361"/>
      <c r="R608" s="361"/>
      <c r="S608" s="361"/>
      <c r="T608" s="361"/>
      <c r="U608" s="361"/>
      <c r="V608" s="361"/>
      <c r="W608" s="361"/>
      <c r="X608" s="361"/>
      <c r="Y608" s="361"/>
      <c r="Z608" s="361"/>
    </row>
    <row r="609" spans="1:26" x14ac:dyDescent="0.2">
      <c r="A609" s="231"/>
      <c r="B609" s="315" t="s">
        <v>1485</v>
      </c>
      <c r="C609" s="226" t="s">
        <v>0</v>
      </c>
      <c r="D609" s="227" t="s">
        <v>177</v>
      </c>
      <c r="E609" s="226" t="s">
        <v>600</v>
      </c>
      <c r="F609" s="226" t="s">
        <v>585</v>
      </c>
      <c r="G609" s="226" t="s">
        <v>40</v>
      </c>
      <c r="H609" s="229">
        <v>17.633333333333329</v>
      </c>
      <c r="I609" s="226" t="e">
        <f>#REF!</f>
        <v>#REF!</v>
      </c>
      <c r="J609" s="387" t="e">
        <f t="shared" si="9"/>
        <v>#REF!</v>
      </c>
      <c r="O609" s="361"/>
      <c r="P609" s="361"/>
      <c r="Q609" s="361"/>
      <c r="R609" s="361"/>
      <c r="S609" s="361"/>
      <c r="T609" s="361"/>
      <c r="U609" s="361"/>
      <c r="V609" s="361"/>
      <c r="W609" s="361"/>
      <c r="X609" s="361"/>
      <c r="Y609" s="361"/>
      <c r="Z609" s="361"/>
    </row>
    <row r="610" spans="1:26" x14ac:dyDescent="0.2">
      <c r="A610" s="231"/>
      <c r="B610" s="316" t="s">
        <v>1486</v>
      </c>
      <c r="C610" s="224" t="s">
        <v>0</v>
      </c>
      <c r="D610" s="228" t="s">
        <v>194</v>
      </c>
      <c r="E610" s="224" t="s">
        <v>600</v>
      </c>
      <c r="F610" s="224" t="s">
        <v>585</v>
      </c>
      <c r="G610" s="224" t="s">
        <v>40</v>
      </c>
      <c r="H610" s="230">
        <v>323.90970330003023</v>
      </c>
      <c r="I610" s="224" t="e">
        <f>#REF!</f>
        <v>#REF!</v>
      </c>
      <c r="J610" s="385" t="e">
        <f t="shared" si="9"/>
        <v>#REF!</v>
      </c>
      <c r="O610" s="361"/>
      <c r="P610" s="361"/>
      <c r="Q610" s="361"/>
      <c r="R610" s="361"/>
      <c r="S610" s="361"/>
      <c r="T610" s="361"/>
      <c r="U610" s="361"/>
      <c r="V610" s="361"/>
      <c r="W610" s="361"/>
      <c r="X610" s="361"/>
      <c r="Y610" s="361"/>
      <c r="Z610" s="361"/>
    </row>
    <row r="611" spans="1:26" x14ac:dyDescent="0.2">
      <c r="A611" s="231"/>
      <c r="B611" s="315" t="s">
        <v>1370</v>
      </c>
      <c r="C611" s="226" t="s">
        <v>0</v>
      </c>
      <c r="D611" s="227" t="s">
        <v>195</v>
      </c>
      <c r="E611" s="226" t="s">
        <v>600</v>
      </c>
      <c r="F611" s="226" t="s">
        <v>955</v>
      </c>
      <c r="G611" s="226" t="s">
        <v>40</v>
      </c>
      <c r="H611" s="229">
        <v>60.670299727520444</v>
      </c>
      <c r="I611" s="226" t="e">
        <f>#REF!</f>
        <v>#REF!</v>
      </c>
      <c r="J611" s="387" t="e">
        <f t="shared" si="9"/>
        <v>#REF!</v>
      </c>
      <c r="O611" s="361"/>
      <c r="P611" s="361"/>
      <c r="Q611" s="361"/>
      <c r="R611" s="361"/>
      <c r="S611" s="361"/>
      <c r="T611" s="361"/>
      <c r="U611" s="361"/>
      <c r="V611" s="361"/>
      <c r="W611" s="361"/>
      <c r="X611" s="361"/>
      <c r="Y611" s="361"/>
      <c r="Z611" s="361"/>
    </row>
    <row r="612" spans="1:26" x14ac:dyDescent="0.2">
      <c r="A612" s="231"/>
      <c r="B612" s="316" t="s">
        <v>1487</v>
      </c>
      <c r="C612" s="224" t="s">
        <v>0</v>
      </c>
      <c r="D612" s="228" t="s">
        <v>172</v>
      </c>
      <c r="E612" s="224" t="s">
        <v>600</v>
      </c>
      <c r="F612" s="224" t="s">
        <v>585</v>
      </c>
      <c r="G612" s="224" t="s">
        <v>40</v>
      </c>
      <c r="H612" s="230">
        <v>70.533333333333317</v>
      </c>
      <c r="I612" s="224" t="e">
        <f>#REF!</f>
        <v>#REF!</v>
      </c>
      <c r="J612" s="385" t="e">
        <f t="shared" si="9"/>
        <v>#REF!</v>
      </c>
      <c r="O612" s="361"/>
      <c r="P612" s="361"/>
      <c r="Q612" s="361"/>
      <c r="R612" s="361"/>
      <c r="S612" s="361"/>
      <c r="T612" s="361"/>
      <c r="U612" s="361"/>
      <c r="V612" s="361"/>
      <c r="W612" s="361"/>
      <c r="X612" s="361"/>
      <c r="Y612" s="361"/>
      <c r="Z612" s="361"/>
    </row>
    <row r="613" spans="1:26" x14ac:dyDescent="0.2">
      <c r="A613" s="231"/>
      <c r="B613" s="315" t="s">
        <v>1488</v>
      </c>
      <c r="C613" s="226" t="s">
        <v>0</v>
      </c>
      <c r="D613" s="227" t="s">
        <v>207</v>
      </c>
      <c r="E613" s="226" t="s">
        <v>600</v>
      </c>
      <c r="F613" s="226" t="s">
        <v>585</v>
      </c>
      <c r="G613" s="226" t="s">
        <v>40</v>
      </c>
      <c r="H613" s="229">
        <v>24.456666666666663</v>
      </c>
      <c r="I613" s="226" t="e">
        <f>#REF!</f>
        <v>#REF!</v>
      </c>
      <c r="J613" s="387" t="e">
        <f t="shared" si="9"/>
        <v>#REF!</v>
      </c>
      <c r="O613" s="361"/>
      <c r="P613" s="361"/>
      <c r="Q613" s="361"/>
      <c r="R613" s="361"/>
      <c r="S613" s="361"/>
      <c r="T613" s="361"/>
      <c r="U613" s="361"/>
      <c r="V613" s="361"/>
      <c r="W613" s="361"/>
      <c r="X613" s="361"/>
      <c r="Y613" s="361"/>
      <c r="Z613" s="361"/>
    </row>
    <row r="614" spans="1:26" x14ac:dyDescent="0.2">
      <c r="A614" s="231"/>
      <c r="B614" s="316" t="s">
        <v>1489</v>
      </c>
      <c r="C614" s="224" t="s">
        <v>0</v>
      </c>
      <c r="D614" s="228" t="s">
        <v>203</v>
      </c>
      <c r="E614" s="224" t="s">
        <v>600</v>
      </c>
      <c r="F614" s="224" t="s">
        <v>585</v>
      </c>
      <c r="G614" s="224" t="s">
        <v>40</v>
      </c>
      <c r="H614" s="230">
        <v>30.474268846503172</v>
      </c>
      <c r="I614" s="224" t="e">
        <f>#REF!</f>
        <v>#REF!</v>
      </c>
      <c r="J614" s="385" t="e">
        <f t="shared" si="9"/>
        <v>#REF!</v>
      </c>
      <c r="O614" s="361"/>
      <c r="P614" s="361"/>
      <c r="Q614" s="361"/>
      <c r="R614" s="361"/>
      <c r="S614" s="361"/>
      <c r="T614" s="361"/>
      <c r="U614" s="361"/>
      <c r="V614" s="361"/>
      <c r="W614" s="361"/>
      <c r="X614" s="361"/>
      <c r="Y614" s="361"/>
      <c r="Z614" s="361"/>
    </row>
    <row r="615" spans="1:26" x14ac:dyDescent="0.2">
      <c r="A615" s="231"/>
      <c r="B615" s="315" t="s">
        <v>1491</v>
      </c>
      <c r="C615" s="226" t="s">
        <v>0</v>
      </c>
      <c r="D615" s="227" t="s">
        <v>204</v>
      </c>
      <c r="E615" s="226" t="s">
        <v>600</v>
      </c>
      <c r="F615" s="226" t="s">
        <v>585</v>
      </c>
      <c r="G615" s="226" t="s">
        <v>40</v>
      </c>
      <c r="H615" s="229">
        <v>16.718555858310619</v>
      </c>
      <c r="I615" s="226" t="e">
        <f>#REF!</f>
        <v>#REF!</v>
      </c>
      <c r="J615" s="387" t="e">
        <f t="shared" si="9"/>
        <v>#REF!</v>
      </c>
      <c r="O615" s="361"/>
      <c r="P615" s="361"/>
      <c r="Q615" s="361"/>
      <c r="R615" s="361"/>
      <c r="S615" s="361"/>
      <c r="T615" s="361"/>
      <c r="U615" s="361"/>
      <c r="V615" s="361"/>
      <c r="W615" s="361"/>
      <c r="X615" s="361"/>
      <c r="Y615" s="361"/>
      <c r="Z615" s="361"/>
    </row>
    <row r="616" spans="1:26" x14ac:dyDescent="0.2">
      <c r="A616" s="231"/>
      <c r="B616" s="316" t="s">
        <v>1492</v>
      </c>
      <c r="C616" s="224" t="s">
        <v>0</v>
      </c>
      <c r="D616" s="228" t="s">
        <v>206</v>
      </c>
      <c r="E616" s="224" t="s">
        <v>600</v>
      </c>
      <c r="F616" s="224" t="s">
        <v>585</v>
      </c>
      <c r="G616" s="224" t="s">
        <v>40</v>
      </c>
      <c r="H616" s="230">
        <v>15.083278837420522</v>
      </c>
      <c r="I616" s="224" t="e">
        <f>#REF!</f>
        <v>#REF!</v>
      </c>
      <c r="J616" s="385" t="e">
        <f t="shared" si="9"/>
        <v>#REF!</v>
      </c>
      <c r="O616" s="361"/>
      <c r="P616" s="361"/>
      <c r="Q616" s="361"/>
      <c r="R616" s="361"/>
      <c r="S616" s="361"/>
      <c r="T616" s="361"/>
      <c r="U616" s="361"/>
      <c r="V616" s="361"/>
      <c r="W616" s="361"/>
      <c r="X616" s="361"/>
      <c r="Y616" s="361"/>
      <c r="Z616" s="361"/>
    </row>
    <row r="617" spans="1:26" x14ac:dyDescent="0.2">
      <c r="A617" s="231"/>
      <c r="B617" s="315" t="s">
        <v>1493</v>
      </c>
      <c r="C617" s="226" t="s">
        <v>0</v>
      </c>
      <c r="D617" s="227" t="s">
        <v>168</v>
      </c>
      <c r="E617" s="226" t="s">
        <v>600</v>
      </c>
      <c r="F617" s="226" t="s">
        <v>585</v>
      </c>
      <c r="G617" s="226" t="s">
        <v>40</v>
      </c>
      <c r="H617" s="229">
        <v>75.789282470481368</v>
      </c>
      <c r="I617" s="226" t="e">
        <f>#REF!</f>
        <v>#REF!</v>
      </c>
      <c r="J617" s="387" t="e">
        <f t="shared" si="9"/>
        <v>#REF!</v>
      </c>
      <c r="O617" s="361"/>
      <c r="P617" s="361"/>
      <c r="Q617" s="361"/>
      <c r="R617" s="361"/>
      <c r="S617" s="361"/>
      <c r="T617" s="361"/>
      <c r="U617" s="361"/>
      <c r="V617" s="361"/>
      <c r="W617" s="361"/>
      <c r="X617" s="361"/>
      <c r="Y617" s="361"/>
      <c r="Z617" s="361"/>
    </row>
    <row r="618" spans="1:26" x14ac:dyDescent="0.2">
      <c r="A618" s="231"/>
      <c r="B618" s="316" t="s">
        <v>1498</v>
      </c>
      <c r="C618" s="224" t="s">
        <v>0</v>
      </c>
      <c r="D618" s="228" t="s">
        <v>193</v>
      </c>
      <c r="E618" s="224" t="s">
        <v>600</v>
      </c>
      <c r="F618" s="224" t="s">
        <v>585</v>
      </c>
      <c r="G618" s="224" t="s">
        <v>40</v>
      </c>
      <c r="H618" s="230">
        <v>121.79726986162311</v>
      </c>
      <c r="I618" s="224" t="e">
        <f>#REF!</f>
        <v>#REF!</v>
      </c>
      <c r="J618" s="385" t="e">
        <f t="shared" si="9"/>
        <v>#REF!</v>
      </c>
      <c r="O618" s="361"/>
      <c r="P618" s="361"/>
      <c r="Q618" s="361"/>
      <c r="R618" s="361"/>
      <c r="S618" s="361"/>
      <c r="T618" s="361"/>
      <c r="U618" s="361"/>
      <c r="V618" s="361"/>
      <c r="W618" s="361"/>
      <c r="X618" s="361"/>
      <c r="Y618" s="361"/>
      <c r="Z618" s="361"/>
    </row>
    <row r="619" spans="1:26" x14ac:dyDescent="0.2">
      <c r="A619" s="231"/>
      <c r="B619" s="315" t="s">
        <v>1499</v>
      </c>
      <c r="C619" s="226" t="s">
        <v>0</v>
      </c>
      <c r="D619" s="227" t="s">
        <v>183</v>
      </c>
      <c r="E619" s="226" t="s">
        <v>600</v>
      </c>
      <c r="F619" s="226" t="s">
        <v>585</v>
      </c>
      <c r="G619" s="226" t="s">
        <v>40</v>
      </c>
      <c r="H619" s="229">
        <v>286.54166666666657</v>
      </c>
      <c r="I619" s="226" t="e">
        <f>#REF!</f>
        <v>#REF!</v>
      </c>
      <c r="J619" s="387" t="e">
        <f t="shared" si="9"/>
        <v>#REF!</v>
      </c>
      <c r="O619" s="361"/>
      <c r="P619" s="361"/>
      <c r="Q619" s="361"/>
      <c r="R619" s="361"/>
      <c r="S619" s="361"/>
      <c r="T619" s="361"/>
      <c r="U619" s="361"/>
      <c r="V619" s="361"/>
      <c r="W619" s="361"/>
      <c r="X619" s="361"/>
      <c r="Y619" s="361"/>
      <c r="Z619" s="361"/>
    </row>
    <row r="620" spans="1:26" x14ac:dyDescent="0.2">
      <c r="A620" s="231"/>
      <c r="B620" s="316" t="s">
        <v>1500</v>
      </c>
      <c r="C620" s="224" t="s">
        <v>0</v>
      </c>
      <c r="D620" s="228" t="s">
        <v>205</v>
      </c>
      <c r="E620" s="224" t="s">
        <v>600</v>
      </c>
      <c r="F620" s="224" t="s">
        <v>585</v>
      </c>
      <c r="G620" s="224" t="s">
        <v>40</v>
      </c>
      <c r="H620" s="230">
        <v>16.507356948228875</v>
      </c>
      <c r="I620" s="224" t="e">
        <f>#REF!</f>
        <v>#REF!</v>
      </c>
      <c r="J620" s="385" t="e">
        <f t="shared" si="9"/>
        <v>#REF!</v>
      </c>
      <c r="O620" s="361"/>
      <c r="P620" s="361"/>
      <c r="Q620" s="361"/>
      <c r="R620" s="361"/>
      <c r="S620" s="361"/>
      <c r="T620" s="361"/>
      <c r="U620" s="361"/>
      <c r="V620" s="361"/>
      <c r="W620" s="361"/>
      <c r="X620" s="361"/>
      <c r="Y620" s="361"/>
      <c r="Z620" s="361"/>
    </row>
    <row r="621" spans="1:26" x14ac:dyDescent="0.2">
      <c r="A621" s="231"/>
      <c r="B621" s="315" t="s">
        <v>1502</v>
      </c>
      <c r="C621" s="226" t="s">
        <v>0</v>
      </c>
      <c r="D621" s="227" t="s">
        <v>196</v>
      </c>
      <c r="E621" s="226" t="s">
        <v>600</v>
      </c>
      <c r="F621" s="226" t="s">
        <v>585</v>
      </c>
      <c r="G621" s="226" t="s">
        <v>40</v>
      </c>
      <c r="H621" s="229">
        <v>65.434756282167712</v>
      </c>
      <c r="I621" s="226" t="e">
        <f>#REF!</f>
        <v>#REF!</v>
      </c>
      <c r="J621" s="387" t="e">
        <f t="shared" si="9"/>
        <v>#REF!</v>
      </c>
      <c r="O621" s="361"/>
      <c r="P621" s="361"/>
      <c r="Q621" s="361"/>
      <c r="R621" s="361"/>
      <c r="S621" s="361"/>
      <c r="T621" s="361"/>
      <c r="U621" s="361"/>
      <c r="V621" s="361"/>
      <c r="W621" s="361"/>
      <c r="X621" s="361"/>
      <c r="Y621" s="361"/>
      <c r="Z621" s="361"/>
    </row>
    <row r="622" spans="1:26" x14ac:dyDescent="0.2">
      <c r="A622" s="231"/>
      <c r="B622" s="316" t="s">
        <v>1281</v>
      </c>
      <c r="C622" s="224" t="s">
        <v>0</v>
      </c>
      <c r="D622" s="228" t="s">
        <v>179</v>
      </c>
      <c r="E622" s="224" t="s">
        <v>600</v>
      </c>
      <c r="F622" s="224" t="s">
        <v>955</v>
      </c>
      <c r="G622" s="224" t="s">
        <v>40</v>
      </c>
      <c r="H622" s="230">
        <v>21.760744791431286</v>
      </c>
      <c r="I622" s="224" t="e">
        <f>#REF!</f>
        <v>#REF!</v>
      </c>
      <c r="J622" s="385" t="e">
        <f t="shared" si="9"/>
        <v>#REF!</v>
      </c>
      <c r="O622" s="361"/>
      <c r="P622" s="361"/>
      <c r="Q622" s="361"/>
      <c r="R622" s="361"/>
      <c r="S622" s="361"/>
      <c r="T622" s="361"/>
      <c r="U622" s="361"/>
      <c r="V622" s="361"/>
      <c r="W622" s="361"/>
      <c r="X622" s="361"/>
      <c r="Y622" s="361"/>
      <c r="Z622" s="361"/>
    </row>
    <row r="623" spans="1:26" x14ac:dyDescent="0.2">
      <c r="A623" s="231"/>
      <c r="B623" s="315" t="s">
        <v>1100</v>
      </c>
      <c r="C623" s="226" t="s">
        <v>0</v>
      </c>
      <c r="D623" s="227" t="s">
        <v>171</v>
      </c>
      <c r="E623" s="226" t="s">
        <v>600</v>
      </c>
      <c r="F623" s="226" t="s">
        <v>955</v>
      </c>
      <c r="G623" s="226" t="s">
        <v>40</v>
      </c>
      <c r="H623" s="229">
        <v>9.0000000000000018</v>
      </c>
      <c r="I623" s="226" t="e">
        <f>#REF!</f>
        <v>#REF!</v>
      </c>
      <c r="J623" s="387" t="e">
        <f t="shared" si="9"/>
        <v>#REF!</v>
      </c>
      <c r="O623" s="361"/>
      <c r="P623" s="361"/>
      <c r="Q623" s="361"/>
      <c r="R623" s="361"/>
      <c r="S623" s="361"/>
      <c r="T623" s="361"/>
      <c r="U623" s="361"/>
      <c r="V623" s="361"/>
      <c r="W623" s="361"/>
      <c r="X623" s="361"/>
      <c r="Y623" s="361"/>
      <c r="Z623" s="361"/>
    </row>
    <row r="624" spans="1:26" x14ac:dyDescent="0.2">
      <c r="A624" s="231"/>
      <c r="B624" s="316" t="s">
        <v>1349</v>
      </c>
      <c r="C624" s="224" t="s">
        <v>0</v>
      </c>
      <c r="D624" s="228" t="s">
        <v>190</v>
      </c>
      <c r="E624" s="224" t="s">
        <v>600</v>
      </c>
      <c r="F624" s="224" t="s">
        <v>955</v>
      </c>
      <c r="G624" s="224" t="s">
        <v>40</v>
      </c>
      <c r="H624" s="230">
        <v>40.46975476839237</v>
      </c>
      <c r="I624" s="224" t="e">
        <f>#REF!</f>
        <v>#REF!</v>
      </c>
      <c r="J624" s="385" t="e">
        <f t="shared" si="9"/>
        <v>#REF!</v>
      </c>
      <c r="O624" s="361"/>
      <c r="P624" s="361"/>
      <c r="Q624" s="361"/>
      <c r="R624" s="361"/>
      <c r="S624" s="361"/>
      <c r="T624" s="361"/>
      <c r="U624" s="361"/>
      <c r="V624" s="361"/>
      <c r="W624" s="361"/>
      <c r="X624" s="361"/>
      <c r="Y624" s="361"/>
      <c r="Z624" s="361"/>
    </row>
    <row r="625" spans="1:26" x14ac:dyDescent="0.2">
      <c r="A625" s="231"/>
      <c r="B625" s="315" t="s">
        <v>1346</v>
      </c>
      <c r="C625" s="226" t="s">
        <v>0</v>
      </c>
      <c r="D625" s="227" t="s">
        <v>182</v>
      </c>
      <c r="E625" s="226" t="s">
        <v>600</v>
      </c>
      <c r="F625" s="226" t="s">
        <v>955</v>
      </c>
      <c r="G625" s="226" t="s">
        <v>40</v>
      </c>
      <c r="H625" s="229">
        <v>39.657432096533654</v>
      </c>
      <c r="I625" s="226" t="e">
        <f>#REF!</f>
        <v>#REF!</v>
      </c>
      <c r="J625" s="387" t="e">
        <f t="shared" si="9"/>
        <v>#REF!</v>
      </c>
      <c r="O625" s="361"/>
      <c r="P625" s="361"/>
      <c r="Q625" s="361"/>
      <c r="R625" s="361"/>
      <c r="S625" s="361"/>
      <c r="T625" s="361"/>
      <c r="U625" s="361"/>
      <c r="V625" s="361"/>
      <c r="W625" s="361"/>
      <c r="X625" s="361"/>
      <c r="Y625" s="361"/>
      <c r="Z625" s="361"/>
    </row>
    <row r="626" spans="1:26" x14ac:dyDescent="0.2">
      <c r="A626" s="231"/>
      <c r="B626" s="316" t="s">
        <v>1506</v>
      </c>
      <c r="C626" s="224" t="s">
        <v>0</v>
      </c>
      <c r="D626" s="228" t="s">
        <v>198</v>
      </c>
      <c r="E626" s="224" t="s">
        <v>600</v>
      </c>
      <c r="F626" s="224" t="s">
        <v>585</v>
      </c>
      <c r="G626" s="224" t="s">
        <v>40</v>
      </c>
      <c r="H626" s="230">
        <v>34.219028156221604</v>
      </c>
      <c r="I626" s="224" t="e">
        <f>#REF!</f>
        <v>#REF!</v>
      </c>
      <c r="J626" s="385" t="e">
        <f t="shared" si="9"/>
        <v>#REF!</v>
      </c>
      <c r="O626" s="361"/>
      <c r="P626" s="361"/>
      <c r="Q626" s="361"/>
      <c r="R626" s="361"/>
      <c r="S626" s="361"/>
      <c r="T626" s="361"/>
      <c r="U626" s="361"/>
      <c r="V626" s="361"/>
      <c r="W626" s="361"/>
      <c r="X626" s="361"/>
      <c r="Y626" s="361"/>
      <c r="Z626" s="361"/>
    </row>
    <row r="627" spans="1:26" x14ac:dyDescent="0.2">
      <c r="A627" s="231"/>
      <c r="B627" s="315" t="s">
        <v>1507</v>
      </c>
      <c r="C627" s="226" t="s">
        <v>0</v>
      </c>
      <c r="D627" s="227" t="s">
        <v>189</v>
      </c>
      <c r="E627" s="226" t="s">
        <v>600</v>
      </c>
      <c r="F627" s="226" t="s">
        <v>585</v>
      </c>
      <c r="G627" s="226" t="s">
        <v>40</v>
      </c>
      <c r="H627" s="229">
        <v>49.935694822888273</v>
      </c>
      <c r="I627" s="226" t="e">
        <f>#REF!</f>
        <v>#REF!</v>
      </c>
      <c r="J627" s="387" t="e">
        <f t="shared" si="9"/>
        <v>#REF!</v>
      </c>
      <c r="O627" s="361"/>
      <c r="P627" s="361"/>
      <c r="Q627" s="361"/>
      <c r="R627" s="361"/>
      <c r="S627" s="361"/>
      <c r="T627" s="361"/>
      <c r="U627" s="361"/>
      <c r="V627" s="361"/>
      <c r="W627" s="361"/>
      <c r="X627" s="361"/>
      <c r="Y627" s="361"/>
      <c r="Z627" s="361"/>
    </row>
    <row r="628" spans="1:26" x14ac:dyDescent="0.2">
      <c r="A628" s="231"/>
      <c r="B628" s="316" t="s">
        <v>1508</v>
      </c>
      <c r="C628" s="224" t="s">
        <v>0</v>
      </c>
      <c r="D628" s="228" t="s">
        <v>184</v>
      </c>
      <c r="E628" s="224" t="s">
        <v>600</v>
      </c>
      <c r="F628" s="224" t="s">
        <v>585</v>
      </c>
      <c r="G628" s="224" t="s">
        <v>40</v>
      </c>
      <c r="H628" s="230">
        <v>25.683333333333326</v>
      </c>
      <c r="I628" s="224" t="e">
        <f>#REF!</f>
        <v>#REF!</v>
      </c>
      <c r="J628" s="385" t="e">
        <f t="shared" si="9"/>
        <v>#REF!</v>
      </c>
      <c r="O628" s="361"/>
      <c r="P628" s="361"/>
      <c r="Q628" s="361"/>
      <c r="R628" s="361"/>
      <c r="S628" s="361"/>
      <c r="T628" s="361"/>
      <c r="U628" s="361"/>
      <c r="V628" s="361"/>
      <c r="W628" s="361"/>
      <c r="X628" s="361"/>
      <c r="Y628" s="361"/>
      <c r="Z628" s="361"/>
    </row>
    <row r="629" spans="1:26" x14ac:dyDescent="0.2">
      <c r="A629" s="231"/>
      <c r="B629" s="315" t="s">
        <v>1509</v>
      </c>
      <c r="C629" s="226" t="s">
        <v>0</v>
      </c>
      <c r="D629" s="227" t="s">
        <v>202</v>
      </c>
      <c r="E629" s="226" t="s">
        <v>600</v>
      </c>
      <c r="F629" s="226" t="s">
        <v>585</v>
      </c>
      <c r="G629" s="226" t="s">
        <v>40</v>
      </c>
      <c r="H629" s="229">
        <v>32.161666666666662</v>
      </c>
      <c r="I629" s="226" t="e">
        <f>#REF!</f>
        <v>#REF!</v>
      </c>
      <c r="J629" s="387" t="e">
        <f t="shared" si="9"/>
        <v>#REF!</v>
      </c>
      <c r="O629" s="361"/>
      <c r="P629" s="361"/>
      <c r="Q629" s="361"/>
      <c r="R629" s="361"/>
      <c r="S629" s="361"/>
      <c r="T629" s="361"/>
      <c r="U629" s="361"/>
      <c r="V629" s="361"/>
      <c r="W629" s="361"/>
      <c r="X629" s="361"/>
      <c r="Y629" s="361"/>
      <c r="Z629" s="361"/>
    </row>
    <row r="630" spans="1:26" x14ac:dyDescent="0.2">
      <c r="A630" s="231"/>
      <c r="B630" s="316" t="s">
        <v>1218</v>
      </c>
      <c r="C630" s="224" t="s">
        <v>0</v>
      </c>
      <c r="D630" s="228" t="s">
        <v>181</v>
      </c>
      <c r="E630" s="224" t="s">
        <v>600</v>
      </c>
      <c r="F630" s="224" t="s">
        <v>955</v>
      </c>
      <c r="G630" s="224" t="s">
        <v>40</v>
      </c>
      <c r="H630" s="230">
        <v>19.659239842726087</v>
      </c>
      <c r="I630" s="224" t="e">
        <f>#REF!</f>
        <v>#REF!</v>
      </c>
      <c r="J630" s="385" t="e">
        <f t="shared" si="9"/>
        <v>#REF!</v>
      </c>
      <c r="O630" s="361"/>
      <c r="P630" s="361"/>
      <c r="Q630" s="361"/>
      <c r="R630" s="361"/>
      <c r="S630" s="361"/>
      <c r="T630" s="361"/>
      <c r="U630" s="361"/>
      <c r="V630" s="361"/>
      <c r="W630" s="361"/>
      <c r="X630" s="361"/>
      <c r="Y630" s="361"/>
      <c r="Z630" s="361"/>
    </row>
    <row r="631" spans="1:26" x14ac:dyDescent="0.2">
      <c r="A631" s="231"/>
      <c r="B631" s="315" t="s">
        <v>1213</v>
      </c>
      <c r="C631" s="226" t="s">
        <v>0</v>
      </c>
      <c r="D631" s="227" t="s">
        <v>185</v>
      </c>
      <c r="E631" s="226" t="s">
        <v>600</v>
      </c>
      <c r="F631" s="226" t="s">
        <v>955</v>
      </c>
      <c r="G631" s="226" t="s">
        <v>40</v>
      </c>
      <c r="H631" s="229">
        <v>18.604904632152593</v>
      </c>
      <c r="I631" s="226" t="e">
        <f>#REF!</f>
        <v>#REF!</v>
      </c>
      <c r="J631" s="387" t="e">
        <f t="shared" si="9"/>
        <v>#REF!</v>
      </c>
      <c r="O631" s="361"/>
      <c r="P631" s="361"/>
      <c r="Q631" s="361"/>
      <c r="R631" s="361"/>
      <c r="S631" s="361"/>
      <c r="T631" s="361"/>
      <c r="U631" s="361"/>
      <c r="V631" s="361"/>
      <c r="W631" s="361"/>
      <c r="X631" s="361"/>
      <c r="Y631" s="361"/>
      <c r="Z631" s="361"/>
    </row>
    <row r="632" spans="1:26" x14ac:dyDescent="0.2">
      <c r="A632" s="231"/>
      <c r="B632" s="316" t="s">
        <v>1214</v>
      </c>
      <c r="C632" s="224" t="s">
        <v>0</v>
      </c>
      <c r="D632" s="228" t="s">
        <v>186</v>
      </c>
      <c r="E632" s="224" t="s">
        <v>600</v>
      </c>
      <c r="F632" s="224" t="s">
        <v>955</v>
      </c>
      <c r="G632" s="224" t="s">
        <v>40</v>
      </c>
      <c r="H632" s="230">
        <v>18.604904632152593</v>
      </c>
      <c r="I632" s="224" t="e">
        <f>#REF!</f>
        <v>#REF!</v>
      </c>
      <c r="J632" s="385" t="e">
        <f t="shared" si="9"/>
        <v>#REF!</v>
      </c>
      <c r="O632" s="361"/>
      <c r="P632" s="361"/>
      <c r="Q632" s="361"/>
      <c r="R632" s="361"/>
      <c r="S632" s="361"/>
      <c r="T632" s="361"/>
      <c r="U632" s="361"/>
      <c r="V632" s="361"/>
      <c r="W632" s="361"/>
      <c r="X632" s="361"/>
      <c r="Y632" s="361"/>
      <c r="Z632" s="361"/>
    </row>
    <row r="633" spans="1:26" x14ac:dyDescent="0.2">
      <c r="A633" s="231"/>
      <c r="B633" s="315" t="s">
        <v>1341</v>
      </c>
      <c r="C633" s="226" t="s">
        <v>0</v>
      </c>
      <c r="D633" s="227" t="s">
        <v>173</v>
      </c>
      <c r="E633" s="226" t="s">
        <v>600</v>
      </c>
      <c r="F633" s="226" t="s">
        <v>955</v>
      </c>
      <c r="G633" s="226" t="s">
        <v>40</v>
      </c>
      <c r="H633" s="229">
        <v>37.980000000000011</v>
      </c>
      <c r="I633" s="226" t="e">
        <f>#REF!</f>
        <v>#REF!</v>
      </c>
      <c r="J633" s="387" t="e">
        <f t="shared" si="9"/>
        <v>#REF!</v>
      </c>
      <c r="O633" s="361"/>
      <c r="P633" s="361"/>
      <c r="Q633" s="361"/>
      <c r="R633" s="361"/>
      <c r="S633" s="361"/>
      <c r="T633" s="361"/>
      <c r="U633" s="361"/>
      <c r="V633" s="361"/>
      <c r="W633" s="361"/>
      <c r="X633" s="361"/>
      <c r="Y633" s="361"/>
      <c r="Z633" s="361"/>
    </row>
    <row r="634" spans="1:26" x14ac:dyDescent="0.2">
      <c r="A634" s="231"/>
      <c r="B634" s="316" t="s">
        <v>1209</v>
      </c>
      <c r="C634" s="224" t="s">
        <v>0</v>
      </c>
      <c r="D634" s="228" t="s">
        <v>175</v>
      </c>
      <c r="E634" s="224" t="s">
        <v>600</v>
      </c>
      <c r="F634" s="224" t="s">
        <v>955</v>
      </c>
      <c r="G634" s="224" t="s">
        <v>40</v>
      </c>
      <c r="H634" s="230">
        <v>16.879830071857917</v>
      </c>
      <c r="I634" s="224" t="e">
        <f>#REF!</f>
        <v>#REF!</v>
      </c>
      <c r="J634" s="385" t="e">
        <f t="shared" si="9"/>
        <v>#REF!</v>
      </c>
      <c r="O634" s="361"/>
      <c r="P634" s="361"/>
      <c r="Q634" s="361"/>
      <c r="R634" s="361"/>
      <c r="S634" s="361"/>
      <c r="T634" s="361"/>
      <c r="U634" s="361"/>
      <c r="V634" s="361"/>
      <c r="W634" s="361"/>
      <c r="X634" s="361"/>
      <c r="Y634" s="361"/>
      <c r="Z634" s="361"/>
    </row>
    <row r="635" spans="1:26" x14ac:dyDescent="0.2">
      <c r="A635" s="231"/>
      <c r="B635" s="315" t="s">
        <v>1290</v>
      </c>
      <c r="C635" s="226" t="s">
        <v>0</v>
      </c>
      <c r="D635" s="227" t="s">
        <v>174</v>
      </c>
      <c r="E635" s="226" t="s">
        <v>600</v>
      </c>
      <c r="F635" s="226" t="s">
        <v>955</v>
      </c>
      <c r="G635" s="226" t="s">
        <v>40</v>
      </c>
      <c r="H635" s="229">
        <v>24.811316491164646</v>
      </c>
      <c r="I635" s="226" t="e">
        <f>#REF!</f>
        <v>#REF!</v>
      </c>
      <c r="J635" s="387" t="e">
        <f t="shared" si="9"/>
        <v>#REF!</v>
      </c>
      <c r="O635" s="361"/>
      <c r="P635" s="361"/>
      <c r="Q635" s="361"/>
      <c r="R635" s="361"/>
      <c r="S635" s="361"/>
      <c r="T635" s="361"/>
      <c r="U635" s="361"/>
      <c r="V635" s="361"/>
      <c r="W635" s="361"/>
      <c r="X635" s="361"/>
      <c r="Y635" s="361"/>
      <c r="Z635" s="361"/>
    </row>
    <row r="636" spans="1:26" x14ac:dyDescent="0.2">
      <c r="A636" s="231"/>
      <c r="B636" s="316" t="s">
        <v>1204</v>
      </c>
      <c r="C636" s="224" t="s">
        <v>0</v>
      </c>
      <c r="D636" s="228" t="s">
        <v>176</v>
      </c>
      <c r="E636" s="224" t="s">
        <v>600</v>
      </c>
      <c r="F636" s="224" t="s">
        <v>955</v>
      </c>
      <c r="G636" s="224" t="s">
        <v>40</v>
      </c>
      <c r="H636" s="230">
        <v>15.862972838613459</v>
      </c>
      <c r="I636" s="224" t="e">
        <f>#REF!</f>
        <v>#REF!</v>
      </c>
      <c r="J636" s="385" t="e">
        <f t="shared" si="9"/>
        <v>#REF!</v>
      </c>
      <c r="O636" s="361"/>
      <c r="P636" s="361"/>
      <c r="Q636" s="361"/>
      <c r="R636" s="361"/>
      <c r="S636" s="361"/>
      <c r="T636" s="361"/>
      <c r="U636" s="361"/>
      <c r="V636" s="361"/>
      <c r="W636" s="361"/>
      <c r="X636" s="361"/>
      <c r="Y636" s="361"/>
      <c r="Z636" s="361"/>
    </row>
    <row r="637" spans="1:26" x14ac:dyDescent="0.2">
      <c r="A637" s="231"/>
      <c r="B637" s="315" t="s">
        <v>1312</v>
      </c>
      <c r="C637" s="226" t="s">
        <v>0</v>
      </c>
      <c r="D637" s="227" t="s">
        <v>188</v>
      </c>
      <c r="E637" s="226" t="s">
        <v>600</v>
      </c>
      <c r="F637" s="226" t="s">
        <v>955</v>
      </c>
      <c r="G637" s="226" t="s">
        <v>40</v>
      </c>
      <c r="H637" s="229">
        <v>29.362397820163498</v>
      </c>
      <c r="I637" s="226" t="e">
        <f>#REF!</f>
        <v>#REF!</v>
      </c>
      <c r="J637" s="387" t="e">
        <f t="shared" si="9"/>
        <v>#REF!</v>
      </c>
      <c r="O637" s="361"/>
      <c r="P637" s="361"/>
      <c r="Q637" s="361"/>
      <c r="R637" s="361"/>
      <c r="S637" s="361"/>
      <c r="T637" s="361"/>
      <c r="U637" s="361"/>
      <c r="V637" s="361"/>
      <c r="W637" s="361"/>
      <c r="X637" s="361"/>
      <c r="Y637" s="361"/>
      <c r="Z637" s="361"/>
    </row>
    <row r="638" spans="1:26" x14ac:dyDescent="0.2">
      <c r="A638" s="231"/>
      <c r="B638" s="316" t="s">
        <v>990</v>
      </c>
      <c r="C638" s="224" t="s">
        <v>0</v>
      </c>
      <c r="D638" s="228" t="s">
        <v>277</v>
      </c>
      <c r="E638" s="224" t="s">
        <v>600</v>
      </c>
      <c r="F638" s="224" t="s">
        <v>955</v>
      </c>
      <c r="G638" s="224" t="s">
        <v>44</v>
      </c>
      <c r="H638" s="230">
        <v>4.6254345033074511</v>
      </c>
      <c r="I638" s="224" t="e">
        <f>#REF!</f>
        <v>#REF!</v>
      </c>
      <c r="J638" s="385" t="e">
        <f t="shared" si="9"/>
        <v>#REF!</v>
      </c>
    </row>
    <row r="639" spans="1:26" x14ac:dyDescent="0.2">
      <c r="A639" s="231"/>
      <c r="B639" s="315" t="s">
        <v>1130</v>
      </c>
      <c r="C639" s="226" t="s">
        <v>0</v>
      </c>
      <c r="D639" s="227" t="s">
        <v>7</v>
      </c>
      <c r="E639" s="226" t="s">
        <v>600</v>
      </c>
      <c r="F639" s="226" t="s">
        <v>955</v>
      </c>
      <c r="G639" s="226" t="s">
        <v>40</v>
      </c>
      <c r="H639" s="229">
        <v>10.806539509536789</v>
      </c>
      <c r="I639" s="226" t="e">
        <f>#REF!</f>
        <v>#REF!</v>
      </c>
      <c r="J639" s="387" t="e">
        <f t="shared" si="9"/>
        <v>#REF!</v>
      </c>
      <c r="O639" s="361"/>
      <c r="P639" s="361"/>
      <c r="Q639" s="361"/>
      <c r="R639" s="361"/>
      <c r="S639" s="361"/>
      <c r="T639" s="361"/>
      <c r="U639" s="361"/>
      <c r="V639" s="361"/>
      <c r="W639" s="361"/>
      <c r="X639" s="361"/>
      <c r="Y639" s="361"/>
      <c r="Z639" s="361"/>
    </row>
    <row r="640" spans="1:26" x14ac:dyDescent="0.2">
      <c r="A640" s="231"/>
      <c r="B640" s="316" t="s">
        <v>1086</v>
      </c>
      <c r="C640" s="224" t="s">
        <v>0</v>
      </c>
      <c r="D640" s="228" t="s">
        <v>170</v>
      </c>
      <c r="E640" s="224" t="s">
        <v>600</v>
      </c>
      <c r="F640" s="224" t="s">
        <v>955</v>
      </c>
      <c r="G640" s="224" t="s">
        <v>40</v>
      </c>
      <c r="H640" s="230">
        <v>5.9509536784741162</v>
      </c>
      <c r="I640" s="224" t="e">
        <f>#REF!</f>
        <v>#REF!</v>
      </c>
      <c r="J640" s="385" t="e">
        <f t="shared" si="9"/>
        <v>#REF!</v>
      </c>
      <c r="O640" s="361"/>
      <c r="P640" s="361"/>
      <c r="Q640" s="361"/>
      <c r="R640" s="361"/>
      <c r="S640" s="361"/>
      <c r="T640" s="361"/>
      <c r="U640" s="361"/>
      <c r="V640" s="361"/>
      <c r="W640" s="361"/>
      <c r="X640" s="361"/>
      <c r="Y640" s="361"/>
      <c r="Z640" s="361"/>
    </row>
    <row r="641" spans="1:26" x14ac:dyDescent="0.2">
      <c r="A641" s="231"/>
      <c r="B641" s="315" t="s">
        <v>1041</v>
      </c>
      <c r="C641" s="226" t="s">
        <v>0</v>
      </c>
      <c r="D641" s="227" t="s">
        <v>820</v>
      </c>
      <c r="E641" s="226" t="s">
        <v>600</v>
      </c>
      <c r="F641" s="226" t="s">
        <v>955</v>
      </c>
      <c r="G641" s="226" t="s">
        <v>832</v>
      </c>
      <c r="H641" s="229">
        <v>1.0222222222222221</v>
      </c>
      <c r="I641" s="226" t="e">
        <f>#REF!</f>
        <v>#REF!</v>
      </c>
      <c r="J641" s="387" t="e">
        <f t="shared" si="9"/>
        <v>#REF!</v>
      </c>
      <c r="O641" s="361"/>
      <c r="P641" s="361"/>
      <c r="Q641" s="361"/>
      <c r="R641" s="361"/>
      <c r="S641" s="361"/>
      <c r="T641" s="361"/>
      <c r="U641" s="361"/>
      <c r="V641" s="361"/>
      <c r="W641" s="361"/>
      <c r="X641" s="361"/>
      <c r="Y641" s="361"/>
      <c r="Z641" s="361"/>
    </row>
    <row r="642" spans="1:26" x14ac:dyDescent="0.2">
      <c r="A642" s="231"/>
      <c r="B642" s="316" t="s">
        <v>1019</v>
      </c>
      <c r="C642" s="224" t="s">
        <v>0</v>
      </c>
      <c r="D642" s="228" t="s">
        <v>798</v>
      </c>
      <c r="E642" s="224" t="s">
        <v>600</v>
      </c>
      <c r="F642" s="224" t="s">
        <v>955</v>
      </c>
      <c r="G642" s="224" t="s">
        <v>832</v>
      </c>
      <c r="H642" s="230">
        <v>1.3629629629629629</v>
      </c>
      <c r="I642" s="224" t="e">
        <f>#REF!</f>
        <v>#REF!</v>
      </c>
      <c r="J642" s="385" t="e">
        <f t="shared" si="9"/>
        <v>#REF!</v>
      </c>
      <c r="O642" s="361"/>
      <c r="P642" s="361"/>
      <c r="Q642" s="361"/>
      <c r="R642" s="361"/>
      <c r="S642" s="361"/>
      <c r="T642" s="361"/>
      <c r="U642" s="361"/>
      <c r="V642" s="361"/>
      <c r="W642" s="361"/>
      <c r="X642" s="361"/>
      <c r="Y642" s="361"/>
      <c r="Z642" s="361"/>
    </row>
    <row r="643" spans="1:26" x14ac:dyDescent="0.2">
      <c r="A643" s="231" t="s">
        <v>2118</v>
      </c>
      <c r="B643" s="315" t="s">
        <v>1020</v>
      </c>
      <c r="C643" s="226" t="s">
        <v>0</v>
      </c>
      <c r="D643" s="227" t="s">
        <v>799</v>
      </c>
      <c r="E643" s="226" t="s">
        <v>600</v>
      </c>
      <c r="F643" s="226" t="s">
        <v>955</v>
      </c>
      <c r="G643" s="226" t="s">
        <v>832</v>
      </c>
      <c r="H643" s="229">
        <v>1.3629629629629629</v>
      </c>
      <c r="I643" s="226" t="e">
        <f>#REF!</f>
        <v>#REF!</v>
      </c>
      <c r="J643" s="387" t="e">
        <f t="shared" si="9"/>
        <v>#REF!</v>
      </c>
      <c r="O643" s="361"/>
      <c r="P643" s="361"/>
      <c r="Q643" s="361"/>
      <c r="R643" s="361"/>
      <c r="S643" s="361"/>
      <c r="T643" s="361"/>
      <c r="U643" s="361"/>
      <c r="V643" s="361"/>
      <c r="W643" s="361"/>
      <c r="X643" s="361"/>
      <c r="Y643" s="361"/>
      <c r="Z643" s="361"/>
    </row>
    <row r="644" spans="1:26" x14ac:dyDescent="0.2">
      <c r="A644" s="231"/>
      <c r="B644" s="316" t="s">
        <v>1042</v>
      </c>
      <c r="C644" s="224" t="s">
        <v>0</v>
      </c>
      <c r="D644" s="228" t="s">
        <v>821</v>
      </c>
      <c r="E644" s="224" t="s">
        <v>600</v>
      </c>
      <c r="F644" s="224" t="s">
        <v>955</v>
      </c>
      <c r="G644" s="224" t="s">
        <v>832</v>
      </c>
      <c r="H644" s="230">
        <v>2.3851851851851853</v>
      </c>
      <c r="I644" s="224" t="e">
        <f>#REF!</f>
        <v>#REF!</v>
      </c>
      <c r="J644" s="385" t="e">
        <f t="shared" si="9"/>
        <v>#REF!</v>
      </c>
      <c r="O644" s="361"/>
      <c r="P644" s="361"/>
      <c r="Q644" s="361"/>
      <c r="R644" s="361"/>
      <c r="S644" s="361"/>
      <c r="T644" s="361"/>
      <c r="U644" s="361"/>
      <c r="V644" s="361"/>
      <c r="W644" s="361"/>
      <c r="X644" s="361"/>
      <c r="Y644" s="361"/>
      <c r="Z644" s="361"/>
    </row>
    <row r="645" spans="1:26" x14ac:dyDescent="0.2">
      <c r="A645" s="231"/>
      <c r="B645" s="315" t="s">
        <v>1021</v>
      </c>
      <c r="C645" s="226" t="s">
        <v>0</v>
      </c>
      <c r="D645" s="227" t="s">
        <v>800</v>
      </c>
      <c r="E645" s="226" t="s">
        <v>600</v>
      </c>
      <c r="F645" s="226" t="s">
        <v>955</v>
      </c>
      <c r="G645" s="226" t="s">
        <v>832</v>
      </c>
      <c r="H645" s="229">
        <v>2.7259259259259259</v>
      </c>
      <c r="I645" s="226" t="e">
        <f>#REF!</f>
        <v>#REF!</v>
      </c>
      <c r="J645" s="387" t="e">
        <f t="shared" si="9"/>
        <v>#REF!</v>
      </c>
      <c r="O645" s="361"/>
      <c r="P645" s="361"/>
      <c r="Q645" s="361"/>
      <c r="R645" s="361"/>
      <c r="S645" s="361"/>
      <c r="T645" s="361"/>
      <c r="U645" s="361"/>
      <c r="V645" s="361"/>
      <c r="W645" s="361"/>
      <c r="X645" s="361"/>
      <c r="Y645" s="361"/>
      <c r="Z645" s="361"/>
    </row>
    <row r="646" spans="1:26" x14ac:dyDescent="0.2">
      <c r="A646" s="231"/>
      <c r="B646" s="316" t="s">
        <v>1043</v>
      </c>
      <c r="C646" s="224" t="s">
        <v>0</v>
      </c>
      <c r="D646" s="228" t="s">
        <v>822</v>
      </c>
      <c r="E646" s="224" t="s">
        <v>600</v>
      </c>
      <c r="F646" s="224" t="s">
        <v>955</v>
      </c>
      <c r="G646" s="224" t="s">
        <v>832</v>
      </c>
      <c r="H646" s="230">
        <v>2.3851851851851853</v>
      </c>
      <c r="I646" s="224" t="e">
        <f>#REF!</f>
        <v>#REF!</v>
      </c>
      <c r="J646" s="385" t="e">
        <f t="shared" ref="J646:J709" si="10">H646-H646*I646</f>
        <v>#REF!</v>
      </c>
      <c r="O646" s="361"/>
      <c r="P646" s="361"/>
      <c r="Q646" s="361"/>
      <c r="R646" s="361"/>
      <c r="S646" s="361"/>
      <c r="T646" s="361"/>
      <c r="U646" s="361"/>
      <c r="V646" s="361"/>
      <c r="W646" s="361"/>
      <c r="X646" s="361"/>
      <c r="Y646" s="361"/>
      <c r="Z646" s="361"/>
    </row>
    <row r="647" spans="1:26" x14ac:dyDescent="0.2">
      <c r="A647" s="231"/>
      <c r="B647" s="315" t="s">
        <v>1022</v>
      </c>
      <c r="C647" s="226" t="s">
        <v>0</v>
      </c>
      <c r="D647" s="227" t="s">
        <v>801</v>
      </c>
      <c r="E647" s="226" t="s">
        <v>600</v>
      </c>
      <c r="F647" s="226" t="s">
        <v>955</v>
      </c>
      <c r="G647" s="226" t="s">
        <v>832</v>
      </c>
      <c r="H647" s="229">
        <v>2.7259259259259259</v>
      </c>
      <c r="I647" s="226" t="e">
        <f>#REF!</f>
        <v>#REF!</v>
      </c>
      <c r="J647" s="387" t="e">
        <f t="shared" si="10"/>
        <v>#REF!</v>
      </c>
      <c r="O647" s="361"/>
      <c r="P647" s="361"/>
      <c r="Q647" s="361"/>
      <c r="R647" s="361"/>
      <c r="S647" s="361"/>
      <c r="T647" s="361"/>
      <c r="U647" s="361"/>
      <c r="V647" s="361"/>
      <c r="W647" s="361"/>
      <c r="X647" s="361"/>
      <c r="Y647" s="361"/>
      <c r="Z647" s="361"/>
    </row>
    <row r="648" spans="1:26" x14ac:dyDescent="0.2">
      <c r="A648" s="231"/>
      <c r="B648" s="316" t="s">
        <v>1024</v>
      </c>
      <c r="C648" s="224" t="s">
        <v>0</v>
      </c>
      <c r="D648" s="228" t="s">
        <v>803</v>
      </c>
      <c r="E648" s="224" t="s">
        <v>600</v>
      </c>
      <c r="F648" s="224" t="s">
        <v>955</v>
      </c>
      <c r="G648" s="224" t="s">
        <v>832</v>
      </c>
      <c r="H648" s="230">
        <v>2.7259259259259259</v>
      </c>
      <c r="I648" s="224" t="e">
        <f>#REF!</f>
        <v>#REF!</v>
      </c>
      <c r="J648" s="385" t="e">
        <f t="shared" si="10"/>
        <v>#REF!</v>
      </c>
      <c r="O648" s="361"/>
      <c r="P648" s="361"/>
      <c r="Q648" s="361"/>
      <c r="R648" s="361"/>
      <c r="S648" s="361"/>
      <c r="T648" s="361"/>
      <c r="U648" s="361"/>
      <c r="V648" s="361"/>
      <c r="W648" s="361"/>
      <c r="X648" s="361"/>
      <c r="Y648" s="361"/>
      <c r="Z648" s="361"/>
    </row>
    <row r="649" spans="1:26" x14ac:dyDescent="0.2">
      <c r="A649" s="231"/>
      <c r="B649" s="315" t="s">
        <v>1025</v>
      </c>
      <c r="C649" s="226" t="s">
        <v>0</v>
      </c>
      <c r="D649" s="227" t="s">
        <v>804</v>
      </c>
      <c r="E649" s="226" t="s">
        <v>600</v>
      </c>
      <c r="F649" s="226" t="s">
        <v>955</v>
      </c>
      <c r="G649" s="226" t="s">
        <v>832</v>
      </c>
      <c r="H649" s="229">
        <v>2.7259259259259259</v>
      </c>
      <c r="I649" s="226" t="e">
        <f>#REF!</f>
        <v>#REF!</v>
      </c>
      <c r="J649" s="387" t="e">
        <f t="shared" si="10"/>
        <v>#REF!</v>
      </c>
      <c r="O649" s="361"/>
      <c r="P649" s="361"/>
      <c r="Q649" s="361"/>
      <c r="R649" s="361"/>
      <c r="S649" s="361"/>
      <c r="T649" s="361"/>
      <c r="U649" s="361"/>
      <c r="V649" s="361"/>
      <c r="W649" s="361"/>
      <c r="X649" s="361"/>
      <c r="Y649" s="361"/>
      <c r="Z649" s="361"/>
    </row>
    <row r="650" spans="1:26" x14ac:dyDescent="0.2">
      <c r="A650" s="231"/>
      <c r="B650" s="316" t="s">
        <v>1026</v>
      </c>
      <c r="C650" s="224" t="s">
        <v>0</v>
      </c>
      <c r="D650" s="228" t="s">
        <v>805</v>
      </c>
      <c r="E650" s="224" t="s">
        <v>600</v>
      </c>
      <c r="F650" s="224" t="s">
        <v>955</v>
      </c>
      <c r="G650" s="224" t="s">
        <v>832</v>
      </c>
      <c r="H650" s="230">
        <v>3.9185185185185185</v>
      </c>
      <c r="I650" s="224" t="e">
        <f>#REF!</f>
        <v>#REF!</v>
      </c>
      <c r="J650" s="385" t="e">
        <f t="shared" si="10"/>
        <v>#REF!</v>
      </c>
      <c r="O650" s="361"/>
      <c r="P650" s="361"/>
      <c r="Q650" s="361"/>
      <c r="R650" s="361"/>
      <c r="S650" s="361"/>
      <c r="T650" s="361"/>
      <c r="U650" s="361"/>
      <c r="V650" s="361"/>
      <c r="W650" s="361"/>
      <c r="X650" s="361"/>
      <c r="Y650" s="361"/>
      <c r="Z650" s="361"/>
    </row>
    <row r="651" spans="1:26" x14ac:dyDescent="0.2">
      <c r="A651" s="231"/>
      <c r="B651" s="315" t="s">
        <v>1029</v>
      </c>
      <c r="C651" s="226" t="s">
        <v>0</v>
      </c>
      <c r="D651" s="227" t="s">
        <v>808</v>
      </c>
      <c r="E651" s="226" t="s">
        <v>600</v>
      </c>
      <c r="F651" s="226" t="s">
        <v>955</v>
      </c>
      <c r="G651" s="226" t="s">
        <v>832</v>
      </c>
      <c r="H651" s="229">
        <v>3.9185185185185185</v>
      </c>
      <c r="I651" s="226" t="e">
        <f>#REF!</f>
        <v>#REF!</v>
      </c>
      <c r="J651" s="387" t="e">
        <f t="shared" si="10"/>
        <v>#REF!</v>
      </c>
      <c r="O651" s="361"/>
      <c r="P651" s="361"/>
      <c r="Q651" s="361"/>
      <c r="R651" s="361"/>
      <c r="S651" s="361"/>
      <c r="T651" s="361"/>
      <c r="U651" s="361"/>
      <c r="V651" s="361"/>
      <c r="W651" s="361"/>
      <c r="X651" s="361"/>
      <c r="Y651" s="361"/>
      <c r="Z651" s="361"/>
    </row>
    <row r="652" spans="1:26" x14ac:dyDescent="0.2">
      <c r="A652" s="231" t="s">
        <v>2118</v>
      </c>
      <c r="B652" s="316" t="s">
        <v>1030</v>
      </c>
      <c r="C652" s="224" t="s">
        <v>0</v>
      </c>
      <c r="D652" s="228" t="s">
        <v>809</v>
      </c>
      <c r="E652" s="224" t="s">
        <v>600</v>
      </c>
      <c r="F652" s="224" t="s">
        <v>955</v>
      </c>
      <c r="G652" s="224" t="s">
        <v>832</v>
      </c>
      <c r="H652" s="230">
        <v>3.9185185185185185</v>
      </c>
      <c r="I652" s="224" t="e">
        <f>#REF!</f>
        <v>#REF!</v>
      </c>
      <c r="J652" s="385" t="e">
        <f t="shared" si="10"/>
        <v>#REF!</v>
      </c>
      <c r="O652" s="361"/>
      <c r="P652" s="361"/>
      <c r="Q652" s="361"/>
      <c r="R652" s="361"/>
      <c r="S652" s="361"/>
      <c r="T652" s="361"/>
      <c r="U652" s="361"/>
      <c r="V652" s="361"/>
      <c r="W652" s="361"/>
      <c r="X652" s="361"/>
      <c r="Y652" s="361"/>
      <c r="Z652" s="361"/>
    </row>
    <row r="653" spans="1:26" x14ac:dyDescent="0.2">
      <c r="A653" s="231"/>
      <c r="B653" s="315" t="s">
        <v>1027</v>
      </c>
      <c r="C653" s="226" t="s">
        <v>0</v>
      </c>
      <c r="D653" s="227" t="s">
        <v>806</v>
      </c>
      <c r="E653" s="226" t="s">
        <v>600</v>
      </c>
      <c r="F653" s="226" t="s">
        <v>955</v>
      </c>
      <c r="G653" s="226" t="s">
        <v>832</v>
      </c>
      <c r="H653" s="229">
        <v>3.9185185185185185</v>
      </c>
      <c r="I653" s="226" t="e">
        <f>#REF!</f>
        <v>#REF!</v>
      </c>
      <c r="J653" s="387" t="e">
        <f t="shared" si="10"/>
        <v>#REF!</v>
      </c>
      <c r="O653" s="361"/>
      <c r="P653" s="361"/>
      <c r="Q653" s="361"/>
      <c r="R653" s="361"/>
      <c r="S653" s="361"/>
      <c r="T653" s="361"/>
      <c r="U653" s="361"/>
      <c r="V653" s="361"/>
      <c r="W653" s="361"/>
      <c r="X653" s="361"/>
      <c r="Y653" s="361"/>
      <c r="Z653" s="361"/>
    </row>
    <row r="654" spans="1:26" x14ac:dyDescent="0.2">
      <c r="A654" s="231"/>
      <c r="B654" s="316" t="s">
        <v>1031</v>
      </c>
      <c r="C654" s="224" t="s">
        <v>0</v>
      </c>
      <c r="D654" s="228" t="s">
        <v>810</v>
      </c>
      <c r="E654" s="224" t="s">
        <v>600</v>
      </c>
      <c r="F654" s="224" t="s">
        <v>955</v>
      </c>
      <c r="G654" s="224" t="s">
        <v>832</v>
      </c>
      <c r="H654" s="230">
        <v>7.9222222222222207</v>
      </c>
      <c r="I654" s="224" t="e">
        <f>#REF!</f>
        <v>#REF!</v>
      </c>
      <c r="J654" s="385" t="e">
        <f t="shared" si="10"/>
        <v>#REF!</v>
      </c>
      <c r="O654" s="361"/>
      <c r="P654" s="361"/>
      <c r="Q654" s="361"/>
      <c r="R654" s="361"/>
      <c r="S654" s="361"/>
      <c r="T654" s="361"/>
      <c r="U654" s="361"/>
      <c r="V654" s="361"/>
      <c r="W654" s="361"/>
      <c r="X654" s="361"/>
      <c r="Y654" s="361"/>
      <c r="Z654" s="361"/>
    </row>
    <row r="655" spans="1:26" x14ac:dyDescent="0.2">
      <c r="A655" s="231"/>
      <c r="B655" s="315" t="s">
        <v>1032</v>
      </c>
      <c r="C655" s="226" t="s">
        <v>0</v>
      </c>
      <c r="D655" s="227" t="s">
        <v>811</v>
      </c>
      <c r="E655" s="226" t="s">
        <v>600</v>
      </c>
      <c r="F655" s="226" t="s">
        <v>955</v>
      </c>
      <c r="G655" s="226" t="s">
        <v>832</v>
      </c>
      <c r="H655" s="229">
        <v>7.9222222222222207</v>
      </c>
      <c r="I655" s="226" t="e">
        <f>#REF!</f>
        <v>#REF!</v>
      </c>
      <c r="J655" s="387" t="e">
        <f t="shared" si="10"/>
        <v>#REF!</v>
      </c>
      <c r="O655" s="361"/>
      <c r="P655" s="361"/>
      <c r="Q655" s="361"/>
      <c r="R655" s="361"/>
      <c r="S655" s="361"/>
      <c r="T655" s="361"/>
      <c r="U655" s="361"/>
      <c r="V655" s="361"/>
      <c r="W655" s="361"/>
      <c r="X655" s="361"/>
      <c r="Y655" s="361"/>
      <c r="Z655" s="361"/>
    </row>
    <row r="656" spans="1:26" x14ac:dyDescent="0.2">
      <c r="A656" s="231"/>
      <c r="B656" s="316" t="s">
        <v>1034</v>
      </c>
      <c r="C656" s="224" t="s">
        <v>0</v>
      </c>
      <c r="D656" s="228" t="s">
        <v>813</v>
      </c>
      <c r="E656" s="224" t="s">
        <v>600</v>
      </c>
      <c r="F656" s="224" t="s">
        <v>955</v>
      </c>
      <c r="G656" s="224" t="s">
        <v>832</v>
      </c>
      <c r="H656" s="230">
        <v>7.9222222222222207</v>
      </c>
      <c r="I656" s="224" t="e">
        <f>#REF!</f>
        <v>#REF!</v>
      </c>
      <c r="J656" s="385" t="e">
        <f t="shared" si="10"/>
        <v>#REF!</v>
      </c>
      <c r="O656" s="361"/>
      <c r="P656" s="361"/>
      <c r="Q656" s="361"/>
      <c r="R656" s="361"/>
      <c r="S656" s="361"/>
      <c r="T656" s="361"/>
      <c r="U656" s="361"/>
      <c r="V656" s="361"/>
      <c r="W656" s="361"/>
      <c r="X656" s="361"/>
      <c r="Y656" s="361"/>
      <c r="Z656" s="361"/>
    </row>
    <row r="657" spans="1:26" x14ac:dyDescent="0.2">
      <c r="A657" s="231"/>
      <c r="B657" s="315" t="s">
        <v>1035</v>
      </c>
      <c r="C657" s="226" t="s">
        <v>0</v>
      </c>
      <c r="D657" s="227" t="s">
        <v>814</v>
      </c>
      <c r="E657" s="226" t="s">
        <v>600</v>
      </c>
      <c r="F657" s="226" t="s">
        <v>955</v>
      </c>
      <c r="G657" s="226" t="s">
        <v>832</v>
      </c>
      <c r="H657" s="229">
        <v>7.9222222222222207</v>
      </c>
      <c r="I657" s="226" t="e">
        <f>#REF!</f>
        <v>#REF!</v>
      </c>
      <c r="J657" s="387" t="e">
        <f t="shared" si="10"/>
        <v>#REF!</v>
      </c>
      <c r="O657" s="361"/>
      <c r="P657" s="361"/>
      <c r="Q657" s="361"/>
      <c r="R657" s="361"/>
      <c r="S657" s="361"/>
      <c r="T657" s="361"/>
      <c r="U657" s="361"/>
      <c r="V657" s="361"/>
      <c r="W657" s="361"/>
      <c r="X657" s="361"/>
      <c r="Y657" s="361"/>
      <c r="Z657" s="361"/>
    </row>
    <row r="658" spans="1:26" x14ac:dyDescent="0.2">
      <c r="A658" s="231"/>
      <c r="B658" s="316" t="s">
        <v>1047</v>
      </c>
      <c r="C658" s="224" t="s">
        <v>0</v>
      </c>
      <c r="D658" s="228" t="s">
        <v>826</v>
      </c>
      <c r="E658" s="224" t="s">
        <v>600</v>
      </c>
      <c r="F658" s="224" t="s">
        <v>955</v>
      </c>
      <c r="G658" s="224" t="s">
        <v>832</v>
      </c>
      <c r="H658" s="230">
        <v>7.6666666666666652</v>
      </c>
      <c r="I658" s="224" t="e">
        <f>#REF!</f>
        <v>#REF!</v>
      </c>
      <c r="J658" s="385" t="e">
        <f t="shared" si="10"/>
        <v>#REF!</v>
      </c>
      <c r="O658" s="361"/>
      <c r="P658" s="361"/>
      <c r="Q658" s="361"/>
      <c r="R658" s="361"/>
      <c r="S658" s="361"/>
      <c r="T658" s="361"/>
      <c r="U658" s="361"/>
      <c r="V658" s="361"/>
      <c r="W658" s="361"/>
      <c r="X658" s="361"/>
      <c r="Y658" s="361"/>
      <c r="Z658" s="361"/>
    </row>
    <row r="659" spans="1:26" x14ac:dyDescent="0.2">
      <c r="A659" s="231"/>
      <c r="B659" s="315" t="s">
        <v>1048</v>
      </c>
      <c r="C659" s="226" t="s">
        <v>0</v>
      </c>
      <c r="D659" s="227" t="s">
        <v>827</v>
      </c>
      <c r="E659" s="226" t="s">
        <v>600</v>
      </c>
      <c r="F659" s="226" t="s">
        <v>955</v>
      </c>
      <c r="G659" s="226" t="s">
        <v>832</v>
      </c>
      <c r="H659" s="229">
        <v>7.9222222222222207</v>
      </c>
      <c r="I659" s="226" t="e">
        <f>#REF!</f>
        <v>#REF!</v>
      </c>
      <c r="J659" s="387" t="e">
        <f t="shared" si="10"/>
        <v>#REF!</v>
      </c>
      <c r="O659" s="361"/>
      <c r="P659" s="361"/>
      <c r="Q659" s="361"/>
      <c r="R659" s="361"/>
      <c r="S659" s="361"/>
      <c r="T659" s="361"/>
      <c r="U659" s="361"/>
      <c r="V659" s="361"/>
      <c r="W659" s="361"/>
      <c r="X659" s="361"/>
      <c r="Y659" s="361"/>
      <c r="Z659" s="361"/>
    </row>
    <row r="660" spans="1:26" x14ac:dyDescent="0.2">
      <c r="A660" s="231"/>
      <c r="B660" s="316" t="s">
        <v>1049</v>
      </c>
      <c r="C660" s="224" t="s">
        <v>0</v>
      </c>
      <c r="D660" s="228" t="s">
        <v>828</v>
      </c>
      <c r="E660" s="224" t="s">
        <v>600</v>
      </c>
      <c r="F660" s="224" t="s">
        <v>955</v>
      </c>
      <c r="G660" s="224" t="s">
        <v>832</v>
      </c>
      <c r="H660" s="230">
        <v>7.9222222222222207</v>
      </c>
      <c r="I660" s="224" t="e">
        <f>#REF!</f>
        <v>#REF!</v>
      </c>
      <c r="J660" s="385" t="e">
        <f t="shared" si="10"/>
        <v>#REF!</v>
      </c>
      <c r="O660" s="361"/>
      <c r="P660" s="361"/>
      <c r="Q660" s="361"/>
      <c r="R660" s="361"/>
      <c r="S660" s="361"/>
      <c r="T660" s="361"/>
      <c r="U660" s="361"/>
      <c r="V660" s="361"/>
      <c r="W660" s="361"/>
      <c r="X660" s="361"/>
      <c r="Y660" s="361"/>
      <c r="Z660" s="361"/>
    </row>
    <row r="661" spans="1:26" x14ac:dyDescent="0.2">
      <c r="A661" s="231"/>
      <c r="B661" s="315" t="s">
        <v>1050</v>
      </c>
      <c r="C661" s="226" t="s">
        <v>0</v>
      </c>
      <c r="D661" s="227" t="s">
        <v>829</v>
      </c>
      <c r="E661" s="226" t="s">
        <v>600</v>
      </c>
      <c r="F661" s="226" t="s">
        <v>955</v>
      </c>
      <c r="G661" s="226" t="s">
        <v>832</v>
      </c>
      <c r="H661" s="229">
        <v>7.9222222222222207</v>
      </c>
      <c r="I661" s="226" t="e">
        <f>#REF!</f>
        <v>#REF!</v>
      </c>
      <c r="J661" s="387" t="e">
        <f t="shared" si="10"/>
        <v>#REF!</v>
      </c>
      <c r="O661" s="361"/>
      <c r="P661" s="361"/>
      <c r="Q661" s="361"/>
      <c r="R661" s="361"/>
      <c r="S661" s="361"/>
      <c r="T661" s="361"/>
      <c r="U661" s="361"/>
      <c r="V661" s="361"/>
      <c r="W661" s="361"/>
      <c r="X661" s="361"/>
      <c r="Y661" s="361"/>
      <c r="Z661" s="361"/>
    </row>
    <row r="662" spans="1:26" x14ac:dyDescent="0.2">
      <c r="A662" s="231"/>
      <c r="B662" s="316" t="s">
        <v>1036</v>
      </c>
      <c r="C662" s="224" t="s">
        <v>0</v>
      </c>
      <c r="D662" s="228" t="s">
        <v>815</v>
      </c>
      <c r="E662" s="224" t="s">
        <v>600</v>
      </c>
      <c r="F662" s="224" t="s">
        <v>955</v>
      </c>
      <c r="G662" s="224" t="s">
        <v>832</v>
      </c>
      <c r="H662" s="230">
        <v>3.9185185185185185</v>
      </c>
      <c r="I662" s="224" t="e">
        <f>#REF!</f>
        <v>#REF!</v>
      </c>
      <c r="J662" s="385" t="e">
        <f t="shared" si="10"/>
        <v>#REF!</v>
      </c>
      <c r="O662" s="361"/>
      <c r="P662" s="361"/>
      <c r="Q662" s="361"/>
      <c r="R662" s="361"/>
      <c r="S662" s="361"/>
      <c r="T662" s="361"/>
      <c r="U662" s="361"/>
      <c r="V662" s="361"/>
      <c r="W662" s="361"/>
      <c r="X662" s="361"/>
      <c r="Y662" s="361"/>
      <c r="Z662" s="361"/>
    </row>
    <row r="663" spans="1:26" x14ac:dyDescent="0.2">
      <c r="A663" s="231"/>
      <c r="B663" s="315" t="s">
        <v>1039</v>
      </c>
      <c r="C663" s="226" t="s">
        <v>0</v>
      </c>
      <c r="D663" s="227" t="s">
        <v>818</v>
      </c>
      <c r="E663" s="226" t="s">
        <v>600</v>
      </c>
      <c r="F663" s="226" t="s">
        <v>955</v>
      </c>
      <c r="G663" s="226" t="s">
        <v>832</v>
      </c>
      <c r="H663" s="229">
        <v>3.9185185185185185</v>
      </c>
      <c r="I663" s="226" t="e">
        <f>#REF!</f>
        <v>#REF!</v>
      </c>
      <c r="J663" s="387" t="e">
        <f t="shared" si="10"/>
        <v>#REF!</v>
      </c>
      <c r="O663" s="361"/>
      <c r="P663" s="361"/>
      <c r="Q663" s="361"/>
      <c r="R663" s="361"/>
      <c r="S663" s="361"/>
      <c r="T663" s="361"/>
      <c r="U663" s="361"/>
      <c r="V663" s="361"/>
      <c r="W663" s="361"/>
      <c r="X663" s="361"/>
      <c r="Y663" s="361"/>
      <c r="Z663" s="361"/>
    </row>
    <row r="664" spans="1:26" x14ac:dyDescent="0.2">
      <c r="A664" s="231"/>
      <c r="B664" s="316" t="s">
        <v>1040</v>
      </c>
      <c r="C664" s="224" t="s">
        <v>0</v>
      </c>
      <c r="D664" s="228" t="s">
        <v>819</v>
      </c>
      <c r="E664" s="224" t="s">
        <v>600</v>
      </c>
      <c r="F664" s="224" t="s">
        <v>955</v>
      </c>
      <c r="G664" s="224" t="s">
        <v>832</v>
      </c>
      <c r="H664" s="230">
        <v>3.9185185185185185</v>
      </c>
      <c r="I664" s="224" t="e">
        <f>#REF!</f>
        <v>#REF!</v>
      </c>
      <c r="J664" s="385" t="e">
        <f t="shared" si="10"/>
        <v>#REF!</v>
      </c>
      <c r="O664" s="361"/>
      <c r="P664" s="361"/>
      <c r="Q664" s="361"/>
      <c r="R664" s="361"/>
      <c r="S664" s="361"/>
      <c r="T664" s="361"/>
      <c r="U664" s="361"/>
      <c r="V664" s="361"/>
      <c r="W664" s="361"/>
      <c r="X664" s="361"/>
      <c r="Y664" s="361"/>
      <c r="Z664" s="361"/>
    </row>
    <row r="665" spans="1:26" x14ac:dyDescent="0.2">
      <c r="A665" s="231"/>
      <c r="B665" s="315" t="s">
        <v>1037</v>
      </c>
      <c r="C665" s="226" t="s">
        <v>0</v>
      </c>
      <c r="D665" s="227" t="s">
        <v>816</v>
      </c>
      <c r="E665" s="226" t="s">
        <v>600</v>
      </c>
      <c r="F665" s="226" t="s">
        <v>955</v>
      </c>
      <c r="G665" s="226" t="s">
        <v>832</v>
      </c>
      <c r="H665" s="229">
        <v>3.9185185185185185</v>
      </c>
      <c r="I665" s="226" t="e">
        <f>#REF!</f>
        <v>#REF!</v>
      </c>
      <c r="J665" s="387" t="e">
        <f t="shared" si="10"/>
        <v>#REF!</v>
      </c>
      <c r="O665" s="361"/>
      <c r="P665" s="361"/>
      <c r="Q665" s="361"/>
      <c r="R665" s="361"/>
      <c r="S665" s="361"/>
      <c r="T665" s="361"/>
      <c r="U665" s="361"/>
      <c r="V665" s="361"/>
      <c r="W665" s="361"/>
      <c r="X665" s="361"/>
      <c r="Y665" s="361"/>
      <c r="Z665" s="361"/>
    </row>
    <row r="666" spans="1:26" x14ac:dyDescent="0.2">
      <c r="A666" s="231"/>
      <c r="B666" s="316" t="s">
        <v>1018</v>
      </c>
      <c r="C666" s="224" t="s">
        <v>0</v>
      </c>
      <c r="D666" s="228" t="s">
        <v>797</v>
      </c>
      <c r="E666" s="224" t="s">
        <v>600</v>
      </c>
      <c r="F666" s="224" t="s">
        <v>955</v>
      </c>
      <c r="G666" s="224" t="s">
        <v>832</v>
      </c>
      <c r="H666" s="230">
        <v>1.3629629629629629</v>
      </c>
      <c r="I666" s="224" t="e">
        <f>#REF!</f>
        <v>#REF!</v>
      </c>
      <c r="J666" s="385" t="e">
        <f t="shared" si="10"/>
        <v>#REF!</v>
      </c>
      <c r="O666" s="361"/>
      <c r="P666" s="361"/>
      <c r="Q666" s="361"/>
      <c r="R666" s="361"/>
      <c r="S666" s="361"/>
      <c r="T666" s="361"/>
      <c r="U666" s="361"/>
      <c r="V666" s="361"/>
      <c r="W666" s="361"/>
      <c r="X666" s="361"/>
      <c r="Y666" s="361"/>
      <c r="Z666" s="361"/>
    </row>
    <row r="667" spans="1:26" x14ac:dyDescent="0.2">
      <c r="A667" s="231"/>
      <c r="B667" s="315" t="s">
        <v>1033</v>
      </c>
      <c r="C667" s="226" t="s">
        <v>0</v>
      </c>
      <c r="D667" s="227" t="s">
        <v>812</v>
      </c>
      <c r="E667" s="226" t="s">
        <v>600</v>
      </c>
      <c r="F667" s="226" t="s">
        <v>955</v>
      </c>
      <c r="G667" s="226" t="s">
        <v>832</v>
      </c>
      <c r="H667" s="229">
        <v>9.4555555555555539</v>
      </c>
      <c r="I667" s="226" t="e">
        <f>#REF!</f>
        <v>#REF!</v>
      </c>
      <c r="J667" s="387" t="e">
        <f t="shared" si="10"/>
        <v>#REF!</v>
      </c>
      <c r="O667" s="361"/>
      <c r="P667" s="361"/>
      <c r="Q667" s="361"/>
      <c r="R667" s="361"/>
      <c r="S667" s="361"/>
      <c r="T667" s="361"/>
      <c r="U667" s="361"/>
      <c r="V667" s="361"/>
      <c r="W667" s="361"/>
      <c r="X667" s="361"/>
      <c r="Y667" s="361"/>
      <c r="Z667" s="361"/>
    </row>
    <row r="668" spans="1:26" x14ac:dyDescent="0.2">
      <c r="A668" s="231"/>
      <c r="B668" s="316" t="s">
        <v>1028</v>
      </c>
      <c r="C668" s="224" t="s">
        <v>0</v>
      </c>
      <c r="D668" s="228" t="s">
        <v>807</v>
      </c>
      <c r="E668" s="224" t="s">
        <v>600</v>
      </c>
      <c r="F668" s="224" t="s">
        <v>955</v>
      </c>
      <c r="G668" s="224" t="s">
        <v>832</v>
      </c>
      <c r="H668" s="230">
        <v>4.7703703703703706</v>
      </c>
      <c r="I668" s="224" t="e">
        <f>#REF!</f>
        <v>#REF!</v>
      </c>
      <c r="J668" s="385" t="e">
        <f t="shared" si="10"/>
        <v>#REF!</v>
      </c>
      <c r="O668" s="361"/>
      <c r="P668" s="361"/>
      <c r="Q668" s="361"/>
      <c r="R668" s="361"/>
      <c r="S668" s="361"/>
      <c r="T668" s="361"/>
      <c r="U668" s="361"/>
      <c r="V668" s="361"/>
      <c r="W668" s="361"/>
      <c r="X668" s="361"/>
      <c r="Y668" s="361"/>
      <c r="Z668" s="361"/>
    </row>
    <row r="669" spans="1:26" x14ac:dyDescent="0.2">
      <c r="A669" s="231"/>
      <c r="B669" s="315" t="s">
        <v>1023</v>
      </c>
      <c r="C669" s="226" t="s">
        <v>0</v>
      </c>
      <c r="D669" s="227" t="s">
        <v>802</v>
      </c>
      <c r="E669" s="226" t="s">
        <v>600</v>
      </c>
      <c r="F669" s="226" t="s">
        <v>955</v>
      </c>
      <c r="G669" s="226" t="s">
        <v>832</v>
      </c>
      <c r="H669" s="229">
        <v>2.981481481481481</v>
      </c>
      <c r="I669" s="226" t="e">
        <f>#REF!</f>
        <v>#REF!</v>
      </c>
      <c r="J669" s="387" t="e">
        <f t="shared" si="10"/>
        <v>#REF!</v>
      </c>
      <c r="O669" s="361"/>
      <c r="P669" s="361"/>
      <c r="Q669" s="361"/>
      <c r="R669" s="361"/>
      <c r="S669" s="361"/>
      <c r="T669" s="361"/>
      <c r="U669" s="361"/>
      <c r="V669" s="361"/>
      <c r="W669" s="361"/>
      <c r="X669" s="361"/>
      <c r="Y669" s="361"/>
      <c r="Z669" s="361"/>
    </row>
    <row r="670" spans="1:26" x14ac:dyDescent="0.2">
      <c r="A670" s="231"/>
      <c r="B670" s="316" t="s">
        <v>1038</v>
      </c>
      <c r="C670" s="224" t="s">
        <v>0</v>
      </c>
      <c r="D670" s="228" t="s">
        <v>817</v>
      </c>
      <c r="E670" s="224" t="s">
        <v>600</v>
      </c>
      <c r="F670" s="224" t="s">
        <v>955</v>
      </c>
      <c r="G670" s="224" t="s">
        <v>832</v>
      </c>
      <c r="H670" s="230">
        <v>4.7703703703703706</v>
      </c>
      <c r="I670" s="224" t="e">
        <f>#REF!</f>
        <v>#REF!</v>
      </c>
      <c r="J670" s="385" t="e">
        <f t="shared" si="10"/>
        <v>#REF!</v>
      </c>
      <c r="O670" s="361"/>
      <c r="P670" s="361"/>
      <c r="Q670" s="361"/>
      <c r="R670" s="361"/>
      <c r="S670" s="361"/>
      <c r="T670" s="361"/>
      <c r="U670" s="361"/>
      <c r="V670" s="361"/>
      <c r="W670" s="361"/>
      <c r="X670" s="361"/>
      <c r="Y670" s="361"/>
      <c r="Z670" s="361"/>
    </row>
    <row r="671" spans="1:26" x14ac:dyDescent="0.2">
      <c r="A671" s="231"/>
      <c r="B671" s="315" t="s">
        <v>1044</v>
      </c>
      <c r="C671" s="226" t="s">
        <v>0</v>
      </c>
      <c r="D671" s="227" t="s">
        <v>823</v>
      </c>
      <c r="E671" s="226" t="s">
        <v>600</v>
      </c>
      <c r="F671" s="226" t="s">
        <v>955</v>
      </c>
      <c r="G671" s="226" t="s">
        <v>832</v>
      </c>
      <c r="H671" s="229">
        <v>2.6407407407407404</v>
      </c>
      <c r="I671" s="226" t="e">
        <f>#REF!</f>
        <v>#REF!</v>
      </c>
      <c r="J671" s="387" t="e">
        <f t="shared" si="10"/>
        <v>#REF!</v>
      </c>
      <c r="O671" s="361"/>
      <c r="P671" s="361"/>
      <c r="Q671" s="361"/>
      <c r="R671" s="361"/>
      <c r="S671" s="361"/>
      <c r="T671" s="361"/>
      <c r="U671" s="361"/>
      <c r="V671" s="361"/>
      <c r="W671" s="361"/>
      <c r="X671" s="361"/>
      <c r="Y671" s="361"/>
      <c r="Z671" s="361"/>
    </row>
    <row r="672" spans="1:26" x14ac:dyDescent="0.2">
      <c r="A672" s="231"/>
      <c r="B672" s="316" t="s">
        <v>1126</v>
      </c>
      <c r="C672" s="224" t="s">
        <v>0</v>
      </c>
      <c r="D672" s="228" t="s">
        <v>267</v>
      </c>
      <c r="E672" s="224" t="s">
        <v>600</v>
      </c>
      <c r="F672" s="224" t="s">
        <v>947</v>
      </c>
      <c r="G672" s="224" t="s">
        <v>44</v>
      </c>
      <c r="H672" s="230">
        <v>23.999999999999993</v>
      </c>
      <c r="I672" s="224" t="e">
        <f>#REF!</f>
        <v>#REF!</v>
      </c>
      <c r="J672" s="385" t="e">
        <f t="shared" si="10"/>
        <v>#REF!</v>
      </c>
    </row>
    <row r="673" spans="1:26" x14ac:dyDescent="0.2">
      <c r="A673" s="231"/>
      <c r="B673" s="315" t="s">
        <v>1128</v>
      </c>
      <c r="C673" s="226" t="s">
        <v>0</v>
      </c>
      <c r="D673" s="227" t="s">
        <v>836</v>
      </c>
      <c r="E673" s="226" t="s">
        <v>600</v>
      </c>
      <c r="F673" s="226" t="s">
        <v>947</v>
      </c>
      <c r="G673" s="226" t="s">
        <v>44</v>
      </c>
      <c r="H673" s="229">
        <v>24.879999999999995</v>
      </c>
      <c r="I673" s="226" t="e">
        <f>#REF!</f>
        <v>#REF!</v>
      </c>
      <c r="J673" s="387" t="e">
        <f t="shared" si="10"/>
        <v>#REF!</v>
      </c>
    </row>
    <row r="674" spans="1:26" x14ac:dyDescent="0.2">
      <c r="A674" s="231"/>
      <c r="B674" s="322" t="s">
        <v>1129</v>
      </c>
      <c r="C674" s="224" t="s">
        <v>0</v>
      </c>
      <c r="D674" s="228" t="s">
        <v>268</v>
      </c>
      <c r="E674" s="224" t="s">
        <v>600</v>
      </c>
      <c r="F674" s="224" t="s">
        <v>947</v>
      </c>
      <c r="G674" s="224" t="s">
        <v>44</v>
      </c>
      <c r="H674" s="230">
        <v>25.679999999999996</v>
      </c>
      <c r="I674" s="224" t="e">
        <f>#REF!</f>
        <v>#REF!</v>
      </c>
      <c r="J674" s="385" t="e">
        <f t="shared" si="10"/>
        <v>#REF!</v>
      </c>
    </row>
    <row r="675" spans="1:26" x14ac:dyDescent="0.2">
      <c r="A675" s="231"/>
      <c r="B675" s="315" t="s">
        <v>1131</v>
      </c>
      <c r="C675" s="226" t="s">
        <v>0</v>
      </c>
      <c r="D675" s="227" t="s">
        <v>837</v>
      </c>
      <c r="E675" s="226" t="s">
        <v>600</v>
      </c>
      <c r="F675" s="226" t="s">
        <v>947</v>
      </c>
      <c r="G675" s="226" t="s">
        <v>44</v>
      </c>
      <c r="H675" s="229">
        <v>26.559999999999992</v>
      </c>
      <c r="I675" s="226" t="e">
        <f>#REF!</f>
        <v>#REF!</v>
      </c>
      <c r="J675" s="387" t="e">
        <f t="shared" si="10"/>
        <v>#REF!</v>
      </c>
    </row>
    <row r="676" spans="1:26" x14ac:dyDescent="0.2">
      <c r="A676" s="231"/>
      <c r="B676" s="316" t="s">
        <v>1132</v>
      </c>
      <c r="C676" s="224" t="s">
        <v>0</v>
      </c>
      <c r="D676" s="228" t="s">
        <v>269</v>
      </c>
      <c r="E676" s="224" t="s">
        <v>600</v>
      </c>
      <c r="F676" s="224" t="s">
        <v>947</v>
      </c>
      <c r="G676" s="224" t="s">
        <v>44</v>
      </c>
      <c r="H676" s="230">
        <v>27.399999999999991</v>
      </c>
      <c r="I676" s="224" t="e">
        <f>#REF!</f>
        <v>#REF!</v>
      </c>
      <c r="J676" s="385" t="e">
        <f t="shared" si="10"/>
        <v>#REF!</v>
      </c>
    </row>
    <row r="677" spans="1:26" x14ac:dyDescent="0.2">
      <c r="A677" s="231"/>
      <c r="B677" s="315" t="s">
        <v>1133</v>
      </c>
      <c r="C677" s="226" t="s">
        <v>0</v>
      </c>
      <c r="D677" s="227" t="s">
        <v>838</v>
      </c>
      <c r="E677" s="226" t="s">
        <v>600</v>
      </c>
      <c r="F677" s="226" t="s">
        <v>947</v>
      </c>
      <c r="G677" s="226" t="s">
        <v>44</v>
      </c>
      <c r="H677" s="229">
        <v>28.399999999999995</v>
      </c>
      <c r="I677" s="226" t="e">
        <f>#REF!</f>
        <v>#REF!</v>
      </c>
      <c r="J677" s="387" t="e">
        <f t="shared" si="10"/>
        <v>#REF!</v>
      </c>
    </row>
    <row r="678" spans="1:26" x14ac:dyDescent="0.2">
      <c r="A678" s="231"/>
      <c r="B678" s="316" t="s">
        <v>1134</v>
      </c>
      <c r="C678" s="224" t="s">
        <v>0</v>
      </c>
      <c r="D678" s="228" t="s">
        <v>839</v>
      </c>
      <c r="E678" s="224" t="s">
        <v>600</v>
      </c>
      <c r="F678" s="224" t="s">
        <v>947</v>
      </c>
      <c r="G678" s="224" t="s">
        <v>44</v>
      </c>
      <c r="H678" s="230">
        <v>29.199999999999996</v>
      </c>
      <c r="I678" s="224" t="e">
        <f>#REF!</f>
        <v>#REF!</v>
      </c>
      <c r="J678" s="385" t="e">
        <f t="shared" si="10"/>
        <v>#REF!</v>
      </c>
    </row>
    <row r="679" spans="1:26" x14ac:dyDescent="0.2">
      <c r="A679" s="231"/>
      <c r="B679" s="315" t="s">
        <v>1135</v>
      </c>
      <c r="C679" s="226" t="s">
        <v>0</v>
      </c>
      <c r="D679" s="227" t="s">
        <v>840</v>
      </c>
      <c r="E679" s="226" t="s">
        <v>600</v>
      </c>
      <c r="F679" s="226" t="s">
        <v>947</v>
      </c>
      <c r="G679" s="226" t="s">
        <v>44</v>
      </c>
      <c r="H679" s="229">
        <v>29.999999999999996</v>
      </c>
      <c r="I679" s="226" t="e">
        <f>#REF!</f>
        <v>#REF!</v>
      </c>
      <c r="J679" s="387" t="e">
        <f t="shared" si="10"/>
        <v>#REF!</v>
      </c>
    </row>
    <row r="680" spans="1:26" x14ac:dyDescent="0.2">
      <c r="A680" s="231"/>
      <c r="B680" s="322" t="s">
        <v>1136</v>
      </c>
      <c r="C680" s="224" t="s">
        <v>0</v>
      </c>
      <c r="D680" s="228" t="s">
        <v>841</v>
      </c>
      <c r="E680" s="224" t="s">
        <v>600</v>
      </c>
      <c r="F680" s="224" t="s">
        <v>947</v>
      </c>
      <c r="G680" s="224" t="s">
        <v>44</v>
      </c>
      <c r="H680" s="230">
        <v>30.807419999999997</v>
      </c>
      <c r="I680" s="224" t="e">
        <f>#REF!</f>
        <v>#REF!</v>
      </c>
      <c r="J680" s="385" t="e">
        <f t="shared" si="10"/>
        <v>#REF!</v>
      </c>
    </row>
    <row r="681" spans="1:26" x14ac:dyDescent="0.2">
      <c r="A681" s="231"/>
      <c r="B681" s="315" t="s">
        <v>1137</v>
      </c>
      <c r="C681" s="226" t="s">
        <v>0</v>
      </c>
      <c r="D681" s="227" t="s">
        <v>842</v>
      </c>
      <c r="E681" s="226" t="s">
        <v>600</v>
      </c>
      <c r="F681" s="226" t="s">
        <v>947</v>
      </c>
      <c r="G681" s="226" t="s">
        <v>44</v>
      </c>
      <c r="H681" s="229">
        <v>31.999999999999993</v>
      </c>
      <c r="I681" s="226" t="e">
        <f>#REF!</f>
        <v>#REF!</v>
      </c>
      <c r="J681" s="387" t="e">
        <f t="shared" si="10"/>
        <v>#REF!</v>
      </c>
    </row>
    <row r="682" spans="1:26" x14ac:dyDescent="0.2">
      <c r="A682" s="231"/>
      <c r="B682" s="316" t="s">
        <v>1093</v>
      </c>
      <c r="C682" s="224" t="s">
        <v>0</v>
      </c>
      <c r="D682" s="228" t="s">
        <v>250</v>
      </c>
      <c r="E682" s="224" t="s">
        <v>600</v>
      </c>
      <c r="F682" s="224" t="s">
        <v>955</v>
      </c>
      <c r="G682" s="224" t="s">
        <v>44</v>
      </c>
      <c r="H682" s="230">
        <v>7.5900000000000016</v>
      </c>
      <c r="I682" s="224" t="e">
        <f>#REF!</f>
        <v>#REF!</v>
      </c>
      <c r="J682" s="385" t="e">
        <f t="shared" si="10"/>
        <v>#REF!</v>
      </c>
    </row>
    <row r="683" spans="1:26" x14ac:dyDescent="0.2">
      <c r="A683" s="231"/>
      <c r="B683" s="315" t="s">
        <v>1381</v>
      </c>
      <c r="C683" s="226" t="s">
        <v>0</v>
      </c>
      <c r="D683" s="227" t="s">
        <v>786</v>
      </c>
      <c r="E683" s="226" t="s">
        <v>600</v>
      </c>
      <c r="F683" s="226" t="s">
        <v>955</v>
      </c>
      <c r="G683" s="226" t="s">
        <v>44</v>
      </c>
      <c r="H683" s="229">
        <v>90.803999999999988</v>
      </c>
      <c r="I683" s="226" t="e">
        <f>#REF!</f>
        <v>#REF!</v>
      </c>
      <c r="J683" s="387" t="e">
        <f t="shared" si="10"/>
        <v>#REF!</v>
      </c>
    </row>
    <row r="684" spans="1:26" x14ac:dyDescent="0.2">
      <c r="A684" s="231"/>
      <c r="B684" s="316" t="s">
        <v>1138</v>
      </c>
      <c r="C684" s="224" t="s">
        <v>0</v>
      </c>
      <c r="D684" s="228" t="s">
        <v>232</v>
      </c>
      <c r="E684" s="224" t="s">
        <v>600</v>
      </c>
      <c r="F684" s="224" t="s">
        <v>947</v>
      </c>
      <c r="G684" s="224" t="s">
        <v>42</v>
      </c>
      <c r="H684" s="230">
        <v>19.439999999999998</v>
      </c>
      <c r="I684" s="224" t="e">
        <f>#REF!</f>
        <v>#REF!</v>
      </c>
      <c r="J684" s="385" t="e">
        <f t="shared" si="10"/>
        <v>#REF!</v>
      </c>
      <c r="O684" s="361"/>
      <c r="P684" s="361"/>
      <c r="Q684" s="361"/>
      <c r="R684" s="361"/>
      <c r="S684" s="361"/>
      <c r="T684" s="361"/>
      <c r="U684" s="361"/>
      <c r="V684" s="361"/>
      <c r="W684" s="361"/>
      <c r="X684" s="361"/>
      <c r="Y684" s="361"/>
      <c r="Z684" s="361"/>
    </row>
    <row r="685" spans="1:26" x14ac:dyDescent="0.2">
      <c r="A685" s="231"/>
      <c r="B685" s="315" t="s">
        <v>1139</v>
      </c>
      <c r="C685" s="226" t="s">
        <v>0</v>
      </c>
      <c r="D685" s="227" t="s">
        <v>843</v>
      </c>
      <c r="E685" s="226" t="s">
        <v>600</v>
      </c>
      <c r="F685" s="226" t="s">
        <v>947</v>
      </c>
      <c r="G685" s="226" t="s">
        <v>42</v>
      </c>
      <c r="H685" s="229">
        <v>21.199999999999996</v>
      </c>
      <c r="I685" s="226" t="e">
        <f>#REF!</f>
        <v>#REF!</v>
      </c>
      <c r="J685" s="387" t="e">
        <f t="shared" si="10"/>
        <v>#REF!</v>
      </c>
      <c r="O685" s="361"/>
      <c r="P685" s="361"/>
      <c r="Q685" s="361"/>
      <c r="R685" s="361"/>
      <c r="S685" s="361"/>
      <c r="T685" s="361"/>
      <c r="U685" s="361"/>
      <c r="V685" s="361"/>
      <c r="W685" s="361"/>
      <c r="X685" s="361"/>
      <c r="Y685" s="361"/>
      <c r="Z685" s="361"/>
    </row>
    <row r="686" spans="1:26" x14ac:dyDescent="0.2">
      <c r="A686" s="231"/>
      <c r="B686" s="316" t="s">
        <v>1140</v>
      </c>
      <c r="C686" s="224" t="s">
        <v>0</v>
      </c>
      <c r="D686" s="228" t="s">
        <v>233</v>
      </c>
      <c r="E686" s="224" t="s">
        <v>600</v>
      </c>
      <c r="F686" s="224" t="s">
        <v>947</v>
      </c>
      <c r="G686" s="224" t="s">
        <v>42</v>
      </c>
      <c r="H686" s="230">
        <v>22.559999999999995</v>
      </c>
      <c r="I686" s="224" t="e">
        <f>#REF!</f>
        <v>#REF!</v>
      </c>
      <c r="J686" s="385" t="e">
        <f t="shared" si="10"/>
        <v>#REF!</v>
      </c>
      <c r="O686" s="361"/>
      <c r="P686" s="361"/>
      <c r="Q686" s="361"/>
      <c r="R686" s="361"/>
      <c r="S686" s="361"/>
      <c r="T686" s="361"/>
      <c r="U686" s="361"/>
      <c r="V686" s="361"/>
      <c r="W686" s="361"/>
      <c r="X686" s="361"/>
      <c r="Y686" s="361"/>
      <c r="Z686" s="361"/>
    </row>
    <row r="687" spans="1:26" x14ac:dyDescent="0.2">
      <c r="A687" s="231"/>
      <c r="B687" s="315" t="s">
        <v>1141</v>
      </c>
      <c r="C687" s="226" t="s">
        <v>0</v>
      </c>
      <c r="D687" s="227" t="s">
        <v>844</v>
      </c>
      <c r="E687" s="226" t="s">
        <v>600</v>
      </c>
      <c r="F687" s="226" t="s">
        <v>947</v>
      </c>
      <c r="G687" s="226" t="s">
        <v>42</v>
      </c>
      <c r="H687" s="229">
        <v>24.399999999999995</v>
      </c>
      <c r="I687" s="226" t="e">
        <f>#REF!</f>
        <v>#REF!</v>
      </c>
      <c r="J687" s="387" t="e">
        <f t="shared" si="10"/>
        <v>#REF!</v>
      </c>
      <c r="O687" s="361"/>
      <c r="P687" s="361"/>
      <c r="Q687" s="361"/>
      <c r="R687" s="361"/>
      <c r="S687" s="361"/>
      <c r="T687" s="361"/>
      <c r="U687" s="361"/>
      <c r="V687" s="361"/>
      <c r="W687" s="361"/>
      <c r="X687" s="361"/>
      <c r="Y687" s="361"/>
      <c r="Z687" s="361"/>
    </row>
    <row r="688" spans="1:26" x14ac:dyDescent="0.2">
      <c r="A688" s="231"/>
      <c r="B688" s="316" t="s">
        <v>1142</v>
      </c>
      <c r="C688" s="224" t="s">
        <v>0</v>
      </c>
      <c r="D688" s="228" t="s">
        <v>234</v>
      </c>
      <c r="E688" s="224" t="s">
        <v>600</v>
      </c>
      <c r="F688" s="224" t="s">
        <v>947</v>
      </c>
      <c r="G688" s="224" t="s">
        <v>42</v>
      </c>
      <c r="H688" s="230">
        <v>25.679999999999996</v>
      </c>
      <c r="I688" s="224" t="e">
        <f>#REF!</f>
        <v>#REF!</v>
      </c>
      <c r="J688" s="385" t="e">
        <f t="shared" si="10"/>
        <v>#REF!</v>
      </c>
      <c r="O688" s="361"/>
      <c r="P688" s="361"/>
      <c r="Q688" s="361"/>
      <c r="R688" s="361"/>
      <c r="S688" s="361"/>
      <c r="T688" s="361"/>
      <c r="U688" s="361"/>
      <c r="V688" s="361"/>
      <c r="W688" s="361"/>
      <c r="X688" s="361"/>
      <c r="Y688" s="361"/>
      <c r="Z688" s="361"/>
    </row>
    <row r="689" spans="1:26" x14ac:dyDescent="0.2">
      <c r="A689" s="231"/>
      <c r="B689" s="315" t="s">
        <v>1143</v>
      </c>
      <c r="C689" s="226" t="s">
        <v>0</v>
      </c>
      <c r="D689" s="227" t="s">
        <v>845</v>
      </c>
      <c r="E689" s="226" t="s">
        <v>600</v>
      </c>
      <c r="F689" s="226" t="s">
        <v>947</v>
      </c>
      <c r="G689" s="226" t="s">
        <v>42</v>
      </c>
      <c r="H689" s="229">
        <v>27.222039999999993</v>
      </c>
      <c r="I689" s="226" t="e">
        <f>#REF!</f>
        <v>#REF!</v>
      </c>
      <c r="J689" s="387" t="e">
        <f t="shared" si="10"/>
        <v>#REF!</v>
      </c>
      <c r="O689" s="361"/>
      <c r="P689" s="361"/>
      <c r="Q689" s="361"/>
      <c r="R689" s="361"/>
      <c r="S689" s="361"/>
      <c r="T689" s="361"/>
      <c r="U689" s="361"/>
      <c r="V689" s="361"/>
      <c r="W689" s="361"/>
      <c r="X689" s="361"/>
      <c r="Y689" s="361"/>
      <c r="Z689" s="361"/>
    </row>
    <row r="690" spans="1:26" x14ac:dyDescent="0.2">
      <c r="A690" s="231"/>
      <c r="B690" s="316" t="s">
        <v>1144</v>
      </c>
      <c r="C690" s="224" t="s">
        <v>0</v>
      </c>
      <c r="D690" s="228" t="s">
        <v>846</v>
      </c>
      <c r="E690" s="224" t="s">
        <v>600</v>
      </c>
      <c r="F690" s="224" t="s">
        <v>947</v>
      </c>
      <c r="G690" s="224" t="s">
        <v>42</v>
      </c>
      <c r="H690" s="230">
        <v>28.776379999999989</v>
      </c>
      <c r="I690" s="224" t="e">
        <f>#REF!</f>
        <v>#REF!</v>
      </c>
      <c r="J690" s="385" t="e">
        <f t="shared" si="10"/>
        <v>#REF!</v>
      </c>
      <c r="O690" s="361"/>
      <c r="P690" s="361"/>
      <c r="Q690" s="361"/>
      <c r="R690" s="361"/>
      <c r="S690" s="361"/>
      <c r="T690" s="361"/>
      <c r="U690" s="361"/>
      <c r="V690" s="361"/>
      <c r="W690" s="361"/>
      <c r="X690" s="361"/>
      <c r="Y690" s="361"/>
      <c r="Z690" s="361"/>
    </row>
    <row r="691" spans="1:26" x14ac:dyDescent="0.2">
      <c r="A691" s="231"/>
      <c r="B691" s="315" t="s">
        <v>1145</v>
      </c>
      <c r="C691" s="226" t="s">
        <v>0</v>
      </c>
      <c r="D691" s="227" t="s">
        <v>847</v>
      </c>
      <c r="E691" s="226" t="s">
        <v>600</v>
      </c>
      <c r="F691" s="226" t="s">
        <v>947</v>
      </c>
      <c r="G691" s="226" t="s">
        <v>42</v>
      </c>
      <c r="H691" s="229">
        <v>30.330719999999996</v>
      </c>
      <c r="I691" s="226" t="e">
        <f>#REF!</f>
        <v>#REF!</v>
      </c>
      <c r="J691" s="387" t="e">
        <f t="shared" si="10"/>
        <v>#REF!</v>
      </c>
      <c r="O691" s="361"/>
      <c r="P691" s="361"/>
      <c r="Q691" s="361"/>
      <c r="R691" s="361"/>
      <c r="S691" s="361"/>
      <c r="T691" s="361"/>
      <c r="U691" s="361"/>
      <c r="V691" s="361"/>
      <c r="W691" s="361"/>
      <c r="X691" s="361"/>
      <c r="Y691" s="361"/>
      <c r="Z691" s="361"/>
    </row>
    <row r="692" spans="1:26" x14ac:dyDescent="0.2">
      <c r="A692" s="231"/>
      <c r="B692" s="316" t="s">
        <v>1146</v>
      </c>
      <c r="C692" s="224" t="s">
        <v>0</v>
      </c>
      <c r="D692" s="228" t="s">
        <v>848</v>
      </c>
      <c r="E692" s="224" t="s">
        <v>600</v>
      </c>
      <c r="F692" s="224" t="s">
        <v>947</v>
      </c>
      <c r="G692" s="224" t="s">
        <v>42</v>
      </c>
      <c r="H692" s="230">
        <v>31.885059999999992</v>
      </c>
      <c r="I692" s="224" t="e">
        <f>#REF!</f>
        <v>#REF!</v>
      </c>
      <c r="J692" s="385" t="e">
        <f t="shared" si="10"/>
        <v>#REF!</v>
      </c>
      <c r="O692" s="361"/>
      <c r="P692" s="361"/>
      <c r="Q692" s="361"/>
      <c r="R692" s="361"/>
      <c r="S692" s="361"/>
      <c r="T692" s="361"/>
      <c r="U692" s="361"/>
      <c r="V692" s="361"/>
      <c r="W692" s="361"/>
      <c r="X692" s="361"/>
      <c r="Y692" s="361"/>
      <c r="Z692" s="361"/>
    </row>
    <row r="693" spans="1:26" x14ac:dyDescent="0.2">
      <c r="A693" s="231"/>
      <c r="B693" s="315" t="s">
        <v>1147</v>
      </c>
      <c r="C693" s="226" t="s">
        <v>0</v>
      </c>
      <c r="D693" s="227" t="s">
        <v>849</v>
      </c>
      <c r="E693" s="226" t="s">
        <v>600</v>
      </c>
      <c r="F693" s="226" t="s">
        <v>947</v>
      </c>
      <c r="G693" s="226" t="s">
        <v>42</v>
      </c>
      <c r="H693" s="229">
        <v>33.439399999999992</v>
      </c>
      <c r="I693" s="226" t="e">
        <f>#REF!</f>
        <v>#REF!</v>
      </c>
      <c r="J693" s="387" t="e">
        <f t="shared" si="10"/>
        <v>#REF!</v>
      </c>
      <c r="O693" s="361"/>
      <c r="P693" s="361"/>
      <c r="Q693" s="361"/>
      <c r="R693" s="361"/>
      <c r="S693" s="361"/>
      <c r="T693" s="361"/>
      <c r="U693" s="361"/>
      <c r="V693" s="361"/>
      <c r="W693" s="361"/>
      <c r="X693" s="361"/>
      <c r="Y693" s="361"/>
      <c r="Z693" s="361"/>
    </row>
    <row r="694" spans="1:26" x14ac:dyDescent="0.2">
      <c r="A694" s="231"/>
      <c r="B694" s="316" t="s">
        <v>1090</v>
      </c>
      <c r="C694" s="224" t="s">
        <v>0</v>
      </c>
      <c r="D694" s="228" t="s">
        <v>227</v>
      </c>
      <c r="E694" s="224" t="s">
        <v>600</v>
      </c>
      <c r="F694" s="224" t="s">
        <v>955</v>
      </c>
      <c r="G694" s="224" t="s">
        <v>42</v>
      </c>
      <c r="H694" s="230">
        <v>8.0500000000000007</v>
      </c>
      <c r="I694" s="224" t="e">
        <f>#REF!</f>
        <v>#REF!</v>
      </c>
      <c r="J694" s="385" t="e">
        <f t="shared" si="10"/>
        <v>#REF!</v>
      </c>
      <c r="O694" s="361"/>
      <c r="P694" s="361"/>
      <c r="Q694" s="361"/>
      <c r="R694" s="361"/>
      <c r="S694" s="361"/>
      <c r="T694" s="361"/>
      <c r="U694" s="361"/>
      <c r="V694" s="361"/>
      <c r="W694" s="361"/>
      <c r="X694" s="361"/>
      <c r="Y694" s="361"/>
      <c r="Z694" s="361"/>
    </row>
    <row r="695" spans="1:26" x14ac:dyDescent="0.2">
      <c r="A695" s="231"/>
      <c r="B695" s="315" t="s">
        <v>1383</v>
      </c>
      <c r="C695" s="226" t="s">
        <v>0</v>
      </c>
      <c r="D695" s="227" t="s">
        <v>788</v>
      </c>
      <c r="E695" s="226" t="s">
        <v>600</v>
      </c>
      <c r="F695" s="226" t="s">
        <v>955</v>
      </c>
      <c r="G695" s="226" t="s">
        <v>42</v>
      </c>
      <c r="H695" s="229">
        <v>96.462000000000032</v>
      </c>
      <c r="I695" s="226" t="e">
        <f>#REF!</f>
        <v>#REF!</v>
      </c>
      <c r="J695" s="387" t="e">
        <f t="shared" si="10"/>
        <v>#REF!</v>
      </c>
      <c r="O695" s="361"/>
      <c r="P695" s="361"/>
      <c r="Q695" s="361"/>
      <c r="R695" s="361"/>
      <c r="S695" s="361"/>
      <c r="T695" s="361"/>
      <c r="U695" s="361"/>
      <c r="V695" s="361"/>
      <c r="W695" s="361"/>
      <c r="X695" s="361"/>
      <c r="Y695" s="361"/>
      <c r="Z695" s="361"/>
    </row>
    <row r="696" spans="1:26" x14ac:dyDescent="0.2">
      <c r="A696" s="231"/>
      <c r="B696" s="316" t="s">
        <v>1377</v>
      </c>
      <c r="C696" s="224" t="s">
        <v>0</v>
      </c>
      <c r="D696" s="228" t="s">
        <v>782</v>
      </c>
      <c r="E696" s="224" t="s">
        <v>600</v>
      </c>
      <c r="F696" s="224" t="s">
        <v>955</v>
      </c>
      <c r="G696" s="224" t="s">
        <v>43</v>
      </c>
      <c r="H696" s="230">
        <v>10.580000000000004</v>
      </c>
      <c r="I696" s="224" t="e">
        <f>#REF!</f>
        <v>#REF!</v>
      </c>
      <c r="J696" s="385" t="e">
        <f t="shared" si="10"/>
        <v>#REF!</v>
      </c>
      <c r="O696" s="361"/>
      <c r="P696" s="361"/>
      <c r="Q696" s="361"/>
      <c r="R696" s="361"/>
      <c r="S696" s="361"/>
      <c r="T696" s="361"/>
      <c r="U696" s="361"/>
      <c r="V696" s="361"/>
      <c r="W696" s="361"/>
      <c r="X696" s="361"/>
      <c r="Y696" s="361"/>
      <c r="Z696" s="361"/>
    </row>
    <row r="697" spans="1:26" x14ac:dyDescent="0.2">
      <c r="A697" s="231"/>
      <c r="B697" s="315" t="s">
        <v>1382</v>
      </c>
      <c r="C697" s="226" t="s">
        <v>0</v>
      </c>
      <c r="D697" s="227" t="s">
        <v>787</v>
      </c>
      <c r="E697" s="226" t="s">
        <v>600</v>
      </c>
      <c r="F697" s="226" t="s">
        <v>955</v>
      </c>
      <c r="G697" s="226" t="s">
        <v>43</v>
      </c>
      <c r="H697" s="229">
        <v>126.82200000000003</v>
      </c>
      <c r="I697" s="226" t="e">
        <f>#REF!</f>
        <v>#REF!</v>
      </c>
      <c r="J697" s="387" t="e">
        <f t="shared" si="10"/>
        <v>#REF!</v>
      </c>
      <c r="O697" s="361"/>
      <c r="P697" s="361"/>
      <c r="Q697" s="361"/>
      <c r="R697" s="361"/>
      <c r="S697" s="361"/>
      <c r="T697" s="361"/>
      <c r="U697" s="361"/>
      <c r="V697" s="361"/>
      <c r="W697" s="361"/>
      <c r="X697" s="361"/>
      <c r="Y697" s="361"/>
      <c r="Z697" s="361"/>
    </row>
    <row r="698" spans="1:26" x14ac:dyDescent="0.2">
      <c r="A698" s="231"/>
      <c r="B698" s="316" t="s">
        <v>1148</v>
      </c>
      <c r="C698" s="224" t="s">
        <v>0</v>
      </c>
      <c r="D698" s="228" t="s">
        <v>216</v>
      </c>
      <c r="E698" s="224" t="s">
        <v>600</v>
      </c>
      <c r="F698" s="224" t="s">
        <v>947</v>
      </c>
      <c r="G698" s="224" t="s">
        <v>41</v>
      </c>
      <c r="H698" s="230">
        <v>18.898799999999998</v>
      </c>
      <c r="I698" s="224" t="e">
        <f>#REF!</f>
        <v>#REF!</v>
      </c>
      <c r="J698" s="385" t="e">
        <f t="shared" si="10"/>
        <v>#REF!</v>
      </c>
      <c r="O698" s="361"/>
      <c r="P698" s="361"/>
      <c r="Q698" s="361"/>
      <c r="R698" s="361"/>
      <c r="S698" s="361"/>
      <c r="T698" s="361"/>
      <c r="U698" s="361"/>
      <c r="V698" s="361"/>
      <c r="W698" s="361"/>
      <c r="X698" s="361"/>
      <c r="Y698" s="361"/>
      <c r="Z698" s="361"/>
    </row>
    <row r="699" spans="1:26" x14ac:dyDescent="0.2">
      <c r="A699" s="231"/>
      <c r="B699" s="315" t="s">
        <v>1149</v>
      </c>
      <c r="C699" s="226" t="s">
        <v>0</v>
      </c>
      <c r="D699" s="227" t="s">
        <v>220</v>
      </c>
      <c r="E699" s="226" t="s">
        <v>600</v>
      </c>
      <c r="F699" s="226" t="s">
        <v>947</v>
      </c>
      <c r="G699" s="226" t="s">
        <v>41</v>
      </c>
      <c r="H699" s="229">
        <v>19.901599999999998</v>
      </c>
      <c r="I699" s="226" t="e">
        <f>#REF!</f>
        <v>#REF!</v>
      </c>
      <c r="J699" s="387" t="e">
        <f t="shared" si="10"/>
        <v>#REF!</v>
      </c>
      <c r="O699" s="361"/>
      <c r="P699" s="361"/>
      <c r="Q699" s="361"/>
      <c r="R699" s="361"/>
      <c r="S699" s="361"/>
      <c r="T699" s="361"/>
      <c r="U699" s="361"/>
      <c r="V699" s="361"/>
      <c r="W699" s="361"/>
      <c r="X699" s="361"/>
      <c r="Y699" s="361"/>
      <c r="Z699" s="361"/>
    </row>
    <row r="700" spans="1:26" x14ac:dyDescent="0.2">
      <c r="A700" s="231"/>
      <c r="B700" s="316" t="s">
        <v>1081</v>
      </c>
      <c r="C700" s="224" t="s">
        <v>0</v>
      </c>
      <c r="D700" s="228" t="s">
        <v>219</v>
      </c>
      <c r="E700" s="224" t="s">
        <v>600</v>
      </c>
      <c r="F700" s="224" t="s">
        <v>955</v>
      </c>
      <c r="G700" s="224" t="s">
        <v>41</v>
      </c>
      <c r="H700" s="230">
        <v>7.4750000000000014</v>
      </c>
      <c r="I700" s="224" t="e">
        <f>#REF!</f>
        <v>#REF!</v>
      </c>
      <c r="J700" s="385" t="e">
        <f t="shared" si="10"/>
        <v>#REF!</v>
      </c>
      <c r="O700" s="361"/>
      <c r="P700" s="361"/>
      <c r="Q700" s="361"/>
      <c r="R700" s="361"/>
      <c r="S700" s="361"/>
      <c r="T700" s="361"/>
      <c r="U700" s="361"/>
      <c r="V700" s="361"/>
      <c r="W700" s="361"/>
      <c r="X700" s="361"/>
      <c r="Y700" s="361"/>
      <c r="Z700" s="361"/>
    </row>
    <row r="701" spans="1:26" x14ac:dyDescent="0.2">
      <c r="A701" s="231"/>
      <c r="B701" s="315" t="s">
        <v>1384</v>
      </c>
      <c r="C701" s="226" t="s">
        <v>0</v>
      </c>
      <c r="D701" s="227" t="s">
        <v>789</v>
      </c>
      <c r="E701" s="226" t="s">
        <v>600</v>
      </c>
      <c r="F701" s="226" t="s">
        <v>955</v>
      </c>
      <c r="G701" s="226" t="s">
        <v>41</v>
      </c>
      <c r="H701" s="229">
        <v>89.286000000000016</v>
      </c>
      <c r="I701" s="226" t="e">
        <f>#REF!</f>
        <v>#REF!</v>
      </c>
      <c r="J701" s="387" t="e">
        <f t="shared" si="10"/>
        <v>#REF!</v>
      </c>
      <c r="O701" s="361"/>
      <c r="P701" s="361"/>
      <c r="Q701" s="361"/>
      <c r="R701" s="361"/>
      <c r="S701" s="361"/>
      <c r="T701" s="361"/>
      <c r="U701" s="361"/>
      <c r="V701" s="361"/>
      <c r="W701" s="361"/>
      <c r="X701" s="361"/>
      <c r="Y701" s="361"/>
      <c r="Z701" s="361"/>
    </row>
    <row r="702" spans="1:26" x14ac:dyDescent="0.2">
      <c r="A702" s="231"/>
      <c r="B702" s="316" t="s">
        <v>1385</v>
      </c>
      <c r="C702" s="224" t="s">
        <v>0</v>
      </c>
      <c r="D702" s="228" t="s">
        <v>790</v>
      </c>
      <c r="E702" s="224" t="s">
        <v>600</v>
      </c>
      <c r="F702" s="224" t="s">
        <v>955</v>
      </c>
      <c r="G702" s="224" t="s">
        <v>631</v>
      </c>
      <c r="H702" s="230">
        <v>89.286000000000016</v>
      </c>
      <c r="I702" s="224" t="e">
        <f>#REF!</f>
        <v>#REF!</v>
      </c>
      <c r="J702" s="385" t="e">
        <f t="shared" si="10"/>
        <v>#REF!</v>
      </c>
      <c r="O702" s="361"/>
      <c r="P702" s="361"/>
      <c r="Q702" s="361"/>
      <c r="R702" s="361"/>
      <c r="S702" s="361"/>
      <c r="T702" s="361"/>
      <c r="U702" s="361"/>
      <c r="V702" s="361"/>
      <c r="W702" s="361"/>
      <c r="X702" s="361"/>
      <c r="Y702" s="361"/>
      <c r="Z702" s="361"/>
    </row>
    <row r="703" spans="1:26" x14ac:dyDescent="0.2">
      <c r="A703" s="231"/>
      <c r="B703" s="315" t="s">
        <v>1150</v>
      </c>
      <c r="C703" s="226" t="s">
        <v>0</v>
      </c>
      <c r="D703" s="227" t="s">
        <v>264</v>
      </c>
      <c r="E703" s="226" t="s">
        <v>600</v>
      </c>
      <c r="F703" s="226" t="s">
        <v>947</v>
      </c>
      <c r="G703" s="226" t="s">
        <v>44</v>
      </c>
      <c r="H703" s="229">
        <v>23.999999999999993</v>
      </c>
      <c r="I703" s="226" t="e">
        <f>#REF!</f>
        <v>#REF!</v>
      </c>
      <c r="J703" s="387" t="e">
        <f t="shared" si="10"/>
        <v>#REF!</v>
      </c>
    </row>
    <row r="704" spans="1:26" x14ac:dyDescent="0.2">
      <c r="A704" s="231" t="s">
        <v>2118</v>
      </c>
      <c r="B704" s="316" t="s">
        <v>1151</v>
      </c>
      <c r="C704" s="224" t="s">
        <v>0</v>
      </c>
      <c r="D704" s="228" t="s">
        <v>270</v>
      </c>
      <c r="E704" s="224" t="s">
        <v>600</v>
      </c>
      <c r="F704" s="224" t="s">
        <v>947</v>
      </c>
      <c r="G704" s="224" t="s">
        <v>44</v>
      </c>
      <c r="H704" s="230">
        <v>28.359999999999992</v>
      </c>
      <c r="I704" s="224" t="e">
        <f>#REF!</f>
        <v>#REF!</v>
      </c>
      <c r="J704" s="385" t="e">
        <f t="shared" si="10"/>
        <v>#REF!</v>
      </c>
    </row>
    <row r="705" spans="1:26" x14ac:dyDescent="0.2">
      <c r="A705" s="231"/>
      <c r="B705" s="315" t="s">
        <v>1152</v>
      </c>
      <c r="C705" s="226" t="s">
        <v>0</v>
      </c>
      <c r="D705" s="227" t="s">
        <v>258</v>
      </c>
      <c r="E705" s="226" t="s">
        <v>600</v>
      </c>
      <c r="F705" s="226" t="s">
        <v>947</v>
      </c>
      <c r="G705" s="226" t="s">
        <v>44</v>
      </c>
      <c r="H705" s="229">
        <v>29.199999999999996</v>
      </c>
      <c r="I705" s="226" t="e">
        <f>#REF!</f>
        <v>#REF!</v>
      </c>
      <c r="J705" s="387" t="e">
        <f t="shared" si="10"/>
        <v>#REF!</v>
      </c>
    </row>
    <row r="706" spans="1:26" x14ac:dyDescent="0.2">
      <c r="A706" s="231" t="s">
        <v>2118</v>
      </c>
      <c r="B706" s="322" t="s">
        <v>1153</v>
      </c>
      <c r="C706" s="224" t="s">
        <v>0</v>
      </c>
      <c r="D706" s="228" t="s">
        <v>259</v>
      </c>
      <c r="E706" s="224" t="s">
        <v>600</v>
      </c>
      <c r="F706" s="224" t="s">
        <v>947</v>
      </c>
      <c r="G706" s="224" t="s">
        <v>44</v>
      </c>
      <c r="H706" s="230">
        <v>30.039999999999992</v>
      </c>
      <c r="I706" s="224" t="e">
        <f>#REF!</f>
        <v>#REF!</v>
      </c>
      <c r="J706" s="385" t="e">
        <f t="shared" si="10"/>
        <v>#REF!</v>
      </c>
    </row>
    <row r="707" spans="1:26" x14ac:dyDescent="0.2">
      <c r="A707" s="231"/>
      <c r="B707" s="315" t="s">
        <v>1154</v>
      </c>
      <c r="C707" s="226" t="s">
        <v>0</v>
      </c>
      <c r="D707" s="227" t="s">
        <v>850</v>
      </c>
      <c r="E707" s="226" t="s">
        <v>600</v>
      </c>
      <c r="F707" s="226" t="s">
        <v>947</v>
      </c>
      <c r="G707" s="226" t="s">
        <v>44</v>
      </c>
      <c r="H707" s="229">
        <v>30.879999999999992</v>
      </c>
      <c r="I707" s="226" t="e">
        <f>#REF!</f>
        <v>#REF!</v>
      </c>
      <c r="J707" s="387" t="e">
        <f t="shared" si="10"/>
        <v>#REF!</v>
      </c>
    </row>
    <row r="708" spans="1:26" x14ac:dyDescent="0.2">
      <c r="A708" s="231"/>
      <c r="B708" s="316" t="s">
        <v>1155</v>
      </c>
      <c r="C708" s="224" t="s">
        <v>0</v>
      </c>
      <c r="D708" s="228" t="s">
        <v>281</v>
      </c>
      <c r="E708" s="224" t="s">
        <v>600</v>
      </c>
      <c r="F708" s="224" t="s">
        <v>947</v>
      </c>
      <c r="G708" s="224" t="s">
        <v>44</v>
      </c>
      <c r="H708" s="230">
        <v>31.759999999999998</v>
      </c>
      <c r="I708" s="224" t="e">
        <f>#REF!</f>
        <v>#REF!</v>
      </c>
      <c r="J708" s="385" t="e">
        <f t="shared" si="10"/>
        <v>#REF!</v>
      </c>
    </row>
    <row r="709" spans="1:26" x14ac:dyDescent="0.2">
      <c r="A709" s="231"/>
      <c r="B709" s="315" t="s">
        <v>1156</v>
      </c>
      <c r="C709" s="226" t="s">
        <v>0</v>
      </c>
      <c r="D709" s="227" t="s">
        <v>851</v>
      </c>
      <c r="E709" s="226" t="s">
        <v>600</v>
      </c>
      <c r="F709" s="226" t="s">
        <v>947</v>
      </c>
      <c r="G709" s="226" t="s">
        <v>44</v>
      </c>
      <c r="H709" s="229">
        <v>32.610279999999996</v>
      </c>
      <c r="I709" s="226" t="e">
        <f>#REF!</f>
        <v>#REF!</v>
      </c>
      <c r="J709" s="387" t="e">
        <f t="shared" si="10"/>
        <v>#REF!</v>
      </c>
    </row>
    <row r="710" spans="1:26" x14ac:dyDescent="0.2">
      <c r="A710" s="231"/>
      <c r="B710" s="316" t="s">
        <v>1157</v>
      </c>
      <c r="C710" s="224" t="s">
        <v>0</v>
      </c>
      <c r="D710" s="228" t="s">
        <v>852</v>
      </c>
      <c r="E710" s="224" t="s">
        <v>600</v>
      </c>
      <c r="F710" s="224" t="s">
        <v>947</v>
      </c>
      <c r="G710" s="224" t="s">
        <v>44</v>
      </c>
      <c r="H710" s="230">
        <v>33.462659999999993</v>
      </c>
      <c r="I710" s="224" t="e">
        <f>#REF!</f>
        <v>#REF!</v>
      </c>
      <c r="J710" s="385" t="e">
        <f t="shared" ref="J710:J773" si="11">H710-H710*I710</f>
        <v>#REF!</v>
      </c>
    </row>
    <row r="711" spans="1:26" x14ac:dyDescent="0.2">
      <c r="A711" s="231"/>
      <c r="B711" s="315" t="s">
        <v>1158</v>
      </c>
      <c r="C711" s="226" t="s">
        <v>0</v>
      </c>
      <c r="D711" s="227" t="s">
        <v>853</v>
      </c>
      <c r="E711" s="226" t="s">
        <v>600</v>
      </c>
      <c r="F711" s="226" t="s">
        <v>947</v>
      </c>
      <c r="G711" s="226" t="s">
        <v>44</v>
      </c>
      <c r="H711" s="229">
        <v>34.315039999999996</v>
      </c>
      <c r="I711" s="226" t="e">
        <f>#REF!</f>
        <v>#REF!</v>
      </c>
      <c r="J711" s="387" t="e">
        <f t="shared" si="11"/>
        <v>#REF!</v>
      </c>
    </row>
    <row r="712" spans="1:26" x14ac:dyDescent="0.2">
      <c r="A712" s="231"/>
      <c r="B712" s="316" t="s">
        <v>1159</v>
      </c>
      <c r="C712" s="224" t="s">
        <v>0</v>
      </c>
      <c r="D712" s="228" t="s">
        <v>854</v>
      </c>
      <c r="E712" s="224" t="s">
        <v>600</v>
      </c>
      <c r="F712" s="224" t="s">
        <v>947</v>
      </c>
      <c r="G712" s="224" t="s">
        <v>44</v>
      </c>
      <c r="H712" s="230">
        <v>35.167419999999993</v>
      </c>
      <c r="I712" s="224" t="e">
        <f>#REF!</f>
        <v>#REF!</v>
      </c>
      <c r="J712" s="385" t="e">
        <f t="shared" si="11"/>
        <v>#REF!</v>
      </c>
    </row>
    <row r="713" spans="1:26" x14ac:dyDescent="0.2">
      <c r="A713" s="231"/>
      <c r="B713" s="315" t="s">
        <v>1160</v>
      </c>
      <c r="C713" s="226" t="s">
        <v>0</v>
      </c>
      <c r="D713" s="227" t="s">
        <v>280</v>
      </c>
      <c r="E713" s="226" t="s">
        <v>600</v>
      </c>
      <c r="F713" s="226" t="s">
        <v>947</v>
      </c>
      <c r="G713" s="226" t="s">
        <v>44</v>
      </c>
      <c r="H713" s="229">
        <v>35.999999999999993</v>
      </c>
      <c r="I713" s="226" t="e">
        <f>#REF!</f>
        <v>#REF!</v>
      </c>
      <c r="J713" s="387" t="e">
        <f t="shared" si="11"/>
        <v>#REF!</v>
      </c>
    </row>
    <row r="714" spans="1:26" x14ac:dyDescent="0.2">
      <c r="A714" s="231"/>
      <c r="B714" s="316" t="s">
        <v>1161</v>
      </c>
      <c r="C714" s="224" t="s">
        <v>0</v>
      </c>
      <c r="D714" s="228" t="s">
        <v>271</v>
      </c>
      <c r="E714" s="224" t="s">
        <v>600</v>
      </c>
      <c r="F714" s="224" t="s">
        <v>947</v>
      </c>
      <c r="G714" s="224" t="s">
        <v>42</v>
      </c>
      <c r="H714" s="230">
        <v>23.799999999999997</v>
      </c>
      <c r="I714" s="224" t="e">
        <f>#REF!</f>
        <v>#REF!</v>
      </c>
      <c r="J714" s="385" t="e">
        <f t="shared" si="11"/>
        <v>#REF!</v>
      </c>
      <c r="O714" s="361"/>
      <c r="P714" s="361"/>
      <c r="Q714" s="361"/>
      <c r="R714" s="361"/>
      <c r="S714" s="361"/>
      <c r="T714" s="361"/>
      <c r="U714" s="361"/>
      <c r="V714" s="361"/>
      <c r="W714" s="361"/>
      <c r="X714" s="361"/>
      <c r="Y714" s="361"/>
      <c r="Z714" s="361"/>
    </row>
    <row r="715" spans="1:26" x14ac:dyDescent="0.2">
      <c r="A715" s="231"/>
      <c r="B715" s="315" t="s">
        <v>1162</v>
      </c>
      <c r="C715" s="226" t="s">
        <v>0</v>
      </c>
      <c r="D715" s="227" t="s">
        <v>242</v>
      </c>
      <c r="E715" s="226" t="s">
        <v>600</v>
      </c>
      <c r="F715" s="226" t="s">
        <v>947</v>
      </c>
      <c r="G715" s="226" t="s">
        <v>42</v>
      </c>
      <c r="H715" s="229">
        <v>25.359999999999996</v>
      </c>
      <c r="I715" s="226" t="e">
        <f>#REF!</f>
        <v>#REF!</v>
      </c>
      <c r="J715" s="387" t="e">
        <f t="shared" si="11"/>
        <v>#REF!</v>
      </c>
      <c r="O715" s="361"/>
      <c r="P715" s="361"/>
      <c r="Q715" s="361"/>
      <c r="R715" s="361"/>
      <c r="S715" s="361"/>
      <c r="T715" s="361"/>
      <c r="U715" s="361"/>
      <c r="V715" s="361"/>
      <c r="W715" s="361"/>
      <c r="X715" s="361"/>
      <c r="Y715" s="361"/>
      <c r="Z715" s="361"/>
    </row>
    <row r="716" spans="1:26" x14ac:dyDescent="0.2">
      <c r="A716" s="231" t="s">
        <v>2118</v>
      </c>
      <c r="B716" s="316" t="s">
        <v>1163</v>
      </c>
      <c r="C716" s="224" t="s">
        <v>0</v>
      </c>
      <c r="D716" s="228" t="s">
        <v>228</v>
      </c>
      <c r="E716" s="224" t="s">
        <v>600</v>
      </c>
      <c r="F716" s="224" t="s">
        <v>947</v>
      </c>
      <c r="G716" s="224" t="s">
        <v>42</v>
      </c>
      <c r="H716" s="230">
        <v>26.919999999999998</v>
      </c>
      <c r="I716" s="224" t="e">
        <f>#REF!</f>
        <v>#REF!</v>
      </c>
      <c r="J716" s="385" t="e">
        <f t="shared" si="11"/>
        <v>#REF!</v>
      </c>
      <c r="O716" s="361"/>
      <c r="P716" s="361"/>
      <c r="Q716" s="361"/>
      <c r="R716" s="361"/>
      <c r="S716" s="361"/>
      <c r="T716" s="361"/>
      <c r="U716" s="361"/>
      <c r="V716" s="361"/>
      <c r="W716" s="361"/>
      <c r="X716" s="361"/>
      <c r="Y716" s="361"/>
      <c r="Z716" s="361"/>
    </row>
    <row r="717" spans="1:26" x14ac:dyDescent="0.2">
      <c r="A717" s="231"/>
      <c r="B717" s="315" t="s">
        <v>1165</v>
      </c>
      <c r="C717" s="226" t="s">
        <v>0</v>
      </c>
      <c r="D717" s="227" t="s">
        <v>855</v>
      </c>
      <c r="E717" s="226" t="s">
        <v>600</v>
      </c>
      <c r="F717" s="226" t="s">
        <v>947</v>
      </c>
      <c r="G717" s="226" t="s">
        <v>42</v>
      </c>
      <c r="H717" s="229">
        <v>28.479999999999997</v>
      </c>
      <c r="I717" s="226" t="e">
        <f>#REF!</f>
        <v>#REF!</v>
      </c>
      <c r="J717" s="387" t="e">
        <f t="shared" si="11"/>
        <v>#REF!</v>
      </c>
      <c r="O717" s="361"/>
      <c r="P717" s="361"/>
      <c r="Q717" s="361"/>
      <c r="R717" s="361"/>
      <c r="S717" s="361"/>
      <c r="T717" s="361"/>
      <c r="U717" s="361"/>
      <c r="V717" s="361"/>
      <c r="W717" s="361"/>
      <c r="X717" s="361"/>
      <c r="Y717" s="361"/>
      <c r="Z717" s="361"/>
    </row>
    <row r="718" spans="1:26" x14ac:dyDescent="0.2">
      <c r="A718" s="231"/>
      <c r="B718" s="316" t="s">
        <v>1164</v>
      </c>
      <c r="C718" s="224" t="s">
        <v>0</v>
      </c>
      <c r="D718" s="228" t="s">
        <v>235</v>
      </c>
      <c r="E718" s="224" t="s">
        <v>600</v>
      </c>
      <c r="F718" s="224" t="s">
        <v>947</v>
      </c>
      <c r="G718" s="224" t="s">
        <v>42</v>
      </c>
      <c r="H718" s="230">
        <v>30.039999999999992</v>
      </c>
      <c r="I718" s="224" t="e">
        <f>#REF!</f>
        <v>#REF!</v>
      </c>
      <c r="J718" s="385" t="e">
        <f t="shared" si="11"/>
        <v>#REF!</v>
      </c>
      <c r="O718" s="361"/>
      <c r="P718" s="361"/>
      <c r="Q718" s="361"/>
      <c r="R718" s="361"/>
      <c r="S718" s="361"/>
      <c r="T718" s="361"/>
      <c r="U718" s="361"/>
      <c r="V718" s="361"/>
      <c r="W718" s="361"/>
      <c r="X718" s="361"/>
      <c r="Y718" s="361"/>
      <c r="Z718" s="361"/>
    </row>
    <row r="719" spans="1:26" x14ac:dyDescent="0.2">
      <c r="A719" s="231"/>
      <c r="B719" s="315" t="s">
        <v>1166</v>
      </c>
      <c r="C719" s="226" t="s">
        <v>0</v>
      </c>
      <c r="D719" s="227" t="s">
        <v>856</v>
      </c>
      <c r="E719" s="226" t="s">
        <v>600</v>
      </c>
      <c r="F719" s="226" t="s">
        <v>947</v>
      </c>
      <c r="G719" s="226" t="s">
        <v>42</v>
      </c>
      <c r="H719" s="229">
        <v>31.582039999999992</v>
      </c>
      <c r="I719" s="226" t="e">
        <f>#REF!</f>
        <v>#REF!</v>
      </c>
      <c r="J719" s="387" t="e">
        <f t="shared" si="11"/>
        <v>#REF!</v>
      </c>
      <c r="O719" s="361"/>
      <c r="P719" s="361"/>
      <c r="Q719" s="361"/>
      <c r="R719" s="361"/>
      <c r="S719" s="361"/>
      <c r="T719" s="361"/>
      <c r="U719" s="361"/>
      <c r="V719" s="361"/>
      <c r="W719" s="361"/>
      <c r="X719" s="361"/>
      <c r="Y719" s="361"/>
      <c r="Z719" s="361"/>
    </row>
    <row r="720" spans="1:26" x14ac:dyDescent="0.2">
      <c r="A720" s="231"/>
      <c r="B720" s="316" t="s">
        <v>1167</v>
      </c>
      <c r="C720" s="224" t="s">
        <v>0</v>
      </c>
      <c r="D720" s="228" t="s">
        <v>857</v>
      </c>
      <c r="E720" s="224" t="s">
        <v>600</v>
      </c>
      <c r="F720" s="224" t="s">
        <v>947</v>
      </c>
      <c r="G720" s="224" t="s">
        <v>42</v>
      </c>
      <c r="H720" s="230">
        <v>33.136379999999988</v>
      </c>
      <c r="I720" s="224" t="e">
        <f>#REF!</f>
        <v>#REF!</v>
      </c>
      <c r="J720" s="385" t="e">
        <f t="shared" si="11"/>
        <v>#REF!</v>
      </c>
      <c r="O720" s="361"/>
      <c r="P720" s="361"/>
      <c r="Q720" s="361"/>
      <c r="R720" s="361"/>
      <c r="S720" s="361"/>
      <c r="T720" s="361"/>
      <c r="U720" s="361"/>
      <c r="V720" s="361"/>
      <c r="W720" s="361"/>
      <c r="X720" s="361"/>
      <c r="Y720" s="361"/>
      <c r="Z720" s="361"/>
    </row>
    <row r="721" spans="1:26" x14ac:dyDescent="0.2">
      <c r="A721" s="231"/>
      <c r="B721" s="315" t="s">
        <v>1168</v>
      </c>
      <c r="C721" s="226" t="s">
        <v>0</v>
      </c>
      <c r="D721" s="227" t="s">
        <v>858</v>
      </c>
      <c r="E721" s="226" t="s">
        <v>600</v>
      </c>
      <c r="F721" s="226" t="s">
        <v>947</v>
      </c>
      <c r="G721" s="226" t="s">
        <v>42</v>
      </c>
      <c r="H721" s="229">
        <v>34.690719999999992</v>
      </c>
      <c r="I721" s="226" t="e">
        <f>#REF!</f>
        <v>#REF!</v>
      </c>
      <c r="J721" s="387" t="e">
        <f t="shared" si="11"/>
        <v>#REF!</v>
      </c>
      <c r="O721" s="361"/>
      <c r="P721" s="361"/>
      <c r="Q721" s="361"/>
      <c r="R721" s="361"/>
      <c r="S721" s="361"/>
      <c r="T721" s="361"/>
      <c r="U721" s="361"/>
      <c r="V721" s="361"/>
      <c r="W721" s="361"/>
      <c r="X721" s="361"/>
      <c r="Y721" s="361"/>
      <c r="Z721" s="361"/>
    </row>
    <row r="722" spans="1:26" x14ac:dyDescent="0.2">
      <c r="A722" s="231"/>
      <c r="B722" s="316" t="s">
        <v>1169</v>
      </c>
      <c r="C722" s="224" t="s">
        <v>0</v>
      </c>
      <c r="D722" s="228" t="s">
        <v>859</v>
      </c>
      <c r="E722" s="224" t="s">
        <v>600</v>
      </c>
      <c r="F722" s="224" t="s">
        <v>947</v>
      </c>
      <c r="G722" s="224" t="s">
        <v>42</v>
      </c>
      <c r="H722" s="230">
        <v>36.245059999999988</v>
      </c>
      <c r="I722" s="224" t="e">
        <f>#REF!</f>
        <v>#REF!</v>
      </c>
      <c r="J722" s="385" t="e">
        <f t="shared" si="11"/>
        <v>#REF!</v>
      </c>
      <c r="O722" s="361"/>
      <c r="P722" s="361"/>
      <c r="Q722" s="361"/>
      <c r="R722" s="361"/>
      <c r="S722" s="361"/>
      <c r="T722" s="361"/>
      <c r="U722" s="361"/>
      <c r="V722" s="361"/>
      <c r="W722" s="361"/>
      <c r="X722" s="361"/>
      <c r="Y722" s="361"/>
      <c r="Z722" s="361"/>
    </row>
    <row r="723" spans="1:26" x14ac:dyDescent="0.2">
      <c r="A723" s="231"/>
      <c r="B723" s="315" t="s">
        <v>1170</v>
      </c>
      <c r="C723" s="226" t="s">
        <v>0</v>
      </c>
      <c r="D723" s="227" t="s">
        <v>860</v>
      </c>
      <c r="E723" s="226" t="s">
        <v>600</v>
      </c>
      <c r="F723" s="226" t="s">
        <v>947</v>
      </c>
      <c r="G723" s="226" t="s">
        <v>42</v>
      </c>
      <c r="H723" s="229">
        <v>37.799399999999991</v>
      </c>
      <c r="I723" s="226" t="e">
        <f>#REF!</f>
        <v>#REF!</v>
      </c>
      <c r="J723" s="387" t="e">
        <f t="shared" si="11"/>
        <v>#REF!</v>
      </c>
      <c r="O723" s="361"/>
      <c r="P723" s="361"/>
      <c r="Q723" s="361"/>
      <c r="R723" s="361"/>
      <c r="S723" s="361"/>
      <c r="T723" s="361"/>
      <c r="U723" s="361"/>
      <c r="V723" s="361"/>
      <c r="W723" s="361"/>
      <c r="X723" s="361"/>
      <c r="Y723" s="361"/>
      <c r="Z723" s="361"/>
    </row>
    <row r="724" spans="1:26" x14ac:dyDescent="0.2">
      <c r="A724" s="231"/>
      <c r="B724" s="316" t="s">
        <v>1171</v>
      </c>
      <c r="C724" s="224" t="s">
        <v>0</v>
      </c>
      <c r="D724" s="228" t="s">
        <v>218</v>
      </c>
      <c r="E724" s="224" t="s">
        <v>600</v>
      </c>
      <c r="F724" s="224" t="s">
        <v>947</v>
      </c>
      <c r="G724" s="224" t="s">
        <v>41</v>
      </c>
      <c r="H724" s="230">
        <v>23.258799999999997</v>
      </c>
      <c r="I724" s="224" t="e">
        <f>#REF!</f>
        <v>#REF!</v>
      </c>
      <c r="J724" s="385" t="e">
        <f t="shared" si="11"/>
        <v>#REF!</v>
      </c>
      <c r="O724" s="361"/>
      <c r="P724" s="361"/>
      <c r="Q724" s="361"/>
      <c r="R724" s="361"/>
      <c r="S724" s="361"/>
      <c r="T724" s="361"/>
      <c r="U724" s="361"/>
      <c r="V724" s="361"/>
      <c r="W724" s="361"/>
      <c r="X724" s="361"/>
      <c r="Y724" s="361"/>
      <c r="Z724" s="361"/>
    </row>
    <row r="725" spans="1:26" x14ac:dyDescent="0.2">
      <c r="A725" s="231"/>
      <c r="B725" s="315" t="s">
        <v>1173</v>
      </c>
      <c r="C725" s="226" t="s">
        <v>0</v>
      </c>
      <c r="D725" s="227" t="s">
        <v>214</v>
      </c>
      <c r="E725" s="226" t="s">
        <v>600</v>
      </c>
      <c r="F725" s="226" t="s">
        <v>947</v>
      </c>
      <c r="G725" s="226" t="s">
        <v>41</v>
      </c>
      <c r="H725" s="229">
        <v>24.261599999999998</v>
      </c>
      <c r="I725" s="226" t="e">
        <f>#REF!</f>
        <v>#REF!</v>
      </c>
      <c r="J725" s="387" t="e">
        <f t="shared" si="11"/>
        <v>#REF!</v>
      </c>
      <c r="O725" s="361"/>
      <c r="P725" s="361"/>
      <c r="Q725" s="361"/>
      <c r="R725" s="361"/>
      <c r="S725" s="361"/>
      <c r="T725" s="361"/>
      <c r="U725" s="361"/>
      <c r="V725" s="361"/>
      <c r="W725" s="361"/>
      <c r="X725" s="361"/>
      <c r="Y725" s="361"/>
      <c r="Z725" s="361"/>
    </row>
    <row r="726" spans="1:26" x14ac:dyDescent="0.2">
      <c r="A726" s="231"/>
      <c r="B726" s="316" t="s">
        <v>1174</v>
      </c>
      <c r="C726" s="224" t="s">
        <v>0</v>
      </c>
      <c r="D726" s="228" t="s">
        <v>215</v>
      </c>
      <c r="E726" s="224" t="s">
        <v>600</v>
      </c>
      <c r="F726" s="224" t="s">
        <v>947</v>
      </c>
      <c r="G726" s="224" t="s">
        <v>41</v>
      </c>
      <c r="H726" s="230">
        <v>25.264399999999995</v>
      </c>
      <c r="I726" s="224" t="e">
        <f>#REF!</f>
        <v>#REF!</v>
      </c>
      <c r="J726" s="385" t="e">
        <f t="shared" si="11"/>
        <v>#REF!</v>
      </c>
      <c r="O726" s="361"/>
      <c r="P726" s="361"/>
      <c r="Q726" s="361"/>
      <c r="R726" s="361"/>
      <c r="S726" s="361"/>
      <c r="T726" s="361"/>
      <c r="U726" s="361"/>
      <c r="V726" s="361"/>
      <c r="W726" s="361"/>
      <c r="X726" s="361"/>
      <c r="Y726" s="361"/>
      <c r="Z726" s="361"/>
    </row>
    <row r="727" spans="1:26" x14ac:dyDescent="0.2">
      <c r="A727" s="231"/>
      <c r="B727" s="315" t="s">
        <v>1175</v>
      </c>
      <c r="C727" s="226" t="s">
        <v>0</v>
      </c>
      <c r="D727" s="227" t="s">
        <v>210</v>
      </c>
      <c r="E727" s="226" t="s">
        <v>600</v>
      </c>
      <c r="F727" s="226" t="s">
        <v>947</v>
      </c>
      <c r="G727" s="226" t="s">
        <v>41</v>
      </c>
      <c r="H727" s="229">
        <v>27.279999999999994</v>
      </c>
      <c r="I727" s="226" t="e">
        <f>#REF!</f>
        <v>#REF!</v>
      </c>
      <c r="J727" s="387" t="e">
        <f t="shared" si="11"/>
        <v>#REF!</v>
      </c>
      <c r="O727" s="361"/>
      <c r="P727" s="361"/>
      <c r="Q727" s="361"/>
      <c r="R727" s="361"/>
      <c r="S727" s="361"/>
      <c r="T727" s="361"/>
      <c r="U727" s="361"/>
      <c r="V727" s="361"/>
      <c r="W727" s="361"/>
      <c r="X727" s="361"/>
      <c r="Y727" s="361"/>
      <c r="Z727" s="361"/>
    </row>
    <row r="728" spans="1:26" x14ac:dyDescent="0.2">
      <c r="A728" s="231"/>
      <c r="B728" s="316" t="s">
        <v>1176</v>
      </c>
      <c r="C728" s="224" t="s">
        <v>0</v>
      </c>
      <c r="D728" s="228" t="s">
        <v>224</v>
      </c>
      <c r="E728" s="224" t="s">
        <v>600</v>
      </c>
      <c r="F728" s="224" t="s">
        <v>947</v>
      </c>
      <c r="G728" s="224" t="s">
        <v>41</v>
      </c>
      <c r="H728" s="230">
        <v>32.279999999999994</v>
      </c>
      <c r="I728" s="224" t="e">
        <f>#REF!</f>
        <v>#REF!</v>
      </c>
      <c r="J728" s="385" t="e">
        <f t="shared" si="11"/>
        <v>#REF!</v>
      </c>
      <c r="O728" s="361"/>
      <c r="P728" s="361"/>
      <c r="Q728" s="361"/>
      <c r="R728" s="361"/>
      <c r="S728" s="361"/>
      <c r="T728" s="361"/>
      <c r="U728" s="361"/>
      <c r="V728" s="361"/>
      <c r="W728" s="361"/>
      <c r="X728" s="361"/>
      <c r="Y728" s="361"/>
      <c r="Z728" s="361"/>
    </row>
    <row r="729" spans="1:26" x14ac:dyDescent="0.2">
      <c r="A729" s="231"/>
      <c r="B729" s="315" t="s">
        <v>1177</v>
      </c>
      <c r="C729" s="226" t="s">
        <v>0</v>
      </c>
      <c r="D729" s="227" t="s">
        <v>222</v>
      </c>
      <c r="E729" s="226" t="s">
        <v>600</v>
      </c>
      <c r="F729" s="226" t="s">
        <v>947</v>
      </c>
      <c r="G729" s="226" t="s">
        <v>41</v>
      </c>
      <c r="H729" s="229">
        <v>22.418799999999997</v>
      </c>
      <c r="I729" s="226" t="e">
        <f>#REF!</f>
        <v>#REF!</v>
      </c>
      <c r="J729" s="387" t="e">
        <f t="shared" si="11"/>
        <v>#REF!</v>
      </c>
      <c r="O729" s="361"/>
      <c r="P729" s="361"/>
      <c r="Q729" s="361"/>
      <c r="R729" s="361"/>
      <c r="S729" s="361"/>
      <c r="T729" s="361"/>
      <c r="U729" s="361"/>
      <c r="V729" s="361"/>
      <c r="W729" s="361"/>
      <c r="X729" s="361"/>
      <c r="Y729" s="361"/>
      <c r="Z729" s="361"/>
    </row>
    <row r="730" spans="1:26" x14ac:dyDescent="0.2">
      <c r="A730" s="231"/>
      <c r="B730" s="316" t="s">
        <v>1178</v>
      </c>
      <c r="C730" s="224" t="s">
        <v>0</v>
      </c>
      <c r="D730" s="228" t="s">
        <v>263</v>
      </c>
      <c r="E730" s="224" t="s">
        <v>600</v>
      </c>
      <c r="F730" s="224" t="s">
        <v>947</v>
      </c>
      <c r="G730" s="224" t="s">
        <v>44</v>
      </c>
      <c r="H730" s="230">
        <v>23.999999999999993</v>
      </c>
      <c r="I730" s="224" t="e">
        <f>#REF!</f>
        <v>#REF!</v>
      </c>
      <c r="J730" s="385" t="e">
        <f t="shared" si="11"/>
        <v>#REF!</v>
      </c>
    </row>
    <row r="731" spans="1:26" x14ac:dyDescent="0.2">
      <c r="A731" s="231"/>
      <c r="B731" s="315" t="s">
        <v>1179</v>
      </c>
      <c r="C731" s="226" t="s">
        <v>0</v>
      </c>
      <c r="D731" s="227" t="s">
        <v>262</v>
      </c>
      <c r="E731" s="226" t="s">
        <v>600</v>
      </c>
      <c r="F731" s="226" t="s">
        <v>947</v>
      </c>
      <c r="G731" s="226" t="s">
        <v>44</v>
      </c>
      <c r="H731" s="229">
        <v>25.69314</v>
      </c>
      <c r="I731" s="226" t="e">
        <f>#REF!</f>
        <v>#REF!</v>
      </c>
      <c r="J731" s="387" t="e">
        <f t="shared" si="11"/>
        <v>#REF!</v>
      </c>
    </row>
    <row r="732" spans="1:26" x14ac:dyDescent="0.2">
      <c r="A732" s="231"/>
      <c r="B732" s="316" t="s">
        <v>1089</v>
      </c>
      <c r="C732" s="224" t="s">
        <v>0</v>
      </c>
      <c r="D732" s="228" t="s">
        <v>239</v>
      </c>
      <c r="E732" s="224" t="s">
        <v>600</v>
      </c>
      <c r="F732" s="224" t="s">
        <v>955</v>
      </c>
      <c r="G732" s="224" t="s">
        <v>42</v>
      </c>
      <c r="H732" s="230">
        <v>8.0500000000000007</v>
      </c>
      <c r="I732" s="224" t="e">
        <f>#REF!</f>
        <v>#REF!</v>
      </c>
      <c r="J732" s="385" t="e">
        <f t="shared" si="11"/>
        <v>#REF!</v>
      </c>
      <c r="O732" s="361"/>
      <c r="P732" s="361"/>
      <c r="Q732" s="361"/>
      <c r="R732" s="361"/>
      <c r="S732" s="361"/>
      <c r="T732" s="361"/>
      <c r="U732" s="361"/>
      <c r="V732" s="361"/>
      <c r="W732" s="361"/>
      <c r="X732" s="361"/>
      <c r="Y732" s="361"/>
      <c r="Z732" s="361"/>
    </row>
    <row r="733" spans="1:26" x14ac:dyDescent="0.2">
      <c r="A733" s="231" t="s">
        <v>2118</v>
      </c>
      <c r="B733" s="315" t="s">
        <v>1180</v>
      </c>
      <c r="C733" s="226" t="s">
        <v>0</v>
      </c>
      <c r="D733" s="227" t="s">
        <v>256</v>
      </c>
      <c r="E733" s="226" t="s">
        <v>600</v>
      </c>
      <c r="F733" s="226" t="s">
        <v>947</v>
      </c>
      <c r="G733" s="226" t="s">
        <v>44</v>
      </c>
      <c r="H733" s="229">
        <v>32.279999999999994</v>
      </c>
      <c r="I733" s="226" t="e">
        <f>#REF!</f>
        <v>#REF!</v>
      </c>
      <c r="J733" s="387" t="e">
        <f t="shared" si="11"/>
        <v>#REF!</v>
      </c>
    </row>
    <row r="734" spans="1:26" x14ac:dyDescent="0.2">
      <c r="A734" s="231"/>
      <c r="B734" s="316" t="s">
        <v>1181</v>
      </c>
      <c r="C734" s="224" t="s">
        <v>0</v>
      </c>
      <c r="D734" s="228" t="s">
        <v>278</v>
      </c>
      <c r="E734" s="224" t="s">
        <v>600</v>
      </c>
      <c r="F734" s="224" t="s">
        <v>947</v>
      </c>
      <c r="G734" s="224" t="s">
        <v>44</v>
      </c>
      <c r="H734" s="230">
        <v>33.11999999999999</v>
      </c>
      <c r="I734" s="224" t="e">
        <f>#REF!</f>
        <v>#REF!</v>
      </c>
      <c r="J734" s="385" t="e">
        <f t="shared" si="11"/>
        <v>#REF!</v>
      </c>
    </row>
    <row r="735" spans="1:26" x14ac:dyDescent="0.2">
      <c r="A735" s="231" t="s">
        <v>2118</v>
      </c>
      <c r="B735" s="315" t="s">
        <v>1182</v>
      </c>
      <c r="C735" s="226" t="s">
        <v>0</v>
      </c>
      <c r="D735" s="227" t="s">
        <v>248</v>
      </c>
      <c r="E735" s="226" t="s">
        <v>600</v>
      </c>
      <c r="F735" s="226" t="s">
        <v>947</v>
      </c>
      <c r="G735" s="226" t="s">
        <v>44</v>
      </c>
      <c r="H735" s="229">
        <v>33.959999999999994</v>
      </c>
      <c r="I735" s="226" t="e">
        <f>#REF!</f>
        <v>#REF!</v>
      </c>
      <c r="J735" s="387" t="e">
        <f t="shared" si="11"/>
        <v>#REF!</v>
      </c>
    </row>
    <row r="736" spans="1:26" x14ac:dyDescent="0.2">
      <c r="A736" s="231"/>
      <c r="B736" s="316" t="s">
        <v>1185</v>
      </c>
      <c r="C736" s="224" t="s">
        <v>0</v>
      </c>
      <c r="D736" s="228" t="s">
        <v>861</v>
      </c>
      <c r="E736" s="224" t="s">
        <v>600</v>
      </c>
      <c r="F736" s="224" t="s">
        <v>947</v>
      </c>
      <c r="G736" s="224" t="s">
        <v>44</v>
      </c>
      <c r="H736" s="230">
        <v>34.79999999999999</v>
      </c>
      <c r="I736" s="224" t="e">
        <f>#REF!</f>
        <v>#REF!</v>
      </c>
      <c r="J736" s="385" t="e">
        <f t="shared" si="11"/>
        <v>#REF!</v>
      </c>
    </row>
    <row r="737" spans="1:26" x14ac:dyDescent="0.2">
      <c r="A737" s="231"/>
      <c r="B737" s="315" t="s">
        <v>1183</v>
      </c>
      <c r="C737" s="226" t="s">
        <v>0</v>
      </c>
      <c r="D737" s="227" t="s">
        <v>279</v>
      </c>
      <c r="E737" s="226" t="s">
        <v>600</v>
      </c>
      <c r="F737" s="226" t="s">
        <v>947</v>
      </c>
      <c r="G737" s="226" t="s">
        <v>44</v>
      </c>
      <c r="H737" s="229">
        <v>35.679999999999993</v>
      </c>
      <c r="I737" s="226" t="e">
        <f>#REF!</f>
        <v>#REF!</v>
      </c>
      <c r="J737" s="387" t="e">
        <f t="shared" si="11"/>
        <v>#REF!</v>
      </c>
    </row>
    <row r="738" spans="1:26" x14ac:dyDescent="0.2">
      <c r="A738" s="231"/>
      <c r="B738" s="316" t="s">
        <v>1186</v>
      </c>
      <c r="C738" s="224" t="s">
        <v>0</v>
      </c>
      <c r="D738" s="228" t="s">
        <v>862</v>
      </c>
      <c r="E738" s="224" t="s">
        <v>600</v>
      </c>
      <c r="F738" s="224" t="s">
        <v>947</v>
      </c>
      <c r="G738" s="224" t="s">
        <v>44</v>
      </c>
      <c r="H738" s="230">
        <v>36.530279999999991</v>
      </c>
      <c r="I738" s="224" t="e">
        <f>#REF!</f>
        <v>#REF!</v>
      </c>
      <c r="J738" s="385" t="e">
        <f t="shared" si="11"/>
        <v>#REF!</v>
      </c>
    </row>
    <row r="739" spans="1:26" x14ac:dyDescent="0.2">
      <c r="A739" s="231"/>
      <c r="B739" s="315" t="s">
        <v>1187</v>
      </c>
      <c r="C739" s="226" t="s">
        <v>0</v>
      </c>
      <c r="D739" s="227" t="s">
        <v>863</v>
      </c>
      <c r="E739" s="226" t="s">
        <v>600</v>
      </c>
      <c r="F739" s="226" t="s">
        <v>947</v>
      </c>
      <c r="G739" s="226" t="s">
        <v>44</v>
      </c>
      <c r="H739" s="229">
        <v>37.382659999999994</v>
      </c>
      <c r="I739" s="226" t="e">
        <f>#REF!</f>
        <v>#REF!</v>
      </c>
      <c r="J739" s="387" t="e">
        <f t="shared" si="11"/>
        <v>#REF!</v>
      </c>
    </row>
    <row r="740" spans="1:26" x14ac:dyDescent="0.2">
      <c r="A740" s="231"/>
      <c r="B740" s="316" t="s">
        <v>1188</v>
      </c>
      <c r="C740" s="224" t="s">
        <v>0</v>
      </c>
      <c r="D740" s="228" t="s">
        <v>864</v>
      </c>
      <c r="E740" s="224" t="s">
        <v>600</v>
      </c>
      <c r="F740" s="224" t="s">
        <v>947</v>
      </c>
      <c r="G740" s="224" t="s">
        <v>44</v>
      </c>
      <c r="H740" s="230">
        <v>38.235039999999991</v>
      </c>
      <c r="I740" s="224" t="e">
        <f>#REF!</f>
        <v>#REF!</v>
      </c>
      <c r="J740" s="385" t="e">
        <f t="shared" si="11"/>
        <v>#REF!</v>
      </c>
    </row>
    <row r="741" spans="1:26" x14ac:dyDescent="0.2">
      <c r="A741" s="231"/>
      <c r="B741" s="315" t="s">
        <v>1189</v>
      </c>
      <c r="C741" s="226" t="s">
        <v>0</v>
      </c>
      <c r="D741" s="227" t="s">
        <v>865</v>
      </c>
      <c r="E741" s="226" t="s">
        <v>600</v>
      </c>
      <c r="F741" s="226" t="s">
        <v>947</v>
      </c>
      <c r="G741" s="226" t="s">
        <v>44</v>
      </c>
      <c r="H741" s="229">
        <v>39.087419999999995</v>
      </c>
      <c r="I741" s="226" t="e">
        <f>#REF!</f>
        <v>#REF!</v>
      </c>
      <c r="J741" s="387" t="e">
        <f t="shared" si="11"/>
        <v>#REF!</v>
      </c>
    </row>
    <row r="742" spans="1:26" x14ac:dyDescent="0.2">
      <c r="A742" s="231"/>
      <c r="B742" s="316" t="s">
        <v>1190</v>
      </c>
      <c r="C742" s="224" t="s">
        <v>0</v>
      </c>
      <c r="D742" s="228" t="s">
        <v>261</v>
      </c>
      <c r="E742" s="224" t="s">
        <v>600</v>
      </c>
      <c r="F742" s="224" t="s">
        <v>947</v>
      </c>
      <c r="G742" s="224" t="s">
        <v>44</v>
      </c>
      <c r="H742" s="230">
        <v>39.919999999999995</v>
      </c>
      <c r="I742" s="224" t="e">
        <f>#REF!</f>
        <v>#REF!</v>
      </c>
      <c r="J742" s="385" t="e">
        <f t="shared" si="11"/>
        <v>#REF!</v>
      </c>
    </row>
    <row r="743" spans="1:26" x14ac:dyDescent="0.2">
      <c r="A743" s="231"/>
      <c r="B743" s="315" t="s">
        <v>1098</v>
      </c>
      <c r="C743" s="226" t="s">
        <v>0</v>
      </c>
      <c r="D743" s="227" t="s">
        <v>253</v>
      </c>
      <c r="E743" s="226" t="s">
        <v>600</v>
      </c>
      <c r="F743" s="226" t="s">
        <v>955</v>
      </c>
      <c r="G743" s="226" t="s">
        <v>44</v>
      </c>
      <c r="H743" s="229">
        <v>8.6250000000000018</v>
      </c>
      <c r="I743" s="226" t="e">
        <f>#REF!</f>
        <v>#REF!</v>
      </c>
      <c r="J743" s="387" t="e">
        <f t="shared" si="11"/>
        <v>#REF!</v>
      </c>
    </row>
    <row r="744" spans="1:26" x14ac:dyDescent="0.2">
      <c r="A744" s="231"/>
      <c r="B744" s="316" t="s">
        <v>1387</v>
      </c>
      <c r="C744" s="224" t="s">
        <v>0</v>
      </c>
      <c r="D744" s="228" t="s">
        <v>792</v>
      </c>
      <c r="E744" s="224" t="s">
        <v>600</v>
      </c>
      <c r="F744" s="224" t="s">
        <v>955</v>
      </c>
      <c r="G744" s="224" t="s">
        <v>44</v>
      </c>
      <c r="H744" s="230">
        <v>102.39600000000002</v>
      </c>
      <c r="I744" s="224" t="e">
        <f>#REF!</f>
        <v>#REF!</v>
      </c>
      <c r="J744" s="385" t="e">
        <f t="shared" si="11"/>
        <v>#REF!</v>
      </c>
    </row>
    <row r="745" spans="1:26" x14ac:dyDescent="0.2">
      <c r="A745" s="231" t="s">
        <v>2118</v>
      </c>
      <c r="B745" s="315" t="s">
        <v>1191</v>
      </c>
      <c r="C745" s="226" t="s">
        <v>0</v>
      </c>
      <c r="D745" s="227" t="s">
        <v>225</v>
      </c>
      <c r="E745" s="226" t="s">
        <v>600</v>
      </c>
      <c r="F745" s="226" t="s">
        <v>947</v>
      </c>
      <c r="G745" s="226" t="s">
        <v>42</v>
      </c>
      <c r="H745" s="229">
        <v>27.319999999999997</v>
      </c>
      <c r="I745" s="226" t="e">
        <f>#REF!</f>
        <v>#REF!</v>
      </c>
      <c r="J745" s="387" t="e">
        <f t="shared" si="11"/>
        <v>#REF!</v>
      </c>
      <c r="O745" s="361"/>
      <c r="P745" s="361"/>
      <c r="Q745" s="361"/>
      <c r="R745" s="361"/>
      <c r="S745" s="361"/>
      <c r="T745" s="361"/>
      <c r="U745" s="361"/>
      <c r="V745" s="361"/>
      <c r="W745" s="361"/>
      <c r="X745" s="361"/>
      <c r="Y745" s="361"/>
      <c r="Z745" s="361"/>
    </row>
    <row r="746" spans="1:26" x14ac:dyDescent="0.2">
      <c r="A746" s="231"/>
      <c r="B746" s="316" t="s">
        <v>1193</v>
      </c>
      <c r="C746" s="224" t="s">
        <v>0</v>
      </c>
      <c r="D746" s="228" t="s">
        <v>229</v>
      </c>
      <c r="E746" s="224" t="s">
        <v>600</v>
      </c>
      <c r="F746" s="224" t="s">
        <v>947</v>
      </c>
      <c r="G746" s="224" t="s">
        <v>42</v>
      </c>
      <c r="H746" s="230">
        <v>28.879999999999995</v>
      </c>
      <c r="I746" s="224" t="e">
        <f>#REF!</f>
        <v>#REF!</v>
      </c>
      <c r="J746" s="385" t="e">
        <f t="shared" si="11"/>
        <v>#REF!</v>
      </c>
      <c r="O746" s="361"/>
      <c r="P746" s="361"/>
      <c r="Q746" s="361"/>
      <c r="R746" s="361"/>
      <c r="S746" s="361"/>
      <c r="T746" s="361"/>
      <c r="U746" s="361"/>
      <c r="V746" s="361"/>
      <c r="W746" s="361"/>
      <c r="X746" s="361"/>
      <c r="Y746" s="361"/>
      <c r="Z746" s="361"/>
    </row>
    <row r="747" spans="1:26" x14ac:dyDescent="0.2">
      <c r="A747" s="231" t="s">
        <v>2118</v>
      </c>
      <c r="B747" s="315" t="s">
        <v>1194</v>
      </c>
      <c r="C747" s="226" t="s">
        <v>0</v>
      </c>
      <c r="D747" s="227" t="s">
        <v>236</v>
      </c>
      <c r="E747" s="226" t="s">
        <v>600</v>
      </c>
      <c r="F747" s="226" t="s">
        <v>947</v>
      </c>
      <c r="G747" s="226" t="s">
        <v>42</v>
      </c>
      <c r="H747" s="229">
        <v>30.439999999999994</v>
      </c>
      <c r="I747" s="226" t="e">
        <f>#REF!</f>
        <v>#REF!</v>
      </c>
      <c r="J747" s="387" t="e">
        <f t="shared" si="11"/>
        <v>#REF!</v>
      </c>
      <c r="O747" s="361"/>
      <c r="P747" s="361"/>
      <c r="Q747" s="361"/>
      <c r="R747" s="361"/>
      <c r="S747" s="361"/>
      <c r="T747" s="361"/>
      <c r="U747" s="361"/>
      <c r="V747" s="361"/>
      <c r="W747" s="361"/>
      <c r="X747" s="361"/>
      <c r="Y747" s="361"/>
      <c r="Z747" s="361"/>
    </row>
    <row r="748" spans="1:26" x14ac:dyDescent="0.2">
      <c r="A748" s="231"/>
      <c r="B748" s="316" t="s">
        <v>1196</v>
      </c>
      <c r="C748" s="224" t="s">
        <v>0</v>
      </c>
      <c r="D748" s="228" t="s">
        <v>870</v>
      </c>
      <c r="E748" s="224" t="s">
        <v>600</v>
      </c>
      <c r="F748" s="224" t="s">
        <v>947</v>
      </c>
      <c r="G748" s="224" t="s">
        <v>42</v>
      </c>
      <c r="H748" s="230">
        <v>31.999999999999993</v>
      </c>
      <c r="I748" s="224" t="e">
        <f>#REF!</f>
        <v>#REF!</v>
      </c>
      <c r="J748" s="385" t="e">
        <f t="shared" si="11"/>
        <v>#REF!</v>
      </c>
      <c r="O748" s="361"/>
      <c r="P748" s="361"/>
      <c r="Q748" s="361"/>
      <c r="R748" s="361"/>
      <c r="S748" s="361"/>
      <c r="T748" s="361"/>
      <c r="U748" s="361"/>
      <c r="V748" s="361"/>
      <c r="W748" s="361"/>
      <c r="X748" s="361"/>
      <c r="Y748" s="361"/>
      <c r="Z748" s="361"/>
    </row>
    <row r="749" spans="1:26" x14ac:dyDescent="0.2">
      <c r="A749" s="231"/>
      <c r="B749" s="315" t="s">
        <v>1195</v>
      </c>
      <c r="C749" s="226" t="s">
        <v>0</v>
      </c>
      <c r="D749" s="227" t="s">
        <v>230</v>
      </c>
      <c r="E749" s="226" t="s">
        <v>600</v>
      </c>
      <c r="F749" s="226" t="s">
        <v>947</v>
      </c>
      <c r="G749" s="226" t="s">
        <v>42</v>
      </c>
      <c r="H749" s="229">
        <v>33.559999999999995</v>
      </c>
      <c r="I749" s="226" t="e">
        <f>#REF!</f>
        <v>#REF!</v>
      </c>
      <c r="J749" s="387" t="e">
        <f t="shared" si="11"/>
        <v>#REF!</v>
      </c>
      <c r="O749" s="361"/>
      <c r="P749" s="361"/>
      <c r="Q749" s="361"/>
      <c r="R749" s="361"/>
      <c r="S749" s="361"/>
      <c r="T749" s="361"/>
      <c r="U749" s="361"/>
      <c r="V749" s="361"/>
      <c r="W749" s="361"/>
      <c r="X749" s="361"/>
      <c r="Y749" s="361"/>
      <c r="Z749" s="361"/>
    </row>
    <row r="750" spans="1:26" x14ac:dyDescent="0.2">
      <c r="A750" s="231"/>
      <c r="B750" s="316" t="s">
        <v>1197</v>
      </c>
      <c r="C750" s="224" t="s">
        <v>0</v>
      </c>
      <c r="D750" s="228" t="s">
        <v>866</v>
      </c>
      <c r="E750" s="224" t="s">
        <v>600</v>
      </c>
      <c r="F750" s="224" t="s">
        <v>947</v>
      </c>
      <c r="G750" s="224" t="s">
        <v>42</v>
      </c>
      <c r="H750" s="230">
        <v>35.102039999999988</v>
      </c>
      <c r="I750" s="224" t="e">
        <f>#REF!</f>
        <v>#REF!</v>
      </c>
      <c r="J750" s="385" t="e">
        <f t="shared" si="11"/>
        <v>#REF!</v>
      </c>
      <c r="O750" s="361"/>
      <c r="P750" s="361"/>
      <c r="Q750" s="361"/>
      <c r="R750" s="361"/>
      <c r="S750" s="361"/>
      <c r="T750" s="361"/>
      <c r="U750" s="361"/>
      <c r="V750" s="361"/>
      <c r="W750" s="361"/>
      <c r="X750" s="361"/>
      <c r="Y750" s="361"/>
      <c r="Z750" s="361"/>
    </row>
    <row r="751" spans="1:26" x14ac:dyDescent="0.2">
      <c r="A751" s="231"/>
      <c r="B751" s="315" t="s">
        <v>1198</v>
      </c>
      <c r="C751" s="226" t="s">
        <v>0</v>
      </c>
      <c r="D751" s="227" t="s">
        <v>867</v>
      </c>
      <c r="E751" s="226" t="s">
        <v>600</v>
      </c>
      <c r="F751" s="226" t="s">
        <v>947</v>
      </c>
      <c r="G751" s="226" t="s">
        <v>42</v>
      </c>
      <c r="H751" s="229">
        <v>36.656379999999992</v>
      </c>
      <c r="I751" s="226" t="e">
        <f>#REF!</f>
        <v>#REF!</v>
      </c>
      <c r="J751" s="387" t="e">
        <f t="shared" si="11"/>
        <v>#REF!</v>
      </c>
      <c r="O751" s="361"/>
      <c r="P751" s="361"/>
      <c r="Q751" s="361"/>
      <c r="R751" s="361"/>
      <c r="S751" s="361"/>
      <c r="T751" s="361"/>
      <c r="U751" s="361"/>
      <c r="V751" s="361"/>
      <c r="W751" s="361"/>
      <c r="X751" s="361"/>
      <c r="Y751" s="361"/>
      <c r="Z751" s="361"/>
    </row>
    <row r="752" spans="1:26" x14ac:dyDescent="0.2">
      <c r="A752" s="231"/>
      <c r="B752" s="316" t="s">
        <v>1199</v>
      </c>
      <c r="C752" s="224" t="s">
        <v>0</v>
      </c>
      <c r="D752" s="228" t="s">
        <v>868</v>
      </c>
      <c r="E752" s="224" t="s">
        <v>600</v>
      </c>
      <c r="F752" s="224" t="s">
        <v>947</v>
      </c>
      <c r="G752" s="224" t="s">
        <v>42</v>
      </c>
      <c r="H752" s="230">
        <v>38.210719999999995</v>
      </c>
      <c r="I752" s="224" t="e">
        <f>#REF!</f>
        <v>#REF!</v>
      </c>
      <c r="J752" s="385" t="e">
        <f t="shared" si="11"/>
        <v>#REF!</v>
      </c>
      <c r="O752" s="361"/>
      <c r="P752" s="361"/>
      <c r="Q752" s="361"/>
      <c r="R752" s="361"/>
      <c r="S752" s="361"/>
      <c r="T752" s="361"/>
      <c r="U752" s="361"/>
      <c r="V752" s="361"/>
      <c r="W752" s="361"/>
      <c r="X752" s="361"/>
      <c r="Y752" s="361"/>
      <c r="Z752" s="361"/>
    </row>
    <row r="753" spans="1:26" x14ac:dyDescent="0.2">
      <c r="A753" s="231"/>
      <c r="B753" s="315" t="s">
        <v>1200</v>
      </c>
      <c r="C753" s="226" t="s">
        <v>0</v>
      </c>
      <c r="D753" s="227" t="s">
        <v>869</v>
      </c>
      <c r="E753" s="226" t="s">
        <v>600</v>
      </c>
      <c r="F753" s="226" t="s">
        <v>947</v>
      </c>
      <c r="G753" s="226" t="s">
        <v>42</v>
      </c>
      <c r="H753" s="229">
        <v>39.765059999999991</v>
      </c>
      <c r="I753" s="226" t="e">
        <f>#REF!</f>
        <v>#REF!</v>
      </c>
      <c r="J753" s="387" t="e">
        <f t="shared" si="11"/>
        <v>#REF!</v>
      </c>
      <c r="O753" s="361"/>
      <c r="P753" s="361"/>
      <c r="Q753" s="361"/>
      <c r="R753" s="361"/>
      <c r="S753" s="361"/>
      <c r="T753" s="361"/>
      <c r="U753" s="361"/>
      <c r="V753" s="361"/>
      <c r="W753" s="361"/>
      <c r="X753" s="361"/>
      <c r="Y753" s="361"/>
      <c r="Z753" s="361"/>
    </row>
    <row r="754" spans="1:26" x14ac:dyDescent="0.2">
      <c r="A754" s="231"/>
      <c r="B754" s="316" t="s">
        <v>1201</v>
      </c>
      <c r="C754" s="224" t="s">
        <v>0</v>
      </c>
      <c r="D754" s="228" t="s">
        <v>231</v>
      </c>
      <c r="E754" s="224" t="s">
        <v>600</v>
      </c>
      <c r="F754" s="224" t="s">
        <v>947</v>
      </c>
      <c r="G754" s="224" t="s">
        <v>42</v>
      </c>
      <c r="H754" s="230">
        <v>41.319999999999993</v>
      </c>
      <c r="I754" s="224" t="e">
        <f>#REF!</f>
        <v>#REF!</v>
      </c>
      <c r="J754" s="385" t="e">
        <f t="shared" si="11"/>
        <v>#REF!</v>
      </c>
      <c r="O754" s="361"/>
      <c r="P754" s="361"/>
      <c r="Q754" s="361"/>
      <c r="R754" s="361"/>
      <c r="S754" s="361"/>
      <c r="T754" s="361"/>
      <c r="U754" s="361"/>
      <c r="V754" s="361"/>
      <c r="W754" s="361"/>
      <c r="X754" s="361"/>
      <c r="Y754" s="361"/>
      <c r="Z754" s="361"/>
    </row>
    <row r="755" spans="1:26" x14ac:dyDescent="0.2">
      <c r="A755" s="231"/>
      <c r="B755" s="315" t="s">
        <v>1097</v>
      </c>
      <c r="C755" s="226" t="s">
        <v>0</v>
      </c>
      <c r="D755" s="227" t="s">
        <v>226</v>
      </c>
      <c r="E755" s="226" t="s">
        <v>600</v>
      </c>
      <c r="F755" s="226" t="s">
        <v>955</v>
      </c>
      <c r="G755" s="226" t="s">
        <v>42</v>
      </c>
      <c r="H755" s="229">
        <v>8.9700000000000006</v>
      </c>
      <c r="I755" s="226" t="e">
        <f>#REF!</f>
        <v>#REF!</v>
      </c>
      <c r="J755" s="387" t="e">
        <f t="shared" si="11"/>
        <v>#REF!</v>
      </c>
      <c r="O755" s="361"/>
      <c r="P755" s="361"/>
      <c r="Q755" s="361"/>
      <c r="R755" s="361"/>
      <c r="S755" s="361"/>
      <c r="T755" s="361"/>
      <c r="U755" s="361"/>
      <c r="V755" s="361"/>
      <c r="W755" s="361"/>
      <c r="X755" s="361"/>
      <c r="Y755" s="361"/>
      <c r="Z755" s="361"/>
    </row>
    <row r="756" spans="1:26" x14ac:dyDescent="0.2">
      <c r="A756" s="231"/>
      <c r="B756" s="316" t="s">
        <v>1389</v>
      </c>
      <c r="C756" s="224" t="s">
        <v>0</v>
      </c>
      <c r="D756" s="228" t="s">
        <v>794</v>
      </c>
      <c r="E756" s="224" t="s">
        <v>600</v>
      </c>
      <c r="F756" s="224" t="s">
        <v>955</v>
      </c>
      <c r="G756" s="224" t="s">
        <v>42</v>
      </c>
      <c r="H756" s="230">
        <v>106.53600000000002</v>
      </c>
      <c r="I756" s="224" t="e">
        <f>#REF!</f>
        <v>#REF!</v>
      </c>
      <c r="J756" s="385" t="e">
        <f t="shared" si="11"/>
        <v>#REF!</v>
      </c>
      <c r="O756" s="361"/>
      <c r="P756" s="361"/>
      <c r="Q756" s="361"/>
      <c r="R756" s="361"/>
      <c r="S756" s="361"/>
      <c r="T756" s="361"/>
      <c r="U756" s="361"/>
      <c r="V756" s="361"/>
      <c r="W756" s="361"/>
      <c r="X756" s="361"/>
      <c r="Y756" s="361"/>
      <c r="Z756" s="361"/>
    </row>
    <row r="757" spans="1:26" x14ac:dyDescent="0.2">
      <c r="A757" s="231"/>
      <c r="B757" s="315" t="s">
        <v>1378</v>
      </c>
      <c r="C757" s="226" t="s">
        <v>0</v>
      </c>
      <c r="D757" s="227" t="s">
        <v>783</v>
      </c>
      <c r="E757" s="226" t="s">
        <v>600</v>
      </c>
      <c r="F757" s="226" t="s">
        <v>955</v>
      </c>
      <c r="G757" s="226" t="s">
        <v>43</v>
      </c>
      <c r="H757" s="229">
        <v>11.442500000000003</v>
      </c>
      <c r="I757" s="226" t="e">
        <f>#REF!</f>
        <v>#REF!</v>
      </c>
      <c r="J757" s="387" t="e">
        <f t="shared" si="11"/>
        <v>#REF!</v>
      </c>
      <c r="O757" s="361"/>
      <c r="P757" s="361"/>
      <c r="Q757" s="361"/>
      <c r="R757" s="361"/>
      <c r="S757" s="361"/>
      <c r="T757" s="361"/>
      <c r="U757" s="361"/>
      <c r="V757" s="361"/>
      <c r="W757" s="361"/>
      <c r="X757" s="361"/>
      <c r="Y757" s="361"/>
      <c r="Z757" s="361"/>
    </row>
    <row r="758" spans="1:26" x14ac:dyDescent="0.2">
      <c r="A758" s="231"/>
      <c r="B758" s="316" t="s">
        <v>1388</v>
      </c>
      <c r="C758" s="224" t="s">
        <v>0</v>
      </c>
      <c r="D758" s="228" t="s">
        <v>793</v>
      </c>
      <c r="E758" s="224" t="s">
        <v>600</v>
      </c>
      <c r="F758" s="224" t="s">
        <v>955</v>
      </c>
      <c r="G758" s="224" t="s">
        <v>43</v>
      </c>
      <c r="H758" s="230">
        <v>136.89600000000002</v>
      </c>
      <c r="I758" s="224" t="e">
        <f>#REF!</f>
        <v>#REF!</v>
      </c>
      <c r="J758" s="385" t="e">
        <f t="shared" si="11"/>
        <v>#REF!</v>
      </c>
      <c r="O758" s="361"/>
      <c r="P758" s="361"/>
      <c r="Q758" s="361"/>
      <c r="R758" s="361"/>
      <c r="S758" s="361"/>
      <c r="T758" s="361"/>
      <c r="U758" s="361"/>
      <c r="V758" s="361"/>
      <c r="W758" s="361"/>
      <c r="X758" s="361"/>
      <c r="Y758" s="361"/>
      <c r="Z758" s="361"/>
    </row>
    <row r="759" spans="1:26" x14ac:dyDescent="0.2">
      <c r="A759" s="231"/>
      <c r="B759" s="315" t="s">
        <v>1202</v>
      </c>
      <c r="C759" s="226" t="s">
        <v>0</v>
      </c>
      <c r="D759" s="227" t="s">
        <v>217</v>
      </c>
      <c r="E759" s="226" t="s">
        <v>600</v>
      </c>
      <c r="F759" s="226" t="s">
        <v>947</v>
      </c>
      <c r="G759" s="226" t="s">
        <v>41</v>
      </c>
      <c r="H759" s="229">
        <v>26.778799999999997</v>
      </c>
      <c r="I759" s="226" t="e">
        <f>#REF!</f>
        <v>#REF!</v>
      </c>
      <c r="J759" s="387" t="e">
        <f t="shared" si="11"/>
        <v>#REF!</v>
      </c>
      <c r="O759" s="361"/>
      <c r="P759" s="361"/>
      <c r="Q759" s="361"/>
      <c r="R759" s="361"/>
      <c r="S759" s="361"/>
      <c r="T759" s="361"/>
      <c r="U759" s="361"/>
      <c r="V759" s="361"/>
      <c r="W759" s="361"/>
      <c r="X759" s="361"/>
      <c r="Y759" s="361"/>
      <c r="Z759" s="361"/>
    </row>
    <row r="760" spans="1:26" x14ac:dyDescent="0.2">
      <c r="A760" s="231"/>
      <c r="B760" s="316" t="s">
        <v>1203</v>
      </c>
      <c r="C760" s="224" t="s">
        <v>0</v>
      </c>
      <c r="D760" s="228" t="s">
        <v>213</v>
      </c>
      <c r="E760" s="224" t="s">
        <v>600</v>
      </c>
      <c r="F760" s="224" t="s">
        <v>947</v>
      </c>
      <c r="G760" s="224" t="s">
        <v>41</v>
      </c>
      <c r="H760" s="230">
        <v>27.799999999999997</v>
      </c>
      <c r="I760" s="224" t="e">
        <f>#REF!</f>
        <v>#REF!</v>
      </c>
      <c r="J760" s="385" t="e">
        <f t="shared" si="11"/>
        <v>#REF!</v>
      </c>
      <c r="O760" s="361"/>
      <c r="P760" s="361"/>
      <c r="Q760" s="361"/>
      <c r="R760" s="361"/>
      <c r="S760" s="361"/>
      <c r="T760" s="361"/>
      <c r="U760" s="361"/>
      <c r="V760" s="361"/>
      <c r="W760" s="361"/>
      <c r="X760" s="361"/>
      <c r="Y760" s="361"/>
      <c r="Z760" s="361"/>
    </row>
    <row r="761" spans="1:26" x14ac:dyDescent="0.2">
      <c r="A761" s="231"/>
      <c r="B761" s="315" t="s">
        <v>1205</v>
      </c>
      <c r="C761" s="226" t="s">
        <v>0</v>
      </c>
      <c r="D761" s="227" t="s">
        <v>211</v>
      </c>
      <c r="E761" s="226" t="s">
        <v>600</v>
      </c>
      <c r="F761" s="226" t="s">
        <v>947</v>
      </c>
      <c r="G761" s="226" t="s">
        <v>41</v>
      </c>
      <c r="H761" s="229">
        <v>28.799999999999997</v>
      </c>
      <c r="I761" s="226" t="e">
        <f>#REF!</f>
        <v>#REF!</v>
      </c>
      <c r="J761" s="387" t="e">
        <f t="shared" si="11"/>
        <v>#REF!</v>
      </c>
      <c r="O761" s="361"/>
      <c r="P761" s="361"/>
      <c r="Q761" s="361"/>
      <c r="R761" s="361"/>
      <c r="S761" s="361"/>
      <c r="T761" s="361"/>
      <c r="U761" s="361"/>
      <c r="V761" s="361"/>
      <c r="W761" s="361"/>
      <c r="X761" s="361"/>
      <c r="Y761" s="361"/>
      <c r="Z761" s="361"/>
    </row>
    <row r="762" spans="1:26" x14ac:dyDescent="0.2">
      <c r="A762" s="231"/>
      <c r="B762" s="316" t="s">
        <v>1206</v>
      </c>
      <c r="C762" s="224" t="s">
        <v>0</v>
      </c>
      <c r="D762" s="228" t="s">
        <v>212</v>
      </c>
      <c r="E762" s="224" t="s">
        <v>600</v>
      </c>
      <c r="F762" s="224" t="s">
        <v>947</v>
      </c>
      <c r="G762" s="224" t="s">
        <v>41</v>
      </c>
      <c r="H762" s="230">
        <v>30.799999999999997</v>
      </c>
      <c r="I762" s="224" t="e">
        <f>#REF!</f>
        <v>#REF!</v>
      </c>
      <c r="J762" s="385" t="e">
        <f t="shared" si="11"/>
        <v>#REF!</v>
      </c>
      <c r="O762" s="361"/>
      <c r="P762" s="361"/>
      <c r="Q762" s="361"/>
      <c r="R762" s="361"/>
      <c r="S762" s="361"/>
      <c r="T762" s="361"/>
      <c r="U762" s="361"/>
      <c r="V762" s="361"/>
      <c r="W762" s="361"/>
      <c r="X762" s="361"/>
      <c r="Y762" s="361"/>
      <c r="Z762" s="361"/>
    </row>
    <row r="763" spans="1:26" x14ac:dyDescent="0.2">
      <c r="A763" s="231"/>
      <c r="B763" s="315" t="s">
        <v>1207</v>
      </c>
      <c r="C763" s="226" t="s">
        <v>0</v>
      </c>
      <c r="D763" s="227" t="s">
        <v>221</v>
      </c>
      <c r="E763" s="226" t="s">
        <v>600</v>
      </c>
      <c r="F763" s="226" t="s">
        <v>947</v>
      </c>
      <c r="G763" s="226" t="s">
        <v>41</v>
      </c>
      <c r="H763" s="229">
        <v>33.798399999999994</v>
      </c>
      <c r="I763" s="226" t="e">
        <f>#REF!</f>
        <v>#REF!</v>
      </c>
      <c r="J763" s="387" t="e">
        <f t="shared" si="11"/>
        <v>#REF!</v>
      </c>
      <c r="O763" s="361"/>
      <c r="P763" s="361"/>
      <c r="Q763" s="361"/>
      <c r="R763" s="361"/>
      <c r="S763" s="361"/>
      <c r="T763" s="361"/>
      <c r="U763" s="361"/>
      <c r="V763" s="361"/>
      <c r="W763" s="361"/>
      <c r="X763" s="361"/>
      <c r="Y763" s="361"/>
      <c r="Z763" s="361"/>
    </row>
    <row r="764" spans="1:26" x14ac:dyDescent="0.2">
      <c r="A764" s="231"/>
      <c r="B764" s="316" t="s">
        <v>1211</v>
      </c>
      <c r="C764" s="224" t="s">
        <v>0</v>
      </c>
      <c r="D764" s="228" t="s">
        <v>223</v>
      </c>
      <c r="E764" s="224" t="s">
        <v>600</v>
      </c>
      <c r="F764" s="224" t="s">
        <v>947</v>
      </c>
      <c r="G764" s="224" t="s">
        <v>41</v>
      </c>
      <c r="H764" s="230">
        <v>35.79999999999999</v>
      </c>
      <c r="I764" s="224" t="e">
        <f>#REF!</f>
        <v>#REF!</v>
      </c>
      <c r="J764" s="385" t="e">
        <f t="shared" si="11"/>
        <v>#REF!</v>
      </c>
      <c r="O764" s="361"/>
      <c r="P764" s="361"/>
      <c r="Q764" s="361"/>
      <c r="R764" s="361"/>
      <c r="S764" s="361"/>
      <c r="T764" s="361"/>
      <c r="U764" s="361"/>
      <c r="V764" s="361"/>
      <c r="W764" s="361"/>
      <c r="X764" s="361"/>
      <c r="Y764" s="361"/>
      <c r="Z764" s="361"/>
    </row>
    <row r="765" spans="1:26" x14ac:dyDescent="0.2">
      <c r="A765" s="231"/>
      <c r="B765" s="315" t="s">
        <v>1379</v>
      </c>
      <c r="C765" s="226" t="s">
        <v>0</v>
      </c>
      <c r="D765" s="227" t="s">
        <v>784</v>
      </c>
      <c r="E765" s="226" t="s">
        <v>600</v>
      </c>
      <c r="F765" s="226" t="s">
        <v>955</v>
      </c>
      <c r="G765" s="226" t="s">
        <v>41</v>
      </c>
      <c r="H765" s="229">
        <v>8.2800000000000011</v>
      </c>
      <c r="I765" s="226" t="e">
        <f>#REF!</f>
        <v>#REF!</v>
      </c>
      <c r="J765" s="387" t="e">
        <f t="shared" si="11"/>
        <v>#REF!</v>
      </c>
      <c r="O765" s="361"/>
      <c r="P765" s="361"/>
      <c r="Q765" s="361"/>
      <c r="R765" s="361"/>
      <c r="S765" s="361"/>
      <c r="T765" s="361"/>
      <c r="U765" s="361"/>
      <c r="V765" s="361"/>
      <c r="W765" s="361"/>
      <c r="X765" s="361"/>
      <c r="Y765" s="361"/>
      <c r="Z765" s="361"/>
    </row>
    <row r="766" spans="1:26" x14ac:dyDescent="0.2">
      <c r="A766" s="231"/>
      <c r="B766" s="316" t="s">
        <v>1390</v>
      </c>
      <c r="C766" s="224" t="s">
        <v>0</v>
      </c>
      <c r="D766" s="228" t="s">
        <v>795</v>
      </c>
      <c r="E766" s="224" t="s">
        <v>600</v>
      </c>
      <c r="F766" s="224" t="s">
        <v>955</v>
      </c>
      <c r="G766" s="224" t="s">
        <v>41</v>
      </c>
      <c r="H766" s="230">
        <v>99.360000000000028</v>
      </c>
      <c r="I766" s="224" t="e">
        <f>#REF!</f>
        <v>#REF!</v>
      </c>
      <c r="J766" s="385" t="e">
        <f t="shared" si="11"/>
        <v>#REF!</v>
      </c>
      <c r="O766" s="361"/>
      <c r="P766" s="361"/>
      <c r="Q766" s="361"/>
      <c r="R766" s="361"/>
      <c r="S766" s="361"/>
      <c r="T766" s="361"/>
      <c r="U766" s="361"/>
      <c r="V766" s="361"/>
      <c r="W766" s="361"/>
      <c r="X766" s="361"/>
      <c r="Y766" s="361"/>
      <c r="Z766" s="361"/>
    </row>
    <row r="767" spans="1:26" x14ac:dyDescent="0.2">
      <c r="A767" s="231"/>
      <c r="B767" s="315" t="s">
        <v>1391</v>
      </c>
      <c r="C767" s="226" t="s">
        <v>0</v>
      </c>
      <c r="D767" s="227" t="s">
        <v>796</v>
      </c>
      <c r="E767" s="226" t="s">
        <v>600</v>
      </c>
      <c r="F767" s="226" t="s">
        <v>955</v>
      </c>
      <c r="G767" s="226" t="s">
        <v>631</v>
      </c>
      <c r="H767" s="229">
        <v>99.360000000000028</v>
      </c>
      <c r="I767" s="226" t="e">
        <f>#REF!</f>
        <v>#REF!</v>
      </c>
      <c r="J767" s="387" t="e">
        <f t="shared" si="11"/>
        <v>#REF!</v>
      </c>
      <c r="O767" s="361"/>
      <c r="P767" s="361"/>
      <c r="Q767" s="361"/>
      <c r="R767" s="361"/>
      <c r="S767" s="361"/>
      <c r="T767" s="361"/>
      <c r="U767" s="361"/>
      <c r="V767" s="361"/>
      <c r="W767" s="361"/>
      <c r="X767" s="361"/>
      <c r="Y767" s="361"/>
      <c r="Z767" s="361"/>
    </row>
    <row r="768" spans="1:26" x14ac:dyDescent="0.2">
      <c r="A768" s="231"/>
      <c r="B768" s="316" t="s">
        <v>1212</v>
      </c>
      <c r="C768" s="224" t="s">
        <v>0</v>
      </c>
      <c r="D768" s="228" t="s">
        <v>260</v>
      </c>
      <c r="E768" s="224" t="s">
        <v>600</v>
      </c>
      <c r="F768" s="224" t="s">
        <v>947</v>
      </c>
      <c r="G768" s="224" t="s">
        <v>44</v>
      </c>
      <c r="H768" s="230">
        <v>33.11999999999999</v>
      </c>
      <c r="I768" s="224" t="e">
        <f>#REF!</f>
        <v>#REF!</v>
      </c>
      <c r="J768" s="385" t="e">
        <f t="shared" si="11"/>
        <v>#REF!</v>
      </c>
    </row>
    <row r="769" spans="1:26" x14ac:dyDescent="0.2">
      <c r="A769" s="231"/>
      <c r="B769" s="315" t="s">
        <v>1215</v>
      </c>
      <c r="C769" s="226" t="s">
        <v>0</v>
      </c>
      <c r="D769" s="227" t="s">
        <v>266</v>
      </c>
      <c r="E769" s="226" t="s">
        <v>600</v>
      </c>
      <c r="F769" s="226" t="s">
        <v>947</v>
      </c>
      <c r="G769" s="226" t="s">
        <v>44</v>
      </c>
      <c r="H769" s="229">
        <v>34.839999999999996</v>
      </c>
      <c r="I769" s="226" t="e">
        <f>#REF!</f>
        <v>#REF!</v>
      </c>
      <c r="J769" s="387" t="e">
        <f t="shared" si="11"/>
        <v>#REF!</v>
      </c>
    </row>
    <row r="770" spans="1:26" x14ac:dyDescent="0.2">
      <c r="A770" s="231"/>
      <c r="B770" s="316" t="s">
        <v>1216</v>
      </c>
      <c r="C770" s="224" t="s">
        <v>0</v>
      </c>
      <c r="D770" s="228" t="s">
        <v>257</v>
      </c>
      <c r="E770" s="224" t="s">
        <v>600</v>
      </c>
      <c r="F770" s="224" t="s">
        <v>947</v>
      </c>
      <c r="G770" s="224" t="s">
        <v>44</v>
      </c>
      <c r="H770" s="230">
        <v>39.079999999999991</v>
      </c>
      <c r="I770" s="224" t="e">
        <f>#REF!</f>
        <v>#REF!</v>
      </c>
      <c r="J770" s="385" t="e">
        <f t="shared" si="11"/>
        <v>#REF!</v>
      </c>
    </row>
    <row r="771" spans="1:26" x14ac:dyDescent="0.2">
      <c r="A771" s="231"/>
      <c r="B771" s="315" t="s">
        <v>1217</v>
      </c>
      <c r="C771" s="226" t="s">
        <v>0</v>
      </c>
      <c r="D771" s="227" t="s">
        <v>255</v>
      </c>
      <c r="E771" s="226" t="s">
        <v>600</v>
      </c>
      <c r="F771" s="226" t="s">
        <v>947</v>
      </c>
      <c r="G771" s="226" t="s">
        <v>44</v>
      </c>
      <c r="H771" s="229">
        <v>39.719999999999992</v>
      </c>
      <c r="I771" s="226" t="e">
        <f>#REF!</f>
        <v>#REF!</v>
      </c>
      <c r="J771" s="387" t="e">
        <f t="shared" si="11"/>
        <v>#REF!</v>
      </c>
    </row>
    <row r="772" spans="1:26" x14ac:dyDescent="0.2">
      <c r="A772" s="231"/>
      <c r="B772" s="316" t="s">
        <v>1360</v>
      </c>
      <c r="C772" s="224" t="s">
        <v>0</v>
      </c>
      <c r="D772" s="228" t="s">
        <v>238</v>
      </c>
      <c r="E772" s="224" t="s">
        <v>600</v>
      </c>
      <c r="F772" s="224" t="s">
        <v>955</v>
      </c>
      <c r="G772" s="224" t="s">
        <v>42</v>
      </c>
      <c r="H772" s="230">
        <v>58.132970027247964</v>
      </c>
      <c r="I772" s="224" t="e">
        <f>#REF!</f>
        <v>#REF!</v>
      </c>
      <c r="J772" s="385" t="e">
        <f t="shared" si="11"/>
        <v>#REF!</v>
      </c>
      <c r="O772" s="361"/>
      <c r="P772" s="361"/>
      <c r="Q772" s="361"/>
      <c r="R772" s="361"/>
      <c r="S772" s="361"/>
      <c r="T772" s="361"/>
      <c r="U772" s="361"/>
      <c r="V772" s="361"/>
      <c r="W772" s="361"/>
      <c r="X772" s="361"/>
      <c r="Y772" s="361"/>
      <c r="Z772" s="361"/>
    </row>
    <row r="773" spans="1:26" x14ac:dyDescent="0.2">
      <c r="A773" s="231"/>
      <c r="B773" s="315" t="s">
        <v>1392</v>
      </c>
      <c r="C773" s="226" t="s">
        <v>0</v>
      </c>
      <c r="D773" s="227" t="s">
        <v>252</v>
      </c>
      <c r="E773" s="226" t="s">
        <v>600</v>
      </c>
      <c r="F773" s="226" t="s">
        <v>955</v>
      </c>
      <c r="G773" s="226" t="s">
        <v>44</v>
      </c>
      <c r="H773" s="229">
        <v>100.85217983651229</v>
      </c>
      <c r="I773" s="226" t="e">
        <f>#REF!</f>
        <v>#REF!</v>
      </c>
      <c r="J773" s="387" t="e">
        <f t="shared" si="11"/>
        <v>#REF!</v>
      </c>
    </row>
    <row r="774" spans="1:26" x14ac:dyDescent="0.2">
      <c r="A774" s="231"/>
      <c r="B774" s="316" t="s">
        <v>1219</v>
      </c>
      <c r="C774" s="224" t="s">
        <v>0</v>
      </c>
      <c r="D774" s="228" t="s">
        <v>254</v>
      </c>
      <c r="E774" s="224" t="s">
        <v>600</v>
      </c>
      <c r="F774" s="224" t="s">
        <v>947</v>
      </c>
      <c r="G774" s="224" t="s">
        <v>44</v>
      </c>
      <c r="H774" s="230">
        <v>31.955313351498631</v>
      </c>
      <c r="I774" s="224" t="e">
        <f>#REF!</f>
        <v>#REF!</v>
      </c>
      <c r="J774" s="385" t="e">
        <f t="shared" ref="J774:J837" si="12">H774-H774*I774</f>
        <v>#REF!</v>
      </c>
    </row>
    <row r="775" spans="1:26" x14ac:dyDescent="0.2">
      <c r="A775" s="231"/>
      <c r="B775" s="315" t="s">
        <v>1394</v>
      </c>
      <c r="C775" s="226" t="s">
        <v>0</v>
      </c>
      <c r="D775" s="227" t="s">
        <v>251</v>
      </c>
      <c r="E775" s="226" t="s">
        <v>600</v>
      </c>
      <c r="F775" s="226" t="s">
        <v>955</v>
      </c>
      <c r="G775" s="226" t="s">
        <v>44</v>
      </c>
      <c r="H775" s="229">
        <v>168.77111716621258</v>
      </c>
      <c r="I775" s="226" t="e">
        <f>#REF!</f>
        <v>#REF!</v>
      </c>
      <c r="J775" s="387" t="e">
        <f t="shared" si="12"/>
        <v>#REF!</v>
      </c>
    </row>
    <row r="776" spans="1:26" x14ac:dyDescent="0.2">
      <c r="A776" s="231"/>
      <c r="B776" s="316" t="s">
        <v>1270</v>
      </c>
      <c r="C776" s="224" t="s">
        <v>0</v>
      </c>
      <c r="D776" s="228" t="s">
        <v>871</v>
      </c>
      <c r="E776" s="224" t="s">
        <v>600</v>
      </c>
      <c r="F776" s="224" t="s">
        <v>947</v>
      </c>
      <c r="G776" s="224" t="s">
        <v>44</v>
      </c>
      <c r="H776" s="230">
        <v>32.708379999999991</v>
      </c>
      <c r="I776" s="224" t="e">
        <f>#REF!</f>
        <v>#REF!</v>
      </c>
      <c r="J776" s="385" t="e">
        <f t="shared" si="12"/>
        <v>#REF!</v>
      </c>
    </row>
    <row r="777" spans="1:26" x14ac:dyDescent="0.2">
      <c r="A777" s="231"/>
      <c r="B777" s="315" t="s">
        <v>1271</v>
      </c>
      <c r="C777" s="226" t="s">
        <v>0</v>
      </c>
      <c r="D777" s="227" t="s">
        <v>872</v>
      </c>
      <c r="E777" s="226" t="s">
        <v>600</v>
      </c>
      <c r="F777" s="226" t="s">
        <v>947</v>
      </c>
      <c r="G777" s="226" t="s">
        <v>44</v>
      </c>
      <c r="H777" s="229">
        <v>33.560759999999995</v>
      </c>
      <c r="I777" s="226" t="e">
        <f>#REF!</f>
        <v>#REF!</v>
      </c>
      <c r="J777" s="387" t="e">
        <f t="shared" si="12"/>
        <v>#REF!</v>
      </c>
    </row>
    <row r="778" spans="1:26" x14ac:dyDescent="0.2">
      <c r="A778" s="231"/>
      <c r="B778" s="316" t="s">
        <v>1272</v>
      </c>
      <c r="C778" s="224" t="s">
        <v>0</v>
      </c>
      <c r="D778" s="228" t="s">
        <v>273</v>
      </c>
      <c r="E778" s="224" t="s">
        <v>600</v>
      </c>
      <c r="F778" s="224" t="s">
        <v>947</v>
      </c>
      <c r="G778" s="224" t="s">
        <v>44</v>
      </c>
      <c r="H778" s="230">
        <v>34.413139999999991</v>
      </c>
      <c r="I778" s="224" t="e">
        <f>#REF!</f>
        <v>#REF!</v>
      </c>
      <c r="J778" s="385" t="e">
        <f t="shared" si="12"/>
        <v>#REF!</v>
      </c>
    </row>
    <row r="779" spans="1:26" x14ac:dyDescent="0.2">
      <c r="A779" s="231"/>
      <c r="B779" s="315" t="s">
        <v>1273</v>
      </c>
      <c r="C779" s="226" t="s">
        <v>0</v>
      </c>
      <c r="D779" s="227" t="s">
        <v>873</v>
      </c>
      <c r="E779" s="226" t="s">
        <v>600</v>
      </c>
      <c r="F779" s="226" t="s">
        <v>947</v>
      </c>
      <c r="G779" s="226" t="s">
        <v>44</v>
      </c>
      <c r="H779" s="229">
        <v>35.265519999999995</v>
      </c>
      <c r="I779" s="226" t="e">
        <f>#REF!</f>
        <v>#REF!</v>
      </c>
      <c r="J779" s="387" t="e">
        <f t="shared" si="12"/>
        <v>#REF!</v>
      </c>
    </row>
    <row r="780" spans="1:26" x14ac:dyDescent="0.2">
      <c r="A780" s="231"/>
      <c r="B780" s="316" t="s">
        <v>1274</v>
      </c>
      <c r="C780" s="224" t="s">
        <v>0</v>
      </c>
      <c r="D780" s="228" t="s">
        <v>874</v>
      </c>
      <c r="E780" s="224" t="s">
        <v>600</v>
      </c>
      <c r="F780" s="224" t="s">
        <v>947</v>
      </c>
      <c r="G780" s="224" t="s">
        <v>44</v>
      </c>
      <c r="H780" s="230">
        <v>36.117899999999992</v>
      </c>
      <c r="I780" s="224" t="e">
        <f>#REF!</f>
        <v>#REF!</v>
      </c>
      <c r="J780" s="385" t="e">
        <f t="shared" si="12"/>
        <v>#REF!</v>
      </c>
    </row>
    <row r="781" spans="1:26" x14ac:dyDescent="0.2">
      <c r="A781" s="231"/>
      <c r="B781" s="315" t="s">
        <v>1275</v>
      </c>
      <c r="C781" s="226" t="s">
        <v>0</v>
      </c>
      <c r="D781" s="227" t="s">
        <v>875</v>
      </c>
      <c r="E781" s="226" t="s">
        <v>600</v>
      </c>
      <c r="F781" s="226" t="s">
        <v>947</v>
      </c>
      <c r="G781" s="226" t="s">
        <v>44</v>
      </c>
      <c r="H781" s="229">
        <v>36.970279999999995</v>
      </c>
      <c r="I781" s="226" t="e">
        <f>#REF!</f>
        <v>#REF!</v>
      </c>
      <c r="J781" s="387" t="e">
        <f t="shared" si="12"/>
        <v>#REF!</v>
      </c>
    </row>
    <row r="782" spans="1:26" x14ac:dyDescent="0.2">
      <c r="A782" s="231"/>
      <c r="B782" s="316" t="s">
        <v>1276</v>
      </c>
      <c r="C782" s="224" t="s">
        <v>0</v>
      </c>
      <c r="D782" s="228" t="s">
        <v>876</v>
      </c>
      <c r="E782" s="224" t="s">
        <v>600</v>
      </c>
      <c r="F782" s="224" t="s">
        <v>947</v>
      </c>
      <c r="G782" s="224" t="s">
        <v>44</v>
      </c>
      <c r="H782" s="230">
        <v>37.822659999999992</v>
      </c>
      <c r="I782" s="224" t="e">
        <f>#REF!</f>
        <v>#REF!</v>
      </c>
      <c r="J782" s="385" t="e">
        <f t="shared" si="12"/>
        <v>#REF!</v>
      </c>
    </row>
    <row r="783" spans="1:26" x14ac:dyDescent="0.2">
      <c r="A783" s="231"/>
      <c r="B783" s="315" t="s">
        <v>1277</v>
      </c>
      <c r="C783" s="226" t="s">
        <v>0</v>
      </c>
      <c r="D783" s="227" t="s">
        <v>877</v>
      </c>
      <c r="E783" s="226" t="s">
        <v>600</v>
      </c>
      <c r="F783" s="226" t="s">
        <v>947</v>
      </c>
      <c r="G783" s="226" t="s">
        <v>44</v>
      </c>
      <c r="H783" s="229">
        <v>38.675039999999996</v>
      </c>
      <c r="I783" s="226" t="e">
        <f>#REF!</f>
        <v>#REF!</v>
      </c>
      <c r="J783" s="387" t="e">
        <f t="shared" si="12"/>
        <v>#REF!</v>
      </c>
    </row>
    <row r="784" spans="1:26" x14ac:dyDescent="0.2">
      <c r="A784" s="231"/>
      <c r="B784" s="316" t="s">
        <v>1278</v>
      </c>
      <c r="C784" s="224" t="s">
        <v>0</v>
      </c>
      <c r="D784" s="228" t="s">
        <v>878</v>
      </c>
      <c r="E784" s="224" t="s">
        <v>600</v>
      </c>
      <c r="F784" s="224" t="s">
        <v>947</v>
      </c>
      <c r="G784" s="224" t="s">
        <v>44</v>
      </c>
      <c r="H784" s="230">
        <v>39.527419999999992</v>
      </c>
      <c r="I784" s="224" t="e">
        <f>#REF!</f>
        <v>#REF!</v>
      </c>
      <c r="J784" s="385" t="e">
        <f t="shared" si="12"/>
        <v>#REF!</v>
      </c>
    </row>
    <row r="785" spans="1:10" x14ac:dyDescent="0.2">
      <c r="A785" s="231"/>
      <c r="B785" s="315" t="s">
        <v>1279</v>
      </c>
      <c r="C785" s="226" t="s">
        <v>0</v>
      </c>
      <c r="D785" s="227" t="s">
        <v>879</v>
      </c>
      <c r="E785" s="226" t="s">
        <v>600</v>
      </c>
      <c r="F785" s="226" t="s">
        <v>947</v>
      </c>
      <c r="G785" s="226" t="s">
        <v>44</v>
      </c>
      <c r="H785" s="229">
        <v>40.379799999999996</v>
      </c>
      <c r="I785" s="226" t="e">
        <f>#REF!</f>
        <v>#REF!</v>
      </c>
      <c r="J785" s="387" t="e">
        <f t="shared" si="12"/>
        <v>#REF!</v>
      </c>
    </row>
    <row r="786" spans="1:10" x14ac:dyDescent="0.2">
      <c r="A786" s="231" t="s">
        <v>2118</v>
      </c>
      <c r="B786" s="316" t="s">
        <v>1073</v>
      </c>
      <c r="C786" s="224" t="s">
        <v>0</v>
      </c>
      <c r="D786" s="228" t="s">
        <v>557</v>
      </c>
      <c r="E786" s="224" t="s">
        <v>600</v>
      </c>
      <c r="F786" s="224" t="s">
        <v>955</v>
      </c>
      <c r="G786" s="224" t="s">
        <v>44</v>
      </c>
      <c r="H786" s="230">
        <v>8.1650000000000009</v>
      </c>
      <c r="I786" s="224" t="e">
        <f>#REF!</f>
        <v>#REF!</v>
      </c>
      <c r="J786" s="385" t="e">
        <f t="shared" si="12"/>
        <v>#REF!</v>
      </c>
    </row>
    <row r="787" spans="1:10" x14ac:dyDescent="0.2">
      <c r="A787" s="231"/>
      <c r="B787" s="315" t="s">
        <v>1380</v>
      </c>
      <c r="C787" s="226" t="s">
        <v>0</v>
      </c>
      <c r="D787" s="227" t="s">
        <v>785</v>
      </c>
      <c r="E787" s="226" t="s">
        <v>600</v>
      </c>
      <c r="F787" s="226" t="s">
        <v>955</v>
      </c>
      <c r="G787" s="226" t="s">
        <v>44</v>
      </c>
      <c r="H787" s="229">
        <v>107.98500000000003</v>
      </c>
      <c r="I787" s="226" t="e">
        <f>#REF!</f>
        <v>#REF!</v>
      </c>
      <c r="J787" s="387" t="e">
        <f t="shared" si="12"/>
        <v>#REF!</v>
      </c>
    </row>
    <row r="788" spans="1:10" x14ac:dyDescent="0.2">
      <c r="A788" s="231"/>
      <c r="B788" s="316" t="s">
        <v>1260</v>
      </c>
      <c r="C788" s="224" t="s">
        <v>0</v>
      </c>
      <c r="D788" s="228" t="s">
        <v>880</v>
      </c>
      <c r="E788" s="224" t="s">
        <v>600</v>
      </c>
      <c r="F788" s="224" t="s">
        <v>947</v>
      </c>
      <c r="G788" s="224" t="s">
        <v>44</v>
      </c>
      <c r="H788" s="230">
        <v>34.148379999999989</v>
      </c>
      <c r="I788" s="224" t="e">
        <f>#REF!</f>
        <v>#REF!</v>
      </c>
      <c r="J788" s="385" t="e">
        <f t="shared" si="12"/>
        <v>#REF!</v>
      </c>
    </row>
    <row r="789" spans="1:10" x14ac:dyDescent="0.2">
      <c r="A789" s="231"/>
      <c r="B789" s="315" t="s">
        <v>1261</v>
      </c>
      <c r="C789" s="226" t="s">
        <v>0</v>
      </c>
      <c r="D789" s="227" t="s">
        <v>881</v>
      </c>
      <c r="E789" s="226" t="s">
        <v>600</v>
      </c>
      <c r="F789" s="226" t="s">
        <v>947</v>
      </c>
      <c r="G789" s="226" t="s">
        <v>44</v>
      </c>
      <c r="H789" s="229">
        <v>35.000759999999993</v>
      </c>
      <c r="I789" s="226" t="e">
        <f>#REF!</f>
        <v>#REF!</v>
      </c>
      <c r="J789" s="387" t="e">
        <f t="shared" si="12"/>
        <v>#REF!</v>
      </c>
    </row>
    <row r="790" spans="1:10" x14ac:dyDescent="0.2">
      <c r="A790" s="231"/>
      <c r="B790" s="316" t="s">
        <v>1262</v>
      </c>
      <c r="C790" s="224" t="s">
        <v>0</v>
      </c>
      <c r="D790" s="228" t="s">
        <v>882</v>
      </c>
      <c r="E790" s="224" t="s">
        <v>600</v>
      </c>
      <c r="F790" s="224" t="s">
        <v>947</v>
      </c>
      <c r="G790" s="224" t="s">
        <v>44</v>
      </c>
      <c r="H790" s="230">
        <v>35.853139999999989</v>
      </c>
      <c r="I790" s="224" t="e">
        <f>#REF!</f>
        <v>#REF!</v>
      </c>
      <c r="J790" s="385" t="e">
        <f t="shared" si="12"/>
        <v>#REF!</v>
      </c>
    </row>
    <row r="791" spans="1:10" x14ac:dyDescent="0.2">
      <c r="A791" s="231"/>
      <c r="B791" s="315" t="s">
        <v>1263</v>
      </c>
      <c r="C791" s="226" t="s">
        <v>0</v>
      </c>
      <c r="D791" s="227" t="s">
        <v>883</v>
      </c>
      <c r="E791" s="226" t="s">
        <v>600</v>
      </c>
      <c r="F791" s="226" t="s">
        <v>947</v>
      </c>
      <c r="G791" s="226" t="s">
        <v>44</v>
      </c>
      <c r="H791" s="229">
        <v>36.705519999999993</v>
      </c>
      <c r="I791" s="226" t="e">
        <f>#REF!</f>
        <v>#REF!</v>
      </c>
      <c r="J791" s="387" t="e">
        <f t="shared" si="12"/>
        <v>#REF!</v>
      </c>
    </row>
    <row r="792" spans="1:10" x14ac:dyDescent="0.2">
      <c r="A792" s="231"/>
      <c r="B792" s="316" t="s">
        <v>1264</v>
      </c>
      <c r="C792" s="224" t="s">
        <v>0</v>
      </c>
      <c r="D792" s="228" t="s">
        <v>884</v>
      </c>
      <c r="E792" s="224" t="s">
        <v>600</v>
      </c>
      <c r="F792" s="224" t="s">
        <v>947</v>
      </c>
      <c r="G792" s="224" t="s">
        <v>44</v>
      </c>
      <c r="H792" s="230">
        <v>37.557899999999989</v>
      </c>
      <c r="I792" s="224" t="e">
        <f>#REF!</f>
        <v>#REF!</v>
      </c>
      <c r="J792" s="385" t="e">
        <f t="shared" si="12"/>
        <v>#REF!</v>
      </c>
    </row>
    <row r="793" spans="1:10" x14ac:dyDescent="0.2">
      <c r="A793" s="231"/>
      <c r="B793" s="315" t="s">
        <v>1265</v>
      </c>
      <c r="C793" s="226" t="s">
        <v>0</v>
      </c>
      <c r="D793" s="227" t="s">
        <v>885</v>
      </c>
      <c r="E793" s="226" t="s">
        <v>600</v>
      </c>
      <c r="F793" s="226" t="s">
        <v>947</v>
      </c>
      <c r="G793" s="226" t="s">
        <v>44</v>
      </c>
      <c r="H793" s="229">
        <v>38.410279999999993</v>
      </c>
      <c r="I793" s="226" t="e">
        <f>#REF!</f>
        <v>#REF!</v>
      </c>
      <c r="J793" s="387" t="e">
        <f t="shared" si="12"/>
        <v>#REF!</v>
      </c>
    </row>
    <row r="794" spans="1:10" x14ac:dyDescent="0.2">
      <c r="A794" s="231"/>
      <c r="B794" s="316" t="s">
        <v>1266</v>
      </c>
      <c r="C794" s="224" t="s">
        <v>0</v>
      </c>
      <c r="D794" s="228" t="s">
        <v>886</v>
      </c>
      <c r="E794" s="224" t="s">
        <v>600</v>
      </c>
      <c r="F794" s="224" t="s">
        <v>947</v>
      </c>
      <c r="G794" s="224" t="s">
        <v>44</v>
      </c>
      <c r="H794" s="230">
        <v>39.26265999999999</v>
      </c>
      <c r="I794" s="224" t="e">
        <f>#REF!</f>
        <v>#REF!</v>
      </c>
      <c r="J794" s="385" t="e">
        <f t="shared" si="12"/>
        <v>#REF!</v>
      </c>
    </row>
    <row r="795" spans="1:10" x14ac:dyDescent="0.2">
      <c r="A795" s="231"/>
      <c r="B795" s="315" t="s">
        <v>1267</v>
      </c>
      <c r="C795" s="226" t="s">
        <v>0</v>
      </c>
      <c r="D795" s="227" t="s">
        <v>887</v>
      </c>
      <c r="E795" s="226" t="s">
        <v>600</v>
      </c>
      <c r="F795" s="226" t="s">
        <v>947</v>
      </c>
      <c r="G795" s="226" t="s">
        <v>44</v>
      </c>
      <c r="H795" s="229">
        <v>40.115039999999993</v>
      </c>
      <c r="I795" s="226" t="e">
        <f>#REF!</f>
        <v>#REF!</v>
      </c>
      <c r="J795" s="387" t="e">
        <f t="shared" si="12"/>
        <v>#REF!</v>
      </c>
    </row>
    <row r="796" spans="1:10" x14ac:dyDescent="0.2">
      <c r="A796" s="231"/>
      <c r="B796" s="316" t="s">
        <v>1268</v>
      </c>
      <c r="C796" s="224" t="s">
        <v>0</v>
      </c>
      <c r="D796" s="228" t="s">
        <v>888</v>
      </c>
      <c r="E796" s="224" t="s">
        <v>600</v>
      </c>
      <c r="F796" s="224" t="s">
        <v>947</v>
      </c>
      <c r="G796" s="224" t="s">
        <v>44</v>
      </c>
      <c r="H796" s="230">
        <v>40.96741999999999</v>
      </c>
      <c r="I796" s="224" t="e">
        <f>#REF!</f>
        <v>#REF!</v>
      </c>
      <c r="J796" s="385" t="e">
        <f t="shared" si="12"/>
        <v>#REF!</v>
      </c>
    </row>
    <row r="797" spans="1:10" x14ac:dyDescent="0.2">
      <c r="A797" s="231"/>
      <c r="B797" s="315" t="s">
        <v>1269</v>
      </c>
      <c r="C797" s="226" t="s">
        <v>0</v>
      </c>
      <c r="D797" s="227" t="s">
        <v>889</v>
      </c>
      <c r="E797" s="226" t="s">
        <v>600</v>
      </c>
      <c r="F797" s="226" t="s">
        <v>947</v>
      </c>
      <c r="G797" s="226" t="s">
        <v>44</v>
      </c>
      <c r="H797" s="229">
        <v>41.819799999999994</v>
      </c>
      <c r="I797" s="226" t="e">
        <f>#REF!</f>
        <v>#REF!</v>
      </c>
      <c r="J797" s="387" t="e">
        <f t="shared" si="12"/>
        <v>#REF!</v>
      </c>
    </row>
    <row r="798" spans="1:10" x14ac:dyDescent="0.2">
      <c r="A798" s="231"/>
      <c r="B798" s="316" t="s">
        <v>1250</v>
      </c>
      <c r="C798" s="224" t="s">
        <v>0</v>
      </c>
      <c r="D798" s="228" t="s">
        <v>890</v>
      </c>
      <c r="E798" s="224" t="s">
        <v>600</v>
      </c>
      <c r="F798" s="224" t="s">
        <v>947</v>
      </c>
      <c r="G798" s="224" t="s">
        <v>44</v>
      </c>
      <c r="H798" s="230">
        <v>35.588379999999994</v>
      </c>
      <c r="I798" s="224" t="e">
        <f>#REF!</f>
        <v>#REF!</v>
      </c>
      <c r="J798" s="385" t="e">
        <f t="shared" si="12"/>
        <v>#REF!</v>
      </c>
    </row>
    <row r="799" spans="1:10" x14ac:dyDescent="0.2">
      <c r="A799" s="231"/>
      <c r="B799" s="315" t="s">
        <v>1251</v>
      </c>
      <c r="C799" s="226" t="s">
        <v>0</v>
      </c>
      <c r="D799" s="227" t="s">
        <v>891</v>
      </c>
      <c r="E799" s="226" t="s">
        <v>600</v>
      </c>
      <c r="F799" s="226" t="s">
        <v>947</v>
      </c>
      <c r="G799" s="226" t="s">
        <v>44</v>
      </c>
      <c r="H799" s="229">
        <v>36.440759999999997</v>
      </c>
      <c r="I799" s="226" t="e">
        <f>#REF!</f>
        <v>#REF!</v>
      </c>
      <c r="J799" s="387" t="e">
        <f t="shared" si="12"/>
        <v>#REF!</v>
      </c>
    </row>
    <row r="800" spans="1:10" x14ac:dyDescent="0.2">
      <c r="A800" s="231"/>
      <c r="B800" s="316" t="s">
        <v>1252</v>
      </c>
      <c r="C800" s="224" t="s">
        <v>0</v>
      </c>
      <c r="D800" s="228" t="s">
        <v>558</v>
      </c>
      <c r="E800" s="224" t="s">
        <v>600</v>
      </c>
      <c r="F800" s="224" t="s">
        <v>947</v>
      </c>
      <c r="G800" s="224" t="s">
        <v>44</v>
      </c>
      <c r="H800" s="230">
        <v>37.293139999999994</v>
      </c>
      <c r="I800" s="224" t="e">
        <f>#REF!</f>
        <v>#REF!</v>
      </c>
      <c r="J800" s="385" t="e">
        <f t="shared" si="12"/>
        <v>#REF!</v>
      </c>
    </row>
    <row r="801" spans="1:26" x14ac:dyDescent="0.2">
      <c r="A801" s="231"/>
      <c r="B801" s="315" t="s">
        <v>1253</v>
      </c>
      <c r="C801" s="226" t="s">
        <v>0</v>
      </c>
      <c r="D801" s="227" t="s">
        <v>892</v>
      </c>
      <c r="E801" s="226" t="s">
        <v>600</v>
      </c>
      <c r="F801" s="226" t="s">
        <v>947</v>
      </c>
      <c r="G801" s="226" t="s">
        <v>44</v>
      </c>
      <c r="H801" s="229">
        <v>38.145519999999998</v>
      </c>
      <c r="I801" s="226" t="e">
        <f>#REF!</f>
        <v>#REF!</v>
      </c>
      <c r="J801" s="387" t="e">
        <f t="shared" si="12"/>
        <v>#REF!</v>
      </c>
    </row>
    <row r="802" spans="1:26" x14ac:dyDescent="0.2">
      <c r="A802" s="231"/>
      <c r="B802" s="316" t="s">
        <v>1254</v>
      </c>
      <c r="C802" s="224" t="s">
        <v>0</v>
      </c>
      <c r="D802" s="228" t="s">
        <v>893</v>
      </c>
      <c r="E802" s="224" t="s">
        <v>600</v>
      </c>
      <c r="F802" s="224" t="s">
        <v>947</v>
      </c>
      <c r="G802" s="224" t="s">
        <v>44</v>
      </c>
      <c r="H802" s="230">
        <v>38.997899999999994</v>
      </c>
      <c r="I802" s="224" t="e">
        <f>#REF!</f>
        <v>#REF!</v>
      </c>
      <c r="J802" s="385" t="e">
        <f t="shared" si="12"/>
        <v>#REF!</v>
      </c>
    </row>
    <row r="803" spans="1:26" x14ac:dyDescent="0.2">
      <c r="A803" s="231"/>
      <c r="B803" s="315" t="s">
        <v>1255</v>
      </c>
      <c r="C803" s="226" t="s">
        <v>0</v>
      </c>
      <c r="D803" s="227" t="s">
        <v>894</v>
      </c>
      <c r="E803" s="226" t="s">
        <v>600</v>
      </c>
      <c r="F803" s="226" t="s">
        <v>947</v>
      </c>
      <c r="G803" s="226" t="s">
        <v>44</v>
      </c>
      <c r="H803" s="229">
        <v>39.850279999999998</v>
      </c>
      <c r="I803" s="226" t="e">
        <f>#REF!</f>
        <v>#REF!</v>
      </c>
      <c r="J803" s="387" t="e">
        <f t="shared" si="12"/>
        <v>#REF!</v>
      </c>
    </row>
    <row r="804" spans="1:26" x14ac:dyDescent="0.2">
      <c r="A804" s="231"/>
      <c r="B804" s="316" t="s">
        <v>1256</v>
      </c>
      <c r="C804" s="224" t="s">
        <v>0</v>
      </c>
      <c r="D804" s="228" t="s">
        <v>895</v>
      </c>
      <c r="E804" s="224" t="s">
        <v>600</v>
      </c>
      <c r="F804" s="224" t="s">
        <v>947</v>
      </c>
      <c r="G804" s="224" t="s">
        <v>44</v>
      </c>
      <c r="H804" s="230">
        <v>40.702659999999995</v>
      </c>
      <c r="I804" s="224" t="e">
        <f>#REF!</f>
        <v>#REF!</v>
      </c>
      <c r="J804" s="385" t="e">
        <f t="shared" si="12"/>
        <v>#REF!</v>
      </c>
    </row>
    <row r="805" spans="1:26" x14ac:dyDescent="0.2">
      <c r="A805" s="231"/>
      <c r="B805" s="315" t="s">
        <v>1257</v>
      </c>
      <c r="C805" s="226" t="s">
        <v>0</v>
      </c>
      <c r="D805" s="227" t="s">
        <v>896</v>
      </c>
      <c r="E805" s="226" t="s">
        <v>600</v>
      </c>
      <c r="F805" s="226" t="s">
        <v>947</v>
      </c>
      <c r="G805" s="226" t="s">
        <v>44</v>
      </c>
      <c r="H805" s="229">
        <v>41.555039999999998</v>
      </c>
      <c r="I805" s="226" t="e">
        <f>#REF!</f>
        <v>#REF!</v>
      </c>
      <c r="J805" s="387" t="e">
        <f t="shared" si="12"/>
        <v>#REF!</v>
      </c>
    </row>
    <row r="806" spans="1:26" x14ac:dyDescent="0.2">
      <c r="A806" s="231"/>
      <c r="B806" s="316" t="s">
        <v>1258</v>
      </c>
      <c r="C806" s="224" t="s">
        <v>0</v>
      </c>
      <c r="D806" s="228" t="s">
        <v>897</v>
      </c>
      <c r="E806" s="224" t="s">
        <v>600</v>
      </c>
      <c r="F806" s="224" t="s">
        <v>947</v>
      </c>
      <c r="G806" s="224" t="s">
        <v>44</v>
      </c>
      <c r="H806" s="230">
        <v>42.407419999999995</v>
      </c>
      <c r="I806" s="224" t="e">
        <f>#REF!</f>
        <v>#REF!</v>
      </c>
      <c r="J806" s="385" t="e">
        <f t="shared" si="12"/>
        <v>#REF!</v>
      </c>
    </row>
    <row r="807" spans="1:26" x14ac:dyDescent="0.2">
      <c r="A807" s="231"/>
      <c r="B807" s="315" t="s">
        <v>1259</v>
      </c>
      <c r="C807" s="226" t="s">
        <v>0</v>
      </c>
      <c r="D807" s="227" t="s">
        <v>898</v>
      </c>
      <c r="E807" s="226" t="s">
        <v>600</v>
      </c>
      <c r="F807" s="226" t="s">
        <v>947</v>
      </c>
      <c r="G807" s="226" t="s">
        <v>44</v>
      </c>
      <c r="H807" s="229">
        <v>43.259799999999998</v>
      </c>
      <c r="I807" s="226" t="e">
        <f>#REF!</f>
        <v>#REF!</v>
      </c>
      <c r="J807" s="387" t="e">
        <f t="shared" si="12"/>
        <v>#REF!</v>
      </c>
    </row>
    <row r="808" spans="1:26" x14ac:dyDescent="0.2">
      <c r="A808" s="231" t="s">
        <v>2118</v>
      </c>
      <c r="B808" s="316" t="s">
        <v>1120</v>
      </c>
      <c r="C808" s="224" t="s">
        <v>0</v>
      </c>
      <c r="D808" s="228" t="s">
        <v>556</v>
      </c>
      <c r="E808" s="224" t="s">
        <v>600</v>
      </c>
      <c r="F808" s="224" t="s">
        <v>955</v>
      </c>
      <c r="G808" s="224" t="s">
        <v>44</v>
      </c>
      <c r="H808" s="230">
        <v>8.74</v>
      </c>
      <c r="I808" s="224" t="e">
        <f>#REF!</f>
        <v>#REF!</v>
      </c>
      <c r="J808" s="385" t="e">
        <f t="shared" si="12"/>
        <v>#REF!</v>
      </c>
    </row>
    <row r="809" spans="1:26" x14ac:dyDescent="0.2">
      <c r="A809" s="231"/>
      <c r="B809" s="315" t="s">
        <v>1386</v>
      </c>
      <c r="C809" s="226" t="s">
        <v>0</v>
      </c>
      <c r="D809" s="227" t="s">
        <v>791</v>
      </c>
      <c r="E809" s="226" t="s">
        <v>600</v>
      </c>
      <c r="F809" s="226" t="s">
        <v>955</v>
      </c>
      <c r="G809" s="226" t="s">
        <v>44</v>
      </c>
      <c r="H809" s="229">
        <v>104.88000000000002</v>
      </c>
      <c r="I809" s="226" t="e">
        <f>#REF!</f>
        <v>#REF!</v>
      </c>
      <c r="J809" s="387" t="e">
        <f t="shared" si="12"/>
        <v>#REF!</v>
      </c>
    </row>
    <row r="810" spans="1:26" x14ac:dyDescent="0.2">
      <c r="A810" s="231"/>
      <c r="B810" s="316" t="s">
        <v>1230</v>
      </c>
      <c r="C810" s="224" t="s">
        <v>0</v>
      </c>
      <c r="D810" s="228" t="s">
        <v>910</v>
      </c>
      <c r="E810" s="224" t="s">
        <v>600</v>
      </c>
      <c r="F810" s="224" t="s">
        <v>947</v>
      </c>
      <c r="G810" s="224" t="s">
        <v>43</v>
      </c>
      <c r="H810" s="230">
        <v>19.712999999999997</v>
      </c>
      <c r="I810" s="224" t="e">
        <f>#REF!</f>
        <v>#REF!</v>
      </c>
      <c r="J810" s="385" t="e">
        <f t="shared" si="12"/>
        <v>#REF!</v>
      </c>
      <c r="O810" s="361"/>
      <c r="P810" s="361"/>
      <c r="Q810" s="361"/>
      <c r="R810" s="361"/>
      <c r="S810" s="361"/>
      <c r="T810" s="361"/>
      <c r="U810" s="361"/>
      <c r="V810" s="361"/>
      <c r="W810" s="361"/>
      <c r="X810" s="361"/>
      <c r="Y810" s="361"/>
      <c r="Z810" s="361"/>
    </row>
    <row r="811" spans="1:26" x14ac:dyDescent="0.2">
      <c r="A811" s="231"/>
      <c r="B811" s="315" t="s">
        <v>1231</v>
      </c>
      <c r="C811" s="226" t="s">
        <v>0</v>
      </c>
      <c r="D811" s="227" t="s">
        <v>911</v>
      </c>
      <c r="E811" s="226" t="s">
        <v>600</v>
      </c>
      <c r="F811" s="226" t="s">
        <v>947</v>
      </c>
      <c r="G811" s="226" t="s">
        <v>43</v>
      </c>
      <c r="H811" s="229">
        <v>21.529999999999998</v>
      </c>
      <c r="I811" s="226" t="e">
        <f>#REF!</f>
        <v>#REF!</v>
      </c>
      <c r="J811" s="387" t="e">
        <f t="shared" si="12"/>
        <v>#REF!</v>
      </c>
      <c r="O811" s="361"/>
      <c r="P811" s="361"/>
      <c r="Q811" s="361"/>
      <c r="R811" s="361"/>
      <c r="S811" s="361"/>
      <c r="T811" s="361"/>
      <c r="U811" s="361"/>
      <c r="V811" s="361"/>
      <c r="W811" s="361"/>
      <c r="X811" s="361"/>
      <c r="Y811" s="361"/>
      <c r="Z811" s="361"/>
    </row>
    <row r="812" spans="1:26" x14ac:dyDescent="0.2">
      <c r="A812" s="231"/>
      <c r="B812" s="316" t="s">
        <v>1232</v>
      </c>
      <c r="C812" s="224" t="s">
        <v>0</v>
      </c>
      <c r="D812" s="228" t="s">
        <v>912</v>
      </c>
      <c r="E812" s="224" t="s">
        <v>600</v>
      </c>
      <c r="F812" s="224" t="s">
        <v>947</v>
      </c>
      <c r="G812" s="224" t="s">
        <v>43</v>
      </c>
      <c r="H812" s="230">
        <v>23.346999999999998</v>
      </c>
      <c r="I812" s="224" t="e">
        <f>#REF!</f>
        <v>#REF!</v>
      </c>
      <c r="J812" s="385" t="e">
        <f t="shared" si="12"/>
        <v>#REF!</v>
      </c>
      <c r="O812" s="361"/>
      <c r="P812" s="361"/>
      <c r="Q812" s="361"/>
      <c r="R812" s="361"/>
      <c r="S812" s="361"/>
      <c r="T812" s="361"/>
      <c r="U812" s="361"/>
      <c r="V812" s="361"/>
      <c r="W812" s="361"/>
      <c r="X812" s="361"/>
      <c r="Y812" s="361"/>
      <c r="Z812" s="361"/>
    </row>
    <row r="813" spans="1:26" x14ac:dyDescent="0.2">
      <c r="A813" s="231"/>
      <c r="B813" s="315" t="s">
        <v>1233</v>
      </c>
      <c r="C813" s="226" t="s">
        <v>0</v>
      </c>
      <c r="D813" s="227" t="s">
        <v>913</v>
      </c>
      <c r="E813" s="226" t="s">
        <v>600</v>
      </c>
      <c r="F813" s="226" t="s">
        <v>947</v>
      </c>
      <c r="G813" s="226" t="s">
        <v>43</v>
      </c>
      <c r="H813" s="229">
        <v>25.163999999999994</v>
      </c>
      <c r="I813" s="226" t="e">
        <f>#REF!</f>
        <v>#REF!</v>
      </c>
      <c r="J813" s="387" t="e">
        <f t="shared" si="12"/>
        <v>#REF!</v>
      </c>
      <c r="O813" s="361"/>
      <c r="P813" s="361"/>
      <c r="Q813" s="361"/>
      <c r="R813" s="361"/>
      <c r="S813" s="361"/>
      <c r="T813" s="361"/>
      <c r="U813" s="361"/>
      <c r="V813" s="361"/>
      <c r="W813" s="361"/>
      <c r="X813" s="361"/>
      <c r="Y813" s="361"/>
      <c r="Z813" s="361"/>
    </row>
    <row r="814" spans="1:26" x14ac:dyDescent="0.2">
      <c r="A814" s="231"/>
      <c r="B814" s="316" t="s">
        <v>1234</v>
      </c>
      <c r="C814" s="224" t="s">
        <v>0</v>
      </c>
      <c r="D814" s="228" t="s">
        <v>914</v>
      </c>
      <c r="E814" s="224" t="s">
        <v>600</v>
      </c>
      <c r="F814" s="224" t="s">
        <v>947</v>
      </c>
      <c r="G814" s="224" t="s">
        <v>43</v>
      </c>
      <c r="H814" s="230">
        <v>28.119999999999994</v>
      </c>
      <c r="I814" s="224" t="e">
        <f>#REF!</f>
        <v>#REF!</v>
      </c>
      <c r="J814" s="385" t="e">
        <f t="shared" si="12"/>
        <v>#REF!</v>
      </c>
      <c r="O814" s="361"/>
      <c r="P814" s="361"/>
      <c r="Q814" s="361"/>
      <c r="R814" s="361"/>
      <c r="S814" s="361"/>
      <c r="T814" s="361"/>
      <c r="U814" s="361"/>
      <c r="V814" s="361"/>
      <c r="W814" s="361"/>
      <c r="X814" s="361"/>
      <c r="Y814" s="361"/>
      <c r="Z814" s="361"/>
    </row>
    <row r="815" spans="1:26" x14ac:dyDescent="0.2">
      <c r="A815" s="231"/>
      <c r="B815" s="315" t="s">
        <v>1235</v>
      </c>
      <c r="C815" s="226" t="s">
        <v>0</v>
      </c>
      <c r="D815" s="227" t="s">
        <v>915</v>
      </c>
      <c r="E815" s="226" t="s">
        <v>600</v>
      </c>
      <c r="F815" s="226" t="s">
        <v>947</v>
      </c>
      <c r="G815" s="226" t="s">
        <v>43</v>
      </c>
      <c r="H815" s="229">
        <v>31.279999999999998</v>
      </c>
      <c r="I815" s="226" t="e">
        <f>#REF!</f>
        <v>#REF!</v>
      </c>
      <c r="J815" s="387" t="e">
        <f t="shared" si="12"/>
        <v>#REF!</v>
      </c>
      <c r="O815" s="361"/>
      <c r="P815" s="361"/>
      <c r="Q815" s="361"/>
      <c r="R815" s="361"/>
      <c r="S815" s="361"/>
      <c r="T815" s="361"/>
      <c r="U815" s="361"/>
      <c r="V815" s="361"/>
      <c r="W815" s="361"/>
      <c r="X815" s="361"/>
      <c r="Y815" s="361"/>
      <c r="Z815" s="361"/>
    </row>
    <row r="816" spans="1:26" x14ac:dyDescent="0.2">
      <c r="A816" s="231"/>
      <c r="B816" s="316" t="s">
        <v>1236</v>
      </c>
      <c r="C816" s="224" t="s">
        <v>0</v>
      </c>
      <c r="D816" s="228" t="s">
        <v>916</v>
      </c>
      <c r="E816" s="224" t="s">
        <v>600</v>
      </c>
      <c r="F816" s="224" t="s">
        <v>947</v>
      </c>
      <c r="G816" s="224" t="s">
        <v>43</v>
      </c>
      <c r="H816" s="230">
        <v>34.439999999999991</v>
      </c>
      <c r="I816" s="224" t="e">
        <f>#REF!</f>
        <v>#REF!</v>
      </c>
      <c r="J816" s="385" t="e">
        <f t="shared" si="12"/>
        <v>#REF!</v>
      </c>
      <c r="O816" s="361"/>
      <c r="P816" s="361"/>
      <c r="Q816" s="361"/>
      <c r="R816" s="361"/>
      <c r="S816" s="361"/>
      <c r="T816" s="361"/>
      <c r="U816" s="361"/>
      <c r="V816" s="361"/>
      <c r="W816" s="361"/>
      <c r="X816" s="361"/>
      <c r="Y816" s="361"/>
      <c r="Z816" s="361"/>
    </row>
    <row r="817" spans="1:26" x14ac:dyDescent="0.2">
      <c r="A817" s="231"/>
      <c r="B817" s="315" t="s">
        <v>1237</v>
      </c>
      <c r="C817" s="226" t="s">
        <v>0</v>
      </c>
      <c r="D817" s="227" t="s">
        <v>917</v>
      </c>
      <c r="E817" s="226" t="s">
        <v>600</v>
      </c>
      <c r="F817" s="226" t="s">
        <v>947</v>
      </c>
      <c r="G817" s="226" t="s">
        <v>43</v>
      </c>
      <c r="H817" s="229">
        <v>37.599999999999987</v>
      </c>
      <c r="I817" s="226" t="e">
        <f>#REF!</f>
        <v>#REF!</v>
      </c>
      <c r="J817" s="387" t="e">
        <f t="shared" si="12"/>
        <v>#REF!</v>
      </c>
      <c r="O817" s="361"/>
      <c r="P817" s="361"/>
      <c r="Q817" s="361"/>
      <c r="R817" s="361"/>
      <c r="S817" s="361"/>
      <c r="T817" s="361"/>
      <c r="U817" s="361"/>
      <c r="V817" s="361"/>
      <c r="W817" s="361"/>
      <c r="X817" s="361"/>
      <c r="Y817" s="361"/>
      <c r="Z817" s="361"/>
    </row>
    <row r="818" spans="1:26" x14ac:dyDescent="0.2">
      <c r="A818" s="231"/>
      <c r="B818" s="316" t="s">
        <v>1238</v>
      </c>
      <c r="C818" s="224" t="s">
        <v>0</v>
      </c>
      <c r="D818" s="228" t="s">
        <v>918</v>
      </c>
      <c r="E818" s="224" t="s">
        <v>600</v>
      </c>
      <c r="F818" s="224" t="s">
        <v>947</v>
      </c>
      <c r="G818" s="224" t="s">
        <v>43</v>
      </c>
      <c r="H818" s="230">
        <v>40.759999999999984</v>
      </c>
      <c r="I818" s="224" t="e">
        <f>#REF!</f>
        <v>#REF!</v>
      </c>
      <c r="J818" s="385" t="e">
        <f t="shared" si="12"/>
        <v>#REF!</v>
      </c>
      <c r="O818" s="361"/>
      <c r="P818" s="361"/>
      <c r="Q818" s="361"/>
      <c r="R818" s="361"/>
      <c r="S818" s="361"/>
      <c r="T818" s="361"/>
      <c r="U818" s="361"/>
      <c r="V818" s="361"/>
      <c r="W818" s="361"/>
      <c r="X818" s="361"/>
      <c r="Y818" s="361"/>
      <c r="Z818" s="361"/>
    </row>
    <row r="819" spans="1:26" x14ac:dyDescent="0.2">
      <c r="A819" s="231"/>
      <c r="B819" s="315" t="s">
        <v>1239</v>
      </c>
      <c r="C819" s="226" t="s">
        <v>0</v>
      </c>
      <c r="D819" s="227" t="s">
        <v>919</v>
      </c>
      <c r="E819" s="226" t="s">
        <v>600</v>
      </c>
      <c r="F819" s="226" t="s">
        <v>947</v>
      </c>
      <c r="G819" s="226" t="s">
        <v>43</v>
      </c>
      <c r="H819" s="229">
        <v>43.91999999999998</v>
      </c>
      <c r="I819" s="226" t="e">
        <f>#REF!</f>
        <v>#REF!</v>
      </c>
      <c r="J819" s="387" t="e">
        <f t="shared" si="12"/>
        <v>#REF!</v>
      </c>
      <c r="O819" s="361"/>
      <c r="P819" s="361"/>
      <c r="Q819" s="361"/>
      <c r="R819" s="361"/>
      <c r="S819" s="361"/>
      <c r="T819" s="361"/>
      <c r="U819" s="361"/>
      <c r="V819" s="361"/>
      <c r="W819" s="361"/>
      <c r="X819" s="361"/>
      <c r="Y819" s="361"/>
      <c r="Z819" s="361"/>
    </row>
    <row r="820" spans="1:26" x14ac:dyDescent="0.2">
      <c r="A820" s="231"/>
      <c r="B820" s="316" t="s">
        <v>1220</v>
      </c>
      <c r="C820" s="224" t="s">
        <v>0</v>
      </c>
      <c r="D820" s="228" t="s">
        <v>900</v>
      </c>
      <c r="E820" s="224" t="s">
        <v>600</v>
      </c>
      <c r="F820" s="224" t="s">
        <v>947</v>
      </c>
      <c r="G820" s="224" t="s">
        <v>43</v>
      </c>
      <c r="H820" s="230">
        <v>24.072999999999997</v>
      </c>
      <c r="I820" s="224" t="e">
        <f>#REF!</f>
        <v>#REF!</v>
      </c>
      <c r="J820" s="385" t="e">
        <f t="shared" si="12"/>
        <v>#REF!</v>
      </c>
      <c r="O820" s="361"/>
      <c r="P820" s="361"/>
      <c r="Q820" s="361"/>
      <c r="R820" s="361"/>
      <c r="S820" s="361"/>
      <c r="T820" s="361"/>
      <c r="U820" s="361"/>
      <c r="V820" s="361"/>
      <c r="W820" s="361"/>
      <c r="X820" s="361"/>
      <c r="Y820" s="361"/>
      <c r="Z820" s="361"/>
    </row>
    <row r="821" spans="1:26" x14ac:dyDescent="0.2">
      <c r="A821" s="231"/>
      <c r="B821" s="315" t="s">
        <v>1221</v>
      </c>
      <c r="C821" s="226" t="s">
        <v>0</v>
      </c>
      <c r="D821" s="227" t="s">
        <v>901</v>
      </c>
      <c r="E821" s="226" t="s">
        <v>600</v>
      </c>
      <c r="F821" s="226" t="s">
        <v>947</v>
      </c>
      <c r="G821" s="226" t="s">
        <v>43</v>
      </c>
      <c r="H821" s="229">
        <v>25.889999999999993</v>
      </c>
      <c r="I821" s="226" t="e">
        <f>#REF!</f>
        <v>#REF!</v>
      </c>
      <c r="J821" s="387" t="e">
        <f t="shared" si="12"/>
        <v>#REF!</v>
      </c>
      <c r="O821" s="361"/>
      <c r="P821" s="361"/>
      <c r="Q821" s="361"/>
      <c r="R821" s="361"/>
      <c r="S821" s="361"/>
      <c r="T821" s="361"/>
      <c r="U821" s="361"/>
      <c r="V821" s="361"/>
      <c r="W821" s="361"/>
      <c r="X821" s="361"/>
      <c r="Y821" s="361"/>
      <c r="Z821" s="361"/>
    </row>
    <row r="822" spans="1:26" x14ac:dyDescent="0.2">
      <c r="A822" s="231"/>
      <c r="B822" s="316" t="s">
        <v>1222</v>
      </c>
      <c r="C822" s="224" t="s">
        <v>0</v>
      </c>
      <c r="D822" s="228" t="s">
        <v>902</v>
      </c>
      <c r="E822" s="224" t="s">
        <v>600</v>
      </c>
      <c r="F822" s="224" t="s">
        <v>947</v>
      </c>
      <c r="G822" s="224" t="s">
        <v>43</v>
      </c>
      <c r="H822" s="230">
        <v>27.706999999999994</v>
      </c>
      <c r="I822" s="224" t="e">
        <f>#REF!</f>
        <v>#REF!</v>
      </c>
      <c r="J822" s="385" t="e">
        <f t="shared" si="12"/>
        <v>#REF!</v>
      </c>
      <c r="O822" s="361"/>
      <c r="P822" s="361"/>
      <c r="Q822" s="361"/>
      <c r="R822" s="361"/>
      <c r="S822" s="361"/>
      <c r="T822" s="361"/>
      <c r="U822" s="361"/>
      <c r="V822" s="361"/>
      <c r="W822" s="361"/>
      <c r="X822" s="361"/>
      <c r="Y822" s="361"/>
      <c r="Z822" s="361"/>
    </row>
    <row r="823" spans="1:26" x14ac:dyDescent="0.2">
      <c r="A823" s="231"/>
      <c r="B823" s="315" t="s">
        <v>1223</v>
      </c>
      <c r="C823" s="226" t="s">
        <v>0</v>
      </c>
      <c r="D823" s="227" t="s">
        <v>903</v>
      </c>
      <c r="E823" s="226" t="s">
        <v>600</v>
      </c>
      <c r="F823" s="226" t="s">
        <v>947</v>
      </c>
      <c r="G823" s="226" t="s">
        <v>43</v>
      </c>
      <c r="H823" s="229">
        <v>29.523999999999997</v>
      </c>
      <c r="I823" s="226" t="e">
        <f>#REF!</f>
        <v>#REF!</v>
      </c>
      <c r="J823" s="387" t="e">
        <f t="shared" si="12"/>
        <v>#REF!</v>
      </c>
      <c r="O823" s="361"/>
      <c r="P823" s="361"/>
      <c r="Q823" s="361"/>
      <c r="R823" s="361"/>
      <c r="S823" s="361"/>
      <c r="T823" s="361"/>
      <c r="U823" s="361"/>
      <c r="V823" s="361"/>
      <c r="W823" s="361"/>
      <c r="X823" s="361"/>
      <c r="Y823" s="361"/>
      <c r="Z823" s="361"/>
    </row>
    <row r="824" spans="1:26" x14ac:dyDescent="0.2">
      <c r="A824" s="231"/>
      <c r="B824" s="316" t="s">
        <v>1224</v>
      </c>
      <c r="C824" s="224" t="s">
        <v>0</v>
      </c>
      <c r="D824" s="228" t="s">
        <v>904</v>
      </c>
      <c r="E824" s="224" t="s">
        <v>600</v>
      </c>
      <c r="F824" s="224" t="s">
        <v>947</v>
      </c>
      <c r="G824" s="224" t="s">
        <v>43</v>
      </c>
      <c r="H824" s="230">
        <v>31.340999999999998</v>
      </c>
      <c r="I824" s="224" t="e">
        <f>#REF!</f>
        <v>#REF!</v>
      </c>
      <c r="J824" s="385" t="e">
        <f t="shared" si="12"/>
        <v>#REF!</v>
      </c>
      <c r="O824" s="361"/>
      <c r="P824" s="361"/>
      <c r="Q824" s="361"/>
      <c r="R824" s="361"/>
      <c r="S824" s="361"/>
      <c r="T824" s="361"/>
      <c r="U824" s="361"/>
      <c r="V824" s="361"/>
      <c r="W824" s="361"/>
      <c r="X824" s="361"/>
      <c r="Y824" s="361"/>
      <c r="Z824" s="361"/>
    </row>
    <row r="825" spans="1:26" x14ac:dyDescent="0.2">
      <c r="A825" s="231"/>
      <c r="B825" s="315" t="s">
        <v>1225</v>
      </c>
      <c r="C825" s="226" t="s">
        <v>0</v>
      </c>
      <c r="D825" s="227" t="s">
        <v>905</v>
      </c>
      <c r="E825" s="226" t="s">
        <v>600</v>
      </c>
      <c r="F825" s="226" t="s">
        <v>947</v>
      </c>
      <c r="G825" s="226" t="s">
        <v>43</v>
      </c>
      <c r="H825" s="229">
        <v>33.157999999999994</v>
      </c>
      <c r="I825" s="226" t="e">
        <f>#REF!</f>
        <v>#REF!</v>
      </c>
      <c r="J825" s="387" t="e">
        <f t="shared" si="12"/>
        <v>#REF!</v>
      </c>
      <c r="O825" s="361"/>
      <c r="P825" s="361"/>
      <c r="Q825" s="361"/>
      <c r="R825" s="361"/>
      <c r="S825" s="361"/>
      <c r="T825" s="361"/>
      <c r="U825" s="361"/>
      <c r="V825" s="361"/>
      <c r="W825" s="361"/>
      <c r="X825" s="361"/>
      <c r="Y825" s="361"/>
      <c r="Z825" s="361"/>
    </row>
    <row r="826" spans="1:26" x14ac:dyDescent="0.2">
      <c r="A826" s="231"/>
      <c r="B826" s="322" t="s">
        <v>1226</v>
      </c>
      <c r="C826" s="224" t="s">
        <v>0</v>
      </c>
      <c r="D826" s="228" t="s">
        <v>906</v>
      </c>
      <c r="E826" s="224" t="s">
        <v>600</v>
      </c>
      <c r="F826" s="224" t="s">
        <v>947</v>
      </c>
      <c r="G826" s="224" t="s">
        <v>43</v>
      </c>
      <c r="H826" s="230">
        <v>34.974999999999994</v>
      </c>
      <c r="I826" s="224" t="e">
        <f>#REF!</f>
        <v>#REF!</v>
      </c>
      <c r="J826" s="385" t="e">
        <f t="shared" si="12"/>
        <v>#REF!</v>
      </c>
      <c r="O826" s="361"/>
      <c r="P826" s="361"/>
      <c r="Q826" s="361"/>
      <c r="R826" s="361"/>
      <c r="S826" s="361"/>
      <c r="T826" s="361"/>
      <c r="U826" s="361"/>
      <c r="V826" s="361"/>
      <c r="W826" s="361"/>
      <c r="X826" s="361"/>
      <c r="Y826" s="361"/>
      <c r="Z826" s="361"/>
    </row>
    <row r="827" spans="1:26" x14ac:dyDescent="0.2">
      <c r="A827" s="231"/>
      <c r="B827" s="315" t="s">
        <v>1227</v>
      </c>
      <c r="C827" s="226" t="s">
        <v>0</v>
      </c>
      <c r="D827" s="227" t="s">
        <v>907</v>
      </c>
      <c r="E827" s="226" t="s">
        <v>600</v>
      </c>
      <c r="F827" s="226" t="s">
        <v>947</v>
      </c>
      <c r="G827" s="226" t="s">
        <v>43</v>
      </c>
      <c r="H827" s="229">
        <v>37.559999999999995</v>
      </c>
      <c r="I827" s="226" t="e">
        <f>#REF!</f>
        <v>#REF!</v>
      </c>
      <c r="J827" s="387" t="e">
        <f t="shared" si="12"/>
        <v>#REF!</v>
      </c>
      <c r="O827" s="361"/>
      <c r="P827" s="361"/>
      <c r="Q827" s="361"/>
      <c r="R827" s="361"/>
      <c r="S827" s="361"/>
      <c r="T827" s="361"/>
      <c r="U827" s="361"/>
      <c r="V827" s="361"/>
      <c r="W827" s="361"/>
      <c r="X827" s="361"/>
      <c r="Y827" s="361"/>
      <c r="Z827" s="361"/>
    </row>
    <row r="828" spans="1:26" x14ac:dyDescent="0.2">
      <c r="A828" s="231"/>
      <c r="B828" s="316" t="s">
        <v>1228</v>
      </c>
      <c r="C828" s="224" t="s">
        <v>0</v>
      </c>
      <c r="D828" s="228" t="s">
        <v>908</v>
      </c>
      <c r="E828" s="224" t="s">
        <v>600</v>
      </c>
      <c r="F828" s="224" t="s">
        <v>947</v>
      </c>
      <c r="G828" s="224" t="s">
        <v>43</v>
      </c>
      <c r="H828" s="230">
        <v>40.719999999999992</v>
      </c>
      <c r="I828" s="224" t="e">
        <f>#REF!</f>
        <v>#REF!</v>
      </c>
      <c r="J828" s="385" t="e">
        <f t="shared" si="12"/>
        <v>#REF!</v>
      </c>
      <c r="O828" s="361"/>
      <c r="P828" s="361"/>
      <c r="Q828" s="361"/>
      <c r="R828" s="361"/>
      <c r="S828" s="361"/>
      <c r="T828" s="361"/>
      <c r="U828" s="361"/>
      <c r="V828" s="361"/>
      <c r="W828" s="361"/>
      <c r="X828" s="361"/>
      <c r="Y828" s="361"/>
      <c r="Z828" s="361"/>
    </row>
    <row r="829" spans="1:26" x14ac:dyDescent="0.2">
      <c r="A829" s="231"/>
      <c r="B829" s="315" t="s">
        <v>1229</v>
      </c>
      <c r="C829" s="226" t="s">
        <v>0</v>
      </c>
      <c r="D829" s="227" t="s">
        <v>909</v>
      </c>
      <c r="E829" s="226" t="s">
        <v>600</v>
      </c>
      <c r="F829" s="226" t="s">
        <v>947</v>
      </c>
      <c r="G829" s="226" t="s">
        <v>43</v>
      </c>
      <c r="H829" s="229">
        <v>43.879999999999988</v>
      </c>
      <c r="I829" s="226" t="e">
        <f>#REF!</f>
        <v>#REF!</v>
      </c>
      <c r="J829" s="387" t="e">
        <f t="shared" si="12"/>
        <v>#REF!</v>
      </c>
      <c r="O829" s="361"/>
      <c r="P829" s="361"/>
      <c r="Q829" s="361"/>
      <c r="R829" s="361"/>
      <c r="S829" s="361"/>
      <c r="T829" s="361"/>
      <c r="U829" s="361"/>
      <c r="V829" s="361"/>
      <c r="W829" s="361"/>
      <c r="X829" s="361"/>
      <c r="Y829" s="361"/>
      <c r="Z829" s="361"/>
    </row>
    <row r="830" spans="1:26" x14ac:dyDescent="0.2">
      <c r="A830" s="231" t="s">
        <v>2118</v>
      </c>
      <c r="B830" s="316" t="s">
        <v>1240</v>
      </c>
      <c r="C830" s="224" t="s">
        <v>0</v>
      </c>
      <c r="D830" s="228" t="s">
        <v>920</v>
      </c>
      <c r="E830" s="224" t="s">
        <v>600</v>
      </c>
      <c r="F830" s="224" t="s">
        <v>947</v>
      </c>
      <c r="G830" s="224" t="s">
        <v>43</v>
      </c>
      <c r="H830" s="230">
        <v>27.592999999999993</v>
      </c>
      <c r="I830" s="224" t="e">
        <f>#REF!</f>
        <v>#REF!</v>
      </c>
      <c r="J830" s="385" t="e">
        <f t="shared" si="12"/>
        <v>#REF!</v>
      </c>
      <c r="O830" s="361"/>
      <c r="P830" s="361"/>
      <c r="Q830" s="361"/>
      <c r="R830" s="361"/>
      <c r="S830" s="361"/>
      <c r="T830" s="361"/>
      <c r="U830" s="361"/>
      <c r="V830" s="361"/>
      <c r="W830" s="361"/>
      <c r="X830" s="361"/>
      <c r="Y830" s="361"/>
      <c r="Z830" s="361"/>
    </row>
    <row r="831" spans="1:26" x14ac:dyDescent="0.2">
      <c r="A831" s="231"/>
      <c r="B831" s="315" t="s">
        <v>1241</v>
      </c>
      <c r="C831" s="226" t="s">
        <v>0</v>
      </c>
      <c r="D831" s="227" t="s">
        <v>921</v>
      </c>
      <c r="E831" s="226" t="s">
        <v>600</v>
      </c>
      <c r="F831" s="226" t="s">
        <v>947</v>
      </c>
      <c r="G831" s="226" t="s">
        <v>43</v>
      </c>
      <c r="H831" s="229">
        <v>29.409999999999997</v>
      </c>
      <c r="I831" s="226" t="e">
        <f>#REF!</f>
        <v>#REF!</v>
      </c>
      <c r="J831" s="387" t="e">
        <f t="shared" si="12"/>
        <v>#REF!</v>
      </c>
      <c r="O831" s="361"/>
      <c r="P831" s="361"/>
      <c r="Q831" s="361"/>
      <c r="R831" s="361"/>
      <c r="S831" s="361"/>
      <c r="T831" s="361"/>
      <c r="U831" s="361"/>
      <c r="V831" s="361"/>
      <c r="W831" s="361"/>
      <c r="X831" s="361"/>
      <c r="Y831" s="361"/>
      <c r="Z831" s="361"/>
    </row>
    <row r="832" spans="1:26" x14ac:dyDescent="0.2">
      <c r="A832" s="231" t="s">
        <v>2118</v>
      </c>
      <c r="B832" s="316" t="s">
        <v>1242</v>
      </c>
      <c r="C832" s="224" t="s">
        <v>0</v>
      </c>
      <c r="D832" s="228" t="s">
        <v>922</v>
      </c>
      <c r="E832" s="224" t="s">
        <v>600</v>
      </c>
      <c r="F832" s="224" t="s">
        <v>947</v>
      </c>
      <c r="G832" s="224" t="s">
        <v>43</v>
      </c>
      <c r="H832" s="230">
        <v>31.226999999999997</v>
      </c>
      <c r="I832" s="224" t="e">
        <f>#REF!</f>
        <v>#REF!</v>
      </c>
      <c r="J832" s="385" t="e">
        <f t="shared" si="12"/>
        <v>#REF!</v>
      </c>
      <c r="O832" s="361"/>
      <c r="P832" s="361"/>
      <c r="Q832" s="361"/>
      <c r="R832" s="361"/>
      <c r="S832" s="361"/>
      <c r="T832" s="361"/>
      <c r="U832" s="361"/>
      <c r="V832" s="361"/>
      <c r="W832" s="361"/>
      <c r="X832" s="361"/>
      <c r="Y832" s="361"/>
      <c r="Z832" s="361"/>
    </row>
    <row r="833" spans="1:26" x14ac:dyDescent="0.2">
      <c r="A833" s="231"/>
      <c r="B833" s="315" t="s">
        <v>1243</v>
      </c>
      <c r="C833" s="226" t="s">
        <v>0</v>
      </c>
      <c r="D833" s="227" t="s">
        <v>923</v>
      </c>
      <c r="E833" s="226" t="s">
        <v>600</v>
      </c>
      <c r="F833" s="226" t="s">
        <v>947</v>
      </c>
      <c r="G833" s="226" t="s">
        <v>43</v>
      </c>
      <c r="H833" s="229">
        <v>33.04399999999999</v>
      </c>
      <c r="I833" s="226" t="e">
        <f>#REF!</f>
        <v>#REF!</v>
      </c>
      <c r="J833" s="387" t="e">
        <f t="shared" si="12"/>
        <v>#REF!</v>
      </c>
      <c r="O833" s="361"/>
      <c r="P833" s="361"/>
      <c r="Q833" s="361"/>
      <c r="R833" s="361"/>
      <c r="S833" s="361"/>
      <c r="T833" s="361"/>
      <c r="U833" s="361"/>
      <c r="V833" s="361"/>
      <c r="W833" s="361"/>
      <c r="X833" s="361"/>
      <c r="Y833" s="361"/>
      <c r="Z833" s="361"/>
    </row>
    <row r="834" spans="1:26" x14ac:dyDescent="0.2">
      <c r="A834" s="231"/>
      <c r="B834" s="316" t="s">
        <v>1244</v>
      </c>
      <c r="C834" s="224" t="s">
        <v>0</v>
      </c>
      <c r="D834" s="228" t="s">
        <v>924</v>
      </c>
      <c r="E834" s="224" t="s">
        <v>600</v>
      </c>
      <c r="F834" s="224" t="s">
        <v>947</v>
      </c>
      <c r="G834" s="224" t="s">
        <v>43</v>
      </c>
      <c r="H834" s="230">
        <v>34.86099999999999</v>
      </c>
      <c r="I834" s="224" t="e">
        <f>#REF!</f>
        <v>#REF!</v>
      </c>
      <c r="J834" s="385" t="e">
        <f t="shared" si="12"/>
        <v>#REF!</v>
      </c>
      <c r="O834" s="361"/>
      <c r="P834" s="361"/>
      <c r="Q834" s="361"/>
      <c r="R834" s="361"/>
      <c r="S834" s="361"/>
      <c r="T834" s="361"/>
      <c r="U834" s="361"/>
      <c r="V834" s="361"/>
      <c r="W834" s="361"/>
      <c r="X834" s="361"/>
      <c r="Y834" s="361"/>
      <c r="Z834" s="361"/>
    </row>
    <row r="835" spans="1:26" x14ac:dyDescent="0.2">
      <c r="A835" s="231"/>
      <c r="B835" s="315" t="s">
        <v>1245</v>
      </c>
      <c r="C835" s="226" t="s">
        <v>0</v>
      </c>
      <c r="D835" s="227" t="s">
        <v>925</v>
      </c>
      <c r="E835" s="226" t="s">
        <v>600</v>
      </c>
      <c r="F835" s="226" t="s">
        <v>947</v>
      </c>
      <c r="G835" s="226" t="s">
        <v>43</v>
      </c>
      <c r="H835" s="229">
        <v>36.67799999999999</v>
      </c>
      <c r="I835" s="226" t="e">
        <f>#REF!</f>
        <v>#REF!</v>
      </c>
      <c r="J835" s="387" t="e">
        <f t="shared" si="12"/>
        <v>#REF!</v>
      </c>
      <c r="O835" s="361"/>
      <c r="P835" s="361"/>
      <c r="Q835" s="361"/>
      <c r="R835" s="361"/>
      <c r="S835" s="361"/>
      <c r="T835" s="361"/>
      <c r="U835" s="361"/>
      <c r="V835" s="361"/>
      <c r="W835" s="361"/>
      <c r="X835" s="361"/>
      <c r="Y835" s="361"/>
      <c r="Z835" s="361"/>
    </row>
    <row r="836" spans="1:26" x14ac:dyDescent="0.2">
      <c r="A836" s="231"/>
      <c r="B836" s="316" t="s">
        <v>1246</v>
      </c>
      <c r="C836" s="224" t="s">
        <v>0</v>
      </c>
      <c r="D836" s="228" t="s">
        <v>926</v>
      </c>
      <c r="E836" s="224" t="s">
        <v>600</v>
      </c>
      <c r="F836" s="224" t="s">
        <v>947</v>
      </c>
      <c r="G836" s="224" t="s">
        <v>43</v>
      </c>
      <c r="H836" s="230">
        <v>38.49499999999999</v>
      </c>
      <c r="I836" s="224" t="e">
        <f>#REF!</f>
        <v>#REF!</v>
      </c>
      <c r="J836" s="385" t="e">
        <f t="shared" si="12"/>
        <v>#REF!</v>
      </c>
      <c r="O836" s="361"/>
      <c r="P836" s="361"/>
      <c r="Q836" s="361"/>
      <c r="R836" s="361"/>
      <c r="S836" s="361"/>
      <c r="T836" s="361"/>
      <c r="U836" s="361"/>
      <c r="V836" s="361"/>
      <c r="W836" s="361"/>
      <c r="X836" s="361"/>
      <c r="Y836" s="361"/>
      <c r="Z836" s="361"/>
    </row>
    <row r="837" spans="1:26" x14ac:dyDescent="0.2">
      <c r="A837" s="231"/>
      <c r="B837" s="315" t="s">
        <v>1247</v>
      </c>
      <c r="C837" s="226" t="s">
        <v>0</v>
      </c>
      <c r="D837" s="227" t="s">
        <v>927</v>
      </c>
      <c r="E837" s="226" t="s">
        <v>600</v>
      </c>
      <c r="F837" s="226" t="s">
        <v>947</v>
      </c>
      <c r="G837" s="226" t="s">
        <v>43</v>
      </c>
      <c r="H837" s="229">
        <v>40.311999999999991</v>
      </c>
      <c r="I837" s="226" t="e">
        <f>#REF!</f>
        <v>#REF!</v>
      </c>
      <c r="J837" s="387" t="e">
        <f t="shared" si="12"/>
        <v>#REF!</v>
      </c>
      <c r="O837" s="361"/>
      <c r="P837" s="361"/>
      <c r="Q837" s="361"/>
      <c r="R837" s="361"/>
      <c r="S837" s="361"/>
      <c r="T837" s="361"/>
      <c r="U837" s="361"/>
      <c r="V837" s="361"/>
      <c r="W837" s="361"/>
      <c r="X837" s="361"/>
      <c r="Y837" s="361"/>
      <c r="Z837" s="361"/>
    </row>
    <row r="838" spans="1:26" x14ac:dyDescent="0.2">
      <c r="A838" s="231"/>
      <c r="B838" s="316" t="s">
        <v>1248</v>
      </c>
      <c r="C838" s="224" t="s">
        <v>0</v>
      </c>
      <c r="D838" s="228" t="s">
        <v>928</v>
      </c>
      <c r="E838" s="224" t="s">
        <v>600</v>
      </c>
      <c r="F838" s="224" t="s">
        <v>947</v>
      </c>
      <c r="G838" s="224" t="s">
        <v>43</v>
      </c>
      <c r="H838" s="230">
        <v>42.128999999999991</v>
      </c>
      <c r="I838" s="224" t="e">
        <f>#REF!</f>
        <v>#REF!</v>
      </c>
      <c r="J838" s="385" t="e">
        <f t="shared" ref="J838:J875" si="13">H838-H838*I838</f>
        <v>#REF!</v>
      </c>
      <c r="O838" s="361"/>
      <c r="P838" s="361"/>
      <c r="Q838" s="361"/>
      <c r="R838" s="361"/>
      <c r="S838" s="361"/>
      <c r="T838" s="361"/>
      <c r="U838" s="361"/>
      <c r="V838" s="361"/>
      <c r="W838" s="361"/>
      <c r="X838" s="361"/>
      <c r="Y838" s="361"/>
      <c r="Z838" s="361"/>
    </row>
    <row r="839" spans="1:26" x14ac:dyDescent="0.2">
      <c r="A839" s="231"/>
      <c r="B839" s="315" t="s">
        <v>1249</v>
      </c>
      <c r="C839" s="226" t="s">
        <v>0</v>
      </c>
      <c r="D839" s="227" t="s">
        <v>929</v>
      </c>
      <c r="E839" s="226" t="s">
        <v>600</v>
      </c>
      <c r="F839" s="226" t="s">
        <v>947</v>
      </c>
      <c r="G839" s="226" t="s">
        <v>43</v>
      </c>
      <c r="H839" s="229">
        <v>44.079999999999991</v>
      </c>
      <c r="I839" s="226" t="e">
        <f>#REF!</f>
        <v>#REF!</v>
      </c>
      <c r="J839" s="387" t="e">
        <f t="shared" si="13"/>
        <v>#REF!</v>
      </c>
      <c r="O839" s="361"/>
      <c r="P839" s="361"/>
      <c r="Q839" s="361"/>
      <c r="R839" s="361"/>
      <c r="S839" s="361"/>
      <c r="T839" s="361"/>
      <c r="U839" s="361"/>
      <c r="V839" s="361"/>
      <c r="W839" s="361"/>
      <c r="X839" s="361"/>
      <c r="Y839" s="361"/>
      <c r="Z839" s="361"/>
    </row>
    <row r="840" spans="1:26" x14ac:dyDescent="0.2">
      <c r="A840" s="231"/>
      <c r="B840" s="322" t="s">
        <v>1546</v>
      </c>
      <c r="C840" s="224" t="s">
        <v>0</v>
      </c>
      <c r="D840" s="228" t="s">
        <v>208</v>
      </c>
      <c r="E840" s="224" t="s">
        <v>600</v>
      </c>
      <c r="F840" s="224" t="s">
        <v>585</v>
      </c>
      <c r="G840" s="224" t="s">
        <v>40</v>
      </c>
      <c r="H840" s="230">
        <v>384.19679079624575</v>
      </c>
      <c r="I840" s="224" t="e">
        <f>#REF!</f>
        <v>#REF!</v>
      </c>
      <c r="J840" s="385" t="e">
        <f t="shared" si="13"/>
        <v>#REF!</v>
      </c>
      <c r="O840" s="361"/>
      <c r="P840" s="361"/>
      <c r="Q840" s="361"/>
      <c r="R840" s="361"/>
      <c r="S840" s="361"/>
      <c r="T840" s="361"/>
      <c r="U840" s="361"/>
      <c r="V840" s="361"/>
      <c r="W840" s="361"/>
      <c r="X840" s="361"/>
      <c r="Y840" s="361"/>
      <c r="Z840" s="361"/>
    </row>
    <row r="841" spans="1:26" x14ac:dyDescent="0.2">
      <c r="A841" s="231"/>
      <c r="B841" s="315" t="s">
        <v>1413</v>
      </c>
      <c r="C841" s="226" t="s">
        <v>0</v>
      </c>
      <c r="D841" s="227" t="s">
        <v>197</v>
      </c>
      <c r="E841" s="226" t="s">
        <v>600</v>
      </c>
      <c r="F841" s="226" t="s">
        <v>955</v>
      </c>
      <c r="G841" s="226" t="s">
        <v>40</v>
      </c>
      <c r="H841" s="229">
        <v>200.54495912806533</v>
      </c>
      <c r="I841" s="226" t="e">
        <f>#REF!</f>
        <v>#REF!</v>
      </c>
      <c r="J841" s="387" t="e">
        <f t="shared" si="13"/>
        <v>#REF!</v>
      </c>
      <c r="O841" s="361"/>
      <c r="P841" s="361"/>
      <c r="Q841" s="361"/>
      <c r="R841" s="361"/>
      <c r="S841" s="361"/>
      <c r="T841" s="361"/>
      <c r="U841" s="361"/>
      <c r="V841" s="361"/>
      <c r="W841" s="361"/>
      <c r="X841" s="361"/>
      <c r="Y841" s="361"/>
      <c r="Z841" s="361"/>
    </row>
    <row r="842" spans="1:26" x14ac:dyDescent="0.2">
      <c r="A842" s="231"/>
      <c r="B842" s="322" t="s">
        <v>1422</v>
      </c>
      <c r="C842" s="224" t="s">
        <v>0</v>
      </c>
      <c r="D842" s="228" t="s">
        <v>178</v>
      </c>
      <c r="E842" s="224" t="s">
        <v>600</v>
      </c>
      <c r="F842" s="224" t="s">
        <v>955</v>
      </c>
      <c r="G842" s="224" t="s">
        <v>40</v>
      </c>
      <c r="H842" s="230">
        <v>223.68733413516117</v>
      </c>
      <c r="I842" s="224" t="e">
        <f>#REF!</f>
        <v>#REF!</v>
      </c>
      <c r="J842" s="385" t="e">
        <f t="shared" si="13"/>
        <v>#REF!</v>
      </c>
      <c r="O842" s="361"/>
      <c r="P842" s="361"/>
      <c r="Q842" s="361"/>
      <c r="R842" s="361"/>
      <c r="S842" s="361"/>
      <c r="T842" s="361"/>
      <c r="U842" s="361"/>
      <c r="V842" s="361"/>
      <c r="W842" s="361"/>
      <c r="X842" s="361"/>
      <c r="Y842" s="361"/>
      <c r="Z842" s="361"/>
    </row>
    <row r="843" spans="1:26" x14ac:dyDescent="0.2">
      <c r="A843" s="231"/>
      <c r="B843" s="315" t="s">
        <v>1550</v>
      </c>
      <c r="C843" s="226" t="s">
        <v>0</v>
      </c>
      <c r="D843" s="227" t="s">
        <v>272</v>
      </c>
      <c r="E843" s="226" t="s">
        <v>600</v>
      </c>
      <c r="F843" s="226" t="s">
        <v>585</v>
      </c>
      <c r="G843" s="226" t="s">
        <v>44</v>
      </c>
      <c r="H843" s="229">
        <v>4320.8978201634873</v>
      </c>
      <c r="I843" s="226" t="e">
        <f>#REF!</f>
        <v>#REF!</v>
      </c>
      <c r="J843" s="387" t="e">
        <f t="shared" si="13"/>
        <v>#REF!</v>
      </c>
    </row>
    <row r="844" spans="1:26" x14ac:dyDescent="0.2">
      <c r="A844" s="231"/>
      <c r="B844" s="322" t="s">
        <v>1554</v>
      </c>
      <c r="C844" s="224" t="s">
        <v>0</v>
      </c>
      <c r="D844" s="228" t="s">
        <v>247</v>
      </c>
      <c r="E844" s="224" t="s">
        <v>600</v>
      </c>
      <c r="F844" s="224" t="s">
        <v>585</v>
      </c>
      <c r="G844" s="224" t="s">
        <v>43</v>
      </c>
      <c r="H844" s="230">
        <v>957.65365901128825</v>
      </c>
      <c r="I844" s="224" t="e">
        <f>#REF!</f>
        <v>#REF!</v>
      </c>
      <c r="J844" s="385" t="e">
        <f t="shared" si="13"/>
        <v>#REF!</v>
      </c>
      <c r="O844" s="361"/>
      <c r="P844" s="361"/>
      <c r="Q844" s="361"/>
      <c r="R844" s="361"/>
      <c r="S844" s="361"/>
      <c r="T844" s="361"/>
      <c r="U844" s="361"/>
      <c r="V844" s="361"/>
      <c r="W844" s="361"/>
      <c r="X844" s="361"/>
      <c r="Y844" s="361"/>
      <c r="Z844" s="361"/>
    </row>
    <row r="845" spans="1:26" x14ac:dyDescent="0.2">
      <c r="A845" s="231"/>
      <c r="B845" s="315" t="s">
        <v>1555</v>
      </c>
      <c r="C845" s="226" t="s">
        <v>0</v>
      </c>
      <c r="D845" s="227" t="s">
        <v>237</v>
      </c>
      <c r="E845" s="226" t="s">
        <v>600</v>
      </c>
      <c r="F845" s="226" t="s">
        <v>585</v>
      </c>
      <c r="G845" s="226" t="s">
        <v>42</v>
      </c>
      <c r="H845" s="229">
        <v>1041.3249999999996</v>
      </c>
      <c r="I845" s="226" t="e">
        <f>#REF!</f>
        <v>#REF!</v>
      </c>
      <c r="J845" s="387" t="e">
        <f t="shared" si="13"/>
        <v>#REF!</v>
      </c>
      <c r="O845" s="361"/>
      <c r="P845" s="361"/>
      <c r="Q845" s="361"/>
      <c r="R845" s="361"/>
      <c r="S845" s="361"/>
      <c r="T845" s="361"/>
      <c r="U845" s="361"/>
      <c r="V845" s="361"/>
      <c r="W845" s="361"/>
      <c r="X845" s="361"/>
      <c r="Y845" s="361"/>
      <c r="Z845" s="361"/>
    </row>
    <row r="846" spans="1:26" x14ac:dyDescent="0.2">
      <c r="A846" s="231"/>
      <c r="B846" s="316" t="s">
        <v>1560</v>
      </c>
      <c r="C846" s="224" t="s">
        <v>0</v>
      </c>
      <c r="D846" s="228" t="s">
        <v>265</v>
      </c>
      <c r="E846" s="224" t="s">
        <v>600</v>
      </c>
      <c r="F846" s="224" t="s">
        <v>585</v>
      </c>
      <c r="G846" s="224" t="s">
        <v>44</v>
      </c>
      <c r="H846" s="230">
        <v>860.02594748575655</v>
      </c>
      <c r="I846" s="224" t="e">
        <f>#REF!</f>
        <v>#REF!</v>
      </c>
      <c r="J846" s="385" t="e">
        <f t="shared" si="13"/>
        <v>#REF!</v>
      </c>
    </row>
    <row r="847" spans="1:26" x14ac:dyDescent="0.2">
      <c r="A847" s="231"/>
      <c r="B847" s="315" t="s">
        <v>1445</v>
      </c>
      <c r="C847" s="226" t="s">
        <v>0</v>
      </c>
      <c r="D847" s="227" t="s">
        <v>629</v>
      </c>
      <c r="E847" s="226" t="s">
        <v>600</v>
      </c>
      <c r="F847" s="226" t="s">
        <v>955</v>
      </c>
      <c r="G847" s="226" t="s">
        <v>40</v>
      </c>
      <c r="H847" s="229">
        <v>249.16666666666663</v>
      </c>
      <c r="I847" s="226" t="e">
        <f>#REF!</f>
        <v>#REF!</v>
      </c>
      <c r="J847" s="387" t="e">
        <f t="shared" si="13"/>
        <v>#REF!</v>
      </c>
      <c r="O847" s="361"/>
      <c r="P847" s="361"/>
      <c r="Q847" s="361"/>
      <c r="R847" s="361"/>
      <c r="S847" s="361"/>
      <c r="T847" s="361"/>
      <c r="U847" s="361"/>
      <c r="V847" s="361"/>
      <c r="W847" s="361"/>
      <c r="X847" s="361"/>
      <c r="Y847" s="361"/>
      <c r="Z847" s="361"/>
    </row>
    <row r="848" spans="1:26" x14ac:dyDescent="0.2">
      <c r="A848" s="231"/>
      <c r="B848" s="316" t="s">
        <v>1569</v>
      </c>
      <c r="C848" s="224" t="s">
        <v>0</v>
      </c>
      <c r="D848" s="228" t="s">
        <v>243</v>
      </c>
      <c r="E848" s="224" t="s">
        <v>600</v>
      </c>
      <c r="F848" s="224" t="s">
        <v>585</v>
      </c>
      <c r="G848" s="224" t="s">
        <v>42</v>
      </c>
      <c r="H848" s="230">
        <v>586.18664850136236</v>
      </c>
      <c r="I848" s="224" t="e">
        <f>#REF!</f>
        <v>#REF!</v>
      </c>
      <c r="J848" s="385" t="e">
        <f t="shared" si="13"/>
        <v>#REF!</v>
      </c>
      <c r="O848" s="361"/>
      <c r="P848" s="361"/>
      <c r="Q848" s="361"/>
      <c r="R848" s="361"/>
      <c r="S848" s="361"/>
      <c r="T848" s="361"/>
      <c r="U848" s="361"/>
      <c r="V848" s="361"/>
      <c r="W848" s="361"/>
      <c r="X848" s="361"/>
      <c r="Y848" s="361"/>
      <c r="Z848" s="361"/>
    </row>
    <row r="849" spans="1:26" x14ac:dyDescent="0.2">
      <c r="A849" s="231"/>
      <c r="B849" s="323" t="s">
        <v>1572</v>
      </c>
      <c r="C849" s="226" t="s">
        <v>0</v>
      </c>
      <c r="D849" s="227" t="s">
        <v>245</v>
      </c>
      <c r="E849" s="226" t="s">
        <v>600</v>
      </c>
      <c r="F849" s="226" t="s">
        <v>585</v>
      </c>
      <c r="G849" s="226" t="s">
        <v>43</v>
      </c>
      <c r="H849" s="229">
        <v>666.8851044504994</v>
      </c>
      <c r="I849" s="226" t="e">
        <f>#REF!</f>
        <v>#REF!</v>
      </c>
      <c r="J849" s="387" t="e">
        <f t="shared" si="13"/>
        <v>#REF!</v>
      </c>
      <c r="O849" s="361"/>
      <c r="P849" s="361"/>
      <c r="Q849" s="361"/>
      <c r="R849" s="361"/>
      <c r="S849" s="361"/>
      <c r="T849" s="361"/>
      <c r="U849" s="361"/>
      <c r="V849" s="361"/>
      <c r="W849" s="361"/>
      <c r="X849" s="361"/>
      <c r="Y849" s="361"/>
      <c r="Z849" s="361"/>
    </row>
    <row r="850" spans="1:26" x14ac:dyDescent="0.2">
      <c r="A850" s="231"/>
      <c r="B850" s="316" t="s">
        <v>1574</v>
      </c>
      <c r="C850" s="224" t="s">
        <v>0</v>
      </c>
      <c r="D850" s="228" t="s">
        <v>275</v>
      </c>
      <c r="E850" s="224" t="s">
        <v>600</v>
      </c>
      <c r="F850" s="224" t="s">
        <v>585</v>
      </c>
      <c r="G850" s="224" t="s">
        <v>44</v>
      </c>
      <c r="H850" s="230">
        <v>806.9950045413259</v>
      </c>
      <c r="I850" s="224" t="e">
        <f>#REF!</f>
        <v>#REF!</v>
      </c>
      <c r="J850" s="385" t="e">
        <f t="shared" si="13"/>
        <v>#REF!</v>
      </c>
    </row>
    <row r="851" spans="1:26" x14ac:dyDescent="0.2">
      <c r="A851" s="231"/>
      <c r="B851" s="323" t="s">
        <v>1575</v>
      </c>
      <c r="C851" s="226" t="s">
        <v>0</v>
      </c>
      <c r="D851" s="227" t="s">
        <v>240</v>
      </c>
      <c r="E851" s="226" t="s">
        <v>600</v>
      </c>
      <c r="F851" s="226" t="s">
        <v>585</v>
      </c>
      <c r="G851" s="226" t="s">
        <v>42</v>
      </c>
      <c r="H851" s="229">
        <v>321.31062670299724</v>
      </c>
      <c r="I851" s="226" t="e">
        <f>#REF!</f>
        <v>#REF!</v>
      </c>
      <c r="J851" s="387" t="e">
        <f t="shared" si="13"/>
        <v>#REF!</v>
      </c>
      <c r="O851" s="361"/>
      <c r="P851" s="361"/>
      <c r="Q851" s="361"/>
      <c r="R851" s="361"/>
      <c r="S851" s="361"/>
      <c r="T851" s="361"/>
      <c r="U851" s="361"/>
      <c r="V851" s="361"/>
      <c r="W851" s="361"/>
      <c r="X851" s="361"/>
      <c r="Y851" s="361"/>
      <c r="Z851" s="361"/>
    </row>
    <row r="852" spans="1:26" x14ac:dyDescent="0.2">
      <c r="A852" s="231"/>
      <c r="B852" s="316" t="s">
        <v>1576</v>
      </c>
      <c r="C852" s="224" t="s">
        <v>0</v>
      </c>
      <c r="D852" s="228" t="s">
        <v>244</v>
      </c>
      <c r="E852" s="224" t="s">
        <v>600</v>
      </c>
      <c r="F852" s="224" t="s">
        <v>585</v>
      </c>
      <c r="G852" s="224" t="s">
        <v>43</v>
      </c>
      <c r="H852" s="230">
        <v>324.2352406902815</v>
      </c>
      <c r="I852" s="224" t="e">
        <f>#REF!</f>
        <v>#REF!</v>
      </c>
      <c r="J852" s="385" t="e">
        <f t="shared" si="13"/>
        <v>#REF!</v>
      </c>
      <c r="O852" s="361"/>
      <c r="P852" s="361"/>
      <c r="Q852" s="361"/>
      <c r="R852" s="361"/>
      <c r="S852" s="361"/>
      <c r="T852" s="361"/>
      <c r="U852" s="361"/>
      <c r="V852" s="361"/>
      <c r="W852" s="361"/>
      <c r="X852" s="361"/>
      <c r="Y852" s="361"/>
      <c r="Z852" s="361"/>
    </row>
    <row r="853" spans="1:26" x14ac:dyDescent="0.2">
      <c r="A853" s="231"/>
      <c r="B853" s="315" t="s">
        <v>1634</v>
      </c>
      <c r="C853" s="226" t="s">
        <v>0</v>
      </c>
      <c r="D853" s="227" t="s">
        <v>274</v>
      </c>
      <c r="E853" s="226" t="s">
        <v>600</v>
      </c>
      <c r="F853" s="226" t="s">
        <v>585</v>
      </c>
      <c r="G853" s="226" t="s">
        <v>44</v>
      </c>
      <c r="H853" s="229">
        <v>424.77929155313342</v>
      </c>
      <c r="I853" s="226" t="e">
        <f>#REF!</f>
        <v>#REF!</v>
      </c>
      <c r="J853" s="387" t="e">
        <f t="shared" si="13"/>
        <v>#REF!</v>
      </c>
    </row>
    <row r="854" spans="1:26" x14ac:dyDescent="0.2">
      <c r="A854" s="231"/>
      <c r="B854" s="322" t="s">
        <v>1678</v>
      </c>
      <c r="C854" s="224" t="s">
        <v>0</v>
      </c>
      <c r="D854" s="228" t="s">
        <v>241</v>
      </c>
      <c r="E854" s="224" t="s">
        <v>600</v>
      </c>
      <c r="F854" s="224" t="s">
        <v>585</v>
      </c>
      <c r="G854" s="224" t="s">
        <v>42</v>
      </c>
      <c r="H854" s="230">
        <v>643.46730245231595</v>
      </c>
      <c r="I854" s="224" t="e">
        <f>#REF!</f>
        <v>#REF!</v>
      </c>
      <c r="J854" s="385" t="e">
        <f t="shared" si="13"/>
        <v>#REF!</v>
      </c>
      <c r="O854" s="361"/>
      <c r="P854" s="361"/>
      <c r="Q854" s="361"/>
      <c r="R854" s="361"/>
      <c r="S854" s="361"/>
      <c r="T854" s="361"/>
      <c r="U854" s="361"/>
      <c r="V854" s="361"/>
      <c r="W854" s="361"/>
      <c r="X854" s="361"/>
      <c r="Y854" s="361"/>
      <c r="Z854" s="361"/>
    </row>
    <row r="855" spans="1:26" x14ac:dyDescent="0.2">
      <c r="A855" s="231"/>
      <c r="B855" s="323" t="s">
        <v>1716</v>
      </c>
      <c r="C855" s="226" t="s">
        <v>0</v>
      </c>
      <c r="D855" s="227" t="s">
        <v>246</v>
      </c>
      <c r="E855" s="226" t="s">
        <v>600</v>
      </c>
      <c r="F855" s="226" t="s">
        <v>585</v>
      </c>
      <c r="G855" s="226" t="s">
        <v>43</v>
      </c>
      <c r="H855" s="229">
        <v>614.38828337874645</v>
      </c>
      <c r="I855" s="226" t="e">
        <f>#REF!</f>
        <v>#REF!</v>
      </c>
      <c r="J855" s="387" t="e">
        <f t="shared" si="13"/>
        <v>#REF!</v>
      </c>
      <c r="O855" s="361"/>
      <c r="P855" s="361"/>
      <c r="Q855" s="361"/>
      <c r="R855" s="361"/>
      <c r="S855" s="361"/>
      <c r="T855" s="361"/>
      <c r="U855" s="361"/>
      <c r="V855" s="361"/>
      <c r="W855" s="361"/>
      <c r="X855" s="361"/>
      <c r="Y855" s="361"/>
      <c r="Z855" s="361"/>
    </row>
    <row r="856" spans="1:26" x14ac:dyDescent="0.2">
      <c r="A856" s="231"/>
      <c r="B856" s="322" t="s">
        <v>1777</v>
      </c>
      <c r="C856" s="224" t="s">
        <v>0</v>
      </c>
      <c r="D856" s="228" t="s">
        <v>276</v>
      </c>
      <c r="E856" s="224" t="s">
        <v>600</v>
      </c>
      <c r="F856" s="224" t="s">
        <v>585</v>
      </c>
      <c r="G856" s="224" t="s">
        <v>44</v>
      </c>
      <c r="H856" s="230">
        <v>717.76294277929139</v>
      </c>
      <c r="I856" s="224" t="e">
        <f>#REF!</f>
        <v>#REF!</v>
      </c>
      <c r="J856" s="385" t="e">
        <f t="shared" si="13"/>
        <v>#REF!</v>
      </c>
    </row>
    <row r="857" spans="1:26" x14ac:dyDescent="0.2">
      <c r="A857" s="231"/>
      <c r="B857" s="323" t="s">
        <v>11</v>
      </c>
      <c r="C857" s="226" t="s">
        <v>628</v>
      </c>
      <c r="D857" s="227" t="s">
        <v>365</v>
      </c>
      <c r="E857" s="226" t="s">
        <v>600</v>
      </c>
      <c r="F857" s="226" t="s">
        <v>946</v>
      </c>
      <c r="G857" s="226" t="s">
        <v>44</v>
      </c>
      <c r="H857" s="229">
        <v>1610.4</v>
      </c>
      <c r="I857" s="226" t="e">
        <f>#REF!</f>
        <v>#REF!</v>
      </c>
      <c r="J857" s="387" t="e">
        <f t="shared" si="13"/>
        <v>#REF!</v>
      </c>
    </row>
    <row r="858" spans="1:26" x14ac:dyDescent="0.2">
      <c r="A858" s="231"/>
      <c r="B858" s="322" t="s">
        <v>20</v>
      </c>
      <c r="C858" s="224" t="s">
        <v>628</v>
      </c>
      <c r="D858" s="228" t="s">
        <v>458</v>
      </c>
      <c r="E858" s="224" t="s">
        <v>600</v>
      </c>
      <c r="F858" s="224" t="s">
        <v>946</v>
      </c>
      <c r="G858" s="224" t="s">
        <v>42</v>
      </c>
      <c r="H858" s="230">
        <v>4246</v>
      </c>
      <c r="I858" s="224" t="e">
        <f>#REF!</f>
        <v>#REF!</v>
      </c>
      <c r="J858" s="385" t="e">
        <f t="shared" si="13"/>
        <v>#REF!</v>
      </c>
      <c r="O858" s="361"/>
      <c r="P858" s="361"/>
      <c r="Q858" s="361"/>
      <c r="R858" s="361"/>
      <c r="S858" s="361"/>
      <c r="T858" s="361"/>
      <c r="U858" s="361"/>
      <c r="V858" s="361"/>
      <c r="W858" s="361"/>
      <c r="X858" s="361"/>
      <c r="Y858" s="361"/>
      <c r="Z858" s="361"/>
    </row>
    <row r="859" spans="1:26" x14ac:dyDescent="0.2">
      <c r="A859" s="231"/>
      <c r="B859" s="323" t="s">
        <v>21</v>
      </c>
      <c r="C859" s="226" t="s">
        <v>628</v>
      </c>
      <c r="D859" s="227" t="s">
        <v>464</v>
      </c>
      <c r="E859" s="226" t="s">
        <v>600</v>
      </c>
      <c r="F859" s="226" t="s">
        <v>946</v>
      </c>
      <c r="G859" s="226" t="s">
        <v>631</v>
      </c>
      <c r="H859" s="229">
        <v>8118.0000000000009</v>
      </c>
      <c r="I859" s="226" t="e">
        <f>#REF!</f>
        <v>#REF!</v>
      </c>
      <c r="J859" s="387" t="e">
        <f t="shared" si="13"/>
        <v>#REF!</v>
      </c>
      <c r="O859" s="361"/>
      <c r="P859" s="361"/>
      <c r="Q859" s="361"/>
      <c r="R859" s="361"/>
      <c r="S859" s="361"/>
      <c r="T859" s="361"/>
      <c r="U859" s="361"/>
      <c r="V859" s="361"/>
      <c r="W859" s="361"/>
      <c r="X859" s="361"/>
      <c r="Y859" s="361"/>
      <c r="Z859" s="361"/>
    </row>
    <row r="860" spans="1:26" x14ac:dyDescent="0.2">
      <c r="A860" s="231"/>
      <c r="B860" s="322" t="s">
        <v>26</v>
      </c>
      <c r="C860" s="224" t="s">
        <v>628</v>
      </c>
      <c r="D860" s="228" t="s">
        <v>516</v>
      </c>
      <c r="E860" s="224" t="s">
        <v>600</v>
      </c>
      <c r="F860" s="224" t="s">
        <v>946</v>
      </c>
      <c r="G860" s="224" t="s">
        <v>42</v>
      </c>
      <c r="H860" s="230">
        <v>2763.2000000000003</v>
      </c>
      <c r="I860" s="224" t="e">
        <f>#REF!</f>
        <v>#REF!</v>
      </c>
      <c r="J860" s="385" t="e">
        <f t="shared" si="13"/>
        <v>#REF!</v>
      </c>
      <c r="O860" s="361"/>
      <c r="P860" s="361"/>
      <c r="Q860" s="361"/>
      <c r="R860" s="361"/>
      <c r="S860" s="361"/>
      <c r="T860" s="361"/>
      <c r="U860" s="361"/>
      <c r="V860" s="361"/>
      <c r="W860" s="361"/>
      <c r="X860" s="361"/>
      <c r="Y860" s="361"/>
      <c r="Z860" s="361"/>
    </row>
    <row r="861" spans="1:26" x14ac:dyDescent="0.2">
      <c r="A861" s="231"/>
      <c r="B861" s="323" t="s">
        <v>27</v>
      </c>
      <c r="C861" s="226" t="s">
        <v>628</v>
      </c>
      <c r="D861" s="227" t="s">
        <v>520</v>
      </c>
      <c r="E861" s="226" t="s">
        <v>600</v>
      </c>
      <c r="F861" s="226" t="s">
        <v>946</v>
      </c>
      <c r="G861" s="226" t="s">
        <v>42</v>
      </c>
      <c r="H861" s="229">
        <v>9917.6</v>
      </c>
      <c r="I861" s="226" t="e">
        <f>#REF!</f>
        <v>#REF!</v>
      </c>
      <c r="J861" s="387" t="e">
        <f t="shared" si="13"/>
        <v>#REF!</v>
      </c>
      <c r="O861" s="361"/>
      <c r="P861" s="361"/>
      <c r="Q861" s="361"/>
      <c r="R861" s="361"/>
      <c r="S861" s="361"/>
      <c r="T861" s="361"/>
      <c r="U861" s="361"/>
      <c r="V861" s="361"/>
      <c r="W861" s="361"/>
      <c r="X861" s="361"/>
      <c r="Y861" s="361"/>
      <c r="Z861" s="361"/>
    </row>
    <row r="862" spans="1:26" x14ac:dyDescent="0.2">
      <c r="A862" s="231"/>
      <c r="B862" s="322" t="s">
        <v>28</v>
      </c>
      <c r="C862" s="224" t="s">
        <v>628</v>
      </c>
      <c r="D862" s="228" t="s">
        <v>536</v>
      </c>
      <c r="E862" s="224" t="s">
        <v>600</v>
      </c>
      <c r="F862" s="224" t="s">
        <v>946</v>
      </c>
      <c r="G862" s="224" t="s">
        <v>42</v>
      </c>
      <c r="H862" s="230">
        <v>4039.2000000000003</v>
      </c>
      <c r="I862" s="224" t="e">
        <f>#REF!</f>
        <v>#REF!</v>
      </c>
      <c r="J862" s="385" t="e">
        <f t="shared" si="13"/>
        <v>#REF!</v>
      </c>
      <c r="O862" s="361"/>
      <c r="P862" s="361"/>
      <c r="Q862" s="361"/>
      <c r="R862" s="361"/>
      <c r="S862" s="361"/>
      <c r="T862" s="361"/>
      <c r="U862" s="361"/>
      <c r="V862" s="361"/>
      <c r="W862" s="361"/>
      <c r="X862" s="361"/>
      <c r="Y862" s="361"/>
      <c r="Z862" s="361"/>
    </row>
    <row r="863" spans="1:26" x14ac:dyDescent="0.2">
      <c r="A863" s="231"/>
      <c r="B863" s="315" t="s">
        <v>29</v>
      </c>
      <c r="C863" s="226" t="s">
        <v>628</v>
      </c>
      <c r="D863" s="227" t="s">
        <v>539</v>
      </c>
      <c r="E863" s="226" t="s">
        <v>600</v>
      </c>
      <c r="F863" s="226" t="s">
        <v>946</v>
      </c>
      <c r="G863" s="226" t="s">
        <v>42</v>
      </c>
      <c r="H863" s="229">
        <v>11448.800000000001</v>
      </c>
      <c r="I863" s="226" t="e">
        <f>#REF!</f>
        <v>#REF!</v>
      </c>
      <c r="J863" s="387" t="e">
        <f t="shared" si="13"/>
        <v>#REF!</v>
      </c>
      <c r="O863" s="361"/>
      <c r="P863" s="361"/>
      <c r="Q863" s="361"/>
      <c r="R863" s="361"/>
      <c r="S863" s="361"/>
      <c r="T863" s="361"/>
      <c r="U863" s="361"/>
      <c r="V863" s="361"/>
      <c r="W863" s="361"/>
      <c r="X863" s="361"/>
      <c r="Y863" s="361"/>
      <c r="Z863" s="361"/>
    </row>
    <row r="864" spans="1:26" x14ac:dyDescent="0.2">
      <c r="A864" s="231"/>
      <c r="B864" s="322" t="s">
        <v>24</v>
      </c>
      <c r="C864" s="224" t="s">
        <v>628</v>
      </c>
      <c r="D864" s="228" t="s">
        <v>504</v>
      </c>
      <c r="E864" s="224" t="s">
        <v>600</v>
      </c>
      <c r="F864" s="224" t="s">
        <v>946</v>
      </c>
      <c r="G864" s="224" t="s">
        <v>42</v>
      </c>
      <c r="H864" s="230">
        <v>14405.6</v>
      </c>
      <c r="I864" s="224" t="e">
        <f>#REF!</f>
        <v>#REF!</v>
      </c>
      <c r="J864" s="385" t="e">
        <f t="shared" si="13"/>
        <v>#REF!</v>
      </c>
      <c r="O864" s="361"/>
      <c r="P864" s="361"/>
      <c r="Q864" s="361"/>
      <c r="R864" s="361"/>
      <c r="S864" s="361"/>
      <c r="T864" s="361"/>
      <c r="U864" s="361"/>
      <c r="V864" s="361"/>
      <c r="W864" s="361"/>
      <c r="X864" s="361"/>
      <c r="Y864" s="361"/>
      <c r="Z864" s="361"/>
    </row>
    <row r="865" spans="1:26" x14ac:dyDescent="0.2">
      <c r="A865" s="231"/>
      <c r="B865" s="315" t="s">
        <v>23</v>
      </c>
      <c r="C865" s="226" t="s">
        <v>628</v>
      </c>
      <c r="D865" s="227" t="s">
        <v>503</v>
      </c>
      <c r="E865" s="226" t="s">
        <v>600</v>
      </c>
      <c r="F865" s="226" t="s">
        <v>946</v>
      </c>
      <c r="G865" s="226" t="s">
        <v>41</v>
      </c>
      <c r="H865" s="229">
        <v>13402.400000000001</v>
      </c>
      <c r="I865" s="226" t="e">
        <f>#REF!</f>
        <v>#REF!</v>
      </c>
      <c r="J865" s="387" t="e">
        <f t="shared" si="13"/>
        <v>#REF!</v>
      </c>
      <c r="O865" s="361"/>
      <c r="P865" s="361"/>
      <c r="Q865" s="361"/>
      <c r="R865" s="361"/>
      <c r="S865" s="361"/>
      <c r="T865" s="361"/>
      <c r="U865" s="361"/>
      <c r="V865" s="361"/>
      <c r="W865" s="361"/>
      <c r="X865" s="361"/>
      <c r="Y865" s="361"/>
      <c r="Z865" s="361"/>
    </row>
    <row r="866" spans="1:26" x14ac:dyDescent="0.2">
      <c r="A866" s="231"/>
      <c r="B866" s="316" t="s">
        <v>25</v>
      </c>
      <c r="C866" s="224" t="s">
        <v>628</v>
      </c>
      <c r="D866" s="228" t="s">
        <v>505</v>
      </c>
      <c r="E866" s="224" t="s">
        <v>600</v>
      </c>
      <c r="F866" s="224" t="s">
        <v>946</v>
      </c>
      <c r="G866" s="224" t="s">
        <v>42</v>
      </c>
      <c r="H866" s="230">
        <v>22268.400000000001</v>
      </c>
      <c r="I866" s="224" t="e">
        <f>#REF!</f>
        <v>#REF!</v>
      </c>
      <c r="J866" s="385" t="e">
        <f t="shared" si="13"/>
        <v>#REF!</v>
      </c>
      <c r="O866" s="361"/>
      <c r="P866" s="361"/>
      <c r="Q866" s="361"/>
      <c r="R866" s="361"/>
      <c r="S866" s="361"/>
      <c r="T866" s="361"/>
      <c r="U866" s="361"/>
      <c r="V866" s="361"/>
      <c r="W866" s="361"/>
      <c r="X866" s="361"/>
      <c r="Y866" s="361"/>
      <c r="Z866" s="361"/>
    </row>
    <row r="867" spans="1:26" x14ac:dyDescent="0.2">
      <c r="A867" s="231"/>
      <c r="B867" s="315" t="s">
        <v>12</v>
      </c>
      <c r="C867" s="226" t="s">
        <v>628</v>
      </c>
      <c r="D867" s="227" t="s">
        <v>402</v>
      </c>
      <c r="E867" s="226" t="s">
        <v>600</v>
      </c>
      <c r="F867" s="226" t="s">
        <v>946</v>
      </c>
      <c r="G867" s="226" t="s">
        <v>44</v>
      </c>
      <c r="H867" s="229">
        <v>3685.0000000000014</v>
      </c>
      <c r="I867" s="226" t="e">
        <f>#REF!</f>
        <v>#REF!</v>
      </c>
      <c r="J867" s="387" t="e">
        <f t="shared" si="13"/>
        <v>#REF!</v>
      </c>
    </row>
    <row r="868" spans="1:26" x14ac:dyDescent="0.2">
      <c r="A868" s="231"/>
      <c r="B868" s="316" t="s">
        <v>13</v>
      </c>
      <c r="C868" s="224" t="s">
        <v>628</v>
      </c>
      <c r="D868" s="228" t="s">
        <v>410</v>
      </c>
      <c r="E868" s="224" t="s">
        <v>600</v>
      </c>
      <c r="F868" s="224" t="s">
        <v>946</v>
      </c>
      <c r="G868" s="224" t="s">
        <v>42</v>
      </c>
      <c r="H868" s="230">
        <v>5802.5000000000009</v>
      </c>
      <c r="I868" s="224" t="e">
        <f>#REF!</f>
        <v>#REF!</v>
      </c>
      <c r="J868" s="385" t="e">
        <f t="shared" si="13"/>
        <v>#REF!</v>
      </c>
      <c r="O868" s="361"/>
      <c r="P868" s="361"/>
      <c r="Q868" s="361"/>
      <c r="R868" s="361"/>
      <c r="S868" s="361"/>
      <c r="T868" s="361"/>
      <c r="U868" s="361"/>
      <c r="V868" s="361"/>
      <c r="W868" s="361"/>
      <c r="X868" s="361"/>
      <c r="Y868" s="361"/>
      <c r="Z868" s="361"/>
    </row>
    <row r="869" spans="1:26" x14ac:dyDescent="0.2">
      <c r="A869" s="231"/>
      <c r="B869" s="315" t="s">
        <v>14</v>
      </c>
      <c r="C869" s="226" t="s">
        <v>628</v>
      </c>
      <c r="D869" s="227" t="s">
        <v>413</v>
      </c>
      <c r="E869" s="226" t="s">
        <v>600</v>
      </c>
      <c r="F869" s="226" t="s">
        <v>946</v>
      </c>
      <c r="G869" s="226" t="s">
        <v>631</v>
      </c>
      <c r="H869" s="229">
        <v>5505.5000000000018</v>
      </c>
      <c r="I869" s="226" t="e">
        <f>#REF!</f>
        <v>#REF!</v>
      </c>
      <c r="J869" s="387" t="e">
        <f t="shared" si="13"/>
        <v>#REF!</v>
      </c>
      <c r="O869" s="361"/>
      <c r="P869" s="361"/>
      <c r="Q869" s="361"/>
      <c r="R869" s="361"/>
      <c r="S869" s="361"/>
      <c r="T869" s="361"/>
      <c r="U869" s="361"/>
      <c r="V869" s="361"/>
      <c r="W869" s="361"/>
      <c r="X869" s="361"/>
      <c r="Y869" s="361"/>
      <c r="Z869" s="361"/>
    </row>
    <row r="870" spans="1:26" x14ac:dyDescent="0.2">
      <c r="A870" s="231"/>
      <c r="B870" s="322" t="s">
        <v>22</v>
      </c>
      <c r="C870" s="224" t="s">
        <v>628</v>
      </c>
      <c r="D870" s="228" t="s">
        <v>492</v>
      </c>
      <c r="E870" s="224" t="s">
        <v>600</v>
      </c>
      <c r="F870" s="224" t="s">
        <v>946</v>
      </c>
      <c r="G870" s="224" t="s">
        <v>42</v>
      </c>
      <c r="H870" s="230">
        <v>28089.600000000002</v>
      </c>
      <c r="I870" s="224" t="e">
        <f>#REF!</f>
        <v>#REF!</v>
      </c>
      <c r="J870" s="385" t="e">
        <f t="shared" si="13"/>
        <v>#REF!</v>
      </c>
      <c r="O870" s="361"/>
      <c r="P870" s="361"/>
      <c r="Q870" s="361"/>
      <c r="R870" s="361"/>
      <c r="S870" s="361"/>
      <c r="T870" s="361"/>
      <c r="U870" s="361"/>
      <c r="V870" s="361"/>
      <c r="W870" s="361"/>
      <c r="X870" s="361"/>
      <c r="Y870" s="361"/>
      <c r="Z870" s="361"/>
    </row>
    <row r="871" spans="1:26" x14ac:dyDescent="0.2">
      <c r="A871" s="231"/>
      <c r="B871" s="315" t="s">
        <v>15</v>
      </c>
      <c r="C871" s="226" t="s">
        <v>628</v>
      </c>
      <c r="D871" s="227" t="s">
        <v>421</v>
      </c>
      <c r="E871" s="226" t="s">
        <v>600</v>
      </c>
      <c r="F871" s="226" t="s">
        <v>946</v>
      </c>
      <c r="G871" s="226" t="s">
        <v>41</v>
      </c>
      <c r="H871" s="229">
        <v>4919.2000000000007</v>
      </c>
      <c r="I871" s="226" t="e">
        <f>#REF!</f>
        <v>#REF!</v>
      </c>
      <c r="J871" s="387" t="e">
        <f t="shared" si="13"/>
        <v>#REF!</v>
      </c>
      <c r="O871" s="361"/>
      <c r="P871" s="361"/>
      <c r="Q871" s="361"/>
      <c r="R871" s="361"/>
      <c r="S871" s="361"/>
      <c r="T871" s="361"/>
      <c r="U871" s="361"/>
      <c r="V871" s="361"/>
      <c r="W871" s="361"/>
      <c r="X871" s="361"/>
      <c r="Y871" s="361"/>
      <c r="Z871" s="361"/>
    </row>
    <row r="872" spans="1:26" x14ac:dyDescent="0.2">
      <c r="A872" s="231"/>
      <c r="B872" s="322" t="s">
        <v>16</v>
      </c>
      <c r="C872" s="224" t="s">
        <v>628</v>
      </c>
      <c r="D872" s="228" t="s">
        <v>422</v>
      </c>
      <c r="E872" s="224" t="s">
        <v>600</v>
      </c>
      <c r="F872" s="224" t="s">
        <v>946</v>
      </c>
      <c r="G872" s="224" t="s">
        <v>41</v>
      </c>
      <c r="H872" s="230">
        <v>6872.8</v>
      </c>
      <c r="I872" s="224" t="e">
        <f>#REF!</f>
        <v>#REF!</v>
      </c>
      <c r="J872" s="385" t="e">
        <f t="shared" si="13"/>
        <v>#REF!</v>
      </c>
      <c r="O872" s="361"/>
      <c r="P872" s="361"/>
      <c r="Q872" s="361"/>
      <c r="R872" s="361"/>
      <c r="S872" s="361"/>
      <c r="T872" s="361"/>
      <c r="U872" s="361"/>
      <c r="V872" s="361"/>
      <c r="W872" s="361"/>
      <c r="X872" s="361"/>
      <c r="Y872" s="361"/>
      <c r="Z872" s="361"/>
    </row>
    <row r="873" spans="1:26" x14ac:dyDescent="0.2">
      <c r="A873" s="231"/>
      <c r="B873" s="323" t="s">
        <v>17</v>
      </c>
      <c r="C873" s="226" t="s">
        <v>628</v>
      </c>
      <c r="D873" s="227" t="s">
        <v>423</v>
      </c>
      <c r="E873" s="226" t="s">
        <v>600</v>
      </c>
      <c r="F873" s="226" t="s">
        <v>946</v>
      </c>
      <c r="G873" s="226" t="s">
        <v>42</v>
      </c>
      <c r="H873" s="229">
        <v>7136.8</v>
      </c>
      <c r="I873" s="226" t="e">
        <f>#REF!</f>
        <v>#REF!</v>
      </c>
      <c r="J873" s="387" t="e">
        <f t="shared" si="13"/>
        <v>#REF!</v>
      </c>
      <c r="O873" s="361"/>
      <c r="P873" s="361"/>
      <c r="Q873" s="361"/>
      <c r="R873" s="361"/>
      <c r="S873" s="361"/>
      <c r="T873" s="361"/>
      <c r="U873" s="361"/>
      <c r="V873" s="361"/>
      <c r="W873" s="361"/>
      <c r="X873" s="361"/>
      <c r="Y873" s="361"/>
      <c r="Z873" s="361"/>
    </row>
    <row r="874" spans="1:26" x14ac:dyDescent="0.2">
      <c r="A874" s="231"/>
      <c r="B874" s="322" t="s">
        <v>18</v>
      </c>
      <c r="C874" s="224" t="s">
        <v>628</v>
      </c>
      <c r="D874" s="228" t="s">
        <v>424</v>
      </c>
      <c r="E874" s="224" t="s">
        <v>600</v>
      </c>
      <c r="F874" s="224" t="s">
        <v>946</v>
      </c>
      <c r="G874" s="224" t="s">
        <v>42</v>
      </c>
      <c r="H874" s="230">
        <v>11303.6</v>
      </c>
      <c r="I874" s="224" t="e">
        <f>#REF!</f>
        <v>#REF!</v>
      </c>
      <c r="J874" s="385" t="e">
        <f t="shared" si="13"/>
        <v>#REF!</v>
      </c>
      <c r="O874" s="361"/>
      <c r="P874" s="361"/>
      <c r="Q874" s="361"/>
      <c r="R874" s="361"/>
      <c r="S874" s="361"/>
      <c r="T874" s="361"/>
      <c r="U874" s="361"/>
      <c r="V874" s="361"/>
      <c r="W874" s="361"/>
      <c r="X874" s="361"/>
      <c r="Y874" s="361"/>
      <c r="Z874" s="361"/>
    </row>
    <row r="875" spans="1:26" x14ac:dyDescent="0.2">
      <c r="A875" s="231"/>
      <c r="B875" s="323" t="s">
        <v>19</v>
      </c>
      <c r="C875" s="226" t="s">
        <v>628</v>
      </c>
      <c r="D875" s="227" t="s">
        <v>426</v>
      </c>
      <c r="E875" s="226" t="s">
        <v>600</v>
      </c>
      <c r="F875" s="226" t="s">
        <v>946</v>
      </c>
      <c r="G875" s="226" t="s">
        <v>631</v>
      </c>
      <c r="H875" s="229">
        <v>8602</v>
      </c>
      <c r="I875" s="388" t="e">
        <f>#REF!</f>
        <v>#REF!</v>
      </c>
      <c r="J875" s="389" t="e">
        <f t="shared" si="13"/>
        <v>#REF!</v>
      </c>
      <c r="O875" s="361"/>
      <c r="P875" s="361"/>
      <c r="Q875" s="361"/>
      <c r="R875" s="361"/>
      <c r="S875" s="361"/>
      <c r="T875" s="361"/>
      <c r="U875" s="361"/>
      <c r="V875" s="361"/>
      <c r="W875" s="361"/>
      <c r="X875" s="361"/>
      <c r="Y875" s="361"/>
      <c r="Z875" s="361"/>
    </row>
    <row r="876" spans="1:26" x14ac:dyDescent="0.2">
      <c r="A876" s="231"/>
    </row>
    <row r="877" spans="1:26" x14ac:dyDescent="0.2">
      <c r="A877" s="231"/>
    </row>
    <row r="878" spans="1:26" x14ac:dyDescent="0.2">
      <c r="A878" s="231"/>
    </row>
    <row r="879" spans="1:26" x14ac:dyDescent="0.2">
      <c r="A879" s="231"/>
    </row>
    <row r="880" spans="1:26" x14ac:dyDescent="0.2">
      <c r="A880" s="231"/>
    </row>
    <row r="881" spans="1:3" x14ac:dyDescent="0.2">
      <c r="A881" s="231"/>
    </row>
    <row r="882" spans="1:3" x14ac:dyDescent="0.2">
      <c r="A882" s="231"/>
      <c r="C882" s="231" t="s">
        <v>2108</v>
      </c>
    </row>
    <row r="883" spans="1:3" x14ac:dyDescent="0.2">
      <c r="A883" s="231"/>
    </row>
    <row r="884" spans="1:3" x14ac:dyDescent="0.2">
      <c r="A884" s="231"/>
    </row>
    <row r="885" spans="1:3" x14ac:dyDescent="0.2">
      <c r="A885" s="231"/>
    </row>
    <row r="886" spans="1:3" x14ac:dyDescent="0.2">
      <c r="A886" s="231"/>
    </row>
    <row r="887" spans="1:3" x14ac:dyDescent="0.2">
      <c r="A887" s="231"/>
    </row>
    <row r="888" spans="1:3" x14ac:dyDescent="0.2">
      <c r="A888" s="231"/>
    </row>
    <row r="889" spans="1:3" x14ac:dyDescent="0.2">
      <c r="A889" s="231"/>
    </row>
    <row r="890" spans="1:3" x14ac:dyDescent="0.2">
      <c r="A890" s="231"/>
    </row>
    <row r="891" spans="1:3" x14ac:dyDescent="0.2">
      <c r="A891" s="231"/>
    </row>
    <row r="892" spans="1:3" x14ac:dyDescent="0.2">
      <c r="A892" s="231"/>
    </row>
    <row r="893" spans="1:3" x14ac:dyDescent="0.2">
      <c r="A893" s="231"/>
    </row>
    <row r="894" spans="1:3" x14ac:dyDescent="0.2">
      <c r="A894" s="231"/>
    </row>
    <row r="895" spans="1:3" x14ac:dyDescent="0.2">
      <c r="A895" s="231"/>
    </row>
    <row r="896" spans="1:3" x14ac:dyDescent="0.2">
      <c r="A896" s="231"/>
    </row>
    <row r="897" spans="1:1" x14ac:dyDescent="0.2">
      <c r="A897" s="231"/>
    </row>
    <row r="898" spans="1:1" x14ac:dyDescent="0.2">
      <c r="A898" s="231"/>
    </row>
    <row r="899" spans="1:1" x14ac:dyDescent="0.2">
      <c r="A899" s="231"/>
    </row>
    <row r="900" spans="1:1" x14ac:dyDescent="0.2">
      <c r="A900" s="231"/>
    </row>
    <row r="901" spans="1:1" x14ac:dyDescent="0.2">
      <c r="A901" s="231"/>
    </row>
    <row r="902" spans="1:1" x14ac:dyDescent="0.2">
      <c r="A902" s="231"/>
    </row>
    <row r="903" spans="1:1" x14ac:dyDescent="0.2">
      <c r="A903" s="231"/>
    </row>
    <row r="904" spans="1:1" x14ac:dyDescent="0.2">
      <c r="A904" s="231"/>
    </row>
    <row r="905" spans="1:1" x14ac:dyDescent="0.2">
      <c r="A905" s="231"/>
    </row>
    <row r="906" spans="1:1" x14ac:dyDescent="0.2">
      <c r="A906" s="231"/>
    </row>
    <row r="907" spans="1:1" x14ac:dyDescent="0.2">
      <c r="A907" s="231"/>
    </row>
    <row r="908" spans="1:1" x14ac:dyDescent="0.2">
      <c r="A908" s="231"/>
    </row>
    <row r="909" spans="1:1" x14ac:dyDescent="0.2">
      <c r="A909" s="231"/>
    </row>
    <row r="910" spans="1:1" x14ac:dyDescent="0.2">
      <c r="A910" s="231"/>
    </row>
    <row r="911" spans="1:1" x14ac:dyDescent="0.2">
      <c r="A911" s="231"/>
    </row>
    <row r="912" spans="1:1" x14ac:dyDescent="0.2">
      <c r="A912" s="231"/>
    </row>
    <row r="913" spans="1:1" x14ac:dyDescent="0.2">
      <c r="A913" s="231"/>
    </row>
    <row r="914" spans="1:1" x14ac:dyDescent="0.2">
      <c r="A914" s="231"/>
    </row>
    <row r="915" spans="1:1" x14ac:dyDescent="0.2">
      <c r="A915" s="231"/>
    </row>
    <row r="916" spans="1:1" x14ac:dyDescent="0.2">
      <c r="A916" s="231"/>
    </row>
    <row r="917" spans="1:1" x14ac:dyDescent="0.2">
      <c r="A917" s="231"/>
    </row>
    <row r="918" spans="1:1" x14ac:dyDescent="0.2">
      <c r="A918" s="231"/>
    </row>
    <row r="919" spans="1:1" x14ac:dyDescent="0.2">
      <c r="A919" s="231"/>
    </row>
    <row r="920" spans="1:1" x14ac:dyDescent="0.2">
      <c r="A920" s="231"/>
    </row>
    <row r="921" spans="1:1" x14ac:dyDescent="0.2">
      <c r="A921" s="231"/>
    </row>
    <row r="922" spans="1:1" x14ac:dyDescent="0.2">
      <c r="A922" s="231"/>
    </row>
    <row r="923" spans="1:1" x14ac:dyDescent="0.2">
      <c r="A923" s="231"/>
    </row>
    <row r="924" spans="1:1" x14ac:dyDescent="0.2">
      <c r="A924" s="231"/>
    </row>
    <row r="925" spans="1:1" x14ac:dyDescent="0.2">
      <c r="A925" s="231"/>
    </row>
    <row r="926" spans="1:1" x14ac:dyDescent="0.2">
      <c r="A926" s="231"/>
    </row>
    <row r="927" spans="1:1" x14ac:dyDescent="0.2">
      <c r="A927" s="231"/>
    </row>
    <row r="928" spans="1:1" x14ac:dyDescent="0.2">
      <c r="A928" s="231"/>
    </row>
    <row r="929" spans="1:1" x14ac:dyDescent="0.2">
      <c r="A929" s="231"/>
    </row>
    <row r="930" spans="1:1" x14ac:dyDescent="0.2">
      <c r="A930" s="231"/>
    </row>
    <row r="931" spans="1:1" x14ac:dyDescent="0.2">
      <c r="A931" s="231"/>
    </row>
    <row r="932" spans="1:1" x14ac:dyDescent="0.2">
      <c r="A932" s="231"/>
    </row>
    <row r="933" spans="1:1" x14ac:dyDescent="0.2">
      <c r="A933" s="231"/>
    </row>
    <row r="934" spans="1:1" x14ac:dyDescent="0.2">
      <c r="A934" s="231"/>
    </row>
    <row r="935" spans="1:1" x14ac:dyDescent="0.2">
      <c r="A935" s="231"/>
    </row>
    <row r="936" spans="1:1" x14ac:dyDescent="0.2">
      <c r="A936" s="231"/>
    </row>
    <row r="937" spans="1:1" x14ac:dyDescent="0.2">
      <c r="A937" s="231"/>
    </row>
    <row r="938" spans="1:1" x14ac:dyDescent="0.2">
      <c r="A938" s="231"/>
    </row>
    <row r="939" spans="1:1" x14ac:dyDescent="0.2">
      <c r="A939" s="231"/>
    </row>
    <row r="940" spans="1:1" x14ac:dyDescent="0.2">
      <c r="A940" s="231"/>
    </row>
    <row r="941" spans="1:1" x14ac:dyDescent="0.2">
      <c r="A941" s="231"/>
    </row>
    <row r="942" spans="1:1" x14ac:dyDescent="0.2">
      <c r="A942" s="231"/>
    </row>
    <row r="943" spans="1:1" x14ac:dyDescent="0.2">
      <c r="A943" s="231"/>
    </row>
    <row r="944" spans="1:1" x14ac:dyDescent="0.2">
      <c r="A944" s="231"/>
    </row>
    <row r="945" spans="1:1" x14ac:dyDescent="0.2">
      <c r="A945" s="231"/>
    </row>
    <row r="946" spans="1:1" x14ac:dyDescent="0.2">
      <c r="A946" s="231"/>
    </row>
    <row r="947" spans="1:1" x14ac:dyDescent="0.2">
      <c r="A947" s="231"/>
    </row>
    <row r="948" spans="1:1" x14ac:dyDescent="0.2">
      <c r="A948" s="231"/>
    </row>
    <row r="949" spans="1:1" x14ac:dyDescent="0.2">
      <c r="A949" s="231"/>
    </row>
    <row r="950" spans="1:1" x14ac:dyDescent="0.2">
      <c r="A950" s="231"/>
    </row>
    <row r="951" spans="1:1" x14ac:dyDescent="0.2">
      <c r="A951" s="231"/>
    </row>
    <row r="952" spans="1:1" x14ac:dyDescent="0.2">
      <c r="A952" s="231"/>
    </row>
    <row r="953" spans="1:1" x14ac:dyDescent="0.2">
      <c r="A953" s="231"/>
    </row>
    <row r="954" spans="1:1" x14ac:dyDescent="0.2">
      <c r="A954" s="231"/>
    </row>
    <row r="955" spans="1:1" x14ac:dyDescent="0.2">
      <c r="A955" s="231"/>
    </row>
    <row r="956" spans="1:1" x14ac:dyDescent="0.2">
      <c r="A956" s="231"/>
    </row>
    <row r="957" spans="1:1" x14ac:dyDescent="0.2">
      <c r="A957" s="231"/>
    </row>
    <row r="958" spans="1:1" x14ac:dyDescent="0.2">
      <c r="A958" s="231"/>
    </row>
    <row r="959" spans="1:1" x14ac:dyDescent="0.2">
      <c r="A959" s="231"/>
    </row>
    <row r="960" spans="1:1" x14ac:dyDescent="0.2">
      <c r="A960" s="231"/>
    </row>
    <row r="961" spans="1:1" x14ac:dyDescent="0.2">
      <c r="A961" s="231"/>
    </row>
    <row r="962" spans="1:1" x14ac:dyDescent="0.2">
      <c r="A962" s="231"/>
    </row>
    <row r="963" spans="1:1" x14ac:dyDescent="0.2">
      <c r="A963" s="231"/>
    </row>
    <row r="964" spans="1:1" x14ac:dyDescent="0.2">
      <c r="A964" s="231"/>
    </row>
    <row r="965" spans="1:1" x14ac:dyDescent="0.2">
      <c r="A965" s="231"/>
    </row>
    <row r="966" spans="1:1" x14ac:dyDescent="0.2">
      <c r="A966" s="231"/>
    </row>
    <row r="967" spans="1:1" x14ac:dyDescent="0.2">
      <c r="A967" s="231"/>
    </row>
    <row r="968" spans="1:1" x14ac:dyDescent="0.2">
      <c r="A968" s="231"/>
    </row>
    <row r="969" spans="1:1" x14ac:dyDescent="0.2">
      <c r="A969" s="231"/>
    </row>
    <row r="970" spans="1:1" x14ac:dyDescent="0.2">
      <c r="A970" s="231"/>
    </row>
    <row r="971" spans="1:1" x14ac:dyDescent="0.2">
      <c r="A971" s="231"/>
    </row>
    <row r="972" spans="1:1" x14ac:dyDescent="0.2">
      <c r="A972" s="231"/>
    </row>
    <row r="973" spans="1:1" x14ac:dyDescent="0.2">
      <c r="A973" s="231"/>
    </row>
    <row r="974" spans="1:1" x14ac:dyDescent="0.2">
      <c r="A974" s="231"/>
    </row>
    <row r="975" spans="1:1" x14ac:dyDescent="0.2">
      <c r="A975" s="231"/>
    </row>
    <row r="976" spans="1:1" x14ac:dyDescent="0.2">
      <c r="A976" s="231"/>
    </row>
    <row r="977" spans="1:1" x14ac:dyDescent="0.2">
      <c r="A977" s="231"/>
    </row>
    <row r="978" spans="1:1" x14ac:dyDescent="0.2">
      <c r="A978" s="231"/>
    </row>
    <row r="979" spans="1:1" x14ac:dyDescent="0.2">
      <c r="A979" s="231"/>
    </row>
    <row r="980" spans="1:1" x14ac:dyDescent="0.2">
      <c r="A980" s="231"/>
    </row>
    <row r="981" spans="1:1" x14ac:dyDescent="0.2">
      <c r="A981" s="231"/>
    </row>
    <row r="982" spans="1:1" x14ac:dyDescent="0.2">
      <c r="A982" s="231"/>
    </row>
    <row r="983" spans="1:1" x14ac:dyDescent="0.2">
      <c r="A983" s="231"/>
    </row>
    <row r="984" spans="1:1" x14ac:dyDescent="0.2">
      <c r="A984" s="231"/>
    </row>
    <row r="985" spans="1:1" x14ac:dyDescent="0.2">
      <c r="A985" s="231"/>
    </row>
    <row r="986" spans="1:1" x14ac:dyDescent="0.2">
      <c r="A986" s="231"/>
    </row>
    <row r="987" spans="1:1" x14ac:dyDescent="0.2">
      <c r="A987" s="231"/>
    </row>
    <row r="988" spans="1:1" x14ac:dyDescent="0.2">
      <c r="A988" s="231"/>
    </row>
    <row r="989" spans="1:1" x14ac:dyDescent="0.2">
      <c r="A989" s="231"/>
    </row>
    <row r="990" spans="1:1" x14ac:dyDescent="0.2">
      <c r="A990" s="231"/>
    </row>
    <row r="991" spans="1:1" x14ac:dyDescent="0.2">
      <c r="A991" s="231"/>
    </row>
    <row r="992" spans="1:1" x14ac:dyDescent="0.2">
      <c r="A992" s="231"/>
    </row>
    <row r="993" spans="1:1" x14ac:dyDescent="0.2">
      <c r="A993" s="231"/>
    </row>
    <row r="994" spans="1:1" x14ac:dyDescent="0.2">
      <c r="A994" s="231"/>
    </row>
    <row r="995" spans="1:1" x14ac:dyDescent="0.2">
      <c r="A995" s="231"/>
    </row>
    <row r="996" spans="1:1" x14ac:dyDescent="0.2">
      <c r="A996" s="231"/>
    </row>
    <row r="997" spans="1:1" x14ac:dyDescent="0.2">
      <c r="A997" s="231"/>
    </row>
    <row r="998" spans="1:1" x14ac:dyDescent="0.2">
      <c r="A998" s="231"/>
    </row>
    <row r="999" spans="1:1" x14ac:dyDescent="0.2">
      <c r="A999" s="231"/>
    </row>
    <row r="1000" spans="1:1" x14ac:dyDescent="0.2">
      <c r="A1000" s="231"/>
    </row>
    <row r="1001" spans="1:1" x14ac:dyDescent="0.2">
      <c r="A1001" s="231"/>
    </row>
    <row r="1002" spans="1:1" x14ac:dyDescent="0.2">
      <c r="A1002" s="231"/>
    </row>
    <row r="1003" spans="1:1" x14ac:dyDescent="0.2">
      <c r="A1003" s="231"/>
    </row>
    <row r="1004" spans="1:1" x14ac:dyDescent="0.2">
      <c r="A1004" s="231"/>
    </row>
    <row r="1005" spans="1:1" x14ac:dyDescent="0.2">
      <c r="A1005" s="231"/>
    </row>
    <row r="1006" spans="1:1" x14ac:dyDescent="0.2">
      <c r="A1006" s="231"/>
    </row>
    <row r="1007" spans="1:1" x14ac:dyDescent="0.2">
      <c r="A1007" s="231"/>
    </row>
    <row r="1008" spans="1:1" x14ac:dyDescent="0.2">
      <c r="A1008" s="231"/>
    </row>
    <row r="1009" spans="1:1" x14ac:dyDescent="0.2">
      <c r="A1009" s="231"/>
    </row>
    <row r="1010" spans="1:1" x14ac:dyDescent="0.2">
      <c r="A1010" s="231"/>
    </row>
    <row r="1011" spans="1:1" x14ac:dyDescent="0.2">
      <c r="A1011" s="231"/>
    </row>
    <row r="1012" spans="1:1" x14ac:dyDescent="0.2">
      <c r="A1012" s="231"/>
    </row>
    <row r="1013" spans="1:1" x14ac:dyDescent="0.2">
      <c r="A1013" s="231"/>
    </row>
    <row r="1014" spans="1:1" x14ac:dyDescent="0.2">
      <c r="A1014" s="231"/>
    </row>
    <row r="1015" spans="1:1" x14ac:dyDescent="0.2">
      <c r="A1015" s="231"/>
    </row>
    <row r="1016" spans="1:1" x14ac:dyDescent="0.2">
      <c r="A1016" s="231"/>
    </row>
    <row r="1017" spans="1:1" x14ac:dyDescent="0.2">
      <c r="A1017" s="231"/>
    </row>
    <row r="1018" spans="1:1" x14ac:dyDescent="0.2">
      <c r="A1018" s="231"/>
    </row>
    <row r="1019" spans="1:1" x14ac:dyDescent="0.2">
      <c r="A1019" s="231"/>
    </row>
    <row r="1020" spans="1:1" x14ac:dyDescent="0.2">
      <c r="A1020" s="231"/>
    </row>
    <row r="1021" spans="1:1" x14ac:dyDescent="0.2">
      <c r="A1021" s="231"/>
    </row>
    <row r="1022" spans="1:1" x14ac:dyDescent="0.2">
      <c r="A1022" s="231"/>
    </row>
    <row r="1023" spans="1:1" x14ac:dyDescent="0.2">
      <c r="A1023" s="231"/>
    </row>
    <row r="1024" spans="1:1" x14ac:dyDescent="0.2">
      <c r="A1024" s="231"/>
    </row>
    <row r="1025" spans="1:1" x14ac:dyDescent="0.2">
      <c r="A1025" s="231"/>
    </row>
    <row r="1026" spans="1:1" x14ac:dyDescent="0.2">
      <c r="A1026" s="231"/>
    </row>
    <row r="1027" spans="1:1" x14ac:dyDescent="0.2">
      <c r="A1027" s="231"/>
    </row>
    <row r="1028" spans="1:1" x14ac:dyDescent="0.2">
      <c r="A1028" s="231"/>
    </row>
    <row r="1029" spans="1:1" x14ac:dyDescent="0.2">
      <c r="A1029" s="231"/>
    </row>
    <row r="1030" spans="1:1" x14ac:dyDescent="0.2">
      <c r="A1030" s="231"/>
    </row>
    <row r="1031" spans="1:1" x14ac:dyDescent="0.2">
      <c r="A1031" s="231"/>
    </row>
    <row r="1032" spans="1:1" x14ac:dyDescent="0.2">
      <c r="A1032" s="231"/>
    </row>
    <row r="1033" spans="1:1" x14ac:dyDescent="0.2">
      <c r="A1033" s="231"/>
    </row>
    <row r="1034" spans="1:1" x14ac:dyDescent="0.2">
      <c r="A1034" s="231"/>
    </row>
    <row r="1035" spans="1:1" x14ac:dyDescent="0.2">
      <c r="A1035" s="231"/>
    </row>
    <row r="1036" spans="1:1" x14ac:dyDescent="0.2">
      <c r="A1036" s="231"/>
    </row>
    <row r="1037" spans="1:1" x14ac:dyDescent="0.2">
      <c r="A1037" s="231"/>
    </row>
    <row r="1038" spans="1:1" x14ac:dyDescent="0.2">
      <c r="A1038" s="231"/>
    </row>
    <row r="1039" spans="1:1" x14ac:dyDescent="0.2">
      <c r="A1039" s="231"/>
    </row>
    <row r="1040" spans="1:1" x14ac:dyDescent="0.2">
      <c r="A1040" s="231"/>
    </row>
    <row r="1041" spans="1:1" x14ac:dyDescent="0.2">
      <c r="A1041" s="231"/>
    </row>
    <row r="1042" spans="1:1" x14ac:dyDescent="0.2">
      <c r="A1042" s="231"/>
    </row>
    <row r="1043" spans="1:1" x14ac:dyDescent="0.2">
      <c r="A1043" s="231"/>
    </row>
    <row r="1044" spans="1:1" x14ac:dyDescent="0.2">
      <c r="A1044" s="231"/>
    </row>
    <row r="1045" spans="1:1" x14ac:dyDescent="0.2">
      <c r="A1045" s="231"/>
    </row>
    <row r="1046" spans="1:1" x14ac:dyDescent="0.2">
      <c r="A1046" s="231"/>
    </row>
    <row r="1047" spans="1:1" x14ac:dyDescent="0.2">
      <c r="A1047" s="231"/>
    </row>
    <row r="1048" spans="1:1" x14ac:dyDescent="0.2">
      <c r="A1048" s="231"/>
    </row>
    <row r="1049" spans="1:1" x14ac:dyDescent="0.2">
      <c r="A1049" s="231"/>
    </row>
    <row r="1050" spans="1:1" x14ac:dyDescent="0.2">
      <c r="A1050" s="231"/>
    </row>
    <row r="1051" spans="1:1" x14ac:dyDescent="0.2">
      <c r="A1051" s="231"/>
    </row>
    <row r="1052" spans="1:1" x14ac:dyDescent="0.2">
      <c r="A1052" s="231"/>
    </row>
    <row r="1053" spans="1:1" x14ac:dyDescent="0.2">
      <c r="A1053" s="231"/>
    </row>
    <row r="1054" spans="1:1" x14ac:dyDescent="0.2">
      <c r="A1054" s="231"/>
    </row>
    <row r="1055" spans="1:1" x14ac:dyDescent="0.2">
      <c r="A1055" s="231"/>
    </row>
    <row r="1056" spans="1:1" x14ac:dyDescent="0.2">
      <c r="A1056" s="231"/>
    </row>
    <row r="1057" spans="1:1" x14ac:dyDescent="0.2">
      <c r="A1057" s="231"/>
    </row>
    <row r="1058" spans="1:1" x14ac:dyDescent="0.2">
      <c r="A1058" s="231"/>
    </row>
    <row r="1059" spans="1:1" x14ac:dyDescent="0.2">
      <c r="A1059" s="231"/>
    </row>
    <row r="1060" spans="1:1" x14ac:dyDescent="0.2">
      <c r="A1060" s="231"/>
    </row>
    <row r="1061" spans="1:1" x14ac:dyDescent="0.2">
      <c r="A1061" s="231"/>
    </row>
    <row r="1062" spans="1:1" x14ac:dyDescent="0.2">
      <c r="A1062" s="231"/>
    </row>
    <row r="1063" spans="1:1" x14ac:dyDescent="0.2">
      <c r="A1063" s="231"/>
    </row>
    <row r="1064" spans="1:1" x14ac:dyDescent="0.2">
      <c r="A1064" s="231"/>
    </row>
    <row r="1065" spans="1:1" x14ac:dyDescent="0.2">
      <c r="A1065" s="231"/>
    </row>
    <row r="1066" spans="1:1" x14ac:dyDescent="0.2">
      <c r="A1066" s="231"/>
    </row>
    <row r="1067" spans="1:1" x14ac:dyDescent="0.2">
      <c r="A1067" s="231"/>
    </row>
    <row r="1068" spans="1:1" x14ac:dyDescent="0.2">
      <c r="A1068" s="231"/>
    </row>
    <row r="1069" spans="1:1" x14ac:dyDescent="0.2">
      <c r="A1069" s="231"/>
    </row>
    <row r="1070" spans="1:1" x14ac:dyDescent="0.2">
      <c r="A1070" s="231"/>
    </row>
    <row r="1071" spans="1:1" x14ac:dyDescent="0.2">
      <c r="A1071" s="231"/>
    </row>
    <row r="1072" spans="1:1" x14ac:dyDescent="0.2">
      <c r="A1072" s="231"/>
    </row>
    <row r="1073" spans="1:1" x14ac:dyDescent="0.2">
      <c r="A1073" s="231"/>
    </row>
    <row r="1074" spans="1:1" x14ac:dyDescent="0.2">
      <c r="A1074" s="231"/>
    </row>
    <row r="1075" spans="1:1" x14ac:dyDescent="0.2">
      <c r="A1075" s="231"/>
    </row>
    <row r="1076" spans="1:1" x14ac:dyDescent="0.2">
      <c r="A1076" s="231"/>
    </row>
    <row r="1077" spans="1:1" x14ac:dyDescent="0.2">
      <c r="A1077" s="231"/>
    </row>
    <row r="1078" spans="1:1" x14ac:dyDescent="0.2">
      <c r="A1078" s="231"/>
    </row>
    <row r="1079" spans="1:1" x14ac:dyDescent="0.2">
      <c r="A1079" s="231"/>
    </row>
    <row r="1080" spans="1:1" x14ac:dyDescent="0.2">
      <c r="A1080" s="231"/>
    </row>
    <row r="1081" spans="1:1" x14ac:dyDescent="0.2">
      <c r="A1081" s="231"/>
    </row>
    <row r="1082" spans="1:1" x14ac:dyDescent="0.2">
      <c r="A1082" s="231"/>
    </row>
    <row r="1083" spans="1:1" x14ac:dyDescent="0.2">
      <c r="A1083" s="231"/>
    </row>
    <row r="1084" spans="1:1" x14ac:dyDescent="0.2">
      <c r="A1084" s="231"/>
    </row>
    <row r="1085" spans="1:1" x14ac:dyDescent="0.2">
      <c r="A1085" s="231"/>
    </row>
    <row r="1086" spans="1:1" x14ac:dyDescent="0.2">
      <c r="A1086" s="231"/>
    </row>
    <row r="1087" spans="1:1" x14ac:dyDescent="0.2">
      <c r="A1087" s="231"/>
    </row>
    <row r="1088" spans="1:1" x14ac:dyDescent="0.2">
      <c r="A1088" s="231"/>
    </row>
    <row r="1089" spans="1:1" x14ac:dyDescent="0.2">
      <c r="A1089" s="231"/>
    </row>
    <row r="1090" spans="1:1" x14ac:dyDescent="0.2">
      <c r="A1090" s="231"/>
    </row>
    <row r="1091" spans="1:1" x14ac:dyDescent="0.2">
      <c r="A1091" s="231"/>
    </row>
    <row r="1092" spans="1:1" x14ac:dyDescent="0.2">
      <c r="A1092" s="231"/>
    </row>
    <row r="1093" spans="1:1" x14ac:dyDescent="0.2">
      <c r="A1093" s="231"/>
    </row>
    <row r="1094" spans="1:1" x14ac:dyDescent="0.2">
      <c r="A1094" s="231"/>
    </row>
    <row r="1095" spans="1:1" x14ac:dyDescent="0.2">
      <c r="A1095" s="231"/>
    </row>
    <row r="1096" spans="1:1" x14ac:dyDescent="0.2">
      <c r="A1096" s="231"/>
    </row>
    <row r="1097" spans="1:1" x14ac:dyDescent="0.2">
      <c r="A1097" s="231"/>
    </row>
    <row r="1098" spans="1:1" x14ac:dyDescent="0.2">
      <c r="A1098" s="231"/>
    </row>
    <row r="1099" spans="1:1" x14ac:dyDescent="0.2">
      <c r="A1099" s="231"/>
    </row>
    <row r="1100" spans="1:1" x14ac:dyDescent="0.2">
      <c r="A1100" s="231"/>
    </row>
    <row r="1101" spans="1:1" x14ac:dyDescent="0.2">
      <c r="A1101" s="231"/>
    </row>
    <row r="1102" spans="1:1" x14ac:dyDescent="0.2">
      <c r="A1102" s="231"/>
    </row>
    <row r="1103" spans="1:1" x14ac:dyDescent="0.2">
      <c r="A1103" s="231"/>
    </row>
    <row r="1104" spans="1:1" x14ac:dyDescent="0.2">
      <c r="A1104" s="231"/>
    </row>
    <row r="1105" spans="1:1" x14ac:dyDescent="0.2">
      <c r="A1105" s="231"/>
    </row>
    <row r="1106" spans="1:1" x14ac:dyDescent="0.2">
      <c r="A1106" s="231"/>
    </row>
    <row r="1107" spans="1:1" x14ac:dyDescent="0.2">
      <c r="A1107" s="231"/>
    </row>
    <row r="1108" spans="1:1" x14ac:dyDescent="0.2">
      <c r="A1108" s="231"/>
    </row>
    <row r="1109" spans="1:1" x14ac:dyDescent="0.2">
      <c r="A1109" s="231"/>
    </row>
    <row r="1110" spans="1:1" x14ac:dyDescent="0.2">
      <c r="A1110" s="231"/>
    </row>
    <row r="1111" spans="1:1" x14ac:dyDescent="0.2">
      <c r="A1111" s="231"/>
    </row>
    <row r="1112" spans="1:1" x14ac:dyDescent="0.2">
      <c r="A1112" s="231"/>
    </row>
    <row r="1113" spans="1:1" x14ac:dyDescent="0.2">
      <c r="A1113" s="231"/>
    </row>
    <row r="1114" spans="1:1" x14ac:dyDescent="0.2">
      <c r="A1114" s="231"/>
    </row>
    <row r="1115" spans="1:1" x14ac:dyDescent="0.2">
      <c r="A1115" s="231"/>
    </row>
    <row r="1116" spans="1:1" x14ac:dyDescent="0.2">
      <c r="A1116" s="231"/>
    </row>
    <row r="1117" spans="1:1" x14ac:dyDescent="0.2">
      <c r="A1117" s="231"/>
    </row>
    <row r="1118" spans="1:1" x14ac:dyDescent="0.2">
      <c r="A1118" s="231"/>
    </row>
    <row r="1119" spans="1:1" x14ac:dyDescent="0.2">
      <c r="A1119" s="231"/>
    </row>
    <row r="1120" spans="1:1" x14ac:dyDescent="0.2">
      <c r="A1120" s="231"/>
    </row>
    <row r="1121" spans="1:1" x14ac:dyDescent="0.2">
      <c r="A1121" s="231"/>
    </row>
    <row r="1122" spans="1:1" x14ac:dyDescent="0.2">
      <c r="A1122" s="231"/>
    </row>
    <row r="1123" spans="1:1" x14ac:dyDescent="0.2">
      <c r="A1123" s="231"/>
    </row>
    <row r="1124" spans="1:1" x14ac:dyDescent="0.2">
      <c r="A1124" s="231"/>
    </row>
    <row r="1125" spans="1:1" x14ac:dyDescent="0.2">
      <c r="A1125" s="231"/>
    </row>
    <row r="1126" spans="1:1" x14ac:dyDescent="0.2">
      <c r="A1126" s="231"/>
    </row>
    <row r="1127" spans="1:1" x14ac:dyDescent="0.2">
      <c r="A1127" s="231"/>
    </row>
    <row r="1128" spans="1:1" x14ac:dyDescent="0.2">
      <c r="A1128" s="231"/>
    </row>
    <row r="1129" spans="1:1" x14ac:dyDescent="0.2">
      <c r="A1129" s="231"/>
    </row>
    <row r="1130" spans="1:1" x14ac:dyDescent="0.2">
      <c r="A1130" s="231"/>
    </row>
    <row r="1131" spans="1:1" x14ac:dyDescent="0.2">
      <c r="A1131" s="231"/>
    </row>
    <row r="1132" spans="1:1" x14ac:dyDescent="0.2">
      <c r="A1132" s="231"/>
    </row>
    <row r="1133" spans="1:1" x14ac:dyDescent="0.2">
      <c r="A1133" s="231"/>
    </row>
    <row r="1134" spans="1:1" x14ac:dyDescent="0.2">
      <c r="A1134" s="231"/>
    </row>
    <row r="1135" spans="1:1" x14ac:dyDescent="0.2">
      <c r="A1135" s="231"/>
    </row>
    <row r="1136" spans="1:1" x14ac:dyDescent="0.2">
      <c r="A1136" s="231"/>
    </row>
    <row r="1137" spans="1:1" x14ac:dyDescent="0.2">
      <c r="A1137" s="231"/>
    </row>
    <row r="1138" spans="1:1" x14ac:dyDescent="0.2">
      <c r="A1138" s="231"/>
    </row>
    <row r="1139" spans="1:1" x14ac:dyDescent="0.2">
      <c r="A1139" s="231"/>
    </row>
    <row r="1140" spans="1:1" x14ac:dyDescent="0.2">
      <c r="A1140" s="231"/>
    </row>
    <row r="1141" spans="1:1" x14ac:dyDescent="0.2">
      <c r="A1141" s="231"/>
    </row>
    <row r="1142" spans="1:1" x14ac:dyDescent="0.2">
      <c r="A1142" s="231"/>
    </row>
    <row r="1143" spans="1:1" x14ac:dyDescent="0.2">
      <c r="A1143" s="231"/>
    </row>
    <row r="1144" spans="1:1" x14ac:dyDescent="0.2">
      <c r="A1144" s="231"/>
    </row>
    <row r="1145" spans="1:1" x14ac:dyDescent="0.2">
      <c r="A1145" s="231"/>
    </row>
    <row r="1146" spans="1:1" x14ac:dyDescent="0.2">
      <c r="A1146" s="231"/>
    </row>
    <row r="1147" spans="1:1" x14ac:dyDescent="0.2">
      <c r="A1147" s="231"/>
    </row>
    <row r="1148" spans="1:1" x14ac:dyDescent="0.2">
      <c r="A1148" s="231"/>
    </row>
    <row r="1149" spans="1:1" x14ac:dyDescent="0.2">
      <c r="A1149" s="231"/>
    </row>
    <row r="1150" spans="1:1" x14ac:dyDescent="0.2">
      <c r="A1150" s="231"/>
    </row>
    <row r="1151" spans="1:1" x14ac:dyDescent="0.2">
      <c r="A1151" s="231"/>
    </row>
    <row r="1152" spans="1:1" x14ac:dyDescent="0.2">
      <c r="A1152" s="231"/>
    </row>
    <row r="1153" spans="1:1" x14ac:dyDescent="0.2">
      <c r="A1153" s="231"/>
    </row>
    <row r="1154" spans="1:1" x14ac:dyDescent="0.2">
      <c r="A1154" s="231"/>
    </row>
    <row r="1155" spans="1:1" x14ac:dyDescent="0.2">
      <c r="A1155" s="231"/>
    </row>
    <row r="1156" spans="1:1" x14ac:dyDescent="0.2">
      <c r="A1156" s="231"/>
    </row>
    <row r="1157" spans="1:1" x14ac:dyDescent="0.2">
      <c r="A1157" s="231"/>
    </row>
    <row r="1158" spans="1:1" x14ac:dyDescent="0.2">
      <c r="A1158" s="231"/>
    </row>
    <row r="1159" spans="1:1" x14ac:dyDescent="0.2">
      <c r="A1159" s="231"/>
    </row>
    <row r="1160" spans="1:1" x14ac:dyDescent="0.2">
      <c r="A1160" s="231"/>
    </row>
    <row r="1161" spans="1:1" x14ac:dyDescent="0.2">
      <c r="A1161" s="231"/>
    </row>
    <row r="1162" spans="1:1" x14ac:dyDescent="0.2">
      <c r="A1162" s="231"/>
    </row>
    <row r="1163" spans="1:1" x14ac:dyDescent="0.2">
      <c r="A1163" s="231"/>
    </row>
    <row r="1164" spans="1:1" x14ac:dyDescent="0.2">
      <c r="A1164" s="231"/>
    </row>
    <row r="1165" spans="1:1" x14ac:dyDescent="0.2">
      <c r="A1165" s="231"/>
    </row>
    <row r="1166" spans="1:1" x14ac:dyDescent="0.2">
      <c r="A1166" s="231"/>
    </row>
    <row r="1167" spans="1:1" x14ac:dyDescent="0.2">
      <c r="A1167" s="231"/>
    </row>
    <row r="1168" spans="1:1" x14ac:dyDescent="0.2">
      <c r="A1168" s="231"/>
    </row>
    <row r="1169" spans="1:1" x14ac:dyDescent="0.2">
      <c r="A1169" s="231"/>
    </row>
    <row r="1170" spans="1:1" x14ac:dyDescent="0.2">
      <c r="A1170" s="231"/>
    </row>
    <row r="1171" spans="1:1" x14ac:dyDescent="0.2">
      <c r="A1171" s="231"/>
    </row>
    <row r="1172" spans="1:1" x14ac:dyDescent="0.2">
      <c r="A1172" s="231"/>
    </row>
    <row r="1173" spans="1:1" x14ac:dyDescent="0.2">
      <c r="A1173" s="231"/>
    </row>
    <row r="1174" spans="1:1" x14ac:dyDescent="0.2">
      <c r="A1174" s="231"/>
    </row>
    <row r="1175" spans="1:1" x14ac:dyDescent="0.2">
      <c r="A1175" s="231"/>
    </row>
    <row r="1176" spans="1:1" x14ac:dyDescent="0.2">
      <c r="A1176" s="231"/>
    </row>
    <row r="1177" spans="1:1" x14ac:dyDescent="0.2">
      <c r="A1177" s="231"/>
    </row>
    <row r="1178" spans="1:1" x14ac:dyDescent="0.2">
      <c r="A1178" s="231"/>
    </row>
    <row r="1179" spans="1:1" x14ac:dyDescent="0.2">
      <c r="A1179" s="231"/>
    </row>
    <row r="1180" spans="1:1" x14ac:dyDescent="0.2">
      <c r="A1180" s="231"/>
    </row>
    <row r="1181" spans="1:1" x14ac:dyDescent="0.2">
      <c r="A1181" s="231"/>
    </row>
    <row r="1182" spans="1:1" x14ac:dyDescent="0.2">
      <c r="A1182" s="231"/>
    </row>
    <row r="1183" spans="1:1" x14ac:dyDescent="0.2">
      <c r="A1183" s="231"/>
    </row>
    <row r="1184" spans="1:1" x14ac:dyDescent="0.2">
      <c r="A1184" s="231"/>
    </row>
    <row r="1185" spans="1:8" x14ac:dyDescent="0.2">
      <c r="A1185" s="231"/>
    </row>
    <row r="1186" spans="1:8" x14ac:dyDescent="0.2">
      <c r="A1186" s="231"/>
    </row>
    <row r="1187" spans="1:8" x14ac:dyDescent="0.2">
      <c r="A1187" s="231"/>
    </row>
    <row r="1188" spans="1:8" x14ac:dyDescent="0.2">
      <c r="A1188" s="231"/>
    </row>
    <row r="1189" spans="1:8" x14ac:dyDescent="0.2">
      <c r="A1189" s="231"/>
    </row>
    <row r="1190" spans="1:8" x14ac:dyDescent="0.2">
      <c r="A1190" s="231"/>
    </row>
    <row r="1191" spans="1:8" x14ac:dyDescent="0.2">
      <c r="A1191" s="231"/>
    </row>
    <row r="1192" spans="1:8" x14ac:dyDescent="0.2">
      <c r="A1192" s="231"/>
    </row>
    <row r="1193" spans="1:8" x14ac:dyDescent="0.2">
      <c r="A1193" s="231"/>
    </row>
    <row r="1194" spans="1:8" x14ac:dyDescent="0.2">
      <c r="A1194" s="231"/>
    </row>
    <row r="1195" spans="1:8" ht="21.75" customHeight="1" x14ac:dyDescent="0.2">
      <c r="A1195" s="231"/>
      <c r="B1195" s="378"/>
      <c r="C1195" s="378"/>
      <c r="D1195" s="379" t="s">
        <v>715</v>
      </c>
      <c r="E1195" s="378"/>
      <c r="F1195" s="378"/>
      <c r="G1195" s="378"/>
      <c r="H1195" s="380"/>
    </row>
    <row r="1196" spans="1:8" x14ac:dyDescent="0.2">
      <c r="A1196" s="231"/>
      <c r="D1196" s="231"/>
    </row>
    <row r="1197" spans="1:8" x14ac:dyDescent="0.2">
      <c r="A1197" s="231"/>
      <c r="B1197" s="223"/>
      <c r="C1197" s="224"/>
      <c r="D1197" s="228"/>
      <c r="E1197" s="224"/>
      <c r="F1197" s="224"/>
      <c r="G1197" s="224"/>
      <c r="H1197" s="230"/>
    </row>
    <row r="1198" spans="1:8" x14ac:dyDescent="0.2">
      <c r="B1198" s="225"/>
      <c r="C1198" s="226"/>
      <c r="D1198" s="227"/>
      <c r="E1198" s="226"/>
      <c r="F1198" s="226"/>
      <c r="G1198" s="226"/>
      <c r="H1198" s="229"/>
    </row>
  </sheetData>
  <sheetProtection algorithmName="SHA-512" hashValue="ZDpJ/v8+Q1eBmgzUFA5WYFocoZdYJxDCnPTLHz6j/w7/y98qNLB1kfEkOhZEwnS4r1S5ZbGplI+BFWVlKDzVSA==" saltValue="M2DYyzQ2NXnXLHsHx1QoHg==" spinCount="100000" sheet="1" objects="1" scenarios="1" selectLockedCells="1"/>
  <autoFilter ref="B5:J875">
    <sortState ref="B11:J948">
      <sortCondition ref="E10:E948"/>
    </sortState>
  </autoFilter>
  <mergeCells count="4">
    <mergeCell ref="B1:C1"/>
    <mergeCell ref="D4:H4"/>
    <mergeCell ref="B4:C4"/>
    <mergeCell ref="B2:C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11" r:id="rId4" name="TxtB_Serch">
          <controlPr defaultSize="0" autoLine="0" r:id="rId5">
            <anchor moveWithCells="1">
              <from>
                <xdr:col>1</xdr:col>
                <xdr:colOff>400050</xdr:colOff>
                <xdr:row>3</xdr:row>
                <xdr:rowOff>9525</xdr:rowOff>
              </from>
              <to>
                <xdr:col>3</xdr:col>
                <xdr:colOff>0</xdr:colOff>
                <xdr:row>3</xdr:row>
                <xdr:rowOff>371475</xdr:rowOff>
              </to>
            </anchor>
          </controlPr>
        </control>
      </mc:Choice>
      <mc:Fallback>
        <control shapeId="3011" r:id="rId4" name="TxtB_Serch"/>
      </mc:Fallback>
    </mc:AlternateContent>
    <mc:AlternateContent xmlns:mc="http://schemas.openxmlformats.org/markup-compatibility/2006">
      <mc:Choice Requires="x14">
        <control shapeId="3008" r:id="rId6" name="LB_System">
          <controlPr defaultSize="0" autoLine="0" autoPict="0" macro="[0]!LB_System_Change">
            <anchor moveWithCells="1">
              <from>
                <xdr:col>1</xdr:col>
                <xdr:colOff>0</xdr:colOff>
                <xdr:row>2</xdr:row>
                <xdr:rowOff>66675</xdr:rowOff>
              </from>
              <to>
                <xdr:col>3</xdr:col>
                <xdr:colOff>9525</xdr:colOff>
                <xdr:row>2</xdr:row>
                <xdr:rowOff>657225</xdr:rowOff>
              </to>
            </anchor>
          </controlPr>
        </control>
      </mc:Choice>
    </mc:AlternateContent>
    <mc:AlternateContent xmlns:mc="http://schemas.openxmlformats.org/markup-compatibility/2006">
      <mc:Choice Requires="x14">
        <control shapeId="3009" r:id="rId7" name="LB_Item">
          <controlPr defaultSize="0" autoLine="0" autoPict="0" macro="[0]!LB_Item_Change">
            <anchor moveWithCells="1">
              <from>
                <xdr:col>3</xdr:col>
                <xdr:colOff>142875</xdr:colOff>
                <xdr:row>2</xdr:row>
                <xdr:rowOff>66675</xdr:rowOff>
              </from>
              <to>
                <xdr:col>3</xdr:col>
                <xdr:colOff>2800350</xdr:colOff>
                <xdr:row>2</xdr:row>
                <xdr:rowOff>657225</xdr:rowOff>
              </to>
            </anchor>
          </controlPr>
        </control>
      </mc:Choice>
    </mc:AlternateContent>
    <mc:AlternateContent xmlns:mc="http://schemas.openxmlformats.org/markup-compatibility/2006">
      <mc:Choice Requires="x14">
        <control shapeId="3010" r:id="rId8" name="LB_Category">
          <controlPr defaultSize="0" autoLine="0" autoPict="0" macro="[0]!LB_Category_Change">
            <anchor moveWithCells="1">
              <from>
                <xdr:col>3</xdr:col>
                <xdr:colOff>2933700</xdr:colOff>
                <xdr:row>2</xdr:row>
                <xdr:rowOff>66675</xdr:rowOff>
              </from>
              <to>
                <xdr:col>3</xdr:col>
                <xdr:colOff>5591175</xdr:colOff>
                <xdr:row>2</xdr:row>
                <xdr:rowOff>657225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I288"/>
  <sheetViews>
    <sheetView showGridLines="0" showRowColHeaders="0" view="pageBreakPreview" zoomScale="90" zoomScaleNormal="70" zoomScaleSheetLayoutView="90" workbookViewId="0">
      <pane xSplit="1" ySplit="12" topLeftCell="B13" activePane="bottomRight" state="frozen"/>
      <selection pane="topRight" activeCell="B1" sqref="B1"/>
      <selection pane="bottomLeft" activeCell="A13" sqref="A13"/>
      <selection pane="bottomRight" activeCell="B13" sqref="B13"/>
    </sheetView>
  </sheetViews>
  <sheetFormatPr defaultRowHeight="15" x14ac:dyDescent="0.2"/>
  <cols>
    <col min="1" max="1" width="2" style="46" customWidth="1"/>
    <col min="2" max="2" width="8.125" style="46" customWidth="1"/>
    <col min="3" max="3" width="16.5" style="62" customWidth="1"/>
    <col min="4" max="4" width="90.875" style="46" bestFit="1" customWidth="1"/>
    <col min="5" max="5" width="21.625" style="46" customWidth="1"/>
    <col min="6" max="6" width="10.25" style="46" customWidth="1"/>
    <col min="7" max="7" width="14.375" style="46" customWidth="1"/>
    <col min="8" max="8" width="23.125" style="46" customWidth="1"/>
    <col min="9" max="9" width="18.25" style="46" hidden="1" customWidth="1"/>
    <col min="10" max="16384" width="9" style="46"/>
  </cols>
  <sheetData>
    <row r="1" spans="2:9" x14ac:dyDescent="0.2">
      <c r="B1" s="45"/>
      <c r="C1" s="51"/>
      <c r="D1" s="45"/>
      <c r="E1" s="45"/>
      <c r="F1" s="45"/>
      <c r="G1" s="45"/>
      <c r="H1" s="45"/>
      <c r="I1" s="45"/>
    </row>
    <row r="2" spans="2:9" ht="18.75" customHeight="1" x14ac:dyDescent="0.2">
      <c r="B2" s="461" t="s">
        <v>2117</v>
      </c>
      <c r="C2" s="461"/>
      <c r="D2" s="461"/>
      <c r="E2" s="45"/>
      <c r="F2" s="45"/>
      <c r="G2" s="45"/>
      <c r="H2" s="45"/>
      <c r="I2" s="45"/>
    </row>
    <row r="3" spans="2:9" ht="15" customHeight="1" x14ac:dyDescent="0.2">
      <c r="B3" s="461"/>
      <c r="C3" s="461"/>
      <c r="D3" s="461"/>
      <c r="E3" s="45"/>
      <c r="F3" s="45"/>
      <c r="G3" s="45"/>
      <c r="H3" s="45"/>
      <c r="I3" s="45"/>
    </row>
    <row r="4" spans="2:9" x14ac:dyDescent="0.2">
      <c r="B4" s="273"/>
      <c r="C4" s="274"/>
      <c r="D4" s="273"/>
      <c r="E4" s="45"/>
      <c r="F4" s="45"/>
      <c r="G4" s="45"/>
      <c r="H4" s="45"/>
      <c r="I4" s="45"/>
    </row>
    <row r="5" spans="2:9" ht="31.5" x14ac:dyDescent="0.2">
      <c r="B5" s="469"/>
      <c r="C5" s="470"/>
      <c r="D5" s="273"/>
      <c r="E5" s="45"/>
      <c r="F5" s="45"/>
      <c r="G5" s="45"/>
      <c r="H5" s="45"/>
      <c r="I5" s="45"/>
    </row>
    <row r="6" spans="2:9" ht="18.75" x14ac:dyDescent="0.2">
      <c r="B6" s="300"/>
      <c r="C6" s="301"/>
      <c r="D6" s="300"/>
      <c r="E6" s="445" t="s">
        <v>2145</v>
      </c>
      <c r="F6" s="445"/>
      <c r="G6" s="463">
        <f ca="1">TODAY()</f>
        <v>42905</v>
      </c>
      <c r="H6" s="463"/>
      <c r="I6" s="52"/>
    </row>
    <row r="7" spans="2:9" ht="18.75" x14ac:dyDescent="0.2">
      <c r="B7" s="300"/>
      <c r="C7" s="301"/>
      <c r="D7" s="300"/>
      <c r="E7" s="445" t="s">
        <v>2146</v>
      </c>
      <c r="F7" s="445"/>
      <c r="G7" s="464"/>
      <c r="H7" s="464"/>
      <c r="I7" s="47"/>
    </row>
    <row r="8" spans="2:9" ht="18.75" x14ac:dyDescent="0.2">
      <c r="B8" s="360" t="s">
        <v>2152</v>
      </c>
      <c r="C8" s="465"/>
      <c r="D8" s="465"/>
      <c r="E8" s="445" t="s">
        <v>2148</v>
      </c>
      <c r="F8" s="445"/>
      <c r="G8" s="464" t="s">
        <v>960</v>
      </c>
      <c r="H8" s="464"/>
      <c r="I8" s="47"/>
    </row>
    <row r="9" spans="2:9" ht="18.75" x14ac:dyDescent="0.2">
      <c r="B9" s="360" t="s">
        <v>2151</v>
      </c>
      <c r="C9" s="465"/>
      <c r="D9" s="465"/>
      <c r="E9" s="445" t="s">
        <v>2149</v>
      </c>
      <c r="F9" s="445"/>
      <c r="G9" s="466"/>
      <c r="H9" s="466"/>
      <c r="I9" s="47"/>
    </row>
    <row r="10" spans="2:9" ht="18.75" x14ac:dyDescent="0.2">
      <c r="B10" s="302"/>
      <c r="C10" s="303"/>
      <c r="D10" s="300"/>
      <c r="E10" s="445" t="s">
        <v>2147</v>
      </c>
      <c r="F10" s="445"/>
      <c r="G10" s="464" t="s">
        <v>961</v>
      </c>
      <c r="H10" s="464"/>
      <c r="I10" s="52"/>
    </row>
    <row r="11" spans="2:9" ht="19.5" thickBot="1" x14ac:dyDescent="0.25">
      <c r="B11" s="302"/>
      <c r="C11" s="303"/>
      <c r="D11" s="300"/>
      <c r="E11" s="302"/>
      <c r="F11" s="302"/>
      <c r="G11" s="300"/>
      <c r="H11" s="304"/>
      <c r="I11" s="53"/>
    </row>
    <row r="12" spans="2:9" s="294" customFormat="1" ht="24" customHeight="1" x14ac:dyDescent="0.2">
      <c r="B12" s="308" t="s">
        <v>2135</v>
      </c>
      <c r="C12" s="309" t="s">
        <v>2121</v>
      </c>
      <c r="D12" s="309" t="s">
        <v>2122</v>
      </c>
      <c r="E12" s="309" t="s">
        <v>2132</v>
      </c>
      <c r="F12" s="310" t="s">
        <v>31</v>
      </c>
      <c r="G12" s="310" t="s">
        <v>1896</v>
      </c>
      <c r="H12" s="311" t="s">
        <v>2133</v>
      </c>
      <c r="I12" s="293" t="s">
        <v>964</v>
      </c>
    </row>
    <row r="13" spans="2:9" s="284" customFormat="1" ht="18.75" x14ac:dyDescent="0.2">
      <c r="B13" s="305">
        <v>1</v>
      </c>
      <c r="C13" s="307">
        <f>BoQ!C5</f>
        <v>187354</v>
      </c>
      <c r="D13" s="306" t="str">
        <f>BoQ!E5</f>
        <v>FOC Universal ZGGFR 1x24 E9 G.652.D Indoor/Outdoor 1000 mtr</v>
      </c>
      <c r="E13" s="319">
        <f>BoQ!L5</f>
        <v>1355.2</v>
      </c>
      <c r="F13" s="307" t="str">
        <f>BoQ!D5</f>
        <v>Reel</v>
      </c>
      <c r="G13" s="392">
        <f>BoQ!M5</f>
        <v>0</v>
      </c>
      <c r="H13" s="396">
        <f>IFERROR(G13*E13,0)</f>
        <v>0</v>
      </c>
      <c r="I13" s="283"/>
    </row>
    <row r="14" spans="2:9" s="284" customFormat="1" ht="18.75" hidden="1" x14ac:dyDescent="0.2">
      <c r="B14" s="285">
        <v>2</v>
      </c>
      <c r="C14" s="288">
        <f>BoQ!C6</f>
        <v>415222</v>
      </c>
      <c r="D14" s="286" t="str">
        <f>BoQ!E6</f>
        <v xml:space="preserve">6x SCD adapter, blue polymer housing with ceramic sleeve and 12 SC pigtails 2m E09/125µm OS2 </v>
      </c>
      <c r="E14" s="320">
        <f>BoQ!L6</f>
        <v>104.87800589999992</v>
      </c>
      <c r="F14" s="288" t="str">
        <f>BoQ!D6</f>
        <v>PC</v>
      </c>
      <c r="G14" s="393">
        <f>BoQ!M6</f>
        <v>0</v>
      </c>
      <c r="H14" s="397">
        <f>IFERROR(G14*E14,0)</f>
        <v>0</v>
      </c>
      <c r="I14" s="283"/>
    </row>
    <row r="15" spans="2:9" s="284" customFormat="1" ht="18.75" hidden="1" x14ac:dyDescent="0.2">
      <c r="B15" s="279">
        <v>3</v>
      </c>
      <c r="C15" s="282">
        <f>BoQ!C7</f>
        <v>421313</v>
      </c>
      <c r="D15" s="280" t="str">
        <f>BoQ!E7</f>
        <v>FO Duplex OS2 PC- LCD-SCD 03M</v>
      </c>
      <c r="E15" s="321">
        <f>BoQ!L7</f>
        <v>13.217599999999994</v>
      </c>
      <c r="F15" s="282" t="str">
        <f>BoQ!D7</f>
        <v>PC</v>
      </c>
      <c r="G15" s="394">
        <f>BoQ!M7</f>
        <v>0</v>
      </c>
      <c r="H15" s="398">
        <f>IFERROR(G15*E15,0)</f>
        <v>0</v>
      </c>
      <c r="I15" s="283"/>
    </row>
    <row r="16" spans="2:9" s="284" customFormat="1" ht="18.75" hidden="1" x14ac:dyDescent="0.2">
      <c r="B16" s="285">
        <v>4</v>
      </c>
      <c r="C16" s="288">
        <f>BoQ!C8</f>
        <v>191454</v>
      </c>
      <c r="D16" s="286" t="str">
        <f>BoQ!E8</f>
        <v>Cat6A F/FTP 4P AWG23 LS0H, Orange 500 mtr</v>
      </c>
      <c r="E16" s="320">
        <f>BoQ!L8</f>
        <v>268.45191648000002</v>
      </c>
      <c r="F16" s="288" t="str">
        <f>BoQ!D8</f>
        <v>Roll</v>
      </c>
      <c r="G16" s="393">
        <f>BoQ!M8</f>
        <v>0</v>
      </c>
      <c r="H16" s="397">
        <f t="shared" ref="H16:H79" si="0">IFERROR(G16*E16,0)</f>
        <v>0</v>
      </c>
      <c r="I16" s="283"/>
    </row>
    <row r="17" spans="2:9" s="284" customFormat="1" ht="18.75" hidden="1" x14ac:dyDescent="0.2">
      <c r="B17" s="279">
        <v>5</v>
      </c>
      <c r="C17" s="282">
        <f>BoQ!C9</f>
        <v>418019</v>
      </c>
      <c r="D17" s="280" t="str">
        <f>BoQ!E9</f>
        <v>PP 19‘‘/1U , for 24x RJ45 Keystone module, black</v>
      </c>
      <c r="E17" s="281">
        <f>BoQ!L9</f>
        <v>12.784933333333328</v>
      </c>
      <c r="F17" s="282" t="str">
        <f>BoQ!D9</f>
        <v>PC</v>
      </c>
      <c r="G17" s="394">
        <f>BoQ!M9</f>
        <v>0</v>
      </c>
      <c r="H17" s="399">
        <f t="shared" si="0"/>
        <v>0</v>
      </c>
      <c r="I17" s="283"/>
    </row>
    <row r="18" spans="2:9" s="284" customFormat="1" ht="18.75" hidden="1" x14ac:dyDescent="0.2">
      <c r="B18" s="285">
        <v>6</v>
      </c>
      <c r="C18" s="288">
        <f>BoQ!C10</f>
        <v>653516</v>
      </c>
      <c r="D18" s="286" t="str">
        <f>BoQ!E10</f>
        <v xml:space="preserve">Cat 6A,RJ45 PC, 5m,  shielded LSOH Grey </v>
      </c>
      <c r="E18" s="287">
        <f>BoQ!L10</f>
        <v>7.6031999999999975</v>
      </c>
      <c r="F18" s="288" t="str">
        <f>BoQ!D10</f>
        <v>PC</v>
      </c>
      <c r="G18" s="393">
        <f>BoQ!M10</f>
        <v>0</v>
      </c>
      <c r="H18" s="400">
        <f t="shared" si="0"/>
        <v>0</v>
      </c>
      <c r="I18" s="283"/>
    </row>
    <row r="19" spans="2:9" s="284" customFormat="1" ht="18.75" hidden="1" x14ac:dyDescent="0.2">
      <c r="B19" s="279">
        <v>7</v>
      </c>
      <c r="C19" s="282">
        <f>BoQ!C11</f>
        <v>0</v>
      </c>
      <c r="D19" s="280" t="str">
        <f>BoQ!E11</f>
        <v/>
      </c>
      <c r="E19" s="281" t="str">
        <f>BoQ!L11</f>
        <v/>
      </c>
      <c r="F19" s="282" t="str">
        <f>BoQ!D11</f>
        <v/>
      </c>
      <c r="G19" s="394">
        <f>BoQ!M11</f>
        <v>0</v>
      </c>
      <c r="H19" s="399">
        <f t="shared" si="0"/>
        <v>0</v>
      </c>
      <c r="I19" s="283"/>
    </row>
    <row r="20" spans="2:9" s="284" customFormat="1" ht="18.75" hidden="1" x14ac:dyDescent="0.2">
      <c r="B20" s="285">
        <v>8</v>
      </c>
      <c r="C20" s="288">
        <f>BoQ!C12</f>
        <v>0</v>
      </c>
      <c r="D20" s="286" t="str">
        <f>BoQ!E12</f>
        <v/>
      </c>
      <c r="E20" s="287" t="str">
        <f>BoQ!L12</f>
        <v/>
      </c>
      <c r="F20" s="288" t="str">
        <f>BoQ!D12</f>
        <v/>
      </c>
      <c r="G20" s="393">
        <f>BoQ!M12</f>
        <v>0</v>
      </c>
      <c r="H20" s="400">
        <f t="shared" si="0"/>
        <v>0</v>
      </c>
      <c r="I20" s="283"/>
    </row>
    <row r="21" spans="2:9" s="284" customFormat="1" ht="18.75" hidden="1" x14ac:dyDescent="0.2">
      <c r="B21" s="279">
        <v>9</v>
      </c>
      <c r="C21" s="282">
        <f>BoQ!C13</f>
        <v>0</v>
      </c>
      <c r="D21" s="280" t="str">
        <f>BoQ!E13</f>
        <v/>
      </c>
      <c r="E21" s="281" t="str">
        <f>BoQ!L13</f>
        <v/>
      </c>
      <c r="F21" s="282" t="str">
        <f>BoQ!D13</f>
        <v/>
      </c>
      <c r="G21" s="394">
        <f>BoQ!M13</f>
        <v>0</v>
      </c>
      <c r="H21" s="399">
        <f t="shared" si="0"/>
        <v>0</v>
      </c>
      <c r="I21" s="283"/>
    </row>
    <row r="22" spans="2:9" s="284" customFormat="1" ht="18.75" hidden="1" x14ac:dyDescent="0.2">
      <c r="B22" s="285">
        <v>10</v>
      </c>
      <c r="C22" s="288">
        <f>BoQ!C14</f>
        <v>0</v>
      </c>
      <c r="D22" s="286" t="str">
        <f>BoQ!E14</f>
        <v/>
      </c>
      <c r="E22" s="287" t="str">
        <f>BoQ!L14</f>
        <v/>
      </c>
      <c r="F22" s="288" t="str">
        <f>BoQ!D14</f>
        <v/>
      </c>
      <c r="G22" s="393">
        <f>BoQ!M14</f>
        <v>0</v>
      </c>
      <c r="H22" s="400">
        <f t="shared" si="0"/>
        <v>0</v>
      </c>
      <c r="I22" s="283"/>
    </row>
    <row r="23" spans="2:9" s="284" customFormat="1" ht="18.75" hidden="1" x14ac:dyDescent="0.2">
      <c r="B23" s="279">
        <v>11</v>
      </c>
      <c r="C23" s="282">
        <f>BoQ!C15</f>
        <v>0</v>
      </c>
      <c r="D23" s="280" t="str">
        <f>BoQ!E15</f>
        <v/>
      </c>
      <c r="E23" s="281" t="str">
        <f>BoQ!L15</f>
        <v/>
      </c>
      <c r="F23" s="282" t="str">
        <f>BoQ!D15</f>
        <v/>
      </c>
      <c r="G23" s="394">
        <f>BoQ!M15</f>
        <v>0</v>
      </c>
      <c r="H23" s="399">
        <f t="shared" si="0"/>
        <v>0</v>
      </c>
      <c r="I23" s="283"/>
    </row>
    <row r="24" spans="2:9" s="284" customFormat="1" ht="18.75" hidden="1" x14ac:dyDescent="0.2">
      <c r="B24" s="285">
        <v>12</v>
      </c>
      <c r="C24" s="288">
        <f>BoQ!C16</f>
        <v>0</v>
      </c>
      <c r="D24" s="286" t="str">
        <f>BoQ!E16</f>
        <v/>
      </c>
      <c r="E24" s="287" t="str">
        <f>BoQ!L16</f>
        <v/>
      </c>
      <c r="F24" s="288" t="str">
        <f>BoQ!D16</f>
        <v/>
      </c>
      <c r="G24" s="393">
        <f>BoQ!M16</f>
        <v>0</v>
      </c>
      <c r="H24" s="400">
        <f t="shared" si="0"/>
        <v>0</v>
      </c>
      <c r="I24" s="283"/>
    </row>
    <row r="25" spans="2:9" s="284" customFormat="1" ht="18.75" hidden="1" x14ac:dyDescent="0.2">
      <c r="B25" s="279">
        <v>13</v>
      </c>
      <c r="C25" s="282">
        <f>BoQ!C17</f>
        <v>0</v>
      </c>
      <c r="D25" s="280" t="str">
        <f>BoQ!E17</f>
        <v/>
      </c>
      <c r="E25" s="281" t="str">
        <f>BoQ!L17</f>
        <v/>
      </c>
      <c r="F25" s="282" t="str">
        <f>BoQ!D17</f>
        <v/>
      </c>
      <c r="G25" s="394">
        <f>BoQ!M17</f>
        <v>0</v>
      </c>
      <c r="H25" s="399">
        <f t="shared" si="0"/>
        <v>0</v>
      </c>
      <c r="I25" s="283"/>
    </row>
    <row r="26" spans="2:9" s="284" customFormat="1" ht="18.75" hidden="1" x14ac:dyDescent="0.2">
      <c r="B26" s="285">
        <v>14</v>
      </c>
      <c r="C26" s="288">
        <f>BoQ!C18</f>
        <v>0</v>
      </c>
      <c r="D26" s="286" t="str">
        <f>BoQ!E18</f>
        <v/>
      </c>
      <c r="E26" s="287" t="str">
        <f>BoQ!L18</f>
        <v/>
      </c>
      <c r="F26" s="288" t="str">
        <f>BoQ!D18</f>
        <v/>
      </c>
      <c r="G26" s="393">
        <f>BoQ!M18</f>
        <v>0</v>
      </c>
      <c r="H26" s="400">
        <f t="shared" si="0"/>
        <v>0</v>
      </c>
      <c r="I26" s="283"/>
    </row>
    <row r="27" spans="2:9" s="284" customFormat="1" ht="18.75" hidden="1" x14ac:dyDescent="0.2">
      <c r="B27" s="279">
        <v>15</v>
      </c>
      <c r="C27" s="282">
        <f>BoQ!C19</f>
        <v>0</v>
      </c>
      <c r="D27" s="280" t="str">
        <f>BoQ!E19</f>
        <v/>
      </c>
      <c r="E27" s="281" t="str">
        <f>BoQ!L19</f>
        <v/>
      </c>
      <c r="F27" s="282" t="str">
        <f>BoQ!D19</f>
        <v/>
      </c>
      <c r="G27" s="394">
        <f>BoQ!M19</f>
        <v>0</v>
      </c>
      <c r="H27" s="399">
        <f t="shared" si="0"/>
        <v>0</v>
      </c>
      <c r="I27" s="283"/>
    </row>
    <row r="28" spans="2:9" s="284" customFormat="1" ht="18.75" hidden="1" x14ac:dyDescent="0.2">
      <c r="B28" s="285">
        <v>16</v>
      </c>
      <c r="C28" s="288">
        <f>BoQ!C20</f>
        <v>0</v>
      </c>
      <c r="D28" s="286" t="str">
        <f>BoQ!E20</f>
        <v/>
      </c>
      <c r="E28" s="287" t="str">
        <f>BoQ!L20</f>
        <v/>
      </c>
      <c r="F28" s="288" t="str">
        <f>BoQ!D20</f>
        <v/>
      </c>
      <c r="G28" s="393">
        <f>BoQ!M20</f>
        <v>0</v>
      </c>
      <c r="H28" s="400">
        <f t="shared" si="0"/>
        <v>0</v>
      </c>
      <c r="I28" s="283"/>
    </row>
    <row r="29" spans="2:9" s="284" customFormat="1" ht="18.75" hidden="1" x14ac:dyDescent="0.2">
      <c r="B29" s="279">
        <v>17</v>
      </c>
      <c r="C29" s="282">
        <f>BoQ!C21</f>
        <v>0</v>
      </c>
      <c r="D29" s="280" t="str">
        <f>BoQ!E21</f>
        <v/>
      </c>
      <c r="E29" s="281" t="str">
        <f>BoQ!L21</f>
        <v/>
      </c>
      <c r="F29" s="282" t="str">
        <f>BoQ!D21</f>
        <v/>
      </c>
      <c r="G29" s="394">
        <f>BoQ!M21</f>
        <v>0</v>
      </c>
      <c r="H29" s="399">
        <f t="shared" si="0"/>
        <v>0</v>
      </c>
      <c r="I29" s="283"/>
    </row>
    <row r="30" spans="2:9" s="284" customFormat="1" ht="18.75" hidden="1" x14ac:dyDescent="0.2">
      <c r="B30" s="285">
        <v>18</v>
      </c>
      <c r="C30" s="288">
        <f>BoQ!C22</f>
        <v>0</v>
      </c>
      <c r="D30" s="286" t="str">
        <f>BoQ!E22</f>
        <v/>
      </c>
      <c r="E30" s="287" t="str">
        <f>BoQ!L22</f>
        <v/>
      </c>
      <c r="F30" s="288" t="str">
        <f>BoQ!D22</f>
        <v/>
      </c>
      <c r="G30" s="393">
        <f>BoQ!M22</f>
        <v>0</v>
      </c>
      <c r="H30" s="400">
        <f t="shared" si="0"/>
        <v>0</v>
      </c>
      <c r="I30" s="283"/>
    </row>
    <row r="31" spans="2:9" s="284" customFormat="1" ht="18.75" hidden="1" x14ac:dyDescent="0.2">
      <c r="B31" s="279">
        <v>19</v>
      </c>
      <c r="C31" s="282">
        <f>BoQ!C23</f>
        <v>0</v>
      </c>
      <c r="D31" s="280" t="str">
        <f>BoQ!E23</f>
        <v/>
      </c>
      <c r="E31" s="281" t="str">
        <f>BoQ!L23</f>
        <v/>
      </c>
      <c r="F31" s="282" t="str">
        <f>BoQ!D23</f>
        <v/>
      </c>
      <c r="G31" s="394">
        <f>BoQ!M23</f>
        <v>0</v>
      </c>
      <c r="H31" s="399">
        <f t="shared" si="0"/>
        <v>0</v>
      </c>
      <c r="I31" s="283"/>
    </row>
    <row r="32" spans="2:9" s="284" customFormat="1" ht="18.75" hidden="1" x14ac:dyDescent="0.2">
      <c r="B32" s="285">
        <v>20</v>
      </c>
      <c r="C32" s="288">
        <f>BoQ!C24</f>
        <v>0</v>
      </c>
      <c r="D32" s="286" t="str">
        <f>BoQ!E24</f>
        <v/>
      </c>
      <c r="E32" s="287" t="str">
        <f>BoQ!L24</f>
        <v/>
      </c>
      <c r="F32" s="288" t="str">
        <f>BoQ!D24</f>
        <v/>
      </c>
      <c r="G32" s="393">
        <f>BoQ!M24</f>
        <v>0</v>
      </c>
      <c r="H32" s="400">
        <f t="shared" si="0"/>
        <v>0</v>
      </c>
      <c r="I32" s="283"/>
    </row>
    <row r="33" spans="2:9" s="284" customFormat="1" ht="18.75" hidden="1" x14ac:dyDescent="0.2">
      <c r="B33" s="279">
        <v>21</v>
      </c>
      <c r="C33" s="282">
        <f>BoQ!C25</f>
        <v>0</v>
      </c>
      <c r="D33" s="280" t="str">
        <f>BoQ!E25</f>
        <v/>
      </c>
      <c r="E33" s="281" t="str">
        <f>BoQ!L25</f>
        <v/>
      </c>
      <c r="F33" s="282" t="str">
        <f>BoQ!D25</f>
        <v/>
      </c>
      <c r="G33" s="394">
        <f>BoQ!M25</f>
        <v>0</v>
      </c>
      <c r="H33" s="399">
        <f t="shared" si="0"/>
        <v>0</v>
      </c>
      <c r="I33" s="283"/>
    </row>
    <row r="34" spans="2:9" s="284" customFormat="1" ht="18.75" hidden="1" x14ac:dyDescent="0.2">
      <c r="B34" s="285">
        <v>22</v>
      </c>
      <c r="C34" s="288">
        <f>BoQ!C26</f>
        <v>0</v>
      </c>
      <c r="D34" s="286" t="str">
        <f>BoQ!E26</f>
        <v/>
      </c>
      <c r="E34" s="287" t="str">
        <f>BoQ!L26</f>
        <v/>
      </c>
      <c r="F34" s="288" t="str">
        <f>BoQ!D26</f>
        <v/>
      </c>
      <c r="G34" s="393">
        <f>BoQ!M26</f>
        <v>0</v>
      </c>
      <c r="H34" s="400">
        <f t="shared" si="0"/>
        <v>0</v>
      </c>
      <c r="I34" s="283"/>
    </row>
    <row r="35" spans="2:9" s="284" customFormat="1" ht="18.75" hidden="1" x14ac:dyDescent="0.2">
      <c r="B35" s="279">
        <v>23</v>
      </c>
      <c r="C35" s="282">
        <f>BoQ!C27</f>
        <v>0</v>
      </c>
      <c r="D35" s="280" t="str">
        <f>BoQ!E27</f>
        <v/>
      </c>
      <c r="E35" s="281" t="str">
        <f>BoQ!L27</f>
        <v/>
      </c>
      <c r="F35" s="282" t="str">
        <f>BoQ!D27</f>
        <v/>
      </c>
      <c r="G35" s="394">
        <f>BoQ!M27</f>
        <v>0</v>
      </c>
      <c r="H35" s="399">
        <f t="shared" si="0"/>
        <v>0</v>
      </c>
      <c r="I35" s="283"/>
    </row>
    <row r="36" spans="2:9" s="284" customFormat="1" ht="18.75" hidden="1" x14ac:dyDescent="0.2">
      <c r="B36" s="285">
        <v>24</v>
      </c>
      <c r="C36" s="288">
        <f>BoQ!C28</f>
        <v>0</v>
      </c>
      <c r="D36" s="286" t="str">
        <f>BoQ!E28</f>
        <v/>
      </c>
      <c r="E36" s="287" t="str">
        <f>BoQ!L28</f>
        <v/>
      </c>
      <c r="F36" s="288" t="str">
        <f>BoQ!D28</f>
        <v/>
      </c>
      <c r="G36" s="393">
        <f>BoQ!M28</f>
        <v>0</v>
      </c>
      <c r="H36" s="400">
        <f t="shared" si="0"/>
        <v>0</v>
      </c>
      <c r="I36" s="283"/>
    </row>
    <row r="37" spans="2:9" s="284" customFormat="1" ht="18.75" hidden="1" x14ac:dyDescent="0.2">
      <c r="B37" s="279">
        <v>25</v>
      </c>
      <c r="C37" s="282">
        <f>BoQ!C29</f>
        <v>0</v>
      </c>
      <c r="D37" s="280" t="str">
        <f>BoQ!E29</f>
        <v/>
      </c>
      <c r="E37" s="281" t="str">
        <f>BoQ!L29</f>
        <v/>
      </c>
      <c r="F37" s="282" t="str">
        <f>BoQ!D29</f>
        <v/>
      </c>
      <c r="G37" s="394">
        <f>BoQ!M29</f>
        <v>0</v>
      </c>
      <c r="H37" s="399">
        <f t="shared" si="0"/>
        <v>0</v>
      </c>
      <c r="I37" s="283"/>
    </row>
    <row r="38" spans="2:9" s="284" customFormat="1" ht="18.75" hidden="1" x14ac:dyDescent="0.2">
      <c r="B38" s="285">
        <v>26</v>
      </c>
      <c r="C38" s="288">
        <f>BoQ!C30</f>
        <v>0</v>
      </c>
      <c r="D38" s="286" t="str">
        <f>BoQ!E30</f>
        <v/>
      </c>
      <c r="E38" s="287" t="str">
        <f>BoQ!L30</f>
        <v/>
      </c>
      <c r="F38" s="288" t="str">
        <f>BoQ!D30</f>
        <v/>
      </c>
      <c r="G38" s="393">
        <f>BoQ!M30</f>
        <v>0</v>
      </c>
      <c r="H38" s="400">
        <f t="shared" si="0"/>
        <v>0</v>
      </c>
      <c r="I38" s="283"/>
    </row>
    <row r="39" spans="2:9" s="284" customFormat="1" ht="18.75" hidden="1" x14ac:dyDescent="0.2">
      <c r="B39" s="279">
        <v>27</v>
      </c>
      <c r="C39" s="282">
        <f>BoQ!C31</f>
        <v>0</v>
      </c>
      <c r="D39" s="280" t="str">
        <f>BoQ!E31</f>
        <v/>
      </c>
      <c r="E39" s="281" t="str">
        <f>BoQ!L31</f>
        <v/>
      </c>
      <c r="F39" s="282" t="str">
        <f>BoQ!D31</f>
        <v/>
      </c>
      <c r="G39" s="394">
        <f>BoQ!M31</f>
        <v>0</v>
      </c>
      <c r="H39" s="399">
        <f t="shared" si="0"/>
        <v>0</v>
      </c>
      <c r="I39" s="283"/>
    </row>
    <row r="40" spans="2:9" s="284" customFormat="1" ht="18.75" hidden="1" x14ac:dyDescent="0.2">
      <c r="B40" s="285">
        <v>28</v>
      </c>
      <c r="C40" s="288">
        <f>BoQ!C32</f>
        <v>0</v>
      </c>
      <c r="D40" s="286" t="str">
        <f>BoQ!E32</f>
        <v/>
      </c>
      <c r="E40" s="287" t="str">
        <f>BoQ!L32</f>
        <v/>
      </c>
      <c r="F40" s="288" t="str">
        <f>BoQ!D32</f>
        <v/>
      </c>
      <c r="G40" s="393">
        <f>BoQ!M32</f>
        <v>0</v>
      </c>
      <c r="H40" s="400">
        <f t="shared" si="0"/>
        <v>0</v>
      </c>
      <c r="I40" s="283"/>
    </row>
    <row r="41" spans="2:9" s="284" customFormat="1" ht="18.75" hidden="1" x14ac:dyDescent="0.2">
      <c r="B41" s="279">
        <v>29</v>
      </c>
      <c r="C41" s="282">
        <f>BoQ!C33</f>
        <v>0</v>
      </c>
      <c r="D41" s="280" t="str">
        <f>BoQ!E33</f>
        <v/>
      </c>
      <c r="E41" s="281" t="str">
        <f>BoQ!L33</f>
        <v/>
      </c>
      <c r="F41" s="282" t="str">
        <f>BoQ!D33</f>
        <v/>
      </c>
      <c r="G41" s="394">
        <f>BoQ!M33</f>
        <v>0</v>
      </c>
      <c r="H41" s="399">
        <f t="shared" si="0"/>
        <v>0</v>
      </c>
      <c r="I41" s="283"/>
    </row>
    <row r="42" spans="2:9" s="284" customFormat="1" ht="18.75" hidden="1" x14ac:dyDescent="0.2">
      <c r="B42" s="285">
        <v>30</v>
      </c>
      <c r="C42" s="288">
        <f>BoQ!C34</f>
        <v>0</v>
      </c>
      <c r="D42" s="286" t="str">
        <f>BoQ!E34</f>
        <v/>
      </c>
      <c r="E42" s="287" t="str">
        <f>BoQ!L34</f>
        <v/>
      </c>
      <c r="F42" s="288" t="str">
        <f>BoQ!D34</f>
        <v/>
      </c>
      <c r="G42" s="393">
        <f>BoQ!M34</f>
        <v>0</v>
      </c>
      <c r="H42" s="400">
        <f t="shared" si="0"/>
        <v>0</v>
      </c>
      <c r="I42" s="283"/>
    </row>
    <row r="43" spans="2:9" s="284" customFormat="1" ht="18.75" hidden="1" x14ac:dyDescent="0.2">
      <c r="B43" s="279">
        <v>31</v>
      </c>
      <c r="C43" s="282">
        <f>BoQ!C35</f>
        <v>0</v>
      </c>
      <c r="D43" s="280" t="str">
        <f>BoQ!E35</f>
        <v/>
      </c>
      <c r="E43" s="281" t="str">
        <f>BoQ!L35</f>
        <v/>
      </c>
      <c r="F43" s="282" t="str">
        <f>BoQ!D35</f>
        <v/>
      </c>
      <c r="G43" s="394">
        <f>BoQ!M35</f>
        <v>0</v>
      </c>
      <c r="H43" s="399">
        <f t="shared" si="0"/>
        <v>0</v>
      </c>
      <c r="I43" s="283"/>
    </row>
    <row r="44" spans="2:9" s="284" customFormat="1" ht="18.75" hidden="1" x14ac:dyDescent="0.2">
      <c r="B44" s="285">
        <v>32</v>
      </c>
      <c r="C44" s="288">
        <f>BoQ!C36</f>
        <v>0</v>
      </c>
      <c r="D44" s="286" t="str">
        <f>BoQ!E36</f>
        <v/>
      </c>
      <c r="E44" s="287" t="str">
        <f>BoQ!L36</f>
        <v/>
      </c>
      <c r="F44" s="288" t="str">
        <f>BoQ!D36</f>
        <v/>
      </c>
      <c r="G44" s="393">
        <f>BoQ!M36</f>
        <v>0</v>
      </c>
      <c r="H44" s="400">
        <f t="shared" si="0"/>
        <v>0</v>
      </c>
      <c r="I44" s="283"/>
    </row>
    <row r="45" spans="2:9" s="284" customFormat="1" ht="18.75" hidden="1" x14ac:dyDescent="0.2">
      <c r="B45" s="279">
        <v>33</v>
      </c>
      <c r="C45" s="282">
        <f>BoQ!C37</f>
        <v>0</v>
      </c>
      <c r="D45" s="280" t="str">
        <f>BoQ!E37</f>
        <v/>
      </c>
      <c r="E45" s="281" t="str">
        <f>BoQ!L37</f>
        <v/>
      </c>
      <c r="F45" s="282" t="str">
        <f>BoQ!D37</f>
        <v/>
      </c>
      <c r="G45" s="394">
        <f>BoQ!M37</f>
        <v>0</v>
      </c>
      <c r="H45" s="399">
        <f t="shared" si="0"/>
        <v>0</v>
      </c>
      <c r="I45" s="283"/>
    </row>
    <row r="46" spans="2:9" s="284" customFormat="1" ht="18.75" hidden="1" x14ac:dyDescent="0.2">
      <c r="B46" s="285">
        <v>34</v>
      </c>
      <c r="C46" s="288">
        <f>BoQ!C38</f>
        <v>0</v>
      </c>
      <c r="D46" s="286" t="str">
        <f>BoQ!E38</f>
        <v/>
      </c>
      <c r="E46" s="287" t="str">
        <f>BoQ!L38</f>
        <v/>
      </c>
      <c r="F46" s="288" t="str">
        <f>BoQ!D38</f>
        <v/>
      </c>
      <c r="G46" s="393">
        <f>BoQ!M38</f>
        <v>0</v>
      </c>
      <c r="H46" s="400">
        <f t="shared" si="0"/>
        <v>0</v>
      </c>
      <c r="I46" s="283"/>
    </row>
    <row r="47" spans="2:9" s="284" customFormat="1" ht="18.75" hidden="1" x14ac:dyDescent="0.2">
      <c r="B47" s="279">
        <v>35</v>
      </c>
      <c r="C47" s="282">
        <f>BoQ!C39</f>
        <v>0</v>
      </c>
      <c r="D47" s="280" t="str">
        <f>BoQ!E39</f>
        <v/>
      </c>
      <c r="E47" s="281" t="str">
        <f>BoQ!L39</f>
        <v/>
      </c>
      <c r="F47" s="282" t="str">
        <f>BoQ!D39</f>
        <v/>
      </c>
      <c r="G47" s="394">
        <f>BoQ!M39</f>
        <v>0</v>
      </c>
      <c r="H47" s="399">
        <f t="shared" si="0"/>
        <v>0</v>
      </c>
      <c r="I47" s="283"/>
    </row>
    <row r="48" spans="2:9" s="284" customFormat="1" ht="18.75" hidden="1" x14ac:dyDescent="0.2">
      <c r="B48" s="285">
        <v>36</v>
      </c>
      <c r="C48" s="288">
        <f>BoQ!C40</f>
        <v>0</v>
      </c>
      <c r="D48" s="286" t="str">
        <f>BoQ!E40</f>
        <v/>
      </c>
      <c r="E48" s="287" t="str">
        <f>BoQ!L40</f>
        <v/>
      </c>
      <c r="F48" s="288" t="str">
        <f>BoQ!D40</f>
        <v/>
      </c>
      <c r="G48" s="393">
        <f>BoQ!M40</f>
        <v>0</v>
      </c>
      <c r="H48" s="400">
        <f t="shared" si="0"/>
        <v>0</v>
      </c>
      <c r="I48" s="283"/>
    </row>
    <row r="49" spans="2:9" s="284" customFormat="1" ht="18.75" hidden="1" x14ac:dyDescent="0.2">
      <c r="B49" s="279">
        <v>37</v>
      </c>
      <c r="C49" s="282">
        <f>BoQ!C41</f>
        <v>0</v>
      </c>
      <c r="D49" s="280" t="str">
        <f>BoQ!E41</f>
        <v/>
      </c>
      <c r="E49" s="281" t="str">
        <f>BoQ!L41</f>
        <v/>
      </c>
      <c r="F49" s="282" t="str">
        <f>BoQ!D41</f>
        <v/>
      </c>
      <c r="G49" s="394">
        <f>BoQ!M41</f>
        <v>0</v>
      </c>
      <c r="H49" s="399">
        <f t="shared" si="0"/>
        <v>0</v>
      </c>
      <c r="I49" s="283"/>
    </row>
    <row r="50" spans="2:9" s="284" customFormat="1" ht="18.75" hidden="1" x14ac:dyDescent="0.2">
      <c r="B50" s="285">
        <v>38</v>
      </c>
      <c r="C50" s="288">
        <f>BoQ!C42</f>
        <v>0</v>
      </c>
      <c r="D50" s="286" t="str">
        <f>BoQ!E42</f>
        <v/>
      </c>
      <c r="E50" s="287" t="str">
        <f>BoQ!L42</f>
        <v/>
      </c>
      <c r="F50" s="288" t="str">
        <f>BoQ!D42</f>
        <v/>
      </c>
      <c r="G50" s="393">
        <f>BoQ!M42</f>
        <v>0</v>
      </c>
      <c r="H50" s="400">
        <f t="shared" si="0"/>
        <v>0</v>
      </c>
      <c r="I50" s="283"/>
    </row>
    <row r="51" spans="2:9" s="284" customFormat="1" ht="18.75" hidden="1" x14ac:dyDescent="0.2">
      <c r="B51" s="279">
        <v>39</v>
      </c>
      <c r="C51" s="282">
        <f>BoQ!C43</f>
        <v>0</v>
      </c>
      <c r="D51" s="280" t="str">
        <f>BoQ!E43</f>
        <v/>
      </c>
      <c r="E51" s="281" t="str">
        <f>BoQ!L43</f>
        <v/>
      </c>
      <c r="F51" s="282" t="str">
        <f>BoQ!D43</f>
        <v/>
      </c>
      <c r="G51" s="394">
        <f>BoQ!M43</f>
        <v>0</v>
      </c>
      <c r="H51" s="399">
        <f t="shared" si="0"/>
        <v>0</v>
      </c>
      <c r="I51" s="283"/>
    </row>
    <row r="52" spans="2:9" s="284" customFormat="1" ht="18.75" hidden="1" x14ac:dyDescent="0.2">
      <c r="B52" s="285">
        <v>40</v>
      </c>
      <c r="C52" s="288">
        <f>BoQ!C44</f>
        <v>0</v>
      </c>
      <c r="D52" s="286" t="str">
        <f>BoQ!E44</f>
        <v/>
      </c>
      <c r="E52" s="287" t="str">
        <f>BoQ!L44</f>
        <v/>
      </c>
      <c r="F52" s="288" t="str">
        <f>BoQ!D44</f>
        <v/>
      </c>
      <c r="G52" s="393">
        <f>BoQ!M44</f>
        <v>0</v>
      </c>
      <c r="H52" s="400">
        <f t="shared" si="0"/>
        <v>0</v>
      </c>
      <c r="I52" s="283"/>
    </row>
    <row r="53" spans="2:9" s="284" customFormat="1" ht="18.75" hidden="1" x14ac:dyDescent="0.2">
      <c r="B53" s="279">
        <v>41</v>
      </c>
      <c r="C53" s="282">
        <f>BoQ!C45</f>
        <v>0</v>
      </c>
      <c r="D53" s="280" t="str">
        <f>BoQ!E45</f>
        <v/>
      </c>
      <c r="E53" s="281" t="str">
        <f>BoQ!L45</f>
        <v/>
      </c>
      <c r="F53" s="282" t="str">
        <f>BoQ!D45</f>
        <v/>
      </c>
      <c r="G53" s="394">
        <f>BoQ!M45</f>
        <v>0</v>
      </c>
      <c r="H53" s="399">
        <f t="shared" si="0"/>
        <v>0</v>
      </c>
      <c r="I53" s="283"/>
    </row>
    <row r="54" spans="2:9" s="284" customFormat="1" ht="18.75" hidden="1" x14ac:dyDescent="0.2">
      <c r="B54" s="285">
        <v>42</v>
      </c>
      <c r="C54" s="288">
        <f>BoQ!C46</f>
        <v>0</v>
      </c>
      <c r="D54" s="286" t="str">
        <f>BoQ!E46</f>
        <v/>
      </c>
      <c r="E54" s="287" t="str">
        <f>BoQ!L46</f>
        <v/>
      </c>
      <c r="F54" s="288" t="str">
        <f>BoQ!D46</f>
        <v/>
      </c>
      <c r="G54" s="393">
        <f>BoQ!M46</f>
        <v>0</v>
      </c>
      <c r="H54" s="400">
        <f t="shared" si="0"/>
        <v>0</v>
      </c>
      <c r="I54" s="283"/>
    </row>
    <row r="55" spans="2:9" s="284" customFormat="1" ht="18.75" hidden="1" x14ac:dyDescent="0.2">
      <c r="B55" s="279">
        <v>43</v>
      </c>
      <c r="C55" s="282">
        <f>BoQ!C47</f>
        <v>0</v>
      </c>
      <c r="D55" s="280" t="str">
        <f>BoQ!E47</f>
        <v/>
      </c>
      <c r="E55" s="281" t="str">
        <f>BoQ!L47</f>
        <v/>
      </c>
      <c r="F55" s="282" t="str">
        <f>BoQ!D47</f>
        <v/>
      </c>
      <c r="G55" s="394">
        <f>BoQ!M47</f>
        <v>0</v>
      </c>
      <c r="H55" s="399">
        <f t="shared" si="0"/>
        <v>0</v>
      </c>
      <c r="I55" s="283"/>
    </row>
    <row r="56" spans="2:9" s="284" customFormat="1" ht="18.75" hidden="1" x14ac:dyDescent="0.2">
      <c r="B56" s="285">
        <v>44</v>
      </c>
      <c r="C56" s="288">
        <f>BoQ!C48</f>
        <v>0</v>
      </c>
      <c r="D56" s="286" t="str">
        <f>BoQ!E48</f>
        <v/>
      </c>
      <c r="E56" s="287" t="str">
        <f>BoQ!L48</f>
        <v/>
      </c>
      <c r="F56" s="288" t="str">
        <f>BoQ!D48</f>
        <v/>
      </c>
      <c r="G56" s="393">
        <f>BoQ!M48</f>
        <v>0</v>
      </c>
      <c r="H56" s="400">
        <f t="shared" si="0"/>
        <v>0</v>
      </c>
      <c r="I56" s="283"/>
    </row>
    <row r="57" spans="2:9" s="284" customFormat="1" ht="18.75" hidden="1" x14ac:dyDescent="0.2">
      <c r="B57" s="279">
        <v>45</v>
      </c>
      <c r="C57" s="282">
        <f>BoQ!C49</f>
        <v>0</v>
      </c>
      <c r="D57" s="280" t="str">
        <f>BoQ!E49</f>
        <v/>
      </c>
      <c r="E57" s="281" t="str">
        <f>BoQ!L49</f>
        <v/>
      </c>
      <c r="F57" s="282" t="str">
        <f>BoQ!D49</f>
        <v/>
      </c>
      <c r="G57" s="394">
        <f>BoQ!M49</f>
        <v>0</v>
      </c>
      <c r="H57" s="399">
        <f t="shared" si="0"/>
        <v>0</v>
      </c>
      <c r="I57" s="283"/>
    </row>
    <row r="58" spans="2:9" s="284" customFormat="1" ht="18.75" hidden="1" x14ac:dyDescent="0.2">
      <c r="B58" s="285">
        <v>46</v>
      </c>
      <c r="C58" s="288">
        <f>BoQ!C50</f>
        <v>0</v>
      </c>
      <c r="D58" s="286" t="str">
        <f>BoQ!E50</f>
        <v/>
      </c>
      <c r="E58" s="287" t="str">
        <f>BoQ!L50</f>
        <v/>
      </c>
      <c r="F58" s="288" t="str">
        <f>BoQ!D50</f>
        <v/>
      </c>
      <c r="G58" s="393">
        <f>BoQ!M50</f>
        <v>0</v>
      </c>
      <c r="H58" s="400">
        <f t="shared" si="0"/>
        <v>0</v>
      </c>
      <c r="I58" s="283"/>
    </row>
    <row r="59" spans="2:9" s="284" customFormat="1" ht="18.75" hidden="1" x14ac:dyDescent="0.2">
      <c r="B59" s="279">
        <v>47</v>
      </c>
      <c r="C59" s="282">
        <f>BoQ!C51</f>
        <v>0</v>
      </c>
      <c r="D59" s="280" t="str">
        <f>BoQ!E51</f>
        <v/>
      </c>
      <c r="E59" s="281" t="str">
        <f>BoQ!L51</f>
        <v/>
      </c>
      <c r="F59" s="282" t="str">
        <f>BoQ!D51</f>
        <v/>
      </c>
      <c r="G59" s="394">
        <f>BoQ!M51</f>
        <v>0</v>
      </c>
      <c r="H59" s="399">
        <f t="shared" si="0"/>
        <v>0</v>
      </c>
      <c r="I59" s="283"/>
    </row>
    <row r="60" spans="2:9" s="284" customFormat="1" ht="18.75" hidden="1" x14ac:dyDescent="0.2">
      <c r="B60" s="285">
        <v>48</v>
      </c>
      <c r="C60" s="288">
        <f>BoQ!C52</f>
        <v>0</v>
      </c>
      <c r="D60" s="286" t="str">
        <f>BoQ!E52</f>
        <v/>
      </c>
      <c r="E60" s="287" t="str">
        <f>BoQ!L52</f>
        <v/>
      </c>
      <c r="F60" s="288" t="str">
        <f>BoQ!D52</f>
        <v/>
      </c>
      <c r="G60" s="393">
        <f>BoQ!M52</f>
        <v>0</v>
      </c>
      <c r="H60" s="400">
        <f t="shared" si="0"/>
        <v>0</v>
      </c>
      <c r="I60" s="283"/>
    </row>
    <row r="61" spans="2:9" s="284" customFormat="1" ht="18.75" hidden="1" x14ac:dyDescent="0.2">
      <c r="B61" s="279">
        <v>49</v>
      </c>
      <c r="C61" s="282">
        <f>BoQ!C53</f>
        <v>0</v>
      </c>
      <c r="D61" s="280" t="str">
        <f>BoQ!E53</f>
        <v/>
      </c>
      <c r="E61" s="281" t="str">
        <f>BoQ!L53</f>
        <v/>
      </c>
      <c r="F61" s="282" t="str">
        <f>BoQ!D53</f>
        <v/>
      </c>
      <c r="G61" s="394">
        <f>BoQ!M53</f>
        <v>0</v>
      </c>
      <c r="H61" s="399">
        <f t="shared" si="0"/>
        <v>0</v>
      </c>
      <c r="I61" s="283"/>
    </row>
    <row r="62" spans="2:9" s="284" customFormat="1" ht="18.75" hidden="1" x14ac:dyDescent="0.2">
      <c r="B62" s="285">
        <v>50</v>
      </c>
      <c r="C62" s="288">
        <f>BoQ!C54</f>
        <v>0</v>
      </c>
      <c r="D62" s="286" t="str">
        <f>BoQ!E54</f>
        <v/>
      </c>
      <c r="E62" s="287" t="str">
        <f>BoQ!L54</f>
        <v/>
      </c>
      <c r="F62" s="288" t="str">
        <f>BoQ!D54</f>
        <v/>
      </c>
      <c r="G62" s="393">
        <f>BoQ!M54</f>
        <v>0</v>
      </c>
      <c r="H62" s="400">
        <f t="shared" si="0"/>
        <v>0</v>
      </c>
      <c r="I62" s="283"/>
    </row>
    <row r="63" spans="2:9" s="284" customFormat="1" ht="18.75" hidden="1" x14ac:dyDescent="0.2">
      <c r="B63" s="279">
        <v>51</v>
      </c>
      <c r="C63" s="282">
        <f>BoQ!C55</f>
        <v>0</v>
      </c>
      <c r="D63" s="280" t="str">
        <f>BoQ!E55</f>
        <v/>
      </c>
      <c r="E63" s="281" t="str">
        <f>BoQ!L55</f>
        <v/>
      </c>
      <c r="F63" s="282" t="str">
        <f>BoQ!D55</f>
        <v/>
      </c>
      <c r="G63" s="394">
        <f>BoQ!M55</f>
        <v>0</v>
      </c>
      <c r="H63" s="399">
        <f t="shared" si="0"/>
        <v>0</v>
      </c>
      <c r="I63" s="283"/>
    </row>
    <row r="64" spans="2:9" s="284" customFormat="1" ht="18.75" hidden="1" x14ac:dyDescent="0.2">
      <c r="B64" s="285">
        <v>52</v>
      </c>
      <c r="C64" s="288">
        <f>BoQ!C56</f>
        <v>0</v>
      </c>
      <c r="D64" s="286" t="str">
        <f>BoQ!E56</f>
        <v/>
      </c>
      <c r="E64" s="287" t="str">
        <f>BoQ!L56</f>
        <v/>
      </c>
      <c r="F64" s="288" t="str">
        <f>BoQ!D56</f>
        <v/>
      </c>
      <c r="G64" s="393">
        <f>BoQ!M56</f>
        <v>0</v>
      </c>
      <c r="H64" s="400">
        <f t="shared" si="0"/>
        <v>0</v>
      </c>
      <c r="I64" s="283"/>
    </row>
    <row r="65" spans="2:9" s="284" customFormat="1" ht="18.75" hidden="1" x14ac:dyDescent="0.2">
      <c r="B65" s="279">
        <v>53</v>
      </c>
      <c r="C65" s="282">
        <f>BoQ!C57</f>
        <v>0</v>
      </c>
      <c r="D65" s="280" t="str">
        <f>BoQ!E57</f>
        <v/>
      </c>
      <c r="E65" s="281" t="str">
        <f>BoQ!L57</f>
        <v/>
      </c>
      <c r="F65" s="282" t="str">
        <f>BoQ!D57</f>
        <v/>
      </c>
      <c r="G65" s="394">
        <f>BoQ!M57</f>
        <v>0</v>
      </c>
      <c r="H65" s="399">
        <f t="shared" si="0"/>
        <v>0</v>
      </c>
      <c r="I65" s="283"/>
    </row>
    <row r="66" spans="2:9" s="284" customFormat="1" ht="18.75" hidden="1" x14ac:dyDescent="0.2">
      <c r="B66" s="285">
        <v>54</v>
      </c>
      <c r="C66" s="288">
        <f>BoQ!C58</f>
        <v>0</v>
      </c>
      <c r="D66" s="286" t="str">
        <f>BoQ!E58</f>
        <v/>
      </c>
      <c r="E66" s="287" t="str">
        <f>BoQ!L58</f>
        <v/>
      </c>
      <c r="F66" s="288" t="str">
        <f>BoQ!D58</f>
        <v/>
      </c>
      <c r="G66" s="393">
        <f>BoQ!M58</f>
        <v>0</v>
      </c>
      <c r="H66" s="400">
        <f t="shared" si="0"/>
        <v>0</v>
      </c>
      <c r="I66" s="283"/>
    </row>
    <row r="67" spans="2:9" s="284" customFormat="1" ht="18.75" hidden="1" x14ac:dyDescent="0.2">
      <c r="B67" s="279">
        <v>55</v>
      </c>
      <c r="C67" s="282">
        <f>BoQ!C59</f>
        <v>0</v>
      </c>
      <c r="D67" s="280" t="str">
        <f>BoQ!E59</f>
        <v/>
      </c>
      <c r="E67" s="281" t="str">
        <f>BoQ!L59</f>
        <v/>
      </c>
      <c r="F67" s="282" t="str">
        <f>BoQ!D59</f>
        <v/>
      </c>
      <c r="G67" s="394">
        <f>BoQ!M59</f>
        <v>0</v>
      </c>
      <c r="H67" s="399">
        <f t="shared" si="0"/>
        <v>0</v>
      </c>
      <c r="I67" s="283"/>
    </row>
    <row r="68" spans="2:9" s="284" customFormat="1" ht="18.75" hidden="1" x14ac:dyDescent="0.2">
      <c r="B68" s="285">
        <v>56</v>
      </c>
      <c r="C68" s="288">
        <f>BoQ!C60</f>
        <v>0</v>
      </c>
      <c r="D68" s="286" t="str">
        <f>BoQ!E60</f>
        <v/>
      </c>
      <c r="E68" s="287" t="str">
        <f>BoQ!L60</f>
        <v/>
      </c>
      <c r="F68" s="288" t="str">
        <f>BoQ!D60</f>
        <v/>
      </c>
      <c r="G68" s="393">
        <f>BoQ!M60</f>
        <v>0</v>
      </c>
      <c r="H68" s="400">
        <f t="shared" si="0"/>
        <v>0</v>
      </c>
      <c r="I68" s="283"/>
    </row>
    <row r="69" spans="2:9" s="284" customFormat="1" ht="18.75" hidden="1" x14ac:dyDescent="0.2">
      <c r="B69" s="279">
        <v>57</v>
      </c>
      <c r="C69" s="282">
        <f>BoQ!C61</f>
        <v>0</v>
      </c>
      <c r="D69" s="280" t="str">
        <f>BoQ!E61</f>
        <v/>
      </c>
      <c r="E69" s="281" t="str">
        <f>BoQ!L61</f>
        <v/>
      </c>
      <c r="F69" s="282" t="str">
        <f>BoQ!D61</f>
        <v/>
      </c>
      <c r="G69" s="394">
        <f>BoQ!M61</f>
        <v>0</v>
      </c>
      <c r="H69" s="399">
        <f t="shared" si="0"/>
        <v>0</v>
      </c>
      <c r="I69" s="283"/>
    </row>
    <row r="70" spans="2:9" s="284" customFormat="1" ht="18.75" hidden="1" x14ac:dyDescent="0.2">
      <c r="B70" s="285">
        <v>58</v>
      </c>
      <c r="C70" s="288">
        <f>BoQ!C62</f>
        <v>0</v>
      </c>
      <c r="D70" s="286" t="str">
        <f>BoQ!E62</f>
        <v/>
      </c>
      <c r="E70" s="287" t="str">
        <f>BoQ!L62</f>
        <v/>
      </c>
      <c r="F70" s="288" t="str">
        <f>BoQ!D62</f>
        <v/>
      </c>
      <c r="G70" s="393">
        <f>BoQ!M62</f>
        <v>0</v>
      </c>
      <c r="H70" s="400">
        <f t="shared" si="0"/>
        <v>0</v>
      </c>
      <c r="I70" s="283"/>
    </row>
    <row r="71" spans="2:9" s="284" customFormat="1" ht="18.75" hidden="1" x14ac:dyDescent="0.2">
      <c r="B71" s="279">
        <v>59</v>
      </c>
      <c r="C71" s="282">
        <f>BoQ!C63</f>
        <v>0</v>
      </c>
      <c r="D71" s="280" t="str">
        <f>BoQ!E63</f>
        <v/>
      </c>
      <c r="E71" s="281" t="str">
        <f>BoQ!L63</f>
        <v/>
      </c>
      <c r="F71" s="282" t="str">
        <f>BoQ!D63</f>
        <v/>
      </c>
      <c r="G71" s="394">
        <f>BoQ!M63</f>
        <v>0</v>
      </c>
      <c r="H71" s="399">
        <f t="shared" si="0"/>
        <v>0</v>
      </c>
      <c r="I71" s="283"/>
    </row>
    <row r="72" spans="2:9" s="284" customFormat="1" ht="18.75" hidden="1" x14ac:dyDescent="0.2">
      <c r="B72" s="285">
        <v>60</v>
      </c>
      <c r="C72" s="288">
        <f>BoQ!C64</f>
        <v>0</v>
      </c>
      <c r="D72" s="286" t="str">
        <f>BoQ!E64</f>
        <v/>
      </c>
      <c r="E72" s="287" t="str">
        <f>BoQ!L64</f>
        <v/>
      </c>
      <c r="F72" s="288" t="str">
        <f>BoQ!D64</f>
        <v/>
      </c>
      <c r="G72" s="393">
        <f>BoQ!M64</f>
        <v>0</v>
      </c>
      <c r="H72" s="400">
        <f t="shared" si="0"/>
        <v>0</v>
      </c>
      <c r="I72" s="283"/>
    </row>
    <row r="73" spans="2:9" s="284" customFormat="1" ht="18.75" hidden="1" x14ac:dyDescent="0.2">
      <c r="B73" s="279">
        <v>61</v>
      </c>
      <c r="C73" s="282">
        <f>BoQ!C65</f>
        <v>0</v>
      </c>
      <c r="D73" s="280" t="str">
        <f>BoQ!E65</f>
        <v/>
      </c>
      <c r="E73" s="281" t="str">
        <f>BoQ!L65</f>
        <v/>
      </c>
      <c r="F73" s="282" t="str">
        <f>BoQ!D65</f>
        <v/>
      </c>
      <c r="G73" s="394">
        <f>BoQ!M65</f>
        <v>0</v>
      </c>
      <c r="H73" s="399">
        <f t="shared" si="0"/>
        <v>0</v>
      </c>
      <c r="I73" s="283"/>
    </row>
    <row r="74" spans="2:9" s="284" customFormat="1" ht="18.75" hidden="1" x14ac:dyDescent="0.2">
      <c r="B74" s="285">
        <v>62</v>
      </c>
      <c r="C74" s="288">
        <f>BoQ!C66</f>
        <v>0</v>
      </c>
      <c r="D74" s="286" t="str">
        <f>BoQ!E66</f>
        <v/>
      </c>
      <c r="E74" s="287" t="str">
        <f>BoQ!L66</f>
        <v/>
      </c>
      <c r="F74" s="288" t="str">
        <f>BoQ!D66</f>
        <v/>
      </c>
      <c r="G74" s="393">
        <f>BoQ!M66</f>
        <v>0</v>
      </c>
      <c r="H74" s="400">
        <f t="shared" si="0"/>
        <v>0</v>
      </c>
      <c r="I74" s="283"/>
    </row>
    <row r="75" spans="2:9" s="284" customFormat="1" ht="18.75" hidden="1" x14ac:dyDescent="0.2">
      <c r="B75" s="279">
        <v>63</v>
      </c>
      <c r="C75" s="282">
        <f>BoQ!C67</f>
        <v>0</v>
      </c>
      <c r="D75" s="280" t="str">
        <f>BoQ!E67</f>
        <v/>
      </c>
      <c r="E75" s="281" t="str">
        <f>BoQ!L67</f>
        <v/>
      </c>
      <c r="F75" s="282" t="str">
        <f>BoQ!D67</f>
        <v/>
      </c>
      <c r="G75" s="394">
        <f>BoQ!M67</f>
        <v>0</v>
      </c>
      <c r="H75" s="399">
        <f t="shared" si="0"/>
        <v>0</v>
      </c>
      <c r="I75" s="283"/>
    </row>
    <row r="76" spans="2:9" s="284" customFormat="1" ht="18.75" hidden="1" x14ac:dyDescent="0.2">
      <c r="B76" s="285">
        <v>64</v>
      </c>
      <c r="C76" s="288">
        <f>BoQ!C68</f>
        <v>0</v>
      </c>
      <c r="D76" s="286" t="str">
        <f>BoQ!E68</f>
        <v/>
      </c>
      <c r="E76" s="287" t="str">
        <f>BoQ!L68</f>
        <v/>
      </c>
      <c r="F76" s="288" t="str">
        <f>BoQ!D68</f>
        <v/>
      </c>
      <c r="G76" s="393">
        <f>BoQ!M68</f>
        <v>0</v>
      </c>
      <c r="H76" s="400">
        <f t="shared" si="0"/>
        <v>0</v>
      </c>
      <c r="I76" s="283"/>
    </row>
    <row r="77" spans="2:9" s="284" customFormat="1" ht="18.75" hidden="1" x14ac:dyDescent="0.2">
      <c r="B77" s="279">
        <v>65</v>
      </c>
      <c r="C77" s="282">
        <f>BoQ!C69</f>
        <v>0</v>
      </c>
      <c r="D77" s="280" t="str">
        <f>BoQ!E69</f>
        <v/>
      </c>
      <c r="E77" s="281" t="str">
        <f>BoQ!L69</f>
        <v/>
      </c>
      <c r="F77" s="282" t="str">
        <f>BoQ!D69</f>
        <v/>
      </c>
      <c r="G77" s="394">
        <f>BoQ!M69</f>
        <v>0</v>
      </c>
      <c r="H77" s="399">
        <f t="shared" si="0"/>
        <v>0</v>
      </c>
      <c r="I77" s="283"/>
    </row>
    <row r="78" spans="2:9" s="284" customFormat="1" ht="18.75" hidden="1" x14ac:dyDescent="0.2">
      <c r="B78" s="285">
        <v>66</v>
      </c>
      <c r="C78" s="288">
        <f>BoQ!C70</f>
        <v>0</v>
      </c>
      <c r="D78" s="286" t="str">
        <f>BoQ!E70</f>
        <v/>
      </c>
      <c r="E78" s="287" t="str">
        <f>BoQ!L70</f>
        <v/>
      </c>
      <c r="F78" s="288" t="str">
        <f>BoQ!D70</f>
        <v/>
      </c>
      <c r="G78" s="393">
        <f>BoQ!M70</f>
        <v>0</v>
      </c>
      <c r="H78" s="400">
        <f t="shared" si="0"/>
        <v>0</v>
      </c>
      <c r="I78" s="283"/>
    </row>
    <row r="79" spans="2:9" s="284" customFormat="1" ht="18.75" hidden="1" x14ac:dyDescent="0.2">
      <c r="B79" s="279">
        <v>67</v>
      </c>
      <c r="C79" s="282">
        <f>BoQ!C71</f>
        <v>0</v>
      </c>
      <c r="D79" s="280" t="str">
        <f>BoQ!E71</f>
        <v/>
      </c>
      <c r="E79" s="281" t="str">
        <f>BoQ!L71</f>
        <v/>
      </c>
      <c r="F79" s="282" t="str">
        <f>BoQ!D71</f>
        <v/>
      </c>
      <c r="G79" s="394">
        <f>BoQ!M71</f>
        <v>0</v>
      </c>
      <c r="H79" s="399">
        <f t="shared" si="0"/>
        <v>0</v>
      </c>
      <c r="I79" s="283"/>
    </row>
    <row r="80" spans="2:9" s="284" customFormat="1" ht="18.75" hidden="1" x14ac:dyDescent="0.2">
      <c r="B80" s="285">
        <v>68</v>
      </c>
      <c r="C80" s="288">
        <f>BoQ!C72</f>
        <v>0</v>
      </c>
      <c r="D80" s="286" t="str">
        <f>BoQ!E72</f>
        <v/>
      </c>
      <c r="E80" s="287" t="str">
        <f>BoQ!L72</f>
        <v/>
      </c>
      <c r="F80" s="288" t="str">
        <f>BoQ!D72</f>
        <v/>
      </c>
      <c r="G80" s="393">
        <f>BoQ!M72</f>
        <v>0</v>
      </c>
      <c r="H80" s="400">
        <f t="shared" ref="H80:H143" si="1">IFERROR(G80*E80,0)</f>
        <v>0</v>
      </c>
      <c r="I80" s="283"/>
    </row>
    <row r="81" spans="2:9" s="284" customFormat="1" ht="18.75" hidden="1" x14ac:dyDescent="0.2">
      <c r="B81" s="279">
        <v>69</v>
      </c>
      <c r="C81" s="282">
        <f>BoQ!C73</f>
        <v>0</v>
      </c>
      <c r="D81" s="280" t="str">
        <f>BoQ!E73</f>
        <v/>
      </c>
      <c r="E81" s="281" t="str">
        <f>BoQ!L73</f>
        <v/>
      </c>
      <c r="F81" s="282" t="str">
        <f>BoQ!D73</f>
        <v/>
      </c>
      <c r="G81" s="394">
        <f>BoQ!M73</f>
        <v>0</v>
      </c>
      <c r="H81" s="399">
        <f t="shared" si="1"/>
        <v>0</v>
      </c>
      <c r="I81" s="283"/>
    </row>
    <row r="82" spans="2:9" s="284" customFormat="1" ht="18.75" hidden="1" x14ac:dyDescent="0.2">
      <c r="B82" s="285">
        <v>70</v>
      </c>
      <c r="C82" s="288">
        <f>BoQ!C74</f>
        <v>0</v>
      </c>
      <c r="D82" s="286" t="str">
        <f>BoQ!E74</f>
        <v/>
      </c>
      <c r="E82" s="287" t="str">
        <f>BoQ!L74</f>
        <v/>
      </c>
      <c r="F82" s="288" t="str">
        <f>BoQ!D74</f>
        <v/>
      </c>
      <c r="G82" s="393">
        <f>BoQ!M74</f>
        <v>0</v>
      </c>
      <c r="H82" s="400">
        <f t="shared" si="1"/>
        <v>0</v>
      </c>
      <c r="I82" s="283"/>
    </row>
    <row r="83" spans="2:9" s="284" customFormat="1" ht="18.75" hidden="1" x14ac:dyDescent="0.2">
      <c r="B83" s="279">
        <v>71</v>
      </c>
      <c r="C83" s="282">
        <f>BoQ!C75</f>
        <v>0</v>
      </c>
      <c r="D83" s="280" t="str">
        <f>BoQ!E75</f>
        <v/>
      </c>
      <c r="E83" s="281" t="str">
        <f>BoQ!L75</f>
        <v/>
      </c>
      <c r="F83" s="282" t="str">
        <f>BoQ!D75</f>
        <v/>
      </c>
      <c r="G83" s="394">
        <f>BoQ!M75</f>
        <v>0</v>
      </c>
      <c r="H83" s="399">
        <f t="shared" si="1"/>
        <v>0</v>
      </c>
      <c r="I83" s="283"/>
    </row>
    <row r="84" spans="2:9" s="284" customFormat="1" ht="18.75" hidden="1" x14ac:dyDescent="0.2">
      <c r="B84" s="285">
        <v>72</v>
      </c>
      <c r="C84" s="288">
        <f>BoQ!C76</f>
        <v>0</v>
      </c>
      <c r="D84" s="286" t="str">
        <f>BoQ!E76</f>
        <v/>
      </c>
      <c r="E84" s="287" t="str">
        <f>BoQ!L76</f>
        <v/>
      </c>
      <c r="F84" s="288" t="str">
        <f>BoQ!D76</f>
        <v/>
      </c>
      <c r="G84" s="393">
        <f>BoQ!M76</f>
        <v>0</v>
      </c>
      <c r="H84" s="400">
        <f t="shared" si="1"/>
        <v>0</v>
      </c>
      <c r="I84" s="283"/>
    </row>
    <row r="85" spans="2:9" s="284" customFormat="1" ht="18.75" hidden="1" x14ac:dyDescent="0.2">
      <c r="B85" s="279">
        <v>73</v>
      </c>
      <c r="C85" s="282">
        <f>BoQ!C77</f>
        <v>0</v>
      </c>
      <c r="D85" s="280" t="str">
        <f>BoQ!E77</f>
        <v/>
      </c>
      <c r="E85" s="281" t="str">
        <f>BoQ!L77</f>
        <v/>
      </c>
      <c r="F85" s="282" t="str">
        <f>BoQ!D77</f>
        <v/>
      </c>
      <c r="G85" s="394">
        <f>BoQ!M77</f>
        <v>0</v>
      </c>
      <c r="H85" s="399">
        <f t="shared" si="1"/>
        <v>0</v>
      </c>
      <c r="I85" s="283"/>
    </row>
    <row r="86" spans="2:9" s="284" customFormat="1" ht="18.75" hidden="1" x14ac:dyDescent="0.2">
      <c r="B86" s="285">
        <v>74</v>
      </c>
      <c r="C86" s="288">
        <f>BoQ!C78</f>
        <v>0</v>
      </c>
      <c r="D86" s="286" t="str">
        <f>BoQ!E78</f>
        <v/>
      </c>
      <c r="E86" s="287" t="str">
        <f>BoQ!L78</f>
        <v/>
      </c>
      <c r="F86" s="288" t="str">
        <f>BoQ!D78</f>
        <v/>
      </c>
      <c r="G86" s="393">
        <f>BoQ!M78</f>
        <v>0</v>
      </c>
      <c r="H86" s="400">
        <f t="shared" si="1"/>
        <v>0</v>
      </c>
      <c r="I86" s="283"/>
    </row>
    <row r="87" spans="2:9" s="284" customFormat="1" ht="18.75" hidden="1" x14ac:dyDescent="0.2">
      <c r="B87" s="279">
        <v>75</v>
      </c>
      <c r="C87" s="282">
        <f>BoQ!C79</f>
        <v>0</v>
      </c>
      <c r="D87" s="280" t="str">
        <f>BoQ!E79</f>
        <v/>
      </c>
      <c r="E87" s="281" t="str">
        <f>BoQ!L79</f>
        <v/>
      </c>
      <c r="F87" s="282" t="str">
        <f>BoQ!D79</f>
        <v/>
      </c>
      <c r="G87" s="394">
        <f>BoQ!M79</f>
        <v>0</v>
      </c>
      <c r="H87" s="399">
        <f t="shared" si="1"/>
        <v>0</v>
      </c>
      <c r="I87" s="283"/>
    </row>
    <row r="88" spans="2:9" s="284" customFormat="1" ht="18.75" hidden="1" x14ac:dyDescent="0.2">
      <c r="B88" s="285">
        <v>76</v>
      </c>
      <c r="C88" s="288">
        <f>BoQ!C80</f>
        <v>0</v>
      </c>
      <c r="D88" s="286" t="str">
        <f>BoQ!E80</f>
        <v/>
      </c>
      <c r="E88" s="287" t="str">
        <f>BoQ!L80</f>
        <v/>
      </c>
      <c r="F88" s="288" t="str">
        <f>BoQ!D80</f>
        <v/>
      </c>
      <c r="G88" s="393">
        <f>BoQ!M80</f>
        <v>0</v>
      </c>
      <c r="H88" s="400">
        <f t="shared" si="1"/>
        <v>0</v>
      </c>
      <c r="I88" s="283"/>
    </row>
    <row r="89" spans="2:9" s="284" customFormat="1" ht="18.75" hidden="1" x14ac:dyDescent="0.2">
      <c r="B89" s="279">
        <v>77</v>
      </c>
      <c r="C89" s="282">
        <f>BoQ!C81</f>
        <v>0</v>
      </c>
      <c r="D89" s="280" t="str">
        <f>BoQ!E81</f>
        <v/>
      </c>
      <c r="E89" s="281" t="str">
        <f>BoQ!L81</f>
        <v/>
      </c>
      <c r="F89" s="282" t="str">
        <f>BoQ!D81</f>
        <v/>
      </c>
      <c r="G89" s="394">
        <f>BoQ!M81</f>
        <v>0</v>
      </c>
      <c r="H89" s="399">
        <f t="shared" si="1"/>
        <v>0</v>
      </c>
      <c r="I89" s="283"/>
    </row>
    <row r="90" spans="2:9" s="284" customFormat="1" ht="18.75" hidden="1" x14ac:dyDescent="0.2">
      <c r="B90" s="285">
        <v>78</v>
      </c>
      <c r="C90" s="288">
        <f>BoQ!C82</f>
        <v>0</v>
      </c>
      <c r="D90" s="286" t="str">
        <f>BoQ!E82</f>
        <v/>
      </c>
      <c r="E90" s="287" t="str">
        <f>BoQ!L82</f>
        <v/>
      </c>
      <c r="F90" s="288" t="str">
        <f>BoQ!D82</f>
        <v/>
      </c>
      <c r="G90" s="393">
        <f>BoQ!M82</f>
        <v>0</v>
      </c>
      <c r="H90" s="400">
        <f t="shared" si="1"/>
        <v>0</v>
      </c>
      <c r="I90" s="283"/>
    </row>
    <row r="91" spans="2:9" s="284" customFormat="1" ht="18.75" hidden="1" x14ac:dyDescent="0.2">
      <c r="B91" s="279">
        <v>79</v>
      </c>
      <c r="C91" s="282">
        <f>BoQ!C83</f>
        <v>0</v>
      </c>
      <c r="D91" s="280" t="str">
        <f>BoQ!E83</f>
        <v/>
      </c>
      <c r="E91" s="281" t="str">
        <f>BoQ!L83</f>
        <v/>
      </c>
      <c r="F91" s="282" t="str">
        <f>BoQ!D83</f>
        <v/>
      </c>
      <c r="G91" s="394">
        <f>BoQ!M83</f>
        <v>0</v>
      </c>
      <c r="H91" s="399">
        <f t="shared" si="1"/>
        <v>0</v>
      </c>
      <c r="I91" s="283"/>
    </row>
    <row r="92" spans="2:9" s="284" customFormat="1" ht="18.75" hidden="1" x14ac:dyDescent="0.2">
      <c r="B92" s="285">
        <v>80</v>
      </c>
      <c r="C92" s="288">
        <f>BoQ!C84</f>
        <v>0</v>
      </c>
      <c r="D92" s="286" t="str">
        <f>BoQ!E84</f>
        <v/>
      </c>
      <c r="E92" s="287" t="str">
        <f>BoQ!L84</f>
        <v/>
      </c>
      <c r="F92" s="288" t="str">
        <f>BoQ!D84</f>
        <v/>
      </c>
      <c r="G92" s="393">
        <f>BoQ!M84</f>
        <v>0</v>
      </c>
      <c r="H92" s="400">
        <f t="shared" si="1"/>
        <v>0</v>
      </c>
      <c r="I92" s="283"/>
    </row>
    <row r="93" spans="2:9" s="284" customFormat="1" ht="18.75" hidden="1" x14ac:dyDescent="0.2">
      <c r="B93" s="279">
        <v>81</v>
      </c>
      <c r="C93" s="282">
        <f>BoQ!C85</f>
        <v>0</v>
      </c>
      <c r="D93" s="280" t="str">
        <f>BoQ!E85</f>
        <v/>
      </c>
      <c r="E93" s="281" t="str">
        <f>BoQ!L85</f>
        <v/>
      </c>
      <c r="F93" s="282" t="str">
        <f>BoQ!D85</f>
        <v/>
      </c>
      <c r="G93" s="394">
        <f>BoQ!M85</f>
        <v>0</v>
      </c>
      <c r="H93" s="399">
        <f t="shared" si="1"/>
        <v>0</v>
      </c>
      <c r="I93" s="283"/>
    </row>
    <row r="94" spans="2:9" s="284" customFormat="1" ht="18.75" hidden="1" x14ac:dyDescent="0.2">
      <c r="B94" s="285">
        <v>82</v>
      </c>
      <c r="C94" s="288">
        <f>BoQ!C86</f>
        <v>0</v>
      </c>
      <c r="D94" s="286" t="str">
        <f>BoQ!E86</f>
        <v/>
      </c>
      <c r="E94" s="287" t="str">
        <f>BoQ!L86</f>
        <v/>
      </c>
      <c r="F94" s="288" t="str">
        <f>BoQ!D86</f>
        <v/>
      </c>
      <c r="G94" s="393">
        <f>BoQ!M86</f>
        <v>0</v>
      </c>
      <c r="H94" s="400">
        <f t="shared" si="1"/>
        <v>0</v>
      </c>
      <c r="I94" s="283"/>
    </row>
    <row r="95" spans="2:9" s="284" customFormat="1" ht="18.75" hidden="1" x14ac:dyDescent="0.2">
      <c r="B95" s="279">
        <v>83</v>
      </c>
      <c r="C95" s="282">
        <f>BoQ!C87</f>
        <v>0</v>
      </c>
      <c r="D95" s="280" t="str">
        <f>BoQ!E87</f>
        <v/>
      </c>
      <c r="E95" s="281" t="str">
        <f>BoQ!L87</f>
        <v/>
      </c>
      <c r="F95" s="282" t="str">
        <f>BoQ!D87</f>
        <v/>
      </c>
      <c r="G95" s="394">
        <f>BoQ!M87</f>
        <v>0</v>
      </c>
      <c r="H95" s="399">
        <f t="shared" si="1"/>
        <v>0</v>
      </c>
      <c r="I95" s="283"/>
    </row>
    <row r="96" spans="2:9" s="284" customFormat="1" ht="18.75" hidden="1" x14ac:dyDescent="0.2">
      <c r="B96" s="285">
        <v>84</v>
      </c>
      <c r="C96" s="288">
        <f>BoQ!C88</f>
        <v>0</v>
      </c>
      <c r="D96" s="286" t="str">
        <f>BoQ!E88</f>
        <v/>
      </c>
      <c r="E96" s="287" t="str">
        <f>BoQ!L88</f>
        <v/>
      </c>
      <c r="F96" s="288" t="str">
        <f>BoQ!D88</f>
        <v/>
      </c>
      <c r="G96" s="393">
        <f>BoQ!M88</f>
        <v>0</v>
      </c>
      <c r="H96" s="400">
        <f t="shared" si="1"/>
        <v>0</v>
      </c>
      <c r="I96" s="283"/>
    </row>
    <row r="97" spans="2:9" s="284" customFormat="1" ht="18.75" hidden="1" x14ac:dyDescent="0.2">
      <c r="B97" s="279">
        <v>85</v>
      </c>
      <c r="C97" s="282">
        <f>BoQ!C89</f>
        <v>0</v>
      </c>
      <c r="D97" s="280" t="str">
        <f>BoQ!E89</f>
        <v/>
      </c>
      <c r="E97" s="281" t="str">
        <f>BoQ!L89</f>
        <v/>
      </c>
      <c r="F97" s="282" t="str">
        <f>BoQ!D89</f>
        <v/>
      </c>
      <c r="G97" s="394">
        <f>BoQ!M89</f>
        <v>0</v>
      </c>
      <c r="H97" s="399">
        <f t="shared" si="1"/>
        <v>0</v>
      </c>
      <c r="I97" s="283"/>
    </row>
    <row r="98" spans="2:9" s="284" customFormat="1" ht="18.75" hidden="1" x14ac:dyDescent="0.2">
      <c r="B98" s="285">
        <v>86</v>
      </c>
      <c r="C98" s="288">
        <f>BoQ!C90</f>
        <v>0</v>
      </c>
      <c r="D98" s="286" t="str">
        <f>BoQ!E90</f>
        <v/>
      </c>
      <c r="E98" s="287" t="str">
        <f>BoQ!L90</f>
        <v/>
      </c>
      <c r="F98" s="288" t="str">
        <f>BoQ!D90</f>
        <v/>
      </c>
      <c r="G98" s="393">
        <f>BoQ!M90</f>
        <v>0</v>
      </c>
      <c r="H98" s="400">
        <f t="shared" si="1"/>
        <v>0</v>
      </c>
      <c r="I98" s="283"/>
    </row>
    <row r="99" spans="2:9" s="284" customFormat="1" ht="18.75" hidden="1" x14ac:dyDescent="0.2">
      <c r="B99" s="279">
        <v>87</v>
      </c>
      <c r="C99" s="282">
        <f>BoQ!C91</f>
        <v>0</v>
      </c>
      <c r="D99" s="280" t="str">
        <f>BoQ!E91</f>
        <v/>
      </c>
      <c r="E99" s="281" t="str">
        <f>BoQ!L91</f>
        <v/>
      </c>
      <c r="F99" s="282" t="str">
        <f>BoQ!D91</f>
        <v/>
      </c>
      <c r="G99" s="394">
        <f>BoQ!M91</f>
        <v>0</v>
      </c>
      <c r="H99" s="399">
        <f t="shared" si="1"/>
        <v>0</v>
      </c>
      <c r="I99" s="283"/>
    </row>
    <row r="100" spans="2:9" s="284" customFormat="1" ht="18.75" hidden="1" x14ac:dyDescent="0.2">
      <c r="B100" s="285">
        <v>88</v>
      </c>
      <c r="C100" s="288">
        <f>BoQ!C92</f>
        <v>0</v>
      </c>
      <c r="D100" s="286" t="str">
        <f>BoQ!E92</f>
        <v/>
      </c>
      <c r="E100" s="287" t="str">
        <f>BoQ!L92</f>
        <v/>
      </c>
      <c r="F100" s="288" t="str">
        <f>BoQ!D92</f>
        <v/>
      </c>
      <c r="G100" s="393">
        <f>BoQ!M92</f>
        <v>0</v>
      </c>
      <c r="H100" s="400">
        <f t="shared" si="1"/>
        <v>0</v>
      </c>
      <c r="I100" s="283"/>
    </row>
    <row r="101" spans="2:9" s="284" customFormat="1" ht="18.75" hidden="1" x14ac:dyDescent="0.2">
      <c r="B101" s="279">
        <v>89</v>
      </c>
      <c r="C101" s="282">
        <f>BoQ!C93</f>
        <v>0</v>
      </c>
      <c r="D101" s="280" t="str">
        <f>BoQ!E93</f>
        <v/>
      </c>
      <c r="E101" s="281" t="str">
        <f>BoQ!L93</f>
        <v/>
      </c>
      <c r="F101" s="282" t="str">
        <f>BoQ!D93</f>
        <v/>
      </c>
      <c r="G101" s="394">
        <f>BoQ!M93</f>
        <v>0</v>
      </c>
      <c r="H101" s="399">
        <f t="shared" si="1"/>
        <v>0</v>
      </c>
      <c r="I101" s="283"/>
    </row>
    <row r="102" spans="2:9" s="284" customFormat="1" ht="18.75" hidden="1" x14ac:dyDescent="0.2">
      <c r="B102" s="285">
        <v>90</v>
      </c>
      <c r="C102" s="288">
        <f>BoQ!C94</f>
        <v>0</v>
      </c>
      <c r="D102" s="286" t="str">
        <f>BoQ!E94</f>
        <v/>
      </c>
      <c r="E102" s="287" t="str">
        <f>BoQ!L94</f>
        <v/>
      </c>
      <c r="F102" s="288" t="str">
        <f>BoQ!D94</f>
        <v/>
      </c>
      <c r="G102" s="393">
        <f>BoQ!M94</f>
        <v>0</v>
      </c>
      <c r="H102" s="400">
        <f t="shared" si="1"/>
        <v>0</v>
      </c>
      <c r="I102" s="283"/>
    </row>
    <row r="103" spans="2:9" s="284" customFormat="1" ht="18.75" hidden="1" x14ac:dyDescent="0.2">
      <c r="B103" s="279">
        <v>91</v>
      </c>
      <c r="C103" s="282">
        <f>BoQ!C95</f>
        <v>0</v>
      </c>
      <c r="D103" s="280" t="str">
        <f>BoQ!E95</f>
        <v/>
      </c>
      <c r="E103" s="281" t="str">
        <f>BoQ!L95</f>
        <v/>
      </c>
      <c r="F103" s="282" t="str">
        <f>BoQ!D95</f>
        <v/>
      </c>
      <c r="G103" s="394">
        <f>BoQ!M95</f>
        <v>0</v>
      </c>
      <c r="H103" s="399">
        <f t="shared" si="1"/>
        <v>0</v>
      </c>
      <c r="I103" s="283"/>
    </row>
    <row r="104" spans="2:9" s="284" customFormat="1" ht="18.75" hidden="1" x14ac:dyDescent="0.2">
      <c r="B104" s="285">
        <v>92</v>
      </c>
      <c r="C104" s="288">
        <f>BoQ!C96</f>
        <v>0</v>
      </c>
      <c r="D104" s="286" t="str">
        <f>BoQ!E96</f>
        <v/>
      </c>
      <c r="E104" s="287" t="str">
        <f>BoQ!L96</f>
        <v/>
      </c>
      <c r="F104" s="288" t="str">
        <f>BoQ!D96</f>
        <v/>
      </c>
      <c r="G104" s="393">
        <f>BoQ!M96</f>
        <v>0</v>
      </c>
      <c r="H104" s="400">
        <f t="shared" si="1"/>
        <v>0</v>
      </c>
      <c r="I104" s="283"/>
    </row>
    <row r="105" spans="2:9" s="284" customFormat="1" ht="18.75" hidden="1" x14ac:dyDescent="0.2">
      <c r="B105" s="279">
        <v>93</v>
      </c>
      <c r="C105" s="282">
        <f>BoQ!C97</f>
        <v>0</v>
      </c>
      <c r="D105" s="280" t="str">
        <f>BoQ!E97</f>
        <v/>
      </c>
      <c r="E105" s="281" t="str">
        <f>BoQ!L97</f>
        <v/>
      </c>
      <c r="F105" s="282" t="str">
        <f>BoQ!D97</f>
        <v/>
      </c>
      <c r="G105" s="394">
        <f>BoQ!M97</f>
        <v>0</v>
      </c>
      <c r="H105" s="399">
        <f t="shared" si="1"/>
        <v>0</v>
      </c>
      <c r="I105" s="283"/>
    </row>
    <row r="106" spans="2:9" s="284" customFormat="1" ht="18.75" hidden="1" x14ac:dyDescent="0.2">
      <c r="B106" s="285">
        <v>94</v>
      </c>
      <c r="C106" s="288">
        <f>BoQ!C98</f>
        <v>0</v>
      </c>
      <c r="D106" s="286" t="str">
        <f>BoQ!E98</f>
        <v/>
      </c>
      <c r="E106" s="287" t="str">
        <f>BoQ!L98</f>
        <v/>
      </c>
      <c r="F106" s="288" t="str">
        <f>BoQ!D98</f>
        <v/>
      </c>
      <c r="G106" s="393">
        <f>BoQ!M98</f>
        <v>0</v>
      </c>
      <c r="H106" s="400">
        <f t="shared" si="1"/>
        <v>0</v>
      </c>
      <c r="I106" s="283"/>
    </row>
    <row r="107" spans="2:9" s="284" customFormat="1" ht="18.75" hidden="1" x14ac:dyDescent="0.2">
      <c r="B107" s="279">
        <v>95</v>
      </c>
      <c r="C107" s="282">
        <f>BoQ!C99</f>
        <v>0</v>
      </c>
      <c r="D107" s="280" t="str">
        <f>BoQ!E99</f>
        <v/>
      </c>
      <c r="E107" s="281" t="str">
        <f>BoQ!L99</f>
        <v/>
      </c>
      <c r="F107" s="282" t="str">
        <f>BoQ!D99</f>
        <v/>
      </c>
      <c r="G107" s="394">
        <f>BoQ!M99</f>
        <v>0</v>
      </c>
      <c r="H107" s="399">
        <f t="shared" si="1"/>
        <v>0</v>
      </c>
      <c r="I107" s="283"/>
    </row>
    <row r="108" spans="2:9" s="284" customFormat="1" ht="18.75" hidden="1" x14ac:dyDescent="0.2">
      <c r="B108" s="285">
        <v>96</v>
      </c>
      <c r="C108" s="288">
        <f>BoQ!C100</f>
        <v>0</v>
      </c>
      <c r="D108" s="286" t="str">
        <f>BoQ!E100</f>
        <v/>
      </c>
      <c r="E108" s="287" t="str">
        <f>BoQ!L100</f>
        <v/>
      </c>
      <c r="F108" s="288" t="str">
        <f>BoQ!D100</f>
        <v/>
      </c>
      <c r="G108" s="393">
        <f>BoQ!M100</f>
        <v>0</v>
      </c>
      <c r="H108" s="400">
        <f t="shared" si="1"/>
        <v>0</v>
      </c>
      <c r="I108" s="283"/>
    </row>
    <row r="109" spans="2:9" s="284" customFormat="1" ht="18.75" hidden="1" x14ac:dyDescent="0.2">
      <c r="B109" s="279">
        <v>97</v>
      </c>
      <c r="C109" s="282">
        <f>BoQ!C101</f>
        <v>0</v>
      </c>
      <c r="D109" s="280" t="str">
        <f>BoQ!E101</f>
        <v/>
      </c>
      <c r="E109" s="281" t="str">
        <f>BoQ!L101</f>
        <v/>
      </c>
      <c r="F109" s="282" t="str">
        <f>BoQ!D101</f>
        <v/>
      </c>
      <c r="G109" s="394">
        <f>BoQ!M101</f>
        <v>0</v>
      </c>
      <c r="H109" s="399">
        <f t="shared" si="1"/>
        <v>0</v>
      </c>
      <c r="I109" s="283"/>
    </row>
    <row r="110" spans="2:9" s="284" customFormat="1" ht="18.75" hidden="1" x14ac:dyDescent="0.2">
      <c r="B110" s="285">
        <v>98</v>
      </c>
      <c r="C110" s="288">
        <f>BoQ!C102</f>
        <v>0</v>
      </c>
      <c r="D110" s="286" t="str">
        <f>BoQ!E102</f>
        <v/>
      </c>
      <c r="E110" s="287" t="str">
        <f>BoQ!L102</f>
        <v/>
      </c>
      <c r="F110" s="288" t="str">
        <f>BoQ!D102</f>
        <v/>
      </c>
      <c r="G110" s="393">
        <f>BoQ!M102</f>
        <v>0</v>
      </c>
      <c r="H110" s="400">
        <f t="shared" si="1"/>
        <v>0</v>
      </c>
      <c r="I110" s="283"/>
    </row>
    <row r="111" spans="2:9" s="284" customFormat="1" ht="18.75" hidden="1" x14ac:dyDescent="0.2">
      <c r="B111" s="279">
        <v>99</v>
      </c>
      <c r="C111" s="282">
        <f>BoQ!C103</f>
        <v>0</v>
      </c>
      <c r="D111" s="280" t="str">
        <f>BoQ!E103</f>
        <v/>
      </c>
      <c r="E111" s="281" t="str">
        <f>BoQ!L103</f>
        <v/>
      </c>
      <c r="F111" s="282" t="str">
        <f>BoQ!D103</f>
        <v/>
      </c>
      <c r="G111" s="394">
        <f>BoQ!M103</f>
        <v>0</v>
      </c>
      <c r="H111" s="399">
        <f t="shared" si="1"/>
        <v>0</v>
      </c>
      <c r="I111" s="283"/>
    </row>
    <row r="112" spans="2:9" s="284" customFormat="1" ht="18.75" hidden="1" x14ac:dyDescent="0.2">
      <c r="B112" s="285">
        <v>100</v>
      </c>
      <c r="C112" s="288">
        <f>BoQ!C104</f>
        <v>0</v>
      </c>
      <c r="D112" s="286" t="str">
        <f>BoQ!E104</f>
        <v/>
      </c>
      <c r="E112" s="287" t="str">
        <f>BoQ!L104</f>
        <v/>
      </c>
      <c r="F112" s="288" t="str">
        <f>BoQ!D104</f>
        <v/>
      </c>
      <c r="G112" s="393">
        <f>BoQ!M104</f>
        <v>0</v>
      </c>
      <c r="H112" s="400">
        <f t="shared" si="1"/>
        <v>0</v>
      </c>
      <c r="I112" s="283"/>
    </row>
    <row r="113" spans="2:9" s="284" customFormat="1" ht="18.75" hidden="1" x14ac:dyDescent="0.2">
      <c r="B113" s="279">
        <v>101</v>
      </c>
      <c r="C113" s="282">
        <f>BoQ!C105</f>
        <v>0</v>
      </c>
      <c r="D113" s="280" t="str">
        <f>BoQ!E105</f>
        <v/>
      </c>
      <c r="E113" s="281" t="str">
        <f>BoQ!L105</f>
        <v/>
      </c>
      <c r="F113" s="282" t="str">
        <f>BoQ!D105</f>
        <v/>
      </c>
      <c r="G113" s="394">
        <f>BoQ!M105</f>
        <v>0</v>
      </c>
      <c r="H113" s="399">
        <f t="shared" si="1"/>
        <v>0</v>
      </c>
      <c r="I113" s="283"/>
    </row>
    <row r="114" spans="2:9" s="284" customFormat="1" ht="18.75" hidden="1" x14ac:dyDescent="0.2">
      <c r="B114" s="285">
        <v>102</v>
      </c>
      <c r="C114" s="288">
        <f>BoQ!C106</f>
        <v>0</v>
      </c>
      <c r="D114" s="286" t="str">
        <f>BoQ!E106</f>
        <v/>
      </c>
      <c r="E114" s="287" t="str">
        <f>BoQ!L106</f>
        <v/>
      </c>
      <c r="F114" s="288" t="str">
        <f>BoQ!D106</f>
        <v/>
      </c>
      <c r="G114" s="393">
        <f>BoQ!M106</f>
        <v>0</v>
      </c>
      <c r="H114" s="400">
        <f t="shared" si="1"/>
        <v>0</v>
      </c>
      <c r="I114" s="283"/>
    </row>
    <row r="115" spans="2:9" s="284" customFormat="1" ht="18.75" hidden="1" x14ac:dyDescent="0.2">
      <c r="B115" s="279">
        <v>103</v>
      </c>
      <c r="C115" s="282">
        <f>BoQ!C107</f>
        <v>0</v>
      </c>
      <c r="D115" s="280" t="str">
        <f>BoQ!E107</f>
        <v/>
      </c>
      <c r="E115" s="281" t="str">
        <f>BoQ!L107</f>
        <v/>
      </c>
      <c r="F115" s="282" t="str">
        <f>BoQ!D107</f>
        <v/>
      </c>
      <c r="G115" s="394">
        <f>BoQ!M107</f>
        <v>0</v>
      </c>
      <c r="H115" s="399">
        <f t="shared" si="1"/>
        <v>0</v>
      </c>
      <c r="I115" s="283"/>
    </row>
    <row r="116" spans="2:9" s="284" customFormat="1" ht="18.75" hidden="1" x14ac:dyDescent="0.2">
      <c r="B116" s="285">
        <v>104</v>
      </c>
      <c r="C116" s="288">
        <f>BoQ!C108</f>
        <v>0</v>
      </c>
      <c r="D116" s="286" t="str">
        <f>BoQ!E108</f>
        <v/>
      </c>
      <c r="E116" s="287" t="str">
        <f>BoQ!L108</f>
        <v/>
      </c>
      <c r="F116" s="288" t="str">
        <f>BoQ!D108</f>
        <v/>
      </c>
      <c r="G116" s="393">
        <f>BoQ!M108</f>
        <v>0</v>
      </c>
      <c r="H116" s="400">
        <f t="shared" si="1"/>
        <v>0</v>
      </c>
      <c r="I116" s="283"/>
    </row>
    <row r="117" spans="2:9" s="284" customFormat="1" ht="18.75" hidden="1" x14ac:dyDescent="0.2">
      <c r="B117" s="279">
        <v>105</v>
      </c>
      <c r="C117" s="282">
        <f>BoQ!C109</f>
        <v>0</v>
      </c>
      <c r="D117" s="280" t="str">
        <f>BoQ!E109</f>
        <v/>
      </c>
      <c r="E117" s="281" t="str">
        <f>BoQ!L109</f>
        <v/>
      </c>
      <c r="F117" s="282" t="str">
        <f>BoQ!D109</f>
        <v/>
      </c>
      <c r="G117" s="394">
        <f>BoQ!M109</f>
        <v>0</v>
      </c>
      <c r="H117" s="399">
        <f t="shared" si="1"/>
        <v>0</v>
      </c>
      <c r="I117" s="283"/>
    </row>
    <row r="118" spans="2:9" s="284" customFormat="1" ht="18.75" hidden="1" x14ac:dyDescent="0.2">
      <c r="B118" s="285">
        <v>106</v>
      </c>
      <c r="C118" s="288">
        <f>BoQ!C110</f>
        <v>0</v>
      </c>
      <c r="D118" s="286" t="str">
        <f>BoQ!E110</f>
        <v/>
      </c>
      <c r="E118" s="287" t="str">
        <f>BoQ!L110</f>
        <v/>
      </c>
      <c r="F118" s="288" t="str">
        <f>BoQ!D110</f>
        <v/>
      </c>
      <c r="G118" s="393">
        <f>BoQ!M110</f>
        <v>0</v>
      </c>
      <c r="H118" s="400">
        <f t="shared" si="1"/>
        <v>0</v>
      </c>
      <c r="I118" s="283"/>
    </row>
    <row r="119" spans="2:9" s="284" customFormat="1" ht="18.75" hidden="1" x14ac:dyDescent="0.2">
      <c r="B119" s="279">
        <v>107</v>
      </c>
      <c r="C119" s="282">
        <f>BoQ!C111</f>
        <v>0</v>
      </c>
      <c r="D119" s="280" t="str">
        <f>BoQ!E111</f>
        <v/>
      </c>
      <c r="E119" s="281" t="str">
        <f>BoQ!L111</f>
        <v/>
      </c>
      <c r="F119" s="282" t="str">
        <f>BoQ!D111</f>
        <v/>
      </c>
      <c r="G119" s="394">
        <f>BoQ!M111</f>
        <v>0</v>
      </c>
      <c r="H119" s="399">
        <f t="shared" si="1"/>
        <v>0</v>
      </c>
      <c r="I119" s="283"/>
    </row>
    <row r="120" spans="2:9" s="284" customFormat="1" ht="18.75" hidden="1" x14ac:dyDescent="0.2">
      <c r="B120" s="285">
        <v>108</v>
      </c>
      <c r="C120" s="288">
        <f>BoQ!C112</f>
        <v>0</v>
      </c>
      <c r="D120" s="286" t="str">
        <f>BoQ!E112</f>
        <v/>
      </c>
      <c r="E120" s="287" t="str">
        <f>BoQ!L112</f>
        <v/>
      </c>
      <c r="F120" s="288" t="str">
        <f>BoQ!D112</f>
        <v/>
      </c>
      <c r="G120" s="393">
        <f>BoQ!M112</f>
        <v>0</v>
      </c>
      <c r="H120" s="400">
        <f t="shared" si="1"/>
        <v>0</v>
      </c>
      <c r="I120" s="283"/>
    </row>
    <row r="121" spans="2:9" s="284" customFormat="1" ht="18.75" hidden="1" x14ac:dyDescent="0.2">
      <c r="B121" s="279">
        <v>109</v>
      </c>
      <c r="C121" s="282">
        <f>BoQ!C113</f>
        <v>0</v>
      </c>
      <c r="D121" s="280" t="str">
        <f>BoQ!E113</f>
        <v/>
      </c>
      <c r="E121" s="281" t="str">
        <f>BoQ!L113</f>
        <v/>
      </c>
      <c r="F121" s="282" t="str">
        <f>BoQ!D113</f>
        <v/>
      </c>
      <c r="G121" s="394">
        <f>BoQ!M113</f>
        <v>0</v>
      </c>
      <c r="H121" s="399">
        <f t="shared" si="1"/>
        <v>0</v>
      </c>
      <c r="I121" s="283"/>
    </row>
    <row r="122" spans="2:9" s="284" customFormat="1" ht="18.75" hidden="1" x14ac:dyDescent="0.2">
      <c r="B122" s="285">
        <v>110</v>
      </c>
      <c r="C122" s="288">
        <f>BoQ!C114</f>
        <v>0</v>
      </c>
      <c r="D122" s="286" t="str">
        <f>BoQ!E114</f>
        <v/>
      </c>
      <c r="E122" s="287" t="str">
        <f>BoQ!L114</f>
        <v/>
      </c>
      <c r="F122" s="288" t="str">
        <f>BoQ!D114</f>
        <v/>
      </c>
      <c r="G122" s="393">
        <f>BoQ!M114</f>
        <v>0</v>
      </c>
      <c r="H122" s="400">
        <f t="shared" si="1"/>
        <v>0</v>
      </c>
      <c r="I122" s="283"/>
    </row>
    <row r="123" spans="2:9" s="284" customFormat="1" ht="18.75" hidden="1" x14ac:dyDescent="0.2">
      <c r="B123" s="279">
        <v>111</v>
      </c>
      <c r="C123" s="282">
        <f>BoQ!C115</f>
        <v>0</v>
      </c>
      <c r="D123" s="280" t="str">
        <f>BoQ!E115</f>
        <v/>
      </c>
      <c r="E123" s="281" t="str">
        <f>BoQ!L115</f>
        <v/>
      </c>
      <c r="F123" s="282" t="str">
        <f>BoQ!D115</f>
        <v/>
      </c>
      <c r="G123" s="394">
        <f>BoQ!M115</f>
        <v>0</v>
      </c>
      <c r="H123" s="399">
        <f t="shared" si="1"/>
        <v>0</v>
      </c>
      <c r="I123" s="283"/>
    </row>
    <row r="124" spans="2:9" s="284" customFormat="1" ht="18.75" hidden="1" x14ac:dyDescent="0.2">
      <c r="B124" s="285">
        <v>112</v>
      </c>
      <c r="C124" s="288">
        <f>BoQ!C116</f>
        <v>0</v>
      </c>
      <c r="D124" s="286" t="str">
        <f>BoQ!E116</f>
        <v/>
      </c>
      <c r="E124" s="287" t="str">
        <f>BoQ!L116</f>
        <v/>
      </c>
      <c r="F124" s="288" t="str">
        <f>BoQ!D116</f>
        <v/>
      </c>
      <c r="G124" s="393">
        <f>BoQ!M116</f>
        <v>0</v>
      </c>
      <c r="H124" s="400">
        <f t="shared" si="1"/>
        <v>0</v>
      </c>
      <c r="I124" s="283"/>
    </row>
    <row r="125" spans="2:9" s="284" customFormat="1" ht="18.75" hidden="1" x14ac:dyDescent="0.2">
      <c r="B125" s="279">
        <v>113</v>
      </c>
      <c r="C125" s="282">
        <f>BoQ!C117</f>
        <v>0</v>
      </c>
      <c r="D125" s="280" t="str">
        <f>BoQ!E117</f>
        <v/>
      </c>
      <c r="E125" s="281" t="str">
        <f>BoQ!L117</f>
        <v/>
      </c>
      <c r="F125" s="282" t="str">
        <f>BoQ!D117</f>
        <v/>
      </c>
      <c r="G125" s="394">
        <f>BoQ!M117</f>
        <v>0</v>
      </c>
      <c r="H125" s="399">
        <f t="shared" si="1"/>
        <v>0</v>
      </c>
      <c r="I125" s="283"/>
    </row>
    <row r="126" spans="2:9" s="284" customFormat="1" ht="18.75" hidden="1" x14ac:dyDescent="0.2">
      <c r="B126" s="285">
        <v>114</v>
      </c>
      <c r="C126" s="288">
        <f>BoQ!C118</f>
        <v>0</v>
      </c>
      <c r="D126" s="286" t="str">
        <f>BoQ!E118</f>
        <v/>
      </c>
      <c r="E126" s="287" t="str">
        <f>BoQ!L118</f>
        <v/>
      </c>
      <c r="F126" s="288" t="str">
        <f>BoQ!D118</f>
        <v/>
      </c>
      <c r="G126" s="393">
        <f>BoQ!M118</f>
        <v>0</v>
      </c>
      <c r="H126" s="400">
        <f t="shared" si="1"/>
        <v>0</v>
      </c>
      <c r="I126" s="283"/>
    </row>
    <row r="127" spans="2:9" s="284" customFormat="1" ht="18.75" hidden="1" x14ac:dyDescent="0.2">
      <c r="B127" s="279">
        <v>115</v>
      </c>
      <c r="C127" s="282">
        <f>BoQ!C119</f>
        <v>0</v>
      </c>
      <c r="D127" s="280" t="str">
        <f>BoQ!E119</f>
        <v/>
      </c>
      <c r="E127" s="281" t="str">
        <f>BoQ!L119</f>
        <v/>
      </c>
      <c r="F127" s="282" t="str">
        <f>BoQ!D119</f>
        <v/>
      </c>
      <c r="G127" s="394">
        <f>BoQ!M119</f>
        <v>0</v>
      </c>
      <c r="H127" s="399">
        <f t="shared" si="1"/>
        <v>0</v>
      </c>
      <c r="I127" s="283"/>
    </row>
    <row r="128" spans="2:9" s="284" customFormat="1" ht="18.75" hidden="1" x14ac:dyDescent="0.2">
      <c r="B128" s="285">
        <v>116</v>
      </c>
      <c r="C128" s="288">
        <f>BoQ!C120</f>
        <v>0</v>
      </c>
      <c r="D128" s="286" t="str">
        <f>BoQ!E120</f>
        <v/>
      </c>
      <c r="E128" s="287" t="str">
        <f>BoQ!L120</f>
        <v/>
      </c>
      <c r="F128" s="288" t="str">
        <f>BoQ!D120</f>
        <v/>
      </c>
      <c r="G128" s="393">
        <f>BoQ!M120</f>
        <v>0</v>
      </c>
      <c r="H128" s="400">
        <f t="shared" si="1"/>
        <v>0</v>
      </c>
      <c r="I128" s="283"/>
    </row>
    <row r="129" spans="2:9" s="284" customFormat="1" ht="18.75" hidden="1" x14ac:dyDescent="0.2">
      <c r="B129" s="279">
        <v>117</v>
      </c>
      <c r="C129" s="282">
        <f>BoQ!C121</f>
        <v>0</v>
      </c>
      <c r="D129" s="280" t="str">
        <f>BoQ!E121</f>
        <v/>
      </c>
      <c r="E129" s="281" t="str">
        <f>BoQ!L121</f>
        <v/>
      </c>
      <c r="F129" s="282" t="str">
        <f>BoQ!D121</f>
        <v/>
      </c>
      <c r="G129" s="394">
        <f>BoQ!M121</f>
        <v>0</v>
      </c>
      <c r="H129" s="399">
        <f t="shared" si="1"/>
        <v>0</v>
      </c>
      <c r="I129" s="283"/>
    </row>
    <row r="130" spans="2:9" s="284" customFormat="1" ht="18.75" hidden="1" x14ac:dyDescent="0.2">
      <c r="B130" s="285">
        <v>118</v>
      </c>
      <c r="C130" s="288">
        <f>BoQ!C122</f>
        <v>0</v>
      </c>
      <c r="D130" s="286" t="str">
        <f>BoQ!E122</f>
        <v/>
      </c>
      <c r="E130" s="287" t="str">
        <f>BoQ!L122</f>
        <v/>
      </c>
      <c r="F130" s="288" t="str">
        <f>BoQ!D122</f>
        <v/>
      </c>
      <c r="G130" s="393">
        <f>BoQ!M122</f>
        <v>0</v>
      </c>
      <c r="H130" s="400">
        <f t="shared" si="1"/>
        <v>0</v>
      </c>
      <c r="I130" s="283"/>
    </row>
    <row r="131" spans="2:9" s="284" customFormat="1" ht="18.75" hidden="1" x14ac:dyDescent="0.2">
      <c r="B131" s="279">
        <v>119</v>
      </c>
      <c r="C131" s="282">
        <f>BoQ!C123</f>
        <v>0</v>
      </c>
      <c r="D131" s="280" t="str">
        <f>BoQ!E123</f>
        <v/>
      </c>
      <c r="E131" s="281" t="str">
        <f>BoQ!L123</f>
        <v/>
      </c>
      <c r="F131" s="282" t="str">
        <f>BoQ!D123</f>
        <v/>
      </c>
      <c r="G131" s="394">
        <f>BoQ!M123</f>
        <v>0</v>
      </c>
      <c r="H131" s="399">
        <f t="shared" si="1"/>
        <v>0</v>
      </c>
      <c r="I131" s="283"/>
    </row>
    <row r="132" spans="2:9" s="284" customFormat="1" ht="18.75" hidden="1" x14ac:dyDescent="0.2">
      <c r="B132" s="285">
        <v>120</v>
      </c>
      <c r="C132" s="288">
        <f>BoQ!C124</f>
        <v>0</v>
      </c>
      <c r="D132" s="286" t="str">
        <f>BoQ!E124</f>
        <v/>
      </c>
      <c r="E132" s="287" t="str">
        <f>BoQ!L124</f>
        <v/>
      </c>
      <c r="F132" s="288" t="str">
        <f>BoQ!D124</f>
        <v/>
      </c>
      <c r="G132" s="393">
        <f>BoQ!M124</f>
        <v>0</v>
      </c>
      <c r="H132" s="400">
        <f t="shared" si="1"/>
        <v>0</v>
      </c>
      <c r="I132" s="283"/>
    </row>
    <row r="133" spans="2:9" s="284" customFormat="1" ht="18.75" hidden="1" x14ac:dyDescent="0.2">
      <c r="B133" s="279">
        <v>121</v>
      </c>
      <c r="C133" s="282">
        <f>BoQ!C125</f>
        <v>0</v>
      </c>
      <c r="D133" s="280" t="str">
        <f>BoQ!E125</f>
        <v/>
      </c>
      <c r="E133" s="281" t="str">
        <f>BoQ!L125</f>
        <v/>
      </c>
      <c r="F133" s="282" t="str">
        <f>BoQ!D125</f>
        <v/>
      </c>
      <c r="G133" s="394">
        <f>BoQ!M125</f>
        <v>0</v>
      </c>
      <c r="H133" s="399">
        <f t="shared" si="1"/>
        <v>0</v>
      </c>
      <c r="I133" s="283"/>
    </row>
    <row r="134" spans="2:9" s="284" customFormat="1" ht="18.75" hidden="1" x14ac:dyDescent="0.2">
      <c r="B134" s="285">
        <v>122</v>
      </c>
      <c r="C134" s="288">
        <f>BoQ!C126</f>
        <v>0</v>
      </c>
      <c r="D134" s="286" t="str">
        <f>BoQ!E126</f>
        <v/>
      </c>
      <c r="E134" s="287" t="str">
        <f>BoQ!L126</f>
        <v/>
      </c>
      <c r="F134" s="288" t="str">
        <f>BoQ!D126</f>
        <v/>
      </c>
      <c r="G134" s="393">
        <f>BoQ!M126</f>
        <v>0</v>
      </c>
      <c r="H134" s="400">
        <f t="shared" si="1"/>
        <v>0</v>
      </c>
      <c r="I134" s="283"/>
    </row>
    <row r="135" spans="2:9" s="284" customFormat="1" ht="18.75" hidden="1" x14ac:dyDescent="0.2">
      <c r="B135" s="279">
        <v>123</v>
      </c>
      <c r="C135" s="282">
        <f>BoQ!C127</f>
        <v>0</v>
      </c>
      <c r="D135" s="280" t="str">
        <f>BoQ!E127</f>
        <v/>
      </c>
      <c r="E135" s="281" t="str">
        <f>BoQ!L127</f>
        <v/>
      </c>
      <c r="F135" s="282" t="str">
        <f>BoQ!D127</f>
        <v/>
      </c>
      <c r="G135" s="394">
        <f>BoQ!M127</f>
        <v>0</v>
      </c>
      <c r="H135" s="399">
        <f t="shared" si="1"/>
        <v>0</v>
      </c>
      <c r="I135" s="283"/>
    </row>
    <row r="136" spans="2:9" s="284" customFormat="1" ht="18.75" hidden="1" x14ac:dyDescent="0.2">
      <c r="B136" s="285">
        <v>124</v>
      </c>
      <c r="C136" s="288">
        <f>BoQ!C128</f>
        <v>0</v>
      </c>
      <c r="D136" s="286" t="str">
        <f>BoQ!E128</f>
        <v/>
      </c>
      <c r="E136" s="287" t="str">
        <f>BoQ!L128</f>
        <v/>
      </c>
      <c r="F136" s="288" t="str">
        <f>BoQ!D128</f>
        <v/>
      </c>
      <c r="G136" s="393">
        <f>BoQ!M128</f>
        <v>0</v>
      </c>
      <c r="H136" s="400">
        <f t="shared" si="1"/>
        <v>0</v>
      </c>
      <c r="I136" s="283"/>
    </row>
    <row r="137" spans="2:9" s="284" customFormat="1" ht="18.75" hidden="1" x14ac:dyDescent="0.2">
      <c r="B137" s="279">
        <v>125</v>
      </c>
      <c r="C137" s="282">
        <f>BoQ!C129</f>
        <v>0</v>
      </c>
      <c r="D137" s="280" t="str">
        <f>BoQ!E129</f>
        <v/>
      </c>
      <c r="E137" s="281" t="str">
        <f>BoQ!L129</f>
        <v/>
      </c>
      <c r="F137" s="282" t="str">
        <f>BoQ!D129</f>
        <v/>
      </c>
      <c r="G137" s="394">
        <f>BoQ!M129</f>
        <v>0</v>
      </c>
      <c r="H137" s="399">
        <f t="shared" si="1"/>
        <v>0</v>
      </c>
      <c r="I137" s="283"/>
    </row>
    <row r="138" spans="2:9" s="284" customFormat="1" ht="18.75" hidden="1" x14ac:dyDescent="0.2">
      <c r="B138" s="285">
        <v>126</v>
      </c>
      <c r="C138" s="288">
        <f>BoQ!C130</f>
        <v>0</v>
      </c>
      <c r="D138" s="286" t="str">
        <f>BoQ!E130</f>
        <v/>
      </c>
      <c r="E138" s="287" t="str">
        <f>BoQ!L130</f>
        <v/>
      </c>
      <c r="F138" s="288" t="str">
        <f>BoQ!D130</f>
        <v/>
      </c>
      <c r="G138" s="393">
        <f>BoQ!M130</f>
        <v>0</v>
      </c>
      <c r="H138" s="400">
        <f t="shared" si="1"/>
        <v>0</v>
      </c>
      <c r="I138" s="283"/>
    </row>
    <row r="139" spans="2:9" s="284" customFormat="1" ht="18.75" hidden="1" x14ac:dyDescent="0.2">
      <c r="B139" s="279">
        <v>127</v>
      </c>
      <c r="C139" s="282">
        <f>BoQ!C131</f>
        <v>0</v>
      </c>
      <c r="D139" s="280" t="str">
        <f>BoQ!E131</f>
        <v/>
      </c>
      <c r="E139" s="281" t="str">
        <f>BoQ!L131</f>
        <v/>
      </c>
      <c r="F139" s="282" t="str">
        <f>BoQ!D131</f>
        <v/>
      </c>
      <c r="G139" s="394">
        <f>BoQ!M131</f>
        <v>0</v>
      </c>
      <c r="H139" s="399">
        <f t="shared" si="1"/>
        <v>0</v>
      </c>
      <c r="I139" s="283"/>
    </row>
    <row r="140" spans="2:9" s="284" customFormat="1" ht="18.75" hidden="1" x14ac:dyDescent="0.2">
      <c r="B140" s="285">
        <v>128</v>
      </c>
      <c r="C140" s="288">
        <f>BoQ!C132</f>
        <v>0</v>
      </c>
      <c r="D140" s="286" t="str">
        <f>BoQ!E132</f>
        <v/>
      </c>
      <c r="E140" s="287" t="str">
        <f>BoQ!L132</f>
        <v/>
      </c>
      <c r="F140" s="288" t="str">
        <f>BoQ!D132</f>
        <v/>
      </c>
      <c r="G140" s="393">
        <f>BoQ!M132</f>
        <v>0</v>
      </c>
      <c r="H140" s="400">
        <f t="shared" si="1"/>
        <v>0</v>
      </c>
      <c r="I140" s="283"/>
    </row>
    <row r="141" spans="2:9" s="284" customFormat="1" ht="18.75" hidden="1" x14ac:dyDescent="0.2">
      <c r="B141" s="279">
        <v>129</v>
      </c>
      <c r="C141" s="282">
        <f>BoQ!C133</f>
        <v>0</v>
      </c>
      <c r="D141" s="280" t="str">
        <f>BoQ!E133</f>
        <v/>
      </c>
      <c r="E141" s="281" t="str">
        <f>BoQ!L133</f>
        <v/>
      </c>
      <c r="F141" s="282" t="str">
        <f>BoQ!D133</f>
        <v/>
      </c>
      <c r="G141" s="394">
        <f>BoQ!M133</f>
        <v>0</v>
      </c>
      <c r="H141" s="399">
        <f t="shared" si="1"/>
        <v>0</v>
      </c>
      <c r="I141" s="283"/>
    </row>
    <row r="142" spans="2:9" s="284" customFormat="1" ht="18.75" hidden="1" x14ac:dyDescent="0.2">
      <c r="B142" s="285">
        <v>130</v>
      </c>
      <c r="C142" s="288">
        <f>BoQ!C134</f>
        <v>0</v>
      </c>
      <c r="D142" s="286" t="str">
        <f>BoQ!E134</f>
        <v/>
      </c>
      <c r="E142" s="287" t="str">
        <f>BoQ!L134</f>
        <v/>
      </c>
      <c r="F142" s="288" t="str">
        <f>BoQ!D134</f>
        <v/>
      </c>
      <c r="G142" s="393">
        <f>BoQ!M134</f>
        <v>0</v>
      </c>
      <c r="H142" s="400">
        <f t="shared" si="1"/>
        <v>0</v>
      </c>
      <c r="I142" s="283"/>
    </row>
    <row r="143" spans="2:9" s="284" customFormat="1" ht="18.75" hidden="1" x14ac:dyDescent="0.2">
      <c r="B143" s="279">
        <v>131</v>
      </c>
      <c r="C143" s="282">
        <f>BoQ!C135</f>
        <v>0</v>
      </c>
      <c r="D143" s="280" t="str">
        <f>BoQ!E135</f>
        <v/>
      </c>
      <c r="E143" s="281" t="str">
        <f>BoQ!L135</f>
        <v/>
      </c>
      <c r="F143" s="282" t="str">
        <f>BoQ!D135</f>
        <v/>
      </c>
      <c r="G143" s="394">
        <f>BoQ!M135</f>
        <v>0</v>
      </c>
      <c r="H143" s="399">
        <f t="shared" si="1"/>
        <v>0</v>
      </c>
      <c r="I143" s="283"/>
    </row>
    <row r="144" spans="2:9" s="284" customFormat="1" ht="18.75" hidden="1" x14ac:dyDescent="0.2">
      <c r="B144" s="285">
        <v>132</v>
      </c>
      <c r="C144" s="288">
        <f>BoQ!C136</f>
        <v>0</v>
      </c>
      <c r="D144" s="286" t="str">
        <f>BoQ!E136</f>
        <v/>
      </c>
      <c r="E144" s="287" t="str">
        <f>BoQ!L136</f>
        <v/>
      </c>
      <c r="F144" s="288" t="str">
        <f>BoQ!D136</f>
        <v/>
      </c>
      <c r="G144" s="393">
        <f>BoQ!M136</f>
        <v>0</v>
      </c>
      <c r="H144" s="400">
        <f t="shared" ref="H144:H207" si="2">IFERROR(G144*E144,0)</f>
        <v>0</v>
      </c>
      <c r="I144" s="283"/>
    </row>
    <row r="145" spans="2:9" s="284" customFormat="1" ht="18.75" hidden="1" x14ac:dyDescent="0.2">
      <c r="B145" s="279">
        <v>133</v>
      </c>
      <c r="C145" s="282">
        <f>BoQ!C137</f>
        <v>0</v>
      </c>
      <c r="D145" s="280" t="str">
        <f>BoQ!E137</f>
        <v/>
      </c>
      <c r="E145" s="281" t="str">
        <f>BoQ!L137</f>
        <v/>
      </c>
      <c r="F145" s="282" t="str">
        <f>BoQ!D137</f>
        <v/>
      </c>
      <c r="G145" s="394">
        <f>BoQ!M137</f>
        <v>0</v>
      </c>
      <c r="H145" s="399">
        <f t="shared" si="2"/>
        <v>0</v>
      </c>
      <c r="I145" s="283"/>
    </row>
    <row r="146" spans="2:9" s="284" customFormat="1" ht="18.75" hidden="1" x14ac:dyDescent="0.2">
      <c r="B146" s="285">
        <v>134</v>
      </c>
      <c r="C146" s="288">
        <f>BoQ!C138</f>
        <v>0</v>
      </c>
      <c r="D146" s="286" t="str">
        <f>BoQ!E138</f>
        <v/>
      </c>
      <c r="E146" s="287" t="str">
        <f>BoQ!L138</f>
        <v/>
      </c>
      <c r="F146" s="288" t="str">
        <f>BoQ!D138</f>
        <v/>
      </c>
      <c r="G146" s="393">
        <f>BoQ!M138</f>
        <v>0</v>
      </c>
      <c r="H146" s="400">
        <f t="shared" si="2"/>
        <v>0</v>
      </c>
      <c r="I146" s="283"/>
    </row>
    <row r="147" spans="2:9" s="284" customFormat="1" ht="18.75" hidden="1" x14ac:dyDescent="0.2">
      <c r="B147" s="279">
        <v>135</v>
      </c>
      <c r="C147" s="282">
        <f>BoQ!C139</f>
        <v>0</v>
      </c>
      <c r="D147" s="280" t="str">
        <f>BoQ!E139</f>
        <v/>
      </c>
      <c r="E147" s="281" t="str">
        <f>BoQ!L139</f>
        <v/>
      </c>
      <c r="F147" s="282" t="str">
        <f>BoQ!D139</f>
        <v/>
      </c>
      <c r="G147" s="394">
        <f>BoQ!M139</f>
        <v>0</v>
      </c>
      <c r="H147" s="399">
        <f t="shared" si="2"/>
        <v>0</v>
      </c>
      <c r="I147" s="283"/>
    </row>
    <row r="148" spans="2:9" s="284" customFormat="1" ht="18.75" hidden="1" x14ac:dyDescent="0.2">
      <c r="B148" s="285">
        <v>136</v>
      </c>
      <c r="C148" s="288">
        <f>BoQ!C140</f>
        <v>0</v>
      </c>
      <c r="D148" s="286" t="str">
        <f>BoQ!E140</f>
        <v/>
      </c>
      <c r="E148" s="287" t="str">
        <f>BoQ!L140</f>
        <v/>
      </c>
      <c r="F148" s="288" t="str">
        <f>BoQ!D140</f>
        <v/>
      </c>
      <c r="G148" s="393">
        <f>BoQ!M140</f>
        <v>0</v>
      </c>
      <c r="H148" s="400">
        <f t="shared" si="2"/>
        <v>0</v>
      </c>
      <c r="I148" s="283"/>
    </row>
    <row r="149" spans="2:9" s="284" customFormat="1" ht="18.75" hidden="1" x14ac:dyDescent="0.2">
      <c r="B149" s="279">
        <v>137</v>
      </c>
      <c r="C149" s="282">
        <f>BoQ!C141</f>
        <v>0</v>
      </c>
      <c r="D149" s="280" t="str">
        <f>BoQ!E141</f>
        <v/>
      </c>
      <c r="E149" s="281" t="str">
        <f>BoQ!L141</f>
        <v/>
      </c>
      <c r="F149" s="282" t="str">
        <f>BoQ!D141</f>
        <v/>
      </c>
      <c r="G149" s="394">
        <f>BoQ!M141</f>
        <v>0</v>
      </c>
      <c r="H149" s="399">
        <f t="shared" si="2"/>
        <v>0</v>
      </c>
      <c r="I149" s="283"/>
    </row>
    <row r="150" spans="2:9" s="284" customFormat="1" ht="18.75" hidden="1" x14ac:dyDescent="0.2">
      <c r="B150" s="285">
        <v>138</v>
      </c>
      <c r="C150" s="288">
        <f>BoQ!C142</f>
        <v>0</v>
      </c>
      <c r="D150" s="286" t="str">
        <f>BoQ!E142</f>
        <v/>
      </c>
      <c r="E150" s="287" t="str">
        <f>BoQ!L142</f>
        <v/>
      </c>
      <c r="F150" s="288" t="str">
        <f>BoQ!D142</f>
        <v/>
      </c>
      <c r="G150" s="393">
        <f>BoQ!M142</f>
        <v>0</v>
      </c>
      <c r="H150" s="400">
        <f t="shared" si="2"/>
        <v>0</v>
      </c>
      <c r="I150" s="283"/>
    </row>
    <row r="151" spans="2:9" s="284" customFormat="1" ht="18.75" hidden="1" x14ac:dyDescent="0.2">
      <c r="B151" s="279">
        <v>139</v>
      </c>
      <c r="C151" s="282">
        <f>BoQ!C143</f>
        <v>0</v>
      </c>
      <c r="D151" s="280" t="str">
        <f>BoQ!E143</f>
        <v/>
      </c>
      <c r="E151" s="281" t="str">
        <f>BoQ!L143</f>
        <v/>
      </c>
      <c r="F151" s="282" t="str">
        <f>BoQ!D143</f>
        <v/>
      </c>
      <c r="G151" s="394">
        <f>BoQ!M143</f>
        <v>0</v>
      </c>
      <c r="H151" s="399">
        <f t="shared" si="2"/>
        <v>0</v>
      </c>
      <c r="I151" s="283"/>
    </row>
    <row r="152" spans="2:9" s="284" customFormat="1" ht="18.75" hidden="1" x14ac:dyDescent="0.2">
      <c r="B152" s="285">
        <v>140</v>
      </c>
      <c r="C152" s="288">
        <f>BoQ!C144</f>
        <v>0</v>
      </c>
      <c r="D152" s="286" t="str">
        <f>BoQ!E144</f>
        <v/>
      </c>
      <c r="E152" s="287" t="str">
        <f>BoQ!L144</f>
        <v/>
      </c>
      <c r="F152" s="288" t="str">
        <f>BoQ!D144</f>
        <v/>
      </c>
      <c r="G152" s="393">
        <f>BoQ!M144</f>
        <v>0</v>
      </c>
      <c r="H152" s="400">
        <f t="shared" si="2"/>
        <v>0</v>
      </c>
      <c r="I152" s="283"/>
    </row>
    <row r="153" spans="2:9" s="284" customFormat="1" ht="18.75" hidden="1" x14ac:dyDescent="0.2">
      <c r="B153" s="279">
        <v>141</v>
      </c>
      <c r="C153" s="282">
        <f>BoQ!C145</f>
        <v>0</v>
      </c>
      <c r="D153" s="280" t="str">
        <f>BoQ!E145</f>
        <v/>
      </c>
      <c r="E153" s="281" t="str">
        <f>BoQ!L145</f>
        <v/>
      </c>
      <c r="F153" s="282" t="str">
        <f>BoQ!D145</f>
        <v/>
      </c>
      <c r="G153" s="394">
        <f>BoQ!M145</f>
        <v>0</v>
      </c>
      <c r="H153" s="399">
        <f t="shared" si="2"/>
        <v>0</v>
      </c>
      <c r="I153" s="283"/>
    </row>
    <row r="154" spans="2:9" s="284" customFormat="1" ht="18.75" hidden="1" x14ac:dyDescent="0.2">
      <c r="B154" s="285">
        <v>142</v>
      </c>
      <c r="C154" s="288">
        <f>BoQ!C146</f>
        <v>0</v>
      </c>
      <c r="D154" s="286" t="str">
        <f>BoQ!E146</f>
        <v/>
      </c>
      <c r="E154" s="287" t="str">
        <f>BoQ!L146</f>
        <v/>
      </c>
      <c r="F154" s="288" t="str">
        <f>BoQ!D146</f>
        <v/>
      </c>
      <c r="G154" s="393">
        <f>BoQ!M146</f>
        <v>0</v>
      </c>
      <c r="H154" s="400">
        <f t="shared" si="2"/>
        <v>0</v>
      </c>
      <c r="I154" s="283"/>
    </row>
    <row r="155" spans="2:9" s="284" customFormat="1" ht="18.75" hidden="1" x14ac:dyDescent="0.2">
      <c r="B155" s="279">
        <v>143</v>
      </c>
      <c r="C155" s="282">
        <f>BoQ!C147</f>
        <v>0</v>
      </c>
      <c r="D155" s="280" t="str">
        <f>BoQ!E147</f>
        <v/>
      </c>
      <c r="E155" s="281" t="str">
        <f>BoQ!L147</f>
        <v/>
      </c>
      <c r="F155" s="282" t="str">
        <f>BoQ!D147</f>
        <v/>
      </c>
      <c r="G155" s="394">
        <f>BoQ!M147</f>
        <v>0</v>
      </c>
      <c r="H155" s="399">
        <f t="shared" si="2"/>
        <v>0</v>
      </c>
      <c r="I155" s="283"/>
    </row>
    <row r="156" spans="2:9" s="284" customFormat="1" ht="18.75" hidden="1" x14ac:dyDescent="0.2">
      <c r="B156" s="285">
        <v>144</v>
      </c>
      <c r="C156" s="288">
        <f>BoQ!C148</f>
        <v>0</v>
      </c>
      <c r="D156" s="286" t="str">
        <f>BoQ!E148</f>
        <v/>
      </c>
      <c r="E156" s="287" t="str">
        <f>BoQ!L148</f>
        <v/>
      </c>
      <c r="F156" s="288" t="str">
        <f>BoQ!D148</f>
        <v/>
      </c>
      <c r="G156" s="393">
        <f>BoQ!M148</f>
        <v>0</v>
      </c>
      <c r="H156" s="400">
        <f t="shared" si="2"/>
        <v>0</v>
      </c>
      <c r="I156" s="283"/>
    </row>
    <row r="157" spans="2:9" s="284" customFormat="1" ht="18.75" hidden="1" x14ac:dyDescent="0.2">
      <c r="B157" s="279">
        <v>145</v>
      </c>
      <c r="C157" s="282">
        <f>BoQ!C149</f>
        <v>0</v>
      </c>
      <c r="D157" s="280" t="str">
        <f>BoQ!E149</f>
        <v/>
      </c>
      <c r="E157" s="281" t="str">
        <f>BoQ!L149</f>
        <v/>
      </c>
      <c r="F157" s="282" t="str">
        <f>BoQ!D149</f>
        <v/>
      </c>
      <c r="G157" s="394">
        <f>BoQ!M149</f>
        <v>0</v>
      </c>
      <c r="H157" s="399">
        <f t="shared" si="2"/>
        <v>0</v>
      </c>
      <c r="I157" s="283"/>
    </row>
    <row r="158" spans="2:9" s="284" customFormat="1" ht="18.75" hidden="1" x14ac:dyDescent="0.2">
      <c r="B158" s="285">
        <v>146</v>
      </c>
      <c r="C158" s="288">
        <f>BoQ!C150</f>
        <v>0</v>
      </c>
      <c r="D158" s="286" t="str">
        <f>BoQ!E150</f>
        <v/>
      </c>
      <c r="E158" s="287" t="str">
        <f>BoQ!L150</f>
        <v/>
      </c>
      <c r="F158" s="288" t="str">
        <f>BoQ!D150</f>
        <v/>
      </c>
      <c r="G158" s="393">
        <f>BoQ!M150</f>
        <v>0</v>
      </c>
      <c r="H158" s="400">
        <f t="shared" si="2"/>
        <v>0</v>
      </c>
      <c r="I158" s="283"/>
    </row>
    <row r="159" spans="2:9" s="284" customFormat="1" ht="18.75" hidden="1" x14ac:dyDescent="0.2">
      <c r="B159" s="279">
        <v>147</v>
      </c>
      <c r="C159" s="282">
        <f>BoQ!C151</f>
        <v>0</v>
      </c>
      <c r="D159" s="280" t="str">
        <f>BoQ!E151</f>
        <v/>
      </c>
      <c r="E159" s="281" t="str">
        <f>BoQ!L151</f>
        <v/>
      </c>
      <c r="F159" s="282" t="str">
        <f>BoQ!D151</f>
        <v/>
      </c>
      <c r="G159" s="394">
        <f>BoQ!M151</f>
        <v>0</v>
      </c>
      <c r="H159" s="399">
        <f t="shared" si="2"/>
        <v>0</v>
      </c>
      <c r="I159" s="283"/>
    </row>
    <row r="160" spans="2:9" s="284" customFormat="1" ht="18.75" hidden="1" x14ac:dyDescent="0.2">
      <c r="B160" s="285">
        <v>148</v>
      </c>
      <c r="C160" s="288">
        <f>BoQ!C152</f>
        <v>0</v>
      </c>
      <c r="D160" s="286" t="str">
        <f>BoQ!E152</f>
        <v/>
      </c>
      <c r="E160" s="287" t="str">
        <f>BoQ!L152</f>
        <v/>
      </c>
      <c r="F160" s="288" t="str">
        <f>BoQ!D152</f>
        <v/>
      </c>
      <c r="G160" s="393">
        <f>BoQ!M152</f>
        <v>0</v>
      </c>
      <c r="H160" s="400">
        <f t="shared" si="2"/>
        <v>0</v>
      </c>
      <c r="I160" s="283"/>
    </row>
    <row r="161" spans="2:9" s="284" customFormat="1" ht="18.75" hidden="1" x14ac:dyDescent="0.2">
      <c r="B161" s="279">
        <v>149</v>
      </c>
      <c r="C161" s="282">
        <f>BoQ!C153</f>
        <v>0</v>
      </c>
      <c r="D161" s="280" t="str">
        <f>BoQ!E153</f>
        <v/>
      </c>
      <c r="E161" s="281" t="str">
        <f>BoQ!L153</f>
        <v/>
      </c>
      <c r="F161" s="282" t="str">
        <f>BoQ!D153</f>
        <v/>
      </c>
      <c r="G161" s="394">
        <f>BoQ!M153</f>
        <v>0</v>
      </c>
      <c r="H161" s="399">
        <f t="shared" si="2"/>
        <v>0</v>
      </c>
      <c r="I161" s="283"/>
    </row>
    <row r="162" spans="2:9" s="284" customFormat="1" ht="18.75" hidden="1" x14ac:dyDescent="0.2">
      <c r="B162" s="285">
        <v>150</v>
      </c>
      <c r="C162" s="288">
        <f>BoQ!C154</f>
        <v>0</v>
      </c>
      <c r="D162" s="286" t="str">
        <f>BoQ!E154</f>
        <v/>
      </c>
      <c r="E162" s="287" t="str">
        <f>BoQ!L154</f>
        <v/>
      </c>
      <c r="F162" s="288" t="str">
        <f>BoQ!D154</f>
        <v/>
      </c>
      <c r="G162" s="393">
        <f>BoQ!M154</f>
        <v>0</v>
      </c>
      <c r="H162" s="400">
        <f t="shared" si="2"/>
        <v>0</v>
      </c>
      <c r="I162" s="283"/>
    </row>
    <row r="163" spans="2:9" s="284" customFormat="1" ht="18.75" hidden="1" x14ac:dyDescent="0.2">
      <c r="B163" s="279">
        <v>151</v>
      </c>
      <c r="C163" s="282">
        <f>BoQ!C155</f>
        <v>0</v>
      </c>
      <c r="D163" s="280" t="str">
        <f>BoQ!E155</f>
        <v/>
      </c>
      <c r="E163" s="281" t="str">
        <f>BoQ!L155</f>
        <v/>
      </c>
      <c r="F163" s="282" t="str">
        <f>BoQ!D155</f>
        <v/>
      </c>
      <c r="G163" s="394">
        <f>BoQ!M155</f>
        <v>0</v>
      </c>
      <c r="H163" s="399">
        <f t="shared" si="2"/>
        <v>0</v>
      </c>
      <c r="I163" s="283"/>
    </row>
    <row r="164" spans="2:9" s="284" customFormat="1" ht="18.75" hidden="1" x14ac:dyDescent="0.2">
      <c r="B164" s="285">
        <v>152</v>
      </c>
      <c r="C164" s="288">
        <f>BoQ!C156</f>
        <v>0</v>
      </c>
      <c r="D164" s="286" t="str">
        <f>BoQ!E156</f>
        <v/>
      </c>
      <c r="E164" s="287" t="str">
        <f>BoQ!L156</f>
        <v/>
      </c>
      <c r="F164" s="288" t="str">
        <f>BoQ!D156</f>
        <v/>
      </c>
      <c r="G164" s="393">
        <f>BoQ!M156</f>
        <v>0</v>
      </c>
      <c r="H164" s="400">
        <f t="shared" si="2"/>
        <v>0</v>
      </c>
      <c r="I164" s="283"/>
    </row>
    <row r="165" spans="2:9" s="284" customFormat="1" ht="18.75" hidden="1" x14ac:dyDescent="0.2">
      <c r="B165" s="279">
        <v>153</v>
      </c>
      <c r="C165" s="282">
        <f>BoQ!C157</f>
        <v>0</v>
      </c>
      <c r="D165" s="280" t="str">
        <f>BoQ!E157</f>
        <v/>
      </c>
      <c r="E165" s="281" t="str">
        <f>BoQ!L157</f>
        <v/>
      </c>
      <c r="F165" s="282" t="str">
        <f>BoQ!D157</f>
        <v/>
      </c>
      <c r="G165" s="394">
        <f>BoQ!M157</f>
        <v>0</v>
      </c>
      <c r="H165" s="399">
        <f t="shared" si="2"/>
        <v>0</v>
      </c>
      <c r="I165" s="283"/>
    </row>
    <row r="166" spans="2:9" s="284" customFormat="1" ht="18.75" hidden="1" x14ac:dyDescent="0.2">
      <c r="B166" s="285">
        <v>154</v>
      </c>
      <c r="C166" s="288">
        <f>BoQ!C158</f>
        <v>0</v>
      </c>
      <c r="D166" s="286" t="str">
        <f>BoQ!E158</f>
        <v/>
      </c>
      <c r="E166" s="287" t="str">
        <f>BoQ!L158</f>
        <v/>
      </c>
      <c r="F166" s="288" t="str">
        <f>BoQ!D158</f>
        <v/>
      </c>
      <c r="G166" s="393">
        <f>BoQ!M158</f>
        <v>0</v>
      </c>
      <c r="H166" s="400">
        <f t="shared" si="2"/>
        <v>0</v>
      </c>
      <c r="I166" s="283"/>
    </row>
    <row r="167" spans="2:9" s="284" customFormat="1" ht="18.75" hidden="1" x14ac:dyDescent="0.2">
      <c r="B167" s="279">
        <v>155</v>
      </c>
      <c r="C167" s="282">
        <f>BoQ!C159</f>
        <v>0</v>
      </c>
      <c r="D167" s="280" t="str">
        <f>BoQ!E159</f>
        <v/>
      </c>
      <c r="E167" s="281" t="str">
        <f>BoQ!L159</f>
        <v/>
      </c>
      <c r="F167" s="282" t="str">
        <f>BoQ!D159</f>
        <v/>
      </c>
      <c r="G167" s="394">
        <f>BoQ!M159</f>
        <v>0</v>
      </c>
      <c r="H167" s="399">
        <f t="shared" si="2"/>
        <v>0</v>
      </c>
      <c r="I167" s="283"/>
    </row>
    <row r="168" spans="2:9" s="284" customFormat="1" ht="18.75" hidden="1" x14ac:dyDescent="0.2">
      <c r="B168" s="285">
        <v>156</v>
      </c>
      <c r="C168" s="288">
        <f>BoQ!C160</f>
        <v>0</v>
      </c>
      <c r="D168" s="286" t="str">
        <f>BoQ!E160</f>
        <v/>
      </c>
      <c r="E168" s="287" t="str">
        <f>BoQ!L160</f>
        <v/>
      </c>
      <c r="F168" s="288" t="str">
        <f>BoQ!D160</f>
        <v/>
      </c>
      <c r="G168" s="393">
        <f>BoQ!M160</f>
        <v>0</v>
      </c>
      <c r="H168" s="400">
        <f t="shared" si="2"/>
        <v>0</v>
      </c>
      <c r="I168" s="283"/>
    </row>
    <row r="169" spans="2:9" s="284" customFormat="1" ht="18.75" hidden="1" x14ac:dyDescent="0.2">
      <c r="B169" s="279">
        <v>157</v>
      </c>
      <c r="C169" s="282">
        <f>BoQ!C161</f>
        <v>0</v>
      </c>
      <c r="D169" s="280" t="str">
        <f>BoQ!E161</f>
        <v/>
      </c>
      <c r="E169" s="281" t="str">
        <f>BoQ!L161</f>
        <v/>
      </c>
      <c r="F169" s="282" t="str">
        <f>BoQ!D161</f>
        <v/>
      </c>
      <c r="G169" s="394">
        <f>BoQ!M161</f>
        <v>0</v>
      </c>
      <c r="H169" s="399">
        <f t="shared" si="2"/>
        <v>0</v>
      </c>
      <c r="I169" s="283"/>
    </row>
    <row r="170" spans="2:9" s="284" customFormat="1" ht="18.75" hidden="1" x14ac:dyDescent="0.2">
      <c r="B170" s="285">
        <v>158</v>
      </c>
      <c r="C170" s="288">
        <f>BoQ!C162</f>
        <v>0</v>
      </c>
      <c r="D170" s="286" t="str">
        <f>BoQ!E162</f>
        <v/>
      </c>
      <c r="E170" s="287" t="str">
        <f>BoQ!L162</f>
        <v/>
      </c>
      <c r="F170" s="288" t="str">
        <f>BoQ!D162</f>
        <v/>
      </c>
      <c r="G170" s="393">
        <f>BoQ!M162</f>
        <v>0</v>
      </c>
      <c r="H170" s="400">
        <f t="shared" si="2"/>
        <v>0</v>
      </c>
      <c r="I170" s="283"/>
    </row>
    <row r="171" spans="2:9" s="284" customFormat="1" ht="18.75" hidden="1" x14ac:dyDescent="0.2">
      <c r="B171" s="279">
        <v>159</v>
      </c>
      <c r="C171" s="282">
        <f>BoQ!C163</f>
        <v>0</v>
      </c>
      <c r="D171" s="280" t="str">
        <f>BoQ!E163</f>
        <v/>
      </c>
      <c r="E171" s="281" t="str">
        <f>BoQ!L163</f>
        <v/>
      </c>
      <c r="F171" s="282" t="str">
        <f>BoQ!D163</f>
        <v/>
      </c>
      <c r="G171" s="394">
        <f>BoQ!M163</f>
        <v>0</v>
      </c>
      <c r="H171" s="399">
        <f t="shared" si="2"/>
        <v>0</v>
      </c>
      <c r="I171" s="283"/>
    </row>
    <row r="172" spans="2:9" s="284" customFormat="1" ht="18.75" hidden="1" x14ac:dyDescent="0.2">
      <c r="B172" s="285">
        <v>160</v>
      </c>
      <c r="C172" s="288">
        <f>BoQ!C164</f>
        <v>0</v>
      </c>
      <c r="D172" s="286" t="str">
        <f>BoQ!E164</f>
        <v/>
      </c>
      <c r="E172" s="287" t="str">
        <f>BoQ!L164</f>
        <v/>
      </c>
      <c r="F172" s="288" t="str">
        <f>BoQ!D164</f>
        <v/>
      </c>
      <c r="G172" s="393">
        <f>BoQ!M164</f>
        <v>0</v>
      </c>
      <c r="H172" s="400">
        <f t="shared" si="2"/>
        <v>0</v>
      </c>
      <c r="I172" s="283"/>
    </row>
    <row r="173" spans="2:9" s="284" customFormat="1" ht="18.75" hidden="1" x14ac:dyDescent="0.2">
      <c r="B173" s="279">
        <v>161</v>
      </c>
      <c r="C173" s="282">
        <f>BoQ!C165</f>
        <v>0</v>
      </c>
      <c r="D173" s="280" t="str">
        <f>BoQ!E165</f>
        <v/>
      </c>
      <c r="E173" s="281" t="str">
        <f>BoQ!L165</f>
        <v/>
      </c>
      <c r="F173" s="282" t="str">
        <f>BoQ!D165</f>
        <v/>
      </c>
      <c r="G173" s="394">
        <f>BoQ!M165</f>
        <v>0</v>
      </c>
      <c r="H173" s="399">
        <f t="shared" si="2"/>
        <v>0</v>
      </c>
      <c r="I173" s="283"/>
    </row>
    <row r="174" spans="2:9" s="284" customFormat="1" ht="18.75" hidden="1" x14ac:dyDescent="0.2">
      <c r="B174" s="285">
        <v>162</v>
      </c>
      <c r="C174" s="288">
        <f>BoQ!C166</f>
        <v>0</v>
      </c>
      <c r="D174" s="286" t="str">
        <f>BoQ!E166</f>
        <v/>
      </c>
      <c r="E174" s="287" t="str">
        <f>BoQ!L166</f>
        <v/>
      </c>
      <c r="F174" s="288" t="str">
        <f>BoQ!D166</f>
        <v/>
      </c>
      <c r="G174" s="393">
        <f>BoQ!M166</f>
        <v>0</v>
      </c>
      <c r="H174" s="400">
        <f t="shared" si="2"/>
        <v>0</v>
      </c>
      <c r="I174" s="283"/>
    </row>
    <row r="175" spans="2:9" s="284" customFormat="1" ht="18.75" hidden="1" x14ac:dyDescent="0.2">
      <c r="B175" s="279">
        <v>163</v>
      </c>
      <c r="C175" s="282">
        <f>BoQ!C167</f>
        <v>0</v>
      </c>
      <c r="D175" s="280" t="str">
        <f>BoQ!E167</f>
        <v/>
      </c>
      <c r="E175" s="281" t="str">
        <f>BoQ!L167</f>
        <v/>
      </c>
      <c r="F175" s="282" t="str">
        <f>BoQ!D167</f>
        <v/>
      </c>
      <c r="G175" s="394">
        <f>BoQ!M167</f>
        <v>0</v>
      </c>
      <c r="H175" s="399">
        <f t="shared" si="2"/>
        <v>0</v>
      </c>
      <c r="I175" s="283"/>
    </row>
    <row r="176" spans="2:9" s="284" customFormat="1" ht="18.75" hidden="1" x14ac:dyDescent="0.2">
      <c r="B176" s="285">
        <v>164</v>
      </c>
      <c r="C176" s="288">
        <f>BoQ!C168</f>
        <v>0</v>
      </c>
      <c r="D176" s="286" t="str">
        <f>BoQ!E168</f>
        <v/>
      </c>
      <c r="E176" s="287" t="str">
        <f>BoQ!L168</f>
        <v/>
      </c>
      <c r="F176" s="288" t="str">
        <f>BoQ!D168</f>
        <v/>
      </c>
      <c r="G176" s="393">
        <f>BoQ!M168</f>
        <v>0</v>
      </c>
      <c r="H176" s="400">
        <f t="shared" si="2"/>
        <v>0</v>
      </c>
      <c r="I176" s="283"/>
    </row>
    <row r="177" spans="2:9" s="284" customFormat="1" ht="18.75" hidden="1" x14ac:dyDescent="0.2">
      <c r="B177" s="279">
        <v>165</v>
      </c>
      <c r="C177" s="282">
        <f>BoQ!C169</f>
        <v>0</v>
      </c>
      <c r="D177" s="280" t="str">
        <f>BoQ!E169</f>
        <v/>
      </c>
      <c r="E177" s="281" t="str">
        <f>BoQ!L169</f>
        <v/>
      </c>
      <c r="F177" s="282" t="str">
        <f>BoQ!D169</f>
        <v/>
      </c>
      <c r="G177" s="394">
        <f>BoQ!M169</f>
        <v>0</v>
      </c>
      <c r="H177" s="399">
        <f t="shared" si="2"/>
        <v>0</v>
      </c>
      <c r="I177" s="283"/>
    </row>
    <row r="178" spans="2:9" s="284" customFormat="1" ht="18.75" hidden="1" x14ac:dyDescent="0.2">
      <c r="B178" s="285">
        <v>166</v>
      </c>
      <c r="C178" s="288">
        <f>BoQ!C170</f>
        <v>0</v>
      </c>
      <c r="D178" s="286" t="str">
        <f>BoQ!E170</f>
        <v/>
      </c>
      <c r="E178" s="287" t="str">
        <f>BoQ!L170</f>
        <v/>
      </c>
      <c r="F178" s="288" t="str">
        <f>BoQ!D170</f>
        <v/>
      </c>
      <c r="G178" s="393">
        <f>BoQ!M170</f>
        <v>0</v>
      </c>
      <c r="H178" s="400">
        <f t="shared" si="2"/>
        <v>0</v>
      </c>
      <c r="I178" s="283"/>
    </row>
    <row r="179" spans="2:9" s="284" customFormat="1" ht="18.75" hidden="1" x14ac:dyDescent="0.2">
      <c r="B179" s="279">
        <v>167</v>
      </c>
      <c r="C179" s="282">
        <f>BoQ!C171</f>
        <v>0</v>
      </c>
      <c r="D179" s="280" t="str">
        <f>BoQ!E171</f>
        <v/>
      </c>
      <c r="E179" s="281" t="str">
        <f>BoQ!L171</f>
        <v/>
      </c>
      <c r="F179" s="282" t="str">
        <f>BoQ!D171</f>
        <v/>
      </c>
      <c r="G179" s="394">
        <f>BoQ!M171</f>
        <v>0</v>
      </c>
      <c r="H179" s="399">
        <f t="shared" si="2"/>
        <v>0</v>
      </c>
      <c r="I179" s="283"/>
    </row>
    <row r="180" spans="2:9" s="284" customFormat="1" ht="18.75" hidden="1" x14ac:dyDescent="0.2">
      <c r="B180" s="285">
        <v>168</v>
      </c>
      <c r="C180" s="288">
        <f>BoQ!C172</f>
        <v>0</v>
      </c>
      <c r="D180" s="286" t="str">
        <f>BoQ!E172</f>
        <v/>
      </c>
      <c r="E180" s="287" t="str">
        <f>BoQ!L172</f>
        <v/>
      </c>
      <c r="F180" s="288" t="str">
        <f>BoQ!D172</f>
        <v/>
      </c>
      <c r="G180" s="393">
        <f>BoQ!M172</f>
        <v>0</v>
      </c>
      <c r="H180" s="400">
        <f t="shared" si="2"/>
        <v>0</v>
      </c>
      <c r="I180" s="283"/>
    </row>
    <row r="181" spans="2:9" s="284" customFormat="1" ht="18.75" hidden="1" x14ac:dyDescent="0.2">
      <c r="B181" s="279">
        <v>169</v>
      </c>
      <c r="C181" s="282">
        <f>BoQ!C173</f>
        <v>0</v>
      </c>
      <c r="D181" s="280" t="str">
        <f>BoQ!E173</f>
        <v/>
      </c>
      <c r="E181" s="281" t="str">
        <f>BoQ!L173</f>
        <v/>
      </c>
      <c r="F181" s="282" t="str">
        <f>BoQ!D173</f>
        <v/>
      </c>
      <c r="G181" s="394">
        <f>BoQ!M173</f>
        <v>0</v>
      </c>
      <c r="H181" s="399">
        <f t="shared" si="2"/>
        <v>0</v>
      </c>
      <c r="I181" s="283"/>
    </row>
    <row r="182" spans="2:9" s="284" customFormat="1" ht="18.75" hidden="1" x14ac:dyDescent="0.2">
      <c r="B182" s="285">
        <v>170</v>
      </c>
      <c r="C182" s="288">
        <f>BoQ!C174</f>
        <v>0</v>
      </c>
      <c r="D182" s="286" t="str">
        <f>BoQ!E174</f>
        <v/>
      </c>
      <c r="E182" s="287" t="str">
        <f>BoQ!L174</f>
        <v/>
      </c>
      <c r="F182" s="288" t="str">
        <f>BoQ!D174</f>
        <v/>
      </c>
      <c r="G182" s="393">
        <f>BoQ!M174</f>
        <v>0</v>
      </c>
      <c r="H182" s="400">
        <f t="shared" si="2"/>
        <v>0</v>
      </c>
      <c r="I182" s="283"/>
    </row>
    <row r="183" spans="2:9" s="284" customFormat="1" ht="18.75" hidden="1" x14ac:dyDescent="0.2">
      <c r="B183" s="279">
        <v>171</v>
      </c>
      <c r="C183" s="282">
        <f>BoQ!C175</f>
        <v>0</v>
      </c>
      <c r="D183" s="280" t="str">
        <f>BoQ!E175</f>
        <v/>
      </c>
      <c r="E183" s="281" t="str">
        <f>BoQ!L175</f>
        <v/>
      </c>
      <c r="F183" s="282" t="str">
        <f>BoQ!D175</f>
        <v/>
      </c>
      <c r="G183" s="394">
        <f>BoQ!M175</f>
        <v>0</v>
      </c>
      <c r="H183" s="399">
        <f t="shared" si="2"/>
        <v>0</v>
      </c>
      <c r="I183" s="283"/>
    </row>
    <row r="184" spans="2:9" s="284" customFormat="1" ht="18.75" hidden="1" x14ac:dyDescent="0.2">
      <c r="B184" s="285">
        <v>172</v>
      </c>
      <c r="C184" s="288">
        <f>BoQ!C176</f>
        <v>0</v>
      </c>
      <c r="D184" s="286" t="str">
        <f>BoQ!E176</f>
        <v/>
      </c>
      <c r="E184" s="287" t="str">
        <f>BoQ!L176</f>
        <v/>
      </c>
      <c r="F184" s="288" t="str">
        <f>BoQ!D176</f>
        <v/>
      </c>
      <c r="G184" s="393">
        <f>BoQ!M176</f>
        <v>0</v>
      </c>
      <c r="H184" s="400">
        <f t="shared" si="2"/>
        <v>0</v>
      </c>
      <c r="I184" s="283"/>
    </row>
    <row r="185" spans="2:9" s="284" customFormat="1" ht="18.75" hidden="1" x14ac:dyDescent="0.2">
      <c r="B185" s="279">
        <v>173</v>
      </c>
      <c r="C185" s="282">
        <f>BoQ!C177</f>
        <v>0</v>
      </c>
      <c r="D185" s="280" t="str">
        <f>BoQ!E177</f>
        <v/>
      </c>
      <c r="E185" s="281" t="str">
        <f>BoQ!L177</f>
        <v/>
      </c>
      <c r="F185" s="282" t="str">
        <f>BoQ!D177</f>
        <v/>
      </c>
      <c r="G185" s="394">
        <f>BoQ!M177</f>
        <v>0</v>
      </c>
      <c r="H185" s="399">
        <f t="shared" si="2"/>
        <v>0</v>
      </c>
      <c r="I185" s="283"/>
    </row>
    <row r="186" spans="2:9" s="284" customFormat="1" ht="18.75" hidden="1" x14ac:dyDescent="0.2">
      <c r="B186" s="285">
        <v>174</v>
      </c>
      <c r="C186" s="288">
        <f>BoQ!C178</f>
        <v>0</v>
      </c>
      <c r="D186" s="286" t="str">
        <f>BoQ!E178</f>
        <v/>
      </c>
      <c r="E186" s="287" t="str">
        <f>BoQ!L178</f>
        <v/>
      </c>
      <c r="F186" s="288" t="str">
        <f>BoQ!D178</f>
        <v/>
      </c>
      <c r="G186" s="393">
        <f>BoQ!M178</f>
        <v>0</v>
      </c>
      <c r="H186" s="400">
        <f t="shared" si="2"/>
        <v>0</v>
      </c>
      <c r="I186" s="283"/>
    </row>
    <row r="187" spans="2:9" s="284" customFormat="1" ht="18.75" hidden="1" x14ac:dyDescent="0.2">
      <c r="B187" s="279">
        <v>175</v>
      </c>
      <c r="C187" s="282">
        <f>BoQ!C179</f>
        <v>0</v>
      </c>
      <c r="D187" s="280" t="str">
        <f>BoQ!E179</f>
        <v/>
      </c>
      <c r="E187" s="281" t="str">
        <f>BoQ!L179</f>
        <v/>
      </c>
      <c r="F187" s="282" t="str">
        <f>BoQ!D179</f>
        <v/>
      </c>
      <c r="G187" s="394">
        <f>BoQ!M179</f>
        <v>0</v>
      </c>
      <c r="H187" s="399">
        <f t="shared" si="2"/>
        <v>0</v>
      </c>
      <c r="I187" s="283"/>
    </row>
    <row r="188" spans="2:9" s="284" customFormat="1" ht="18.75" hidden="1" x14ac:dyDescent="0.2">
      <c r="B188" s="285">
        <v>176</v>
      </c>
      <c r="C188" s="288">
        <f>BoQ!C180</f>
        <v>0</v>
      </c>
      <c r="D188" s="286" t="str">
        <f>BoQ!E180</f>
        <v/>
      </c>
      <c r="E188" s="287" t="str">
        <f>BoQ!L180</f>
        <v/>
      </c>
      <c r="F188" s="288" t="str">
        <f>BoQ!D180</f>
        <v/>
      </c>
      <c r="G188" s="393">
        <f>BoQ!M180</f>
        <v>0</v>
      </c>
      <c r="H188" s="400">
        <f t="shared" si="2"/>
        <v>0</v>
      </c>
      <c r="I188" s="283"/>
    </row>
    <row r="189" spans="2:9" s="284" customFormat="1" ht="18.75" hidden="1" x14ac:dyDescent="0.2">
      <c r="B189" s="279">
        <v>177</v>
      </c>
      <c r="C189" s="282">
        <f>BoQ!C181</f>
        <v>0</v>
      </c>
      <c r="D189" s="280" t="str">
        <f>BoQ!E181</f>
        <v/>
      </c>
      <c r="E189" s="281" t="str">
        <f>BoQ!L181</f>
        <v/>
      </c>
      <c r="F189" s="282" t="str">
        <f>BoQ!D181</f>
        <v/>
      </c>
      <c r="G189" s="394">
        <f>BoQ!M181</f>
        <v>0</v>
      </c>
      <c r="H189" s="399">
        <f t="shared" si="2"/>
        <v>0</v>
      </c>
      <c r="I189" s="283"/>
    </row>
    <row r="190" spans="2:9" s="284" customFormat="1" ht="18.75" hidden="1" x14ac:dyDescent="0.2">
      <c r="B190" s="285">
        <v>178</v>
      </c>
      <c r="C190" s="288">
        <f>BoQ!C182</f>
        <v>0</v>
      </c>
      <c r="D190" s="286" t="str">
        <f>BoQ!E182</f>
        <v/>
      </c>
      <c r="E190" s="287" t="str">
        <f>BoQ!L182</f>
        <v/>
      </c>
      <c r="F190" s="288" t="str">
        <f>BoQ!D182</f>
        <v/>
      </c>
      <c r="G190" s="393">
        <f>BoQ!M182</f>
        <v>0</v>
      </c>
      <c r="H190" s="400">
        <f t="shared" si="2"/>
        <v>0</v>
      </c>
      <c r="I190" s="283"/>
    </row>
    <row r="191" spans="2:9" s="284" customFormat="1" ht="18.75" hidden="1" x14ac:dyDescent="0.2">
      <c r="B191" s="279">
        <v>179</v>
      </c>
      <c r="C191" s="282">
        <f>BoQ!C183</f>
        <v>0</v>
      </c>
      <c r="D191" s="280" t="str">
        <f>BoQ!E183</f>
        <v/>
      </c>
      <c r="E191" s="281" t="str">
        <f>BoQ!L183</f>
        <v/>
      </c>
      <c r="F191" s="282" t="str">
        <f>BoQ!D183</f>
        <v/>
      </c>
      <c r="G191" s="394">
        <f>BoQ!M183</f>
        <v>0</v>
      </c>
      <c r="H191" s="399">
        <f t="shared" si="2"/>
        <v>0</v>
      </c>
      <c r="I191" s="283"/>
    </row>
    <row r="192" spans="2:9" s="284" customFormat="1" ht="18.75" hidden="1" x14ac:dyDescent="0.2">
      <c r="B192" s="285">
        <v>180</v>
      </c>
      <c r="C192" s="288">
        <f>BoQ!C184</f>
        <v>0</v>
      </c>
      <c r="D192" s="286" t="str">
        <f>BoQ!E184</f>
        <v/>
      </c>
      <c r="E192" s="287" t="str">
        <f>BoQ!L184</f>
        <v/>
      </c>
      <c r="F192" s="288" t="str">
        <f>BoQ!D184</f>
        <v/>
      </c>
      <c r="G192" s="393">
        <f>BoQ!M184</f>
        <v>0</v>
      </c>
      <c r="H192" s="400">
        <f t="shared" si="2"/>
        <v>0</v>
      </c>
      <c r="I192" s="283"/>
    </row>
    <row r="193" spans="2:9" s="284" customFormat="1" ht="18.75" hidden="1" x14ac:dyDescent="0.2">
      <c r="B193" s="279">
        <v>181</v>
      </c>
      <c r="C193" s="282">
        <f>BoQ!C185</f>
        <v>0</v>
      </c>
      <c r="D193" s="280" t="str">
        <f>BoQ!E185</f>
        <v/>
      </c>
      <c r="E193" s="281" t="str">
        <f>BoQ!L185</f>
        <v/>
      </c>
      <c r="F193" s="282" t="str">
        <f>BoQ!D185</f>
        <v/>
      </c>
      <c r="G193" s="394">
        <f>BoQ!M185</f>
        <v>0</v>
      </c>
      <c r="H193" s="399">
        <f t="shared" si="2"/>
        <v>0</v>
      </c>
      <c r="I193" s="283"/>
    </row>
    <row r="194" spans="2:9" s="284" customFormat="1" ht="18.75" hidden="1" x14ac:dyDescent="0.2">
      <c r="B194" s="285">
        <v>182</v>
      </c>
      <c r="C194" s="288">
        <f>BoQ!C186</f>
        <v>0</v>
      </c>
      <c r="D194" s="286" t="str">
        <f>BoQ!E186</f>
        <v/>
      </c>
      <c r="E194" s="287" t="str">
        <f>BoQ!L186</f>
        <v/>
      </c>
      <c r="F194" s="288" t="str">
        <f>BoQ!D186</f>
        <v/>
      </c>
      <c r="G194" s="393">
        <f>BoQ!M186</f>
        <v>0</v>
      </c>
      <c r="H194" s="400">
        <f t="shared" si="2"/>
        <v>0</v>
      </c>
      <c r="I194" s="283"/>
    </row>
    <row r="195" spans="2:9" s="284" customFormat="1" ht="18.75" hidden="1" x14ac:dyDescent="0.2">
      <c r="B195" s="279">
        <v>183</v>
      </c>
      <c r="C195" s="282">
        <f>BoQ!C187</f>
        <v>0</v>
      </c>
      <c r="D195" s="280" t="str">
        <f>BoQ!E187</f>
        <v/>
      </c>
      <c r="E195" s="281" t="str">
        <f>BoQ!L187</f>
        <v/>
      </c>
      <c r="F195" s="282" t="str">
        <f>BoQ!D187</f>
        <v/>
      </c>
      <c r="G195" s="394">
        <f>BoQ!M187</f>
        <v>0</v>
      </c>
      <c r="H195" s="399">
        <f t="shared" si="2"/>
        <v>0</v>
      </c>
      <c r="I195" s="283"/>
    </row>
    <row r="196" spans="2:9" s="284" customFormat="1" ht="18.75" hidden="1" x14ac:dyDescent="0.2">
      <c r="B196" s="285">
        <v>184</v>
      </c>
      <c r="C196" s="288">
        <f>BoQ!C188</f>
        <v>0</v>
      </c>
      <c r="D196" s="286" t="str">
        <f>BoQ!E188</f>
        <v/>
      </c>
      <c r="E196" s="287" t="str">
        <f>BoQ!L188</f>
        <v/>
      </c>
      <c r="F196" s="288" t="str">
        <f>BoQ!D188</f>
        <v/>
      </c>
      <c r="G196" s="393">
        <f>BoQ!M188</f>
        <v>0</v>
      </c>
      <c r="H196" s="400">
        <f t="shared" si="2"/>
        <v>0</v>
      </c>
      <c r="I196" s="283"/>
    </row>
    <row r="197" spans="2:9" s="284" customFormat="1" ht="18.75" hidden="1" x14ac:dyDescent="0.2">
      <c r="B197" s="279">
        <v>185</v>
      </c>
      <c r="C197" s="282">
        <f>BoQ!C189</f>
        <v>0</v>
      </c>
      <c r="D197" s="280" t="str">
        <f>BoQ!E189</f>
        <v/>
      </c>
      <c r="E197" s="281" t="str">
        <f>BoQ!L189</f>
        <v/>
      </c>
      <c r="F197" s="282" t="str">
        <f>BoQ!D189</f>
        <v/>
      </c>
      <c r="G197" s="394">
        <f>BoQ!M189</f>
        <v>0</v>
      </c>
      <c r="H197" s="399">
        <f t="shared" si="2"/>
        <v>0</v>
      </c>
      <c r="I197" s="283"/>
    </row>
    <row r="198" spans="2:9" s="284" customFormat="1" ht="18.75" hidden="1" x14ac:dyDescent="0.2">
      <c r="B198" s="285">
        <v>186</v>
      </c>
      <c r="C198" s="288">
        <f>BoQ!C190</f>
        <v>0</v>
      </c>
      <c r="D198" s="286" t="str">
        <f>BoQ!E190</f>
        <v/>
      </c>
      <c r="E198" s="287" t="str">
        <f>BoQ!L190</f>
        <v/>
      </c>
      <c r="F198" s="288" t="str">
        <f>BoQ!D190</f>
        <v/>
      </c>
      <c r="G198" s="393">
        <f>BoQ!M190</f>
        <v>0</v>
      </c>
      <c r="H198" s="400">
        <f t="shared" si="2"/>
        <v>0</v>
      </c>
      <c r="I198" s="283"/>
    </row>
    <row r="199" spans="2:9" s="284" customFormat="1" ht="18.75" hidden="1" x14ac:dyDescent="0.2">
      <c r="B199" s="279">
        <v>187</v>
      </c>
      <c r="C199" s="282">
        <f>BoQ!C191</f>
        <v>0</v>
      </c>
      <c r="D199" s="280" t="str">
        <f>BoQ!E191</f>
        <v/>
      </c>
      <c r="E199" s="281" t="str">
        <f>BoQ!L191</f>
        <v/>
      </c>
      <c r="F199" s="282" t="str">
        <f>BoQ!D191</f>
        <v/>
      </c>
      <c r="G199" s="394">
        <f>BoQ!M191</f>
        <v>0</v>
      </c>
      <c r="H199" s="399">
        <f t="shared" si="2"/>
        <v>0</v>
      </c>
      <c r="I199" s="283"/>
    </row>
    <row r="200" spans="2:9" s="284" customFormat="1" ht="18.75" hidden="1" x14ac:dyDescent="0.2">
      <c r="B200" s="285">
        <v>188</v>
      </c>
      <c r="C200" s="288">
        <f>BoQ!C192</f>
        <v>0</v>
      </c>
      <c r="D200" s="286" t="str">
        <f>BoQ!E192</f>
        <v/>
      </c>
      <c r="E200" s="287" t="str">
        <f>BoQ!L192</f>
        <v/>
      </c>
      <c r="F200" s="288" t="str">
        <f>BoQ!D192</f>
        <v/>
      </c>
      <c r="G200" s="393">
        <f>BoQ!M192</f>
        <v>0</v>
      </c>
      <c r="H200" s="400">
        <f t="shared" si="2"/>
        <v>0</v>
      </c>
      <c r="I200" s="283"/>
    </row>
    <row r="201" spans="2:9" s="284" customFormat="1" ht="18.75" hidden="1" x14ac:dyDescent="0.2">
      <c r="B201" s="279">
        <v>189</v>
      </c>
      <c r="C201" s="282">
        <f>BoQ!C193</f>
        <v>0</v>
      </c>
      <c r="D201" s="280" t="str">
        <f>BoQ!E193</f>
        <v/>
      </c>
      <c r="E201" s="281" t="str">
        <f>BoQ!L193</f>
        <v/>
      </c>
      <c r="F201" s="282" t="str">
        <f>BoQ!D193</f>
        <v/>
      </c>
      <c r="G201" s="394">
        <f>BoQ!M193</f>
        <v>0</v>
      </c>
      <c r="H201" s="399">
        <f t="shared" si="2"/>
        <v>0</v>
      </c>
      <c r="I201" s="283"/>
    </row>
    <row r="202" spans="2:9" s="284" customFormat="1" ht="18.75" hidden="1" x14ac:dyDescent="0.2">
      <c r="B202" s="285">
        <v>190</v>
      </c>
      <c r="C202" s="288">
        <f>BoQ!C194</f>
        <v>0</v>
      </c>
      <c r="D202" s="286" t="str">
        <f>BoQ!E194</f>
        <v/>
      </c>
      <c r="E202" s="287" t="str">
        <f>BoQ!L194</f>
        <v/>
      </c>
      <c r="F202" s="288" t="str">
        <f>BoQ!D194</f>
        <v/>
      </c>
      <c r="G202" s="393">
        <f>BoQ!M194</f>
        <v>0</v>
      </c>
      <c r="H202" s="400">
        <f t="shared" si="2"/>
        <v>0</v>
      </c>
      <c r="I202" s="283"/>
    </row>
    <row r="203" spans="2:9" s="284" customFormat="1" ht="18.75" hidden="1" x14ac:dyDescent="0.2">
      <c r="B203" s="279">
        <v>191</v>
      </c>
      <c r="C203" s="282">
        <f>BoQ!C195</f>
        <v>0</v>
      </c>
      <c r="D203" s="280" t="str">
        <f>BoQ!E195</f>
        <v/>
      </c>
      <c r="E203" s="281" t="str">
        <f>BoQ!L195</f>
        <v/>
      </c>
      <c r="F203" s="282" t="str">
        <f>BoQ!D195</f>
        <v/>
      </c>
      <c r="G203" s="394">
        <f>BoQ!M195</f>
        <v>0</v>
      </c>
      <c r="H203" s="399">
        <f t="shared" si="2"/>
        <v>0</v>
      </c>
      <c r="I203" s="283"/>
    </row>
    <row r="204" spans="2:9" s="284" customFormat="1" ht="18.75" hidden="1" x14ac:dyDescent="0.2">
      <c r="B204" s="285">
        <v>192</v>
      </c>
      <c r="C204" s="288">
        <f>BoQ!C196</f>
        <v>0</v>
      </c>
      <c r="D204" s="286" t="str">
        <f>BoQ!E196</f>
        <v/>
      </c>
      <c r="E204" s="287" t="str">
        <f>BoQ!L196</f>
        <v/>
      </c>
      <c r="F204" s="288" t="str">
        <f>BoQ!D196</f>
        <v/>
      </c>
      <c r="G204" s="393">
        <f>BoQ!M196</f>
        <v>0</v>
      </c>
      <c r="H204" s="400">
        <f t="shared" si="2"/>
        <v>0</v>
      </c>
      <c r="I204" s="283"/>
    </row>
    <row r="205" spans="2:9" s="284" customFormat="1" ht="18.75" hidden="1" x14ac:dyDescent="0.2">
      <c r="B205" s="279">
        <v>193</v>
      </c>
      <c r="C205" s="282">
        <f>BoQ!C197</f>
        <v>0</v>
      </c>
      <c r="D205" s="280" t="str">
        <f>BoQ!E197</f>
        <v/>
      </c>
      <c r="E205" s="281" t="str">
        <f>BoQ!L197</f>
        <v/>
      </c>
      <c r="F205" s="282" t="str">
        <f>BoQ!D197</f>
        <v/>
      </c>
      <c r="G205" s="394">
        <f>BoQ!M197</f>
        <v>0</v>
      </c>
      <c r="H205" s="399">
        <f t="shared" si="2"/>
        <v>0</v>
      </c>
      <c r="I205" s="283"/>
    </row>
    <row r="206" spans="2:9" s="284" customFormat="1" ht="18.75" hidden="1" x14ac:dyDescent="0.2">
      <c r="B206" s="285">
        <v>194</v>
      </c>
      <c r="C206" s="288">
        <f>BoQ!C198</f>
        <v>0</v>
      </c>
      <c r="D206" s="286" t="str">
        <f>BoQ!E198</f>
        <v/>
      </c>
      <c r="E206" s="287" t="str">
        <f>BoQ!L198</f>
        <v/>
      </c>
      <c r="F206" s="288" t="str">
        <f>BoQ!D198</f>
        <v/>
      </c>
      <c r="G206" s="393">
        <f>BoQ!M198</f>
        <v>0</v>
      </c>
      <c r="H206" s="400">
        <f t="shared" si="2"/>
        <v>0</v>
      </c>
      <c r="I206" s="283"/>
    </row>
    <row r="207" spans="2:9" s="284" customFormat="1" ht="18.75" hidden="1" x14ac:dyDescent="0.2">
      <c r="B207" s="279">
        <v>195</v>
      </c>
      <c r="C207" s="282">
        <f>BoQ!C199</f>
        <v>0</v>
      </c>
      <c r="D207" s="280" t="str">
        <f>BoQ!E199</f>
        <v/>
      </c>
      <c r="E207" s="281" t="str">
        <f>BoQ!L199</f>
        <v/>
      </c>
      <c r="F207" s="282" t="str">
        <f>BoQ!D199</f>
        <v/>
      </c>
      <c r="G207" s="394">
        <f>BoQ!M199</f>
        <v>0</v>
      </c>
      <c r="H207" s="399">
        <f t="shared" si="2"/>
        <v>0</v>
      </c>
      <c r="I207" s="283"/>
    </row>
    <row r="208" spans="2:9" s="284" customFormat="1" ht="18.75" hidden="1" x14ac:dyDescent="0.2">
      <c r="B208" s="285">
        <v>196</v>
      </c>
      <c r="C208" s="288">
        <f>BoQ!C200</f>
        <v>0</v>
      </c>
      <c r="D208" s="286" t="str">
        <f>BoQ!E200</f>
        <v/>
      </c>
      <c r="E208" s="287" t="str">
        <f>BoQ!L200</f>
        <v/>
      </c>
      <c r="F208" s="288" t="str">
        <f>BoQ!D200</f>
        <v/>
      </c>
      <c r="G208" s="393">
        <f>BoQ!M200</f>
        <v>0</v>
      </c>
      <c r="H208" s="400">
        <f t="shared" ref="H208:H265" si="3">IFERROR(G208*E208,0)</f>
        <v>0</v>
      </c>
      <c r="I208" s="283"/>
    </row>
    <row r="209" spans="2:9" s="284" customFormat="1" ht="18.75" hidden="1" x14ac:dyDescent="0.2">
      <c r="B209" s="279">
        <v>197</v>
      </c>
      <c r="C209" s="282">
        <f>BoQ!C201</f>
        <v>0</v>
      </c>
      <c r="D209" s="280" t="str">
        <f>BoQ!E201</f>
        <v/>
      </c>
      <c r="E209" s="281" t="str">
        <f>BoQ!L201</f>
        <v/>
      </c>
      <c r="F209" s="282" t="str">
        <f>BoQ!D201</f>
        <v/>
      </c>
      <c r="G209" s="394">
        <f>BoQ!M201</f>
        <v>0</v>
      </c>
      <c r="H209" s="399">
        <f t="shared" si="3"/>
        <v>0</v>
      </c>
      <c r="I209" s="283"/>
    </row>
    <row r="210" spans="2:9" s="284" customFormat="1" ht="18.75" hidden="1" x14ac:dyDescent="0.2">
      <c r="B210" s="285">
        <v>198</v>
      </c>
      <c r="C210" s="288">
        <f>BoQ!C202</f>
        <v>0</v>
      </c>
      <c r="D210" s="286" t="str">
        <f>BoQ!E202</f>
        <v/>
      </c>
      <c r="E210" s="287" t="str">
        <f>BoQ!L202</f>
        <v/>
      </c>
      <c r="F210" s="288" t="str">
        <f>BoQ!D202</f>
        <v/>
      </c>
      <c r="G210" s="393">
        <f>BoQ!M202</f>
        <v>0</v>
      </c>
      <c r="H210" s="400">
        <f t="shared" si="3"/>
        <v>0</v>
      </c>
      <c r="I210" s="283"/>
    </row>
    <row r="211" spans="2:9" s="284" customFormat="1" ht="18.75" hidden="1" x14ac:dyDescent="0.2">
      <c r="B211" s="279">
        <v>199</v>
      </c>
      <c r="C211" s="282">
        <f>BoQ!C203</f>
        <v>0</v>
      </c>
      <c r="D211" s="280" t="str">
        <f>BoQ!E203</f>
        <v/>
      </c>
      <c r="E211" s="281" t="str">
        <f>BoQ!L203</f>
        <v/>
      </c>
      <c r="F211" s="282" t="str">
        <f>BoQ!D203</f>
        <v/>
      </c>
      <c r="G211" s="394">
        <f>BoQ!M203</f>
        <v>0</v>
      </c>
      <c r="H211" s="399">
        <f t="shared" si="3"/>
        <v>0</v>
      </c>
      <c r="I211" s="283"/>
    </row>
    <row r="212" spans="2:9" s="284" customFormat="1" ht="18.75" hidden="1" x14ac:dyDescent="0.2">
      <c r="B212" s="285">
        <v>200</v>
      </c>
      <c r="C212" s="288">
        <f>BoQ!C204</f>
        <v>0</v>
      </c>
      <c r="D212" s="286" t="str">
        <f>BoQ!E204</f>
        <v/>
      </c>
      <c r="E212" s="287" t="str">
        <f>BoQ!L204</f>
        <v/>
      </c>
      <c r="F212" s="288" t="str">
        <f>BoQ!D204</f>
        <v/>
      </c>
      <c r="G212" s="393">
        <f>BoQ!M204</f>
        <v>0</v>
      </c>
      <c r="H212" s="400">
        <f t="shared" si="3"/>
        <v>0</v>
      </c>
      <c r="I212" s="283"/>
    </row>
    <row r="213" spans="2:9" s="284" customFormat="1" ht="18.75" hidden="1" x14ac:dyDescent="0.2">
      <c r="B213" s="279">
        <v>201</v>
      </c>
      <c r="C213" s="282">
        <f>BoQ!C205</f>
        <v>0</v>
      </c>
      <c r="D213" s="280" t="str">
        <f>BoQ!E205</f>
        <v/>
      </c>
      <c r="E213" s="281" t="str">
        <f>BoQ!L205</f>
        <v/>
      </c>
      <c r="F213" s="282" t="str">
        <f>BoQ!D205</f>
        <v/>
      </c>
      <c r="G213" s="394">
        <f>BoQ!M205</f>
        <v>0</v>
      </c>
      <c r="H213" s="399">
        <f t="shared" si="3"/>
        <v>0</v>
      </c>
      <c r="I213" s="283"/>
    </row>
    <row r="214" spans="2:9" s="284" customFormat="1" ht="18.75" hidden="1" x14ac:dyDescent="0.2">
      <c r="B214" s="285">
        <v>202</v>
      </c>
      <c r="C214" s="288">
        <f>BoQ!C206</f>
        <v>0</v>
      </c>
      <c r="D214" s="286" t="str">
        <f>BoQ!E206</f>
        <v/>
      </c>
      <c r="E214" s="287" t="str">
        <f>BoQ!L206</f>
        <v/>
      </c>
      <c r="F214" s="288" t="str">
        <f>BoQ!D206</f>
        <v/>
      </c>
      <c r="G214" s="393">
        <f>BoQ!M206</f>
        <v>0</v>
      </c>
      <c r="H214" s="400">
        <f t="shared" si="3"/>
        <v>0</v>
      </c>
      <c r="I214" s="283"/>
    </row>
    <row r="215" spans="2:9" s="284" customFormat="1" ht="18.75" hidden="1" x14ac:dyDescent="0.2">
      <c r="B215" s="279">
        <v>203</v>
      </c>
      <c r="C215" s="282">
        <f>BoQ!C207</f>
        <v>0</v>
      </c>
      <c r="D215" s="280" t="str">
        <f>BoQ!E207</f>
        <v/>
      </c>
      <c r="E215" s="281" t="str">
        <f>BoQ!L207</f>
        <v/>
      </c>
      <c r="F215" s="282" t="str">
        <f>BoQ!D207</f>
        <v/>
      </c>
      <c r="G215" s="394">
        <f>BoQ!M207</f>
        <v>0</v>
      </c>
      <c r="H215" s="399">
        <f t="shared" si="3"/>
        <v>0</v>
      </c>
      <c r="I215" s="283"/>
    </row>
    <row r="216" spans="2:9" s="284" customFormat="1" ht="18.75" hidden="1" x14ac:dyDescent="0.2">
      <c r="B216" s="285">
        <v>204</v>
      </c>
      <c r="C216" s="288">
        <f>BoQ!C208</f>
        <v>0</v>
      </c>
      <c r="D216" s="286" t="str">
        <f>BoQ!E208</f>
        <v/>
      </c>
      <c r="E216" s="287" t="str">
        <f>BoQ!L208</f>
        <v/>
      </c>
      <c r="F216" s="288" t="str">
        <f>BoQ!D208</f>
        <v/>
      </c>
      <c r="G216" s="393">
        <f>BoQ!M208</f>
        <v>0</v>
      </c>
      <c r="H216" s="400">
        <f t="shared" si="3"/>
        <v>0</v>
      </c>
      <c r="I216" s="283"/>
    </row>
    <row r="217" spans="2:9" s="284" customFormat="1" ht="18.75" hidden="1" x14ac:dyDescent="0.2">
      <c r="B217" s="279">
        <v>205</v>
      </c>
      <c r="C217" s="282">
        <f>BoQ!C209</f>
        <v>0</v>
      </c>
      <c r="D217" s="280" t="str">
        <f>BoQ!E209</f>
        <v/>
      </c>
      <c r="E217" s="281" t="str">
        <f>BoQ!L209</f>
        <v/>
      </c>
      <c r="F217" s="282" t="str">
        <f>BoQ!D209</f>
        <v/>
      </c>
      <c r="G217" s="394">
        <f>BoQ!M209</f>
        <v>0</v>
      </c>
      <c r="H217" s="399">
        <f t="shared" si="3"/>
        <v>0</v>
      </c>
      <c r="I217" s="283"/>
    </row>
    <row r="218" spans="2:9" s="284" customFormat="1" ht="18.75" hidden="1" x14ac:dyDescent="0.2">
      <c r="B218" s="285">
        <v>206</v>
      </c>
      <c r="C218" s="288">
        <f>BoQ!C210</f>
        <v>0</v>
      </c>
      <c r="D218" s="286" t="str">
        <f>BoQ!E210</f>
        <v/>
      </c>
      <c r="E218" s="287" t="str">
        <f>BoQ!L210</f>
        <v/>
      </c>
      <c r="F218" s="288" t="str">
        <f>BoQ!D210</f>
        <v/>
      </c>
      <c r="G218" s="393">
        <f>BoQ!M210</f>
        <v>0</v>
      </c>
      <c r="H218" s="400">
        <f t="shared" si="3"/>
        <v>0</v>
      </c>
      <c r="I218" s="283"/>
    </row>
    <row r="219" spans="2:9" s="284" customFormat="1" ht="18.75" hidden="1" x14ac:dyDescent="0.2">
      <c r="B219" s="279">
        <v>207</v>
      </c>
      <c r="C219" s="282">
        <f>BoQ!C211</f>
        <v>0</v>
      </c>
      <c r="D219" s="280" t="str">
        <f>BoQ!E211</f>
        <v/>
      </c>
      <c r="E219" s="281" t="str">
        <f>BoQ!L211</f>
        <v/>
      </c>
      <c r="F219" s="282" t="str">
        <f>BoQ!D211</f>
        <v/>
      </c>
      <c r="G219" s="394">
        <f>BoQ!M211</f>
        <v>0</v>
      </c>
      <c r="H219" s="399">
        <f t="shared" si="3"/>
        <v>0</v>
      </c>
      <c r="I219" s="283"/>
    </row>
    <row r="220" spans="2:9" s="284" customFormat="1" ht="18.75" hidden="1" x14ac:dyDescent="0.2">
      <c r="B220" s="285">
        <v>208</v>
      </c>
      <c r="C220" s="288">
        <f>BoQ!C212</f>
        <v>0</v>
      </c>
      <c r="D220" s="286" t="str">
        <f>BoQ!E212</f>
        <v/>
      </c>
      <c r="E220" s="287" t="str">
        <f>BoQ!L212</f>
        <v/>
      </c>
      <c r="F220" s="288" t="str">
        <f>BoQ!D212</f>
        <v/>
      </c>
      <c r="G220" s="393">
        <f>BoQ!M212</f>
        <v>0</v>
      </c>
      <c r="H220" s="400">
        <f t="shared" si="3"/>
        <v>0</v>
      </c>
      <c r="I220" s="283"/>
    </row>
    <row r="221" spans="2:9" s="284" customFormat="1" ht="18.75" hidden="1" x14ac:dyDescent="0.2">
      <c r="B221" s="279">
        <v>209</v>
      </c>
      <c r="C221" s="282">
        <f>BoQ!C213</f>
        <v>0</v>
      </c>
      <c r="D221" s="280" t="str">
        <f>BoQ!E213</f>
        <v/>
      </c>
      <c r="E221" s="281" t="str">
        <f>BoQ!L213</f>
        <v/>
      </c>
      <c r="F221" s="282" t="str">
        <f>BoQ!D213</f>
        <v/>
      </c>
      <c r="G221" s="394">
        <f>BoQ!M213</f>
        <v>0</v>
      </c>
      <c r="H221" s="399">
        <f t="shared" si="3"/>
        <v>0</v>
      </c>
      <c r="I221" s="283"/>
    </row>
    <row r="222" spans="2:9" s="284" customFormat="1" ht="18.75" hidden="1" x14ac:dyDescent="0.2">
      <c r="B222" s="285">
        <v>210</v>
      </c>
      <c r="C222" s="288">
        <f>BoQ!C214</f>
        <v>0</v>
      </c>
      <c r="D222" s="286" t="str">
        <f>BoQ!E214</f>
        <v/>
      </c>
      <c r="E222" s="287" t="str">
        <f>BoQ!L214</f>
        <v/>
      </c>
      <c r="F222" s="288" t="str">
        <f>BoQ!D214</f>
        <v/>
      </c>
      <c r="G222" s="393">
        <f>BoQ!M214</f>
        <v>0</v>
      </c>
      <c r="H222" s="400">
        <f t="shared" si="3"/>
        <v>0</v>
      </c>
      <c r="I222" s="283"/>
    </row>
    <row r="223" spans="2:9" s="284" customFormat="1" ht="18.75" hidden="1" x14ac:dyDescent="0.2">
      <c r="B223" s="279">
        <v>211</v>
      </c>
      <c r="C223" s="282">
        <f>BoQ!C215</f>
        <v>0</v>
      </c>
      <c r="D223" s="280" t="str">
        <f>BoQ!E215</f>
        <v/>
      </c>
      <c r="E223" s="281" t="str">
        <f>BoQ!L215</f>
        <v/>
      </c>
      <c r="F223" s="282" t="str">
        <f>BoQ!D215</f>
        <v/>
      </c>
      <c r="G223" s="394">
        <f>BoQ!M215</f>
        <v>0</v>
      </c>
      <c r="H223" s="399">
        <f t="shared" si="3"/>
        <v>0</v>
      </c>
      <c r="I223" s="283"/>
    </row>
    <row r="224" spans="2:9" s="284" customFormat="1" ht="18.75" hidden="1" x14ac:dyDescent="0.2">
      <c r="B224" s="285">
        <v>212</v>
      </c>
      <c r="C224" s="288">
        <f>BoQ!C216</f>
        <v>0</v>
      </c>
      <c r="D224" s="286" t="str">
        <f>BoQ!E216</f>
        <v/>
      </c>
      <c r="E224" s="287" t="str">
        <f>BoQ!L216</f>
        <v/>
      </c>
      <c r="F224" s="288" t="str">
        <f>BoQ!D216</f>
        <v/>
      </c>
      <c r="G224" s="393">
        <f>BoQ!M216</f>
        <v>0</v>
      </c>
      <c r="H224" s="400">
        <f t="shared" si="3"/>
        <v>0</v>
      </c>
      <c r="I224" s="283"/>
    </row>
    <row r="225" spans="2:9" s="284" customFormat="1" ht="18.75" hidden="1" x14ac:dyDescent="0.2">
      <c r="B225" s="279">
        <v>213</v>
      </c>
      <c r="C225" s="282">
        <f>BoQ!C217</f>
        <v>0</v>
      </c>
      <c r="D225" s="280" t="str">
        <f>BoQ!E217</f>
        <v/>
      </c>
      <c r="E225" s="281" t="str">
        <f>BoQ!L217</f>
        <v/>
      </c>
      <c r="F225" s="282" t="str">
        <f>BoQ!D217</f>
        <v/>
      </c>
      <c r="G225" s="394">
        <f>BoQ!M217</f>
        <v>0</v>
      </c>
      <c r="H225" s="399">
        <f t="shared" si="3"/>
        <v>0</v>
      </c>
      <c r="I225" s="283"/>
    </row>
    <row r="226" spans="2:9" s="284" customFormat="1" ht="18.75" hidden="1" x14ac:dyDescent="0.2">
      <c r="B226" s="285">
        <v>214</v>
      </c>
      <c r="C226" s="288">
        <f>BoQ!C218</f>
        <v>0</v>
      </c>
      <c r="D226" s="286" t="str">
        <f>BoQ!E218</f>
        <v/>
      </c>
      <c r="E226" s="287" t="str">
        <f>BoQ!L218</f>
        <v/>
      </c>
      <c r="F226" s="288" t="str">
        <f>BoQ!D218</f>
        <v/>
      </c>
      <c r="G226" s="393">
        <f>BoQ!M218</f>
        <v>0</v>
      </c>
      <c r="H226" s="400">
        <f t="shared" si="3"/>
        <v>0</v>
      </c>
      <c r="I226" s="283"/>
    </row>
    <row r="227" spans="2:9" s="284" customFormat="1" ht="18.75" hidden="1" x14ac:dyDescent="0.2">
      <c r="B227" s="279">
        <v>215</v>
      </c>
      <c r="C227" s="282">
        <f>BoQ!C219</f>
        <v>0</v>
      </c>
      <c r="D227" s="280" t="str">
        <f>BoQ!E219</f>
        <v/>
      </c>
      <c r="E227" s="281" t="str">
        <f>BoQ!L219</f>
        <v/>
      </c>
      <c r="F227" s="282" t="str">
        <f>BoQ!D219</f>
        <v/>
      </c>
      <c r="G227" s="394">
        <f>BoQ!M219</f>
        <v>0</v>
      </c>
      <c r="H227" s="399">
        <f t="shared" si="3"/>
        <v>0</v>
      </c>
      <c r="I227" s="283"/>
    </row>
    <row r="228" spans="2:9" s="284" customFormat="1" ht="18.75" hidden="1" x14ac:dyDescent="0.2">
      <c r="B228" s="285">
        <v>216</v>
      </c>
      <c r="C228" s="288">
        <f>BoQ!C220</f>
        <v>0</v>
      </c>
      <c r="D228" s="286" t="str">
        <f>BoQ!E220</f>
        <v/>
      </c>
      <c r="E228" s="287" t="str">
        <f>BoQ!L220</f>
        <v/>
      </c>
      <c r="F228" s="288" t="str">
        <f>BoQ!D220</f>
        <v/>
      </c>
      <c r="G228" s="393">
        <f>BoQ!M220</f>
        <v>0</v>
      </c>
      <c r="H228" s="400">
        <f t="shared" si="3"/>
        <v>0</v>
      </c>
      <c r="I228" s="283"/>
    </row>
    <row r="229" spans="2:9" s="284" customFormat="1" ht="18.75" hidden="1" x14ac:dyDescent="0.2">
      <c r="B229" s="279">
        <v>217</v>
      </c>
      <c r="C229" s="282">
        <f>BoQ!C221</f>
        <v>0</v>
      </c>
      <c r="D229" s="280" t="str">
        <f>BoQ!E221</f>
        <v/>
      </c>
      <c r="E229" s="281" t="str">
        <f>BoQ!L221</f>
        <v/>
      </c>
      <c r="F229" s="282" t="str">
        <f>BoQ!D221</f>
        <v/>
      </c>
      <c r="G229" s="394">
        <f>BoQ!M221</f>
        <v>0</v>
      </c>
      <c r="H229" s="399">
        <f t="shared" si="3"/>
        <v>0</v>
      </c>
      <c r="I229" s="283"/>
    </row>
    <row r="230" spans="2:9" s="284" customFormat="1" ht="18.75" hidden="1" x14ac:dyDescent="0.2">
      <c r="B230" s="285">
        <v>218</v>
      </c>
      <c r="C230" s="288">
        <f>BoQ!C222</f>
        <v>0</v>
      </c>
      <c r="D230" s="286" t="str">
        <f>BoQ!E222</f>
        <v/>
      </c>
      <c r="E230" s="287" t="str">
        <f>BoQ!L222</f>
        <v/>
      </c>
      <c r="F230" s="288" t="str">
        <f>BoQ!D222</f>
        <v/>
      </c>
      <c r="G230" s="393">
        <f>BoQ!M222</f>
        <v>0</v>
      </c>
      <c r="H230" s="400">
        <f t="shared" si="3"/>
        <v>0</v>
      </c>
      <c r="I230" s="283"/>
    </row>
    <row r="231" spans="2:9" s="284" customFormat="1" ht="18.75" hidden="1" x14ac:dyDescent="0.2">
      <c r="B231" s="279">
        <v>219</v>
      </c>
      <c r="C231" s="282">
        <f>BoQ!C223</f>
        <v>0</v>
      </c>
      <c r="D231" s="280" t="str">
        <f>BoQ!E223</f>
        <v/>
      </c>
      <c r="E231" s="281" t="str">
        <f>BoQ!L223</f>
        <v/>
      </c>
      <c r="F231" s="282" t="str">
        <f>BoQ!D223</f>
        <v/>
      </c>
      <c r="G231" s="394">
        <f>BoQ!M223</f>
        <v>0</v>
      </c>
      <c r="H231" s="399">
        <f t="shared" si="3"/>
        <v>0</v>
      </c>
      <c r="I231" s="283"/>
    </row>
    <row r="232" spans="2:9" s="284" customFormat="1" ht="18.75" hidden="1" x14ac:dyDescent="0.2">
      <c r="B232" s="285">
        <v>220</v>
      </c>
      <c r="C232" s="288">
        <f>BoQ!C224</f>
        <v>0</v>
      </c>
      <c r="D232" s="286" t="str">
        <f>BoQ!E224</f>
        <v/>
      </c>
      <c r="E232" s="287" t="str">
        <f>BoQ!L224</f>
        <v/>
      </c>
      <c r="F232" s="288" t="str">
        <f>BoQ!D224</f>
        <v/>
      </c>
      <c r="G232" s="393">
        <f>BoQ!M224</f>
        <v>0</v>
      </c>
      <c r="H232" s="400">
        <f t="shared" si="3"/>
        <v>0</v>
      </c>
      <c r="I232" s="283"/>
    </row>
    <row r="233" spans="2:9" s="284" customFormat="1" ht="18.75" hidden="1" x14ac:dyDescent="0.2">
      <c r="B233" s="279">
        <v>221</v>
      </c>
      <c r="C233" s="282">
        <f>BoQ!C225</f>
        <v>0</v>
      </c>
      <c r="D233" s="280" t="str">
        <f>BoQ!E225</f>
        <v/>
      </c>
      <c r="E233" s="281" t="str">
        <f>BoQ!L225</f>
        <v/>
      </c>
      <c r="F233" s="282" t="str">
        <f>BoQ!D225</f>
        <v/>
      </c>
      <c r="G233" s="394">
        <f>BoQ!M225</f>
        <v>0</v>
      </c>
      <c r="H233" s="399">
        <f t="shared" si="3"/>
        <v>0</v>
      </c>
      <c r="I233" s="283"/>
    </row>
    <row r="234" spans="2:9" s="284" customFormat="1" ht="18.75" hidden="1" x14ac:dyDescent="0.2">
      <c r="B234" s="285">
        <v>222</v>
      </c>
      <c r="C234" s="288">
        <f>BoQ!C226</f>
        <v>0</v>
      </c>
      <c r="D234" s="286" t="str">
        <f>BoQ!E226</f>
        <v/>
      </c>
      <c r="E234" s="287" t="str">
        <f>BoQ!L226</f>
        <v/>
      </c>
      <c r="F234" s="288" t="str">
        <f>BoQ!D226</f>
        <v/>
      </c>
      <c r="G234" s="393">
        <f>BoQ!M226</f>
        <v>0</v>
      </c>
      <c r="H234" s="400">
        <f t="shared" si="3"/>
        <v>0</v>
      </c>
      <c r="I234" s="283"/>
    </row>
    <row r="235" spans="2:9" s="284" customFormat="1" ht="18.75" hidden="1" x14ac:dyDescent="0.2">
      <c r="B235" s="279">
        <v>223</v>
      </c>
      <c r="C235" s="282">
        <f>BoQ!C227</f>
        <v>0</v>
      </c>
      <c r="D235" s="280" t="str">
        <f>BoQ!E227</f>
        <v/>
      </c>
      <c r="E235" s="281" t="str">
        <f>BoQ!L227</f>
        <v/>
      </c>
      <c r="F235" s="282" t="str">
        <f>BoQ!D227</f>
        <v/>
      </c>
      <c r="G235" s="394">
        <f>BoQ!M227</f>
        <v>0</v>
      </c>
      <c r="H235" s="399">
        <f t="shared" si="3"/>
        <v>0</v>
      </c>
      <c r="I235" s="283"/>
    </row>
    <row r="236" spans="2:9" s="284" customFormat="1" ht="18.75" hidden="1" x14ac:dyDescent="0.2">
      <c r="B236" s="285">
        <v>224</v>
      </c>
      <c r="C236" s="288">
        <f>BoQ!C228</f>
        <v>0</v>
      </c>
      <c r="D236" s="286" t="str">
        <f>BoQ!E228</f>
        <v/>
      </c>
      <c r="E236" s="287" t="str">
        <f>BoQ!L228</f>
        <v/>
      </c>
      <c r="F236" s="288" t="str">
        <f>BoQ!D228</f>
        <v/>
      </c>
      <c r="G236" s="393">
        <f>BoQ!M228</f>
        <v>0</v>
      </c>
      <c r="H236" s="400">
        <f t="shared" si="3"/>
        <v>0</v>
      </c>
      <c r="I236" s="283"/>
    </row>
    <row r="237" spans="2:9" s="284" customFormat="1" ht="18.75" hidden="1" x14ac:dyDescent="0.2">
      <c r="B237" s="279">
        <v>225</v>
      </c>
      <c r="C237" s="282">
        <f>BoQ!C229</f>
        <v>0</v>
      </c>
      <c r="D237" s="280" t="str">
        <f>BoQ!E229</f>
        <v/>
      </c>
      <c r="E237" s="281" t="str">
        <f>BoQ!L229</f>
        <v/>
      </c>
      <c r="F237" s="282" t="str">
        <f>BoQ!D229</f>
        <v/>
      </c>
      <c r="G237" s="394">
        <f>BoQ!M229</f>
        <v>0</v>
      </c>
      <c r="H237" s="399">
        <f t="shared" si="3"/>
        <v>0</v>
      </c>
      <c r="I237" s="283"/>
    </row>
    <row r="238" spans="2:9" s="284" customFormat="1" ht="18.75" hidden="1" x14ac:dyDescent="0.2">
      <c r="B238" s="285">
        <v>226</v>
      </c>
      <c r="C238" s="288">
        <f>BoQ!C230</f>
        <v>0</v>
      </c>
      <c r="D238" s="286" t="str">
        <f>BoQ!E230</f>
        <v/>
      </c>
      <c r="E238" s="287" t="str">
        <f>BoQ!L230</f>
        <v/>
      </c>
      <c r="F238" s="288" t="str">
        <f>BoQ!D230</f>
        <v/>
      </c>
      <c r="G238" s="393">
        <f>BoQ!M230</f>
        <v>0</v>
      </c>
      <c r="H238" s="400">
        <f t="shared" si="3"/>
        <v>0</v>
      </c>
      <c r="I238" s="283"/>
    </row>
    <row r="239" spans="2:9" s="284" customFormat="1" ht="18.75" hidden="1" x14ac:dyDescent="0.2">
      <c r="B239" s="279">
        <v>227</v>
      </c>
      <c r="C239" s="282">
        <f>BoQ!C231</f>
        <v>0</v>
      </c>
      <c r="D239" s="280" t="str">
        <f>BoQ!E231</f>
        <v/>
      </c>
      <c r="E239" s="281" t="str">
        <f>BoQ!L231</f>
        <v/>
      </c>
      <c r="F239" s="282" t="str">
        <f>BoQ!D231</f>
        <v/>
      </c>
      <c r="G239" s="394">
        <f>BoQ!M231</f>
        <v>0</v>
      </c>
      <c r="H239" s="399">
        <f t="shared" si="3"/>
        <v>0</v>
      </c>
      <c r="I239" s="283"/>
    </row>
    <row r="240" spans="2:9" s="284" customFormat="1" ht="18.75" hidden="1" x14ac:dyDescent="0.2">
      <c r="B240" s="285">
        <v>228</v>
      </c>
      <c r="C240" s="288">
        <f>BoQ!C232</f>
        <v>0</v>
      </c>
      <c r="D240" s="286" t="str">
        <f>BoQ!E232</f>
        <v/>
      </c>
      <c r="E240" s="287" t="str">
        <f>BoQ!L232</f>
        <v/>
      </c>
      <c r="F240" s="288" t="str">
        <f>BoQ!D232</f>
        <v/>
      </c>
      <c r="G240" s="393">
        <f>BoQ!M232</f>
        <v>0</v>
      </c>
      <c r="H240" s="400">
        <f t="shared" si="3"/>
        <v>0</v>
      </c>
      <c r="I240" s="283"/>
    </row>
    <row r="241" spans="2:9" s="284" customFormat="1" ht="18.75" hidden="1" x14ac:dyDescent="0.2">
      <c r="B241" s="279">
        <v>229</v>
      </c>
      <c r="C241" s="282">
        <f>BoQ!C233</f>
        <v>0</v>
      </c>
      <c r="D241" s="280" t="str">
        <f>BoQ!E233</f>
        <v/>
      </c>
      <c r="E241" s="281" t="str">
        <f>BoQ!L233</f>
        <v/>
      </c>
      <c r="F241" s="282" t="str">
        <f>BoQ!D233</f>
        <v/>
      </c>
      <c r="G241" s="394">
        <f>BoQ!M233</f>
        <v>0</v>
      </c>
      <c r="H241" s="399">
        <f t="shared" si="3"/>
        <v>0</v>
      </c>
      <c r="I241" s="283"/>
    </row>
    <row r="242" spans="2:9" s="284" customFormat="1" ht="18.75" hidden="1" x14ac:dyDescent="0.2">
      <c r="B242" s="285">
        <v>230</v>
      </c>
      <c r="C242" s="288">
        <f>BoQ!C234</f>
        <v>0</v>
      </c>
      <c r="D242" s="286" t="str">
        <f>BoQ!E234</f>
        <v/>
      </c>
      <c r="E242" s="287" t="str">
        <f>BoQ!L234</f>
        <v/>
      </c>
      <c r="F242" s="288" t="str">
        <f>BoQ!D234</f>
        <v/>
      </c>
      <c r="G242" s="393">
        <f>BoQ!M234</f>
        <v>0</v>
      </c>
      <c r="H242" s="400">
        <f t="shared" si="3"/>
        <v>0</v>
      </c>
      <c r="I242" s="283"/>
    </row>
    <row r="243" spans="2:9" s="284" customFormat="1" ht="18.75" hidden="1" x14ac:dyDescent="0.2">
      <c r="B243" s="279">
        <v>231</v>
      </c>
      <c r="C243" s="282">
        <f>BoQ!C235</f>
        <v>0</v>
      </c>
      <c r="D243" s="280" t="str">
        <f>BoQ!E235</f>
        <v/>
      </c>
      <c r="E243" s="281" t="str">
        <f>BoQ!L235</f>
        <v/>
      </c>
      <c r="F243" s="282" t="str">
        <f>BoQ!D235</f>
        <v/>
      </c>
      <c r="G243" s="394">
        <f>BoQ!M235</f>
        <v>0</v>
      </c>
      <c r="H243" s="399">
        <f t="shared" si="3"/>
        <v>0</v>
      </c>
      <c r="I243" s="283"/>
    </row>
    <row r="244" spans="2:9" s="284" customFormat="1" ht="18.75" hidden="1" x14ac:dyDescent="0.2">
      <c r="B244" s="285">
        <v>232</v>
      </c>
      <c r="C244" s="288">
        <f>BoQ!C236</f>
        <v>0</v>
      </c>
      <c r="D244" s="286" t="str">
        <f>BoQ!E236</f>
        <v/>
      </c>
      <c r="E244" s="287" t="str">
        <f>BoQ!L236</f>
        <v/>
      </c>
      <c r="F244" s="288" t="str">
        <f>BoQ!D236</f>
        <v/>
      </c>
      <c r="G244" s="393">
        <f>BoQ!M236</f>
        <v>0</v>
      </c>
      <c r="H244" s="400">
        <f t="shared" si="3"/>
        <v>0</v>
      </c>
      <c r="I244" s="283"/>
    </row>
    <row r="245" spans="2:9" s="284" customFormat="1" ht="18.75" hidden="1" x14ac:dyDescent="0.2">
      <c r="B245" s="279">
        <v>233</v>
      </c>
      <c r="C245" s="282">
        <f>BoQ!C237</f>
        <v>0</v>
      </c>
      <c r="D245" s="280" t="str">
        <f>BoQ!E237</f>
        <v/>
      </c>
      <c r="E245" s="281" t="str">
        <f>BoQ!L237</f>
        <v/>
      </c>
      <c r="F245" s="282" t="str">
        <f>BoQ!D237</f>
        <v/>
      </c>
      <c r="G245" s="394">
        <f>BoQ!M237</f>
        <v>0</v>
      </c>
      <c r="H245" s="399">
        <f t="shared" si="3"/>
        <v>0</v>
      </c>
      <c r="I245" s="283"/>
    </row>
    <row r="246" spans="2:9" s="284" customFormat="1" ht="18.75" hidden="1" x14ac:dyDescent="0.2">
      <c r="B246" s="285">
        <v>234</v>
      </c>
      <c r="C246" s="288">
        <f>BoQ!C238</f>
        <v>0</v>
      </c>
      <c r="D246" s="286" t="str">
        <f>BoQ!E238</f>
        <v/>
      </c>
      <c r="E246" s="287" t="str">
        <f>BoQ!L238</f>
        <v/>
      </c>
      <c r="F246" s="288" t="str">
        <f>BoQ!D238</f>
        <v/>
      </c>
      <c r="G246" s="393">
        <f>BoQ!M238</f>
        <v>0</v>
      </c>
      <c r="H246" s="400">
        <f t="shared" si="3"/>
        <v>0</v>
      </c>
      <c r="I246" s="283"/>
    </row>
    <row r="247" spans="2:9" s="284" customFormat="1" ht="18.75" hidden="1" x14ac:dyDescent="0.2">
      <c r="B247" s="279">
        <v>235</v>
      </c>
      <c r="C247" s="282">
        <f>BoQ!C239</f>
        <v>0</v>
      </c>
      <c r="D247" s="280" t="str">
        <f>BoQ!E239</f>
        <v/>
      </c>
      <c r="E247" s="281" t="str">
        <f>BoQ!L239</f>
        <v/>
      </c>
      <c r="F247" s="282" t="str">
        <f>BoQ!D239</f>
        <v/>
      </c>
      <c r="G247" s="394">
        <f>BoQ!M239</f>
        <v>0</v>
      </c>
      <c r="H247" s="399">
        <f t="shared" si="3"/>
        <v>0</v>
      </c>
      <c r="I247" s="283"/>
    </row>
    <row r="248" spans="2:9" s="284" customFormat="1" ht="18.75" hidden="1" x14ac:dyDescent="0.2">
      <c r="B248" s="285">
        <v>236</v>
      </c>
      <c r="C248" s="288">
        <f>BoQ!C240</f>
        <v>0</v>
      </c>
      <c r="D248" s="286" t="str">
        <f>BoQ!E240</f>
        <v/>
      </c>
      <c r="E248" s="287" t="str">
        <f>BoQ!L240</f>
        <v/>
      </c>
      <c r="F248" s="288" t="str">
        <f>BoQ!D240</f>
        <v/>
      </c>
      <c r="G248" s="393">
        <f>BoQ!M240</f>
        <v>0</v>
      </c>
      <c r="H248" s="400">
        <f t="shared" si="3"/>
        <v>0</v>
      </c>
      <c r="I248" s="283"/>
    </row>
    <row r="249" spans="2:9" s="284" customFormat="1" ht="18.75" hidden="1" x14ac:dyDescent="0.2">
      <c r="B249" s="279">
        <v>237</v>
      </c>
      <c r="C249" s="282">
        <f>BoQ!C241</f>
        <v>0</v>
      </c>
      <c r="D249" s="280" t="str">
        <f>BoQ!E241</f>
        <v/>
      </c>
      <c r="E249" s="281" t="str">
        <f>BoQ!L241</f>
        <v/>
      </c>
      <c r="F249" s="282" t="str">
        <f>BoQ!D241</f>
        <v/>
      </c>
      <c r="G249" s="394">
        <f>BoQ!M241</f>
        <v>0</v>
      </c>
      <c r="H249" s="399">
        <f t="shared" si="3"/>
        <v>0</v>
      </c>
      <c r="I249" s="283"/>
    </row>
    <row r="250" spans="2:9" s="284" customFormat="1" ht="18.75" hidden="1" x14ac:dyDescent="0.2">
      <c r="B250" s="285">
        <v>238</v>
      </c>
      <c r="C250" s="288">
        <f>BoQ!C242</f>
        <v>0</v>
      </c>
      <c r="D250" s="286" t="str">
        <f>BoQ!E242</f>
        <v/>
      </c>
      <c r="E250" s="287" t="str">
        <f>BoQ!L242</f>
        <v/>
      </c>
      <c r="F250" s="288" t="str">
        <f>BoQ!D242</f>
        <v/>
      </c>
      <c r="G250" s="393">
        <f>BoQ!M242</f>
        <v>0</v>
      </c>
      <c r="H250" s="400">
        <f t="shared" si="3"/>
        <v>0</v>
      </c>
      <c r="I250" s="283"/>
    </row>
    <row r="251" spans="2:9" s="284" customFormat="1" ht="18.75" hidden="1" x14ac:dyDescent="0.2">
      <c r="B251" s="279">
        <v>239</v>
      </c>
      <c r="C251" s="282">
        <f>BoQ!C243</f>
        <v>0</v>
      </c>
      <c r="D251" s="280" t="str">
        <f>BoQ!E243</f>
        <v/>
      </c>
      <c r="E251" s="281" t="str">
        <f>BoQ!L243</f>
        <v/>
      </c>
      <c r="F251" s="282" t="str">
        <f>BoQ!D243</f>
        <v/>
      </c>
      <c r="G251" s="394">
        <f>BoQ!M243</f>
        <v>0</v>
      </c>
      <c r="H251" s="399">
        <f t="shared" si="3"/>
        <v>0</v>
      </c>
      <c r="I251" s="283"/>
    </row>
    <row r="252" spans="2:9" s="284" customFormat="1" ht="18.75" hidden="1" x14ac:dyDescent="0.2">
      <c r="B252" s="285">
        <v>240</v>
      </c>
      <c r="C252" s="288">
        <f>BoQ!C244</f>
        <v>0</v>
      </c>
      <c r="D252" s="286" t="str">
        <f>BoQ!E244</f>
        <v/>
      </c>
      <c r="E252" s="287" t="str">
        <f>BoQ!L244</f>
        <v/>
      </c>
      <c r="F252" s="288" t="str">
        <f>BoQ!D244</f>
        <v/>
      </c>
      <c r="G252" s="393">
        <f>BoQ!M244</f>
        <v>0</v>
      </c>
      <c r="H252" s="400">
        <f t="shared" si="3"/>
        <v>0</v>
      </c>
      <c r="I252" s="283"/>
    </row>
    <row r="253" spans="2:9" s="284" customFormat="1" ht="18.75" hidden="1" x14ac:dyDescent="0.2">
      <c r="B253" s="279">
        <v>241</v>
      </c>
      <c r="C253" s="282">
        <f>BoQ!C245</f>
        <v>0</v>
      </c>
      <c r="D253" s="280" t="str">
        <f>BoQ!E245</f>
        <v/>
      </c>
      <c r="E253" s="281" t="str">
        <f>BoQ!L245</f>
        <v/>
      </c>
      <c r="F253" s="282" t="str">
        <f>BoQ!D245</f>
        <v/>
      </c>
      <c r="G253" s="394">
        <f>BoQ!M245</f>
        <v>0</v>
      </c>
      <c r="H253" s="399">
        <f t="shared" si="3"/>
        <v>0</v>
      </c>
      <c r="I253" s="283"/>
    </row>
    <row r="254" spans="2:9" s="284" customFormat="1" ht="18.75" hidden="1" x14ac:dyDescent="0.2">
      <c r="B254" s="285">
        <v>242</v>
      </c>
      <c r="C254" s="288">
        <f>BoQ!C246</f>
        <v>0</v>
      </c>
      <c r="D254" s="286" t="str">
        <f>BoQ!E246</f>
        <v/>
      </c>
      <c r="E254" s="287" t="str">
        <f>BoQ!L246</f>
        <v/>
      </c>
      <c r="F254" s="288" t="str">
        <f>BoQ!D246</f>
        <v/>
      </c>
      <c r="G254" s="393">
        <f>BoQ!M246</f>
        <v>0</v>
      </c>
      <c r="H254" s="400">
        <f t="shared" si="3"/>
        <v>0</v>
      </c>
      <c r="I254" s="283"/>
    </row>
    <row r="255" spans="2:9" s="284" customFormat="1" ht="18.75" hidden="1" x14ac:dyDescent="0.2">
      <c r="B255" s="279">
        <v>243</v>
      </c>
      <c r="C255" s="282">
        <f>BoQ!C247</f>
        <v>0</v>
      </c>
      <c r="D255" s="280" t="str">
        <f>BoQ!E247</f>
        <v/>
      </c>
      <c r="E255" s="281" t="str">
        <f>BoQ!L247</f>
        <v/>
      </c>
      <c r="F255" s="282" t="str">
        <f>BoQ!D247</f>
        <v/>
      </c>
      <c r="G255" s="394">
        <f>BoQ!M247</f>
        <v>0</v>
      </c>
      <c r="H255" s="399">
        <f t="shared" si="3"/>
        <v>0</v>
      </c>
      <c r="I255" s="283"/>
    </row>
    <row r="256" spans="2:9" s="284" customFormat="1" ht="18.75" hidden="1" x14ac:dyDescent="0.2">
      <c r="B256" s="285">
        <v>244</v>
      </c>
      <c r="C256" s="288">
        <f>BoQ!C248</f>
        <v>0</v>
      </c>
      <c r="D256" s="286" t="str">
        <f>BoQ!E248</f>
        <v/>
      </c>
      <c r="E256" s="287" t="str">
        <f>BoQ!L248</f>
        <v/>
      </c>
      <c r="F256" s="288" t="str">
        <f>BoQ!D248</f>
        <v/>
      </c>
      <c r="G256" s="393">
        <f>BoQ!M248</f>
        <v>0</v>
      </c>
      <c r="H256" s="400">
        <f t="shared" si="3"/>
        <v>0</v>
      </c>
      <c r="I256" s="283"/>
    </row>
    <row r="257" spans="2:9" s="284" customFormat="1" ht="18.75" hidden="1" x14ac:dyDescent="0.2">
      <c r="B257" s="279">
        <v>245</v>
      </c>
      <c r="C257" s="282">
        <f>BoQ!C249</f>
        <v>0</v>
      </c>
      <c r="D257" s="280" t="str">
        <f>BoQ!E249</f>
        <v/>
      </c>
      <c r="E257" s="281" t="str">
        <f>BoQ!L249</f>
        <v/>
      </c>
      <c r="F257" s="282" t="str">
        <f>BoQ!D249</f>
        <v/>
      </c>
      <c r="G257" s="394">
        <f>BoQ!M249</f>
        <v>0</v>
      </c>
      <c r="H257" s="399">
        <f t="shared" si="3"/>
        <v>0</v>
      </c>
      <c r="I257" s="283"/>
    </row>
    <row r="258" spans="2:9" s="284" customFormat="1" ht="18.75" hidden="1" x14ac:dyDescent="0.2">
      <c r="B258" s="285">
        <v>246</v>
      </c>
      <c r="C258" s="288">
        <f>BoQ!C250</f>
        <v>0</v>
      </c>
      <c r="D258" s="286" t="str">
        <f>BoQ!E250</f>
        <v/>
      </c>
      <c r="E258" s="287" t="str">
        <f>BoQ!L250</f>
        <v/>
      </c>
      <c r="F258" s="288" t="str">
        <f>BoQ!D250</f>
        <v/>
      </c>
      <c r="G258" s="393">
        <f>BoQ!M250</f>
        <v>0</v>
      </c>
      <c r="H258" s="400">
        <f t="shared" si="3"/>
        <v>0</v>
      </c>
      <c r="I258" s="283"/>
    </row>
    <row r="259" spans="2:9" s="284" customFormat="1" ht="18.75" hidden="1" x14ac:dyDescent="0.2">
      <c r="B259" s="279">
        <v>247</v>
      </c>
      <c r="C259" s="282">
        <f>BoQ!C251</f>
        <v>0</v>
      </c>
      <c r="D259" s="280" t="str">
        <f>BoQ!E251</f>
        <v/>
      </c>
      <c r="E259" s="281" t="str">
        <f>BoQ!L251</f>
        <v/>
      </c>
      <c r="F259" s="282" t="str">
        <f>BoQ!D251</f>
        <v/>
      </c>
      <c r="G259" s="394">
        <f>BoQ!M251</f>
        <v>0</v>
      </c>
      <c r="H259" s="399">
        <f t="shared" si="3"/>
        <v>0</v>
      </c>
      <c r="I259" s="283"/>
    </row>
    <row r="260" spans="2:9" s="284" customFormat="1" ht="18.75" hidden="1" x14ac:dyDescent="0.2">
      <c r="B260" s="285">
        <v>248</v>
      </c>
      <c r="C260" s="288">
        <f>BoQ!C252</f>
        <v>0</v>
      </c>
      <c r="D260" s="286" t="str">
        <f>BoQ!E252</f>
        <v/>
      </c>
      <c r="E260" s="287" t="str">
        <f>BoQ!L252</f>
        <v/>
      </c>
      <c r="F260" s="288" t="str">
        <f>BoQ!D252</f>
        <v/>
      </c>
      <c r="G260" s="393">
        <f>BoQ!M252</f>
        <v>0</v>
      </c>
      <c r="H260" s="400">
        <f t="shared" si="3"/>
        <v>0</v>
      </c>
      <c r="I260" s="283"/>
    </row>
    <row r="261" spans="2:9" s="284" customFormat="1" ht="18.75" hidden="1" x14ac:dyDescent="0.2">
      <c r="B261" s="279">
        <v>249</v>
      </c>
      <c r="C261" s="282">
        <f>BoQ!C253</f>
        <v>0</v>
      </c>
      <c r="D261" s="280" t="str">
        <f>BoQ!E253</f>
        <v/>
      </c>
      <c r="E261" s="281" t="str">
        <f>BoQ!L253</f>
        <v/>
      </c>
      <c r="F261" s="282" t="str">
        <f>BoQ!D253</f>
        <v/>
      </c>
      <c r="G261" s="394">
        <f>BoQ!M253</f>
        <v>0</v>
      </c>
      <c r="H261" s="399">
        <f t="shared" si="3"/>
        <v>0</v>
      </c>
      <c r="I261" s="283"/>
    </row>
    <row r="262" spans="2:9" s="284" customFormat="1" ht="18.75" hidden="1" x14ac:dyDescent="0.2">
      <c r="B262" s="285">
        <v>250</v>
      </c>
      <c r="C262" s="288">
        <f>BoQ!C254</f>
        <v>0</v>
      </c>
      <c r="D262" s="286" t="str">
        <f>BoQ!E254</f>
        <v/>
      </c>
      <c r="E262" s="287" t="str">
        <f>BoQ!L254</f>
        <v/>
      </c>
      <c r="F262" s="288" t="str">
        <f>BoQ!D254</f>
        <v/>
      </c>
      <c r="G262" s="393">
        <f>BoQ!M254</f>
        <v>0</v>
      </c>
      <c r="H262" s="400">
        <f t="shared" si="3"/>
        <v>0</v>
      </c>
      <c r="I262" s="283"/>
    </row>
    <row r="263" spans="2:9" s="284" customFormat="1" ht="18.75" hidden="1" x14ac:dyDescent="0.2">
      <c r="B263" s="279">
        <v>251</v>
      </c>
      <c r="C263" s="282">
        <f>BoQ!C255</f>
        <v>0</v>
      </c>
      <c r="D263" s="280" t="str">
        <f>BoQ!E255</f>
        <v/>
      </c>
      <c r="E263" s="281" t="str">
        <f>BoQ!L255</f>
        <v/>
      </c>
      <c r="F263" s="282" t="str">
        <f>BoQ!D255</f>
        <v/>
      </c>
      <c r="G263" s="394">
        <f>BoQ!M255</f>
        <v>0</v>
      </c>
      <c r="H263" s="399">
        <f t="shared" si="3"/>
        <v>0</v>
      </c>
      <c r="I263" s="283"/>
    </row>
    <row r="264" spans="2:9" s="284" customFormat="1" ht="18.75" hidden="1" x14ac:dyDescent="0.2">
      <c r="B264" s="285">
        <v>252</v>
      </c>
      <c r="C264" s="288">
        <f>BoQ!C256</f>
        <v>0</v>
      </c>
      <c r="D264" s="286" t="str">
        <f>BoQ!E256</f>
        <v/>
      </c>
      <c r="E264" s="287" t="str">
        <f>BoQ!L256</f>
        <v/>
      </c>
      <c r="F264" s="288" t="str">
        <f>BoQ!D256</f>
        <v/>
      </c>
      <c r="G264" s="393">
        <f>BoQ!M256</f>
        <v>0</v>
      </c>
      <c r="H264" s="400">
        <f t="shared" si="3"/>
        <v>0</v>
      </c>
      <c r="I264" s="283"/>
    </row>
    <row r="265" spans="2:9" s="284" customFormat="1" ht="18.75" hidden="1" x14ac:dyDescent="0.2">
      <c r="B265" s="279">
        <v>253</v>
      </c>
      <c r="C265" s="282">
        <f>BoQ!C257</f>
        <v>0</v>
      </c>
      <c r="D265" s="280" t="str">
        <f>BoQ!E257</f>
        <v/>
      </c>
      <c r="E265" s="281" t="str">
        <f>BoQ!L257</f>
        <v/>
      </c>
      <c r="F265" s="282" t="str">
        <f>BoQ!D257</f>
        <v/>
      </c>
      <c r="G265" s="394">
        <f>BoQ!M257</f>
        <v>0</v>
      </c>
      <c r="H265" s="399">
        <f t="shared" si="3"/>
        <v>0</v>
      </c>
      <c r="I265" s="283"/>
    </row>
    <row r="266" spans="2:9" s="284" customFormat="1" ht="18.75" hidden="1" x14ac:dyDescent="0.2">
      <c r="B266" s="289">
        <v>254</v>
      </c>
      <c r="C266" s="292">
        <f>BoQ!C258</f>
        <v>0</v>
      </c>
      <c r="D266" s="290" t="str">
        <f>BoQ!E258</f>
        <v/>
      </c>
      <c r="E266" s="291" t="str">
        <f>BoQ!L258</f>
        <v/>
      </c>
      <c r="F266" s="292" t="str">
        <f>BoQ!D258</f>
        <v/>
      </c>
      <c r="G266" s="395">
        <f>BoQ!M258</f>
        <v>0</v>
      </c>
      <c r="H266" s="401">
        <f>IFERROR(G266*E266,0)</f>
        <v>0</v>
      </c>
      <c r="I266" s="283"/>
    </row>
    <row r="267" spans="2:9" ht="18.75" customHeight="1" x14ac:dyDescent="0.2">
      <c r="B267" s="270"/>
      <c r="C267" s="271"/>
      <c r="D267" s="272"/>
      <c r="E267" s="467" t="s">
        <v>2134</v>
      </c>
      <c r="F267" s="468"/>
      <c r="G267" s="468"/>
      <c r="H267" s="318">
        <f>SUM(H13:H266)</f>
        <v>0</v>
      </c>
      <c r="I267" s="54"/>
    </row>
    <row r="268" spans="2:9" ht="18.75" customHeight="1" x14ac:dyDescent="0.2">
      <c r="B268" s="275"/>
      <c r="C268" s="276"/>
      <c r="D268" s="277"/>
      <c r="E268" s="47"/>
      <c r="F268" s="47"/>
      <c r="G268" s="471"/>
      <c r="H268" s="471"/>
      <c r="I268" s="278"/>
    </row>
    <row r="269" spans="2:9" ht="18.75" customHeight="1" x14ac:dyDescent="0.2">
      <c r="B269" s="275"/>
      <c r="C269" s="276"/>
      <c r="D269" s="277"/>
      <c r="E269" s="455" t="s">
        <v>2773</v>
      </c>
      <c r="F269" s="456"/>
      <c r="G269" s="456"/>
      <c r="H269" s="457"/>
      <c r="I269" s="278"/>
    </row>
    <row r="270" spans="2:9" ht="18.75" customHeight="1" x14ac:dyDescent="0.3">
      <c r="B270" s="275"/>
      <c r="C270" s="276"/>
      <c r="D270" s="277"/>
      <c r="E270" s="452" t="s">
        <v>2770</v>
      </c>
      <c r="F270" s="453"/>
      <c r="G270" s="454"/>
      <c r="H270" s="434">
        <f>BoQ!O505</f>
        <v>0</v>
      </c>
      <c r="I270" s="278"/>
    </row>
    <row r="271" spans="2:9" s="47" customFormat="1" ht="20.25" customHeight="1" x14ac:dyDescent="0.3">
      <c r="B271" s="55"/>
      <c r="C271" s="56"/>
      <c r="E271" s="458" t="s">
        <v>2772</v>
      </c>
      <c r="F271" s="459"/>
      <c r="G271" s="460"/>
      <c r="H271" s="435">
        <f>BoQ!P505</f>
        <v>0</v>
      </c>
      <c r="I271" s="48"/>
    </row>
    <row r="272" spans="2:9" s="47" customFormat="1" ht="18.75" customHeight="1" x14ac:dyDescent="0.2">
      <c r="B272" s="317" t="s">
        <v>965</v>
      </c>
      <c r="C272" s="303"/>
      <c r="D272" s="296"/>
      <c r="E272" s="284"/>
      <c r="F272" s="284"/>
      <c r="G272" s="284"/>
      <c r="H272" s="55"/>
    </row>
    <row r="273" spans="2:9" s="47" customFormat="1" ht="18.75" customHeight="1" x14ac:dyDescent="0.2">
      <c r="B273" s="402">
        <v>12</v>
      </c>
      <c r="C273" s="301"/>
      <c r="D273" s="296"/>
      <c r="E273" s="284"/>
      <c r="F273" s="284"/>
      <c r="G273" s="284"/>
      <c r="H273" s="284"/>
    </row>
    <row r="274" spans="2:9" s="47" customFormat="1" ht="18.75" customHeight="1" x14ac:dyDescent="0.2">
      <c r="B274" s="295" t="s">
        <v>966</v>
      </c>
      <c r="C274" s="303"/>
      <c r="D274" s="296"/>
      <c r="E274" s="284"/>
      <c r="F274" s="284"/>
      <c r="G274" s="284"/>
      <c r="H274" s="284"/>
    </row>
    <row r="275" spans="2:9" s="47" customFormat="1" ht="18.75" customHeight="1" x14ac:dyDescent="0.2">
      <c r="B275" s="296" t="s">
        <v>967</v>
      </c>
      <c r="C275" s="301"/>
      <c r="D275" s="296"/>
      <c r="E275" s="284"/>
      <c r="F275" s="284"/>
      <c r="G275" s="284"/>
      <c r="H275" s="284"/>
    </row>
    <row r="276" spans="2:9" s="47" customFormat="1" ht="18.75" customHeight="1" x14ac:dyDescent="0.2">
      <c r="B276" s="296"/>
      <c r="C276" s="301"/>
      <c r="D276" s="296"/>
      <c r="E276" s="284"/>
      <c r="F276" s="284"/>
      <c r="G276" s="284"/>
      <c r="H276" s="284"/>
    </row>
    <row r="277" spans="2:9" s="47" customFormat="1" ht="18.75" customHeight="1" x14ac:dyDescent="0.2">
      <c r="B277" s="295" t="s">
        <v>968</v>
      </c>
      <c r="C277" s="303"/>
      <c r="D277" s="296"/>
      <c r="E277" s="297"/>
      <c r="F277" s="284"/>
      <c r="G277" s="284"/>
      <c r="H277" s="284"/>
    </row>
    <row r="278" spans="2:9" s="47" customFormat="1" ht="18.75" customHeight="1" x14ac:dyDescent="0.2">
      <c r="B278" s="296" t="s">
        <v>2150</v>
      </c>
      <c r="C278" s="301"/>
      <c r="D278" s="296"/>
      <c r="E278" s="298" t="s">
        <v>969</v>
      </c>
    </row>
    <row r="279" spans="2:9" s="47" customFormat="1" ht="18.75" customHeight="1" x14ac:dyDescent="0.2">
      <c r="B279" s="296"/>
      <c r="C279" s="301"/>
      <c r="D279" s="296"/>
      <c r="E279" s="299"/>
      <c r="F279" s="462" t="s">
        <v>2140</v>
      </c>
      <c r="G279" s="462"/>
      <c r="H279" s="462"/>
    </row>
    <row r="280" spans="2:9" s="47" customFormat="1" ht="18.75" customHeight="1" x14ac:dyDescent="0.2">
      <c r="B280" s="295" t="s">
        <v>970</v>
      </c>
      <c r="C280" s="301"/>
      <c r="D280" s="296"/>
      <c r="E280" s="299"/>
      <c r="F280" s="449" t="s">
        <v>2141</v>
      </c>
      <c r="G280" s="450"/>
      <c r="H280" s="450"/>
    </row>
    <row r="281" spans="2:9" s="47" customFormat="1" ht="18.75" customHeight="1" x14ac:dyDescent="0.2">
      <c r="B281" s="447" t="s">
        <v>2143</v>
      </c>
      <c r="C281" s="447"/>
      <c r="D281" s="448"/>
      <c r="E281" s="299"/>
      <c r="F281" s="451" t="s">
        <v>2142</v>
      </c>
      <c r="G281" s="451"/>
      <c r="H281" s="451"/>
    </row>
    <row r="282" spans="2:9" ht="18.75" customHeight="1" x14ac:dyDescent="0.2">
      <c r="B282" s="447" t="s">
        <v>2144</v>
      </c>
      <c r="C282" s="447"/>
      <c r="D282" s="448"/>
      <c r="E282" s="299"/>
      <c r="F282" s="446" t="s">
        <v>973</v>
      </c>
      <c r="G282" s="446"/>
      <c r="H282" s="446"/>
      <c r="I282" s="57"/>
    </row>
    <row r="283" spans="2:9" ht="18.75" customHeight="1" x14ac:dyDescent="0.2">
      <c r="B283" s="447" t="s">
        <v>975</v>
      </c>
      <c r="C283" s="447"/>
      <c r="D283" s="448"/>
      <c r="E283" s="299"/>
      <c r="F283" s="446" t="s">
        <v>974</v>
      </c>
      <c r="G283" s="446"/>
      <c r="H283" s="446"/>
      <c r="I283" s="58"/>
    </row>
    <row r="284" spans="2:9" ht="18.75" customHeight="1" x14ac:dyDescent="0.2">
      <c r="B284" s="59"/>
      <c r="C284" s="59"/>
      <c r="D284" s="60"/>
      <c r="E284" s="61"/>
      <c r="F284" s="58"/>
      <c r="G284" s="58"/>
      <c r="H284" s="58"/>
      <c r="I284" s="58"/>
    </row>
    <row r="285" spans="2:9" ht="15.75" customHeight="1" x14ac:dyDescent="0.2">
      <c r="B285" s="59"/>
      <c r="C285" s="59"/>
      <c r="D285" s="60"/>
      <c r="E285" s="61"/>
      <c r="F285" s="58"/>
      <c r="G285" s="58"/>
      <c r="H285" s="58"/>
      <c r="I285" s="58"/>
    </row>
    <row r="286" spans="2:9" ht="15.75" customHeight="1" x14ac:dyDescent="0.2">
      <c r="B286" s="45"/>
      <c r="C286" s="51"/>
      <c r="D286" s="45"/>
      <c r="E286" s="50"/>
      <c r="F286" s="49"/>
      <c r="G286" s="49"/>
      <c r="H286" s="49"/>
      <c r="I286" s="49"/>
    </row>
    <row r="287" spans="2:9" x14ac:dyDescent="0.2">
      <c r="E287" s="50"/>
    </row>
    <row r="288" spans="2:9" x14ac:dyDescent="0.2">
      <c r="B288" s="50"/>
      <c r="C288" s="63"/>
      <c r="D288" s="50"/>
      <c r="E288" s="50"/>
      <c r="F288" s="50"/>
      <c r="G288" s="50"/>
      <c r="H288" s="50"/>
      <c r="I288" s="50"/>
    </row>
  </sheetData>
  <sheetProtection algorithmName="SHA-512" hashValue="qn8xL9nqhuGCu1kbemjU3lRy2bH9OZI+1dZl9JzQdSxCTFsHGHrtPy3QtgOIlaRfXuadoliFvyC+24vf461bDQ==" saltValue="U6/RDuINo8sZ5e3TvyyLwQ==" spinCount="100000" sheet="1" objects="1" scenarios="1" selectLockedCells="1"/>
  <mergeCells count="27">
    <mergeCell ref="B2:D3"/>
    <mergeCell ref="F279:H279"/>
    <mergeCell ref="G6:H6"/>
    <mergeCell ref="G7:H7"/>
    <mergeCell ref="C8:D8"/>
    <mergeCell ref="G8:H8"/>
    <mergeCell ref="G9:H9"/>
    <mergeCell ref="G10:H10"/>
    <mergeCell ref="E267:G267"/>
    <mergeCell ref="B5:C5"/>
    <mergeCell ref="G268:H268"/>
    <mergeCell ref="E6:F6"/>
    <mergeCell ref="E7:F7"/>
    <mergeCell ref="E8:F8"/>
    <mergeCell ref="E9:F9"/>
    <mergeCell ref="C9:D9"/>
    <mergeCell ref="E10:F10"/>
    <mergeCell ref="F282:H282"/>
    <mergeCell ref="B283:D283"/>
    <mergeCell ref="F280:H280"/>
    <mergeCell ref="F283:H283"/>
    <mergeCell ref="F281:H281"/>
    <mergeCell ref="B281:D281"/>
    <mergeCell ref="B282:D282"/>
    <mergeCell ref="E270:G270"/>
    <mergeCell ref="E269:H269"/>
    <mergeCell ref="E271:G271"/>
  </mergeCells>
  <conditionalFormatting sqref="C13:C266">
    <cfRule type="duplicateValues" dxfId="18" priority="2323"/>
  </conditionalFormatting>
  <conditionalFormatting sqref="H270">
    <cfRule type="duplicateValues" dxfId="17" priority="1"/>
  </conditionalFormatting>
  <hyperlinks>
    <hyperlink ref="F283" r:id="rId1"/>
    <hyperlink ref="F282" r:id="rId2"/>
  </hyperlinks>
  <pageMargins left="0.47" right="0.34" top="0.75" bottom="0.75" header="0.3" footer="0.3"/>
  <pageSetup paperSize="9" scale="47" fitToHeight="0" orientation="portrait" r:id="rId3"/>
  <headerFooter>
    <oddFooter>&amp;CDatwyler Middle East FZE, Unit 1004 &amp; 1005, 10th Floor, IB Tower, Business Bay, P.O Box 263480, Dubai, UAE
T +971 4 422 8129, F +971 4 422 8096, www.cabling.datwyler.com</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7"/>
  <sheetViews>
    <sheetView topLeftCell="E1" workbookViewId="0">
      <selection activeCell="H11" sqref="H11"/>
    </sheetView>
  </sheetViews>
  <sheetFormatPr defaultRowHeight="17.25" customHeight="1" x14ac:dyDescent="0.2"/>
  <cols>
    <col min="1" max="1" width="4.875" style="15" customWidth="1"/>
    <col min="2" max="2" width="11.375" style="88" bestFit="1" customWidth="1"/>
    <col min="3" max="3" width="14.125" style="15" customWidth="1"/>
    <col min="4" max="4" width="80.75" style="89" customWidth="1"/>
    <col min="5" max="5" width="24.5" style="15" customWidth="1"/>
    <col min="6" max="6" width="44.875" style="90" customWidth="1"/>
    <col min="7" max="7" width="19.875" style="15" customWidth="1"/>
    <col min="8" max="8" width="15.75" style="15" customWidth="1"/>
    <col min="9" max="9" width="17.375" style="15" customWidth="1"/>
    <col min="10" max="10" width="9" style="15"/>
    <col min="11" max="11" width="12.25" style="92" customWidth="1"/>
    <col min="12" max="12" width="16.625" style="15" customWidth="1"/>
    <col min="13" max="13" width="11.625" style="15" customWidth="1"/>
    <col min="14" max="15" width="15.375" style="15" customWidth="1"/>
    <col min="16" max="16384" width="9" style="15"/>
  </cols>
  <sheetData>
    <row r="1" spans="1:15" ht="18" x14ac:dyDescent="0.2">
      <c r="H1" s="91">
        <f>Design!D2</f>
        <v>0</v>
      </c>
    </row>
    <row r="2" spans="1:15" s="99" customFormat="1" ht="47.25" x14ac:dyDescent="0.2">
      <c r="A2" s="93"/>
      <c r="B2" s="94" t="s">
        <v>30</v>
      </c>
      <c r="C2" s="10" t="s">
        <v>31</v>
      </c>
      <c r="D2" s="10" t="s">
        <v>958</v>
      </c>
      <c r="E2" s="10" t="s">
        <v>32</v>
      </c>
      <c r="F2" s="95" t="s">
        <v>1832</v>
      </c>
      <c r="G2" s="10" t="s">
        <v>1833</v>
      </c>
      <c r="H2" s="96" t="s">
        <v>1834</v>
      </c>
      <c r="I2" s="97" t="s">
        <v>1835</v>
      </c>
      <c r="J2" s="10" t="s">
        <v>959</v>
      </c>
      <c r="K2" s="98" t="s">
        <v>978</v>
      </c>
      <c r="L2" s="409" t="s">
        <v>2167</v>
      </c>
      <c r="M2" s="410" t="s">
        <v>2168</v>
      </c>
      <c r="N2" s="409" t="s">
        <v>2167</v>
      </c>
      <c r="O2" s="410" t="s">
        <v>2168</v>
      </c>
    </row>
    <row r="3" spans="1:15" ht="14.25" x14ac:dyDescent="0.2">
      <c r="A3" s="16">
        <v>1</v>
      </c>
      <c r="B3" s="100" t="str">
        <f>CU!C35</f>
        <v/>
      </c>
      <c r="C3" s="16" t="e">
        <f>VLOOKUP($B3,Full_data!$B$8:$J$1251,2,FALSE)</f>
        <v>#N/A</v>
      </c>
      <c r="D3" s="64" t="e">
        <f>VLOOKUP($B3,Full_data!$B$8:$J$1251,3,0)</f>
        <v>#N/A</v>
      </c>
      <c r="E3" s="64" t="e">
        <f>VLOOKUP($B3,Full_data!$B$8:$J$1251,4,0)</f>
        <v>#N/A</v>
      </c>
      <c r="F3" s="64" t="e">
        <f>VLOOKUP($B3,Full_data!$B$8:$J$1251,7,0)</f>
        <v>#N/A</v>
      </c>
      <c r="G3" s="16" t="str">
        <f>IF(ISERROR(VLOOKUP(B3,#REF!,9,0)),"",IF(ISBLANK(VLOOKUP(B3,#REF!,9,0)),"",(VLOOKUP(B3,#REF!,9,0))))</f>
        <v/>
      </c>
      <c r="H3" s="101">
        <f>$H$1</f>
        <v>0</v>
      </c>
      <c r="I3" s="102" t="e">
        <f t="shared" ref="I3:I46" si="0">F3*(1-H3)</f>
        <v>#N/A</v>
      </c>
      <c r="J3" s="339">
        <f>CU!D35</f>
        <v>0</v>
      </c>
      <c r="K3" s="104" t="str">
        <f t="shared" ref="K3:K46" si="1">IF(ISERROR(I3*J3),"",(I3*J3))</f>
        <v/>
      </c>
      <c r="L3" s="15">
        <f>IFERROR(VLOOKUP($B3,Logistics!$A$1:$O$534,10,FALSE),0)</f>
        <v>0</v>
      </c>
      <c r="M3" s="15">
        <f>IFERROR(VLOOKUP($B3,Logistics!$A$1:$O$534,11,FALSE),0)</f>
        <v>0</v>
      </c>
      <c r="N3" s="15">
        <f>L3*J3</f>
        <v>0</v>
      </c>
      <c r="O3" s="15">
        <f>M3*J3</f>
        <v>0</v>
      </c>
    </row>
    <row r="4" spans="1:15" ht="14.25" x14ac:dyDescent="0.2">
      <c r="A4" s="16">
        <v>2</v>
      </c>
      <c r="B4" s="100" t="str">
        <f>CU!C36</f>
        <v/>
      </c>
      <c r="C4" s="16" t="e">
        <f>VLOOKUP($B4,Full_data!$B$8:$J$1251,2,FALSE)</f>
        <v>#N/A</v>
      </c>
      <c r="D4" s="64" t="e">
        <f>VLOOKUP($B4,Full_data!$B$8:$J$1251,3,0)</f>
        <v>#N/A</v>
      </c>
      <c r="E4" s="64" t="e">
        <f>VLOOKUP($B4,Full_data!$B$8:$J$1251,4,0)</f>
        <v>#N/A</v>
      </c>
      <c r="F4" s="64" t="e">
        <f>VLOOKUP($B4,Full_data!$B$8:$J$1251,7,0)</f>
        <v>#N/A</v>
      </c>
      <c r="G4" s="16" t="str">
        <f>IF(ISERROR(VLOOKUP(B4,#REF!,9,0)),"",IF(ISBLANK(VLOOKUP(B4,#REF!,9,0)),"",(VLOOKUP(B4,#REF!,9,0))))</f>
        <v/>
      </c>
      <c r="H4" s="101">
        <f t="shared" ref="H4:H46" si="2">$H$1</f>
        <v>0</v>
      </c>
      <c r="I4" s="102" t="e">
        <f t="shared" si="0"/>
        <v>#N/A</v>
      </c>
      <c r="J4" s="336">
        <f>CU!D36</f>
        <v>0</v>
      </c>
      <c r="K4" s="104" t="str">
        <f t="shared" si="1"/>
        <v/>
      </c>
      <c r="L4" s="15">
        <f>IFERROR(VLOOKUP($B4,Logistics!$A$1:$O$534,10,FALSE),0)</f>
        <v>0</v>
      </c>
      <c r="M4" s="15">
        <f>IFERROR(VLOOKUP($B4,Logistics!$A$1:$O$534,11,FALSE),0)</f>
        <v>0</v>
      </c>
      <c r="N4" s="15">
        <f t="shared" ref="N4:N46" si="3">L4*J4</f>
        <v>0</v>
      </c>
      <c r="O4" s="15">
        <f t="shared" ref="O4:O46" si="4">M4*J4</f>
        <v>0</v>
      </c>
    </row>
    <row r="5" spans="1:15" ht="14.25" x14ac:dyDescent="0.2">
      <c r="A5" s="16">
        <v>3</v>
      </c>
      <c r="B5" s="100" t="str">
        <f>CU!C37</f>
        <v/>
      </c>
      <c r="C5" s="16" t="e">
        <f>VLOOKUP($B5,Full_data!$B$8:$J$1251,2,FALSE)</f>
        <v>#N/A</v>
      </c>
      <c r="D5" s="64" t="e">
        <f>VLOOKUP($B5,Full_data!$B$8:$J$1251,3,0)</f>
        <v>#N/A</v>
      </c>
      <c r="E5" s="64" t="e">
        <f>VLOOKUP($B5,Full_data!$B$8:$J$1251,4,0)</f>
        <v>#N/A</v>
      </c>
      <c r="F5" s="64" t="e">
        <f>VLOOKUP($B5,Full_data!$B$8:$J$1251,7,0)</f>
        <v>#N/A</v>
      </c>
      <c r="G5" s="16" t="str">
        <f>IF(ISERROR(VLOOKUP(B5,#REF!,9,0)),"",IF(ISBLANK(VLOOKUP(B5,#REF!,9,0)),"",(VLOOKUP(B5,#REF!,9,0))))</f>
        <v/>
      </c>
      <c r="H5" s="101">
        <f t="shared" si="2"/>
        <v>0</v>
      </c>
      <c r="I5" s="102" t="e">
        <f t="shared" si="0"/>
        <v>#N/A</v>
      </c>
      <c r="J5" s="336">
        <f>CU!D37</f>
        <v>0</v>
      </c>
      <c r="K5" s="104" t="str">
        <f t="shared" si="1"/>
        <v/>
      </c>
      <c r="L5" s="15">
        <f>IFERROR(VLOOKUP($B5,Logistics!$A$1:$O$534,10,FALSE),0)</f>
        <v>0</v>
      </c>
      <c r="M5" s="15">
        <f>IFERROR(VLOOKUP($B5,Logistics!$A$1:$O$534,11,FALSE),0)</f>
        <v>0</v>
      </c>
      <c r="N5" s="15">
        <f t="shared" si="3"/>
        <v>0</v>
      </c>
      <c r="O5" s="15">
        <f t="shared" si="4"/>
        <v>0</v>
      </c>
    </row>
    <row r="6" spans="1:15" ht="14.25" x14ac:dyDescent="0.2">
      <c r="A6" s="16">
        <v>4</v>
      </c>
      <c r="B6" s="100" t="str">
        <f>CU!C38</f>
        <v/>
      </c>
      <c r="C6" s="16" t="e">
        <f>VLOOKUP($B6,Full_data!$B$8:$J$1251,2,FALSE)</f>
        <v>#N/A</v>
      </c>
      <c r="D6" s="64" t="e">
        <f>VLOOKUP($B6,Full_data!$B$8:$J$1251,3,0)</f>
        <v>#N/A</v>
      </c>
      <c r="E6" s="64" t="e">
        <f>VLOOKUP($B6,Full_data!$B$8:$J$1251,4,0)</f>
        <v>#N/A</v>
      </c>
      <c r="F6" s="64" t="e">
        <f>VLOOKUP($B6,Full_data!$B$8:$J$1251,7,0)</f>
        <v>#N/A</v>
      </c>
      <c r="G6" s="16" t="str">
        <f>IF(ISERROR(VLOOKUP(B6,#REF!,9,0)),"",IF(ISBLANK(VLOOKUP(B6,#REF!,9,0)),"",(VLOOKUP(B6,#REF!,9,0))))</f>
        <v/>
      </c>
      <c r="H6" s="101">
        <f t="shared" si="2"/>
        <v>0</v>
      </c>
      <c r="I6" s="102" t="e">
        <f t="shared" si="0"/>
        <v>#N/A</v>
      </c>
      <c r="J6" s="336">
        <f>CU!D38</f>
        <v>0</v>
      </c>
      <c r="K6" s="104" t="str">
        <f t="shared" si="1"/>
        <v/>
      </c>
      <c r="L6" s="15">
        <f>IFERROR(VLOOKUP($B6,Logistics!$A$1:$O$534,10,FALSE),0)</f>
        <v>0</v>
      </c>
      <c r="M6" s="15">
        <f>IFERROR(VLOOKUP($B6,Logistics!$A$1:$O$534,11,FALSE),0)</f>
        <v>0</v>
      </c>
      <c r="N6" s="15">
        <f t="shared" si="3"/>
        <v>0</v>
      </c>
      <c r="O6" s="15">
        <f t="shared" si="4"/>
        <v>0</v>
      </c>
    </row>
    <row r="7" spans="1:15" ht="14.25" x14ac:dyDescent="0.2">
      <c r="A7" s="16">
        <v>5</v>
      </c>
      <c r="B7" s="100" t="str">
        <f>CU!C39</f>
        <v/>
      </c>
      <c r="C7" s="16" t="e">
        <f>VLOOKUP($B7,Full_data!$B$8:$J$1251,2,FALSE)</f>
        <v>#N/A</v>
      </c>
      <c r="D7" s="64" t="e">
        <f>VLOOKUP($B7,Full_data!$B$8:$J$1251,3,0)</f>
        <v>#N/A</v>
      </c>
      <c r="E7" s="64" t="e">
        <f>VLOOKUP($B7,Full_data!$B$8:$J$1251,4,0)</f>
        <v>#N/A</v>
      </c>
      <c r="F7" s="64" t="e">
        <f>VLOOKUP($B7,Full_data!$B$8:$J$1251,7,0)</f>
        <v>#N/A</v>
      </c>
      <c r="G7" s="16" t="str">
        <f>IF(ISERROR(VLOOKUP(B7,#REF!,9,0)),"",IF(ISBLANK(VLOOKUP(B7,#REF!,9,0)),"",(VLOOKUP(B7,#REF!,9,0))))</f>
        <v/>
      </c>
      <c r="H7" s="101">
        <f t="shared" si="2"/>
        <v>0</v>
      </c>
      <c r="I7" s="102" t="e">
        <f t="shared" si="0"/>
        <v>#N/A</v>
      </c>
      <c r="J7" s="336">
        <f>CU!D39</f>
        <v>0</v>
      </c>
      <c r="K7" s="104" t="str">
        <f t="shared" si="1"/>
        <v/>
      </c>
      <c r="L7" s="15">
        <f>IFERROR(VLOOKUP($B7,Logistics!$A$1:$O$534,10,FALSE),0)</f>
        <v>0</v>
      </c>
      <c r="M7" s="15">
        <f>IFERROR(VLOOKUP($B7,Logistics!$A$1:$O$534,11,FALSE),0)</f>
        <v>0</v>
      </c>
      <c r="N7" s="15">
        <f t="shared" si="3"/>
        <v>0</v>
      </c>
      <c r="O7" s="15">
        <f t="shared" si="4"/>
        <v>0</v>
      </c>
    </row>
    <row r="8" spans="1:15" ht="14.25" x14ac:dyDescent="0.2">
      <c r="A8" s="16">
        <v>6</v>
      </c>
      <c r="B8" s="100" t="str">
        <f>CU!C40</f>
        <v/>
      </c>
      <c r="C8" s="16" t="e">
        <f>VLOOKUP($B8,Full_data!$B$8:$J$1251,2,FALSE)</f>
        <v>#N/A</v>
      </c>
      <c r="D8" s="64" t="e">
        <f>VLOOKUP($B8,Full_data!$B$8:$J$1251,3,0)</f>
        <v>#N/A</v>
      </c>
      <c r="E8" s="64" t="e">
        <f>VLOOKUP($B8,Full_data!$B$8:$J$1251,4,0)</f>
        <v>#N/A</v>
      </c>
      <c r="F8" s="64" t="e">
        <f>VLOOKUP($B8,Full_data!$B$8:$J$1251,7,0)</f>
        <v>#N/A</v>
      </c>
      <c r="G8" s="16" t="str">
        <f>IF(ISERROR(VLOOKUP(B8,#REF!,9,0)),"",IF(ISBLANK(VLOOKUP(B8,#REF!,9,0)),"",(VLOOKUP(B8,#REF!,9,0))))</f>
        <v/>
      </c>
      <c r="H8" s="101">
        <f t="shared" si="2"/>
        <v>0</v>
      </c>
      <c r="I8" s="102" t="e">
        <f t="shared" si="0"/>
        <v>#N/A</v>
      </c>
      <c r="J8" s="336">
        <f>CU!D40</f>
        <v>0</v>
      </c>
      <c r="K8" s="104" t="str">
        <f t="shared" si="1"/>
        <v/>
      </c>
      <c r="L8" s="15">
        <f>IFERROR(VLOOKUP($B8,Logistics!$A$1:$O$534,10,FALSE),0)</f>
        <v>0</v>
      </c>
      <c r="M8" s="15">
        <f>IFERROR(VLOOKUP($B8,Logistics!$A$1:$O$534,11,FALSE),0)</f>
        <v>0</v>
      </c>
      <c r="N8" s="15">
        <f t="shared" si="3"/>
        <v>0</v>
      </c>
      <c r="O8" s="15">
        <f t="shared" si="4"/>
        <v>0</v>
      </c>
    </row>
    <row r="9" spans="1:15" ht="14.25" x14ac:dyDescent="0.2">
      <c r="A9" s="105">
        <v>7</v>
      </c>
      <c r="B9" s="15" t="str">
        <f>CU!C41</f>
        <v/>
      </c>
      <c r="C9" s="16" t="e">
        <f>VLOOKUP($B9,Full_data!$B$8:$J$1251,2,FALSE)</f>
        <v>#N/A</v>
      </c>
      <c r="D9" s="64" t="e">
        <f>VLOOKUP($B9,Full_data!$B$8:$J$1251,3,0)</f>
        <v>#N/A</v>
      </c>
      <c r="E9" s="64" t="e">
        <f>VLOOKUP($B9,Full_data!$B$8:$J$1251,4,0)</f>
        <v>#N/A</v>
      </c>
      <c r="F9" s="64" t="e">
        <f>VLOOKUP($B9,Full_data!$B$8:$J$1251,7,0)</f>
        <v>#N/A</v>
      </c>
      <c r="G9" s="103" t="str">
        <f>IF(ISERROR(VLOOKUP(B9,#REF!,9,0)),"",IF(ISBLANK(VLOOKUP(B9,#REF!,9,0)),"",(VLOOKUP(B9,#REF!,9,0))))</f>
        <v/>
      </c>
      <c r="H9" s="106">
        <f t="shared" si="2"/>
        <v>0</v>
      </c>
      <c r="I9" s="102" t="e">
        <f t="shared" si="0"/>
        <v>#N/A</v>
      </c>
      <c r="J9" s="336">
        <f>CU!D41</f>
        <v>0</v>
      </c>
      <c r="K9" s="107" t="str">
        <f t="shared" si="1"/>
        <v/>
      </c>
      <c r="L9" s="15">
        <f>IFERROR(VLOOKUP($B9,Logistics!$A$1:$O$534,10,FALSE),0)</f>
        <v>0</v>
      </c>
      <c r="M9" s="15">
        <f>IFERROR(VLOOKUP($B9,Logistics!$A$1:$O$534,11,FALSE),0)</f>
        <v>0</v>
      </c>
      <c r="N9" s="15">
        <f>L9*J9*500</f>
        <v>0</v>
      </c>
      <c r="O9" s="15">
        <f>M9*J9*500</f>
        <v>0</v>
      </c>
    </row>
    <row r="10" spans="1:15" ht="14.25" x14ac:dyDescent="0.2">
      <c r="A10" s="16">
        <v>8</v>
      </c>
      <c r="B10" s="100" t="str">
        <f>CU!C42</f>
        <v/>
      </c>
      <c r="C10" s="16" t="e">
        <f>VLOOKUP($B10,Full_data!$B$8:$J$1251,2,FALSE)</f>
        <v>#N/A</v>
      </c>
      <c r="D10" s="64" t="e">
        <f>VLOOKUP($B10,Full_data!$B$8:$J$1251,3,0)</f>
        <v>#N/A</v>
      </c>
      <c r="E10" s="64" t="e">
        <f>VLOOKUP($B10,Full_data!$B$8:$J$1251,4,0)</f>
        <v>#N/A</v>
      </c>
      <c r="F10" s="64" t="e">
        <f>VLOOKUP($B10,Full_data!$B$8:$J$1251,7,0)</f>
        <v>#N/A</v>
      </c>
      <c r="G10" s="103" t="str">
        <f>IF(ISERROR(VLOOKUP(B10,#REF!,9,0)),"",IF(ISBLANK(VLOOKUP(B10,#REF!,9,0)),"",(VLOOKUP(B10,#REF!,9,0))))</f>
        <v/>
      </c>
      <c r="H10" s="106">
        <f t="shared" si="2"/>
        <v>0</v>
      </c>
      <c r="I10" s="102" t="e">
        <f t="shared" si="0"/>
        <v>#N/A</v>
      </c>
      <c r="J10" s="336">
        <f>CU!D42</f>
        <v>0</v>
      </c>
      <c r="K10" s="107" t="str">
        <f t="shared" si="1"/>
        <v/>
      </c>
      <c r="L10" s="15">
        <f>IFERROR(VLOOKUP($B10,Logistics!$A$1:$O$534,10,FALSE),0)</f>
        <v>0</v>
      </c>
      <c r="M10" s="15">
        <f>IFERROR(VLOOKUP($B10,Logistics!$A$1:$O$534,11,FALSE),0)</f>
        <v>0</v>
      </c>
      <c r="N10" s="15">
        <f t="shared" si="3"/>
        <v>0</v>
      </c>
      <c r="O10" s="15">
        <f t="shared" si="4"/>
        <v>0</v>
      </c>
    </row>
    <row r="11" spans="1:15" ht="14.25" x14ac:dyDescent="0.2">
      <c r="A11" s="105">
        <v>9</v>
      </c>
      <c r="B11" s="100" t="str">
        <f>CU!C43</f>
        <v/>
      </c>
      <c r="C11" s="16" t="e">
        <f>VLOOKUP($B11,Full_data!$B$8:$J$1251,2,FALSE)</f>
        <v>#N/A</v>
      </c>
      <c r="D11" s="64" t="e">
        <f>VLOOKUP($B11,Full_data!$B$8:$J$1251,3,0)</f>
        <v>#N/A</v>
      </c>
      <c r="E11" s="64" t="e">
        <f>VLOOKUP($B11,Full_data!$B$8:$J$1251,4,0)</f>
        <v>#N/A</v>
      </c>
      <c r="F11" s="64" t="e">
        <f>VLOOKUP($B11,Full_data!$B$8:$J$1251,7,0)</f>
        <v>#N/A</v>
      </c>
      <c r="G11" s="103" t="str">
        <f>IF(ISERROR(VLOOKUP(B11,#REF!,9,0)),"",IF(ISBLANK(VLOOKUP(B11,#REF!,9,0)),"",(VLOOKUP(B11,#REF!,9,0))))</f>
        <v/>
      </c>
      <c r="H11" s="106">
        <f t="shared" si="2"/>
        <v>0</v>
      </c>
      <c r="I11" s="102" t="e">
        <f t="shared" si="0"/>
        <v>#N/A</v>
      </c>
      <c r="J11" s="336">
        <f>CU!D43</f>
        <v>0</v>
      </c>
      <c r="K11" s="107" t="str">
        <f t="shared" si="1"/>
        <v/>
      </c>
      <c r="L11" s="15">
        <f>IFERROR(VLOOKUP($B11,Logistics!$A$1:$O$534,10,FALSE),0)</f>
        <v>0</v>
      </c>
      <c r="M11" s="15">
        <f>IFERROR(VLOOKUP($B11,Logistics!$A$1:$O$534,11,FALSE),0)</f>
        <v>0</v>
      </c>
      <c r="N11" s="15">
        <f t="shared" si="3"/>
        <v>0</v>
      </c>
      <c r="O11" s="15">
        <f t="shared" si="4"/>
        <v>0</v>
      </c>
    </row>
    <row r="12" spans="1:15" ht="14.25" x14ac:dyDescent="0.2">
      <c r="A12" s="16">
        <v>10</v>
      </c>
      <c r="B12" s="100" t="e">
        <f>FO!C6</f>
        <v>#N/A</v>
      </c>
      <c r="C12" s="16" t="e">
        <f>VLOOKUP($B12,Full_data!$B$8:$J$1251,2,FALSE)</f>
        <v>#N/A</v>
      </c>
      <c r="D12" s="64" t="e">
        <f>VLOOKUP($B12,Full_data!$B$8:$J$1251,3,0)</f>
        <v>#N/A</v>
      </c>
      <c r="E12" s="64" t="e">
        <f>VLOOKUP($B12,Full_data!$B$8:$J$1251,4,0)</f>
        <v>#N/A</v>
      </c>
      <c r="F12" s="64" t="e">
        <f>VLOOKUP($B12,Full_data!$B$8:$J$1251,7,0)</f>
        <v>#N/A</v>
      </c>
      <c r="G12" s="103" t="str">
        <f>IF(ISERROR(VLOOKUP(B12,#REF!,9,0)),"",IF(ISBLANK(VLOOKUP(B12,#REF!,9,0)),"",(VLOOKUP(B12,#REF!,9,0))))</f>
        <v/>
      </c>
      <c r="H12" s="106">
        <f t="shared" si="2"/>
        <v>0</v>
      </c>
      <c r="I12" s="102" t="e">
        <f t="shared" si="0"/>
        <v>#N/A</v>
      </c>
      <c r="J12" s="336">
        <f>FO!D6</f>
        <v>0</v>
      </c>
      <c r="K12" s="107" t="str">
        <f t="shared" si="1"/>
        <v/>
      </c>
      <c r="L12" s="15">
        <f>IFERROR(VLOOKUP($B12,Logistics!$A$1:$O$534,10,FALSE),0)</f>
        <v>0</v>
      </c>
      <c r="M12" s="15">
        <f>IFERROR(VLOOKUP($B12,Logistics!$A$1:$O$534,11,FALSE),0)</f>
        <v>0</v>
      </c>
      <c r="N12" s="15">
        <f>L12*J12*1000</f>
        <v>0</v>
      </c>
      <c r="O12" s="15">
        <f>M12*J12*1000</f>
        <v>0</v>
      </c>
    </row>
    <row r="13" spans="1:15" ht="14.25" x14ac:dyDescent="0.2">
      <c r="A13" s="16">
        <v>11</v>
      </c>
      <c r="B13" s="100" t="str">
        <f>FO!C7</f>
        <v/>
      </c>
      <c r="C13" s="16" t="e">
        <f>VLOOKUP($B13,Full_data!$B$8:$J$1251,2,FALSE)</f>
        <v>#N/A</v>
      </c>
      <c r="D13" s="64" t="e">
        <f>VLOOKUP($B13,Full_data!$B$8:$J$1251,3,0)</f>
        <v>#N/A</v>
      </c>
      <c r="E13" s="64" t="e">
        <f>VLOOKUP($B13,Full_data!$B$8:$J$1251,4,0)</f>
        <v>#N/A</v>
      </c>
      <c r="F13" s="64" t="e">
        <f>VLOOKUP($B13,Full_data!$B$8:$J$1251,7,0)</f>
        <v>#N/A</v>
      </c>
      <c r="G13" s="103" t="str">
        <f>IF(ISERROR(VLOOKUP(B13,#REF!,9,0)),"",IF(ISBLANK(VLOOKUP(B13,#REF!,9,0)),"",(VLOOKUP(B13,#REF!,9,0))))</f>
        <v/>
      </c>
      <c r="H13" s="106">
        <f t="shared" si="2"/>
        <v>0</v>
      </c>
      <c r="I13" s="102" t="e">
        <f t="shared" si="0"/>
        <v>#N/A</v>
      </c>
      <c r="J13" s="336">
        <f>FO!D7</f>
        <v>0</v>
      </c>
      <c r="K13" s="107" t="str">
        <f t="shared" si="1"/>
        <v/>
      </c>
      <c r="L13" s="15">
        <f>IFERROR(VLOOKUP($B13,Logistics!$A$1:$O$534,10,FALSE),0)</f>
        <v>0</v>
      </c>
      <c r="M13" s="15">
        <f>IFERROR(VLOOKUP($B13,Logistics!$A$1:$O$534,11,FALSE),0)</f>
        <v>0</v>
      </c>
      <c r="N13" s="15">
        <f t="shared" si="3"/>
        <v>0</v>
      </c>
      <c r="O13" s="15">
        <f t="shared" si="4"/>
        <v>0</v>
      </c>
    </row>
    <row r="14" spans="1:15" ht="14.25" x14ac:dyDescent="0.2">
      <c r="A14" s="16">
        <v>12</v>
      </c>
      <c r="B14" s="100" t="e">
        <f>FO!C8</f>
        <v>#VALUE!</v>
      </c>
      <c r="C14" s="16" t="e">
        <f>VLOOKUP($B14,Full_data!$B$8:$J$1251,2,FALSE)</f>
        <v>#VALUE!</v>
      </c>
      <c r="D14" s="64" t="e">
        <f>VLOOKUP($B14,Full_data!$B$8:$J$1251,3,0)</f>
        <v>#VALUE!</v>
      </c>
      <c r="E14" s="64" t="e">
        <f>VLOOKUP($B14,Full_data!$B$8:$J$1251,4,0)</f>
        <v>#VALUE!</v>
      </c>
      <c r="F14" s="64" t="e">
        <f>VLOOKUP($B14,Full_data!$B$8:$J$1251,7,0)</f>
        <v>#VALUE!</v>
      </c>
      <c r="G14" s="103" t="str">
        <f>IF(ISERROR(VLOOKUP(B14,#REF!,9,0)),"",IF(ISBLANK(VLOOKUP(B14,#REF!,9,0)),"",(VLOOKUP(B14,#REF!,9,0))))</f>
        <v/>
      </c>
      <c r="H14" s="106">
        <f t="shared" si="2"/>
        <v>0</v>
      </c>
      <c r="I14" s="102" t="e">
        <f t="shared" si="0"/>
        <v>#VALUE!</v>
      </c>
      <c r="J14" s="336">
        <f>FO!D8</f>
        <v>0</v>
      </c>
      <c r="K14" s="107" t="str">
        <f t="shared" si="1"/>
        <v/>
      </c>
      <c r="L14" s="15">
        <f>IFERROR(VLOOKUP($B14,Logistics!$A$1:$O$534,10,FALSE),0)</f>
        <v>0</v>
      </c>
      <c r="M14" s="15">
        <f>IFERROR(VLOOKUP($B14,Logistics!$A$1:$O$534,11,FALSE),0)</f>
        <v>0</v>
      </c>
      <c r="N14" s="15">
        <f t="shared" si="3"/>
        <v>0</v>
      </c>
      <c r="O14" s="15">
        <f t="shared" si="4"/>
        <v>0</v>
      </c>
    </row>
    <row r="15" spans="1:15" ht="14.25" x14ac:dyDescent="0.2">
      <c r="A15" s="16">
        <v>13</v>
      </c>
      <c r="B15" s="100" t="str">
        <f>FO!C9</f>
        <v/>
      </c>
      <c r="C15" s="16" t="e">
        <f>VLOOKUP($B15,Full_data!$B$8:$J$1251,2,FALSE)</f>
        <v>#N/A</v>
      </c>
      <c r="D15" s="64" t="e">
        <f>VLOOKUP($B15,Full_data!$B$8:$J$1251,3,0)</f>
        <v>#N/A</v>
      </c>
      <c r="E15" s="64" t="e">
        <f>VLOOKUP($B15,Full_data!$B$8:$J$1251,4,0)</f>
        <v>#N/A</v>
      </c>
      <c r="F15" s="64" t="e">
        <f>VLOOKUP($B15,Full_data!$B$8:$J$1251,7,0)</f>
        <v>#N/A</v>
      </c>
      <c r="G15" s="103" t="str">
        <f>IF(ISERROR(VLOOKUP(B15,#REF!,9,0)),"",IF(ISBLANK(VLOOKUP(B15,#REF!,9,0)),"",(VLOOKUP(B15,#REF!,9,0))))</f>
        <v/>
      </c>
      <c r="H15" s="106">
        <f t="shared" si="2"/>
        <v>0</v>
      </c>
      <c r="I15" s="102" t="e">
        <f t="shared" si="0"/>
        <v>#N/A</v>
      </c>
      <c r="J15" s="336">
        <f>FO!D9</f>
        <v>0</v>
      </c>
      <c r="K15" s="107" t="str">
        <f t="shared" si="1"/>
        <v/>
      </c>
      <c r="L15" s="15">
        <f>IFERROR(VLOOKUP($B15,Logistics!$A$1:$O$534,10,FALSE),0)</f>
        <v>0</v>
      </c>
      <c r="M15" s="15">
        <f>IFERROR(VLOOKUP($B15,Logistics!$A$1:$O$534,11,FALSE),0)</f>
        <v>0</v>
      </c>
      <c r="N15" s="15">
        <f t="shared" si="3"/>
        <v>0</v>
      </c>
      <c r="O15" s="15">
        <f t="shared" si="4"/>
        <v>0</v>
      </c>
    </row>
    <row r="16" spans="1:15" ht="14.25" x14ac:dyDescent="0.2">
      <c r="A16" s="16">
        <v>15</v>
      </c>
      <c r="B16" s="100" t="str">
        <f>FO!C10</f>
        <v/>
      </c>
      <c r="C16" s="16" t="e">
        <f>VLOOKUP($B16,Full_data!$B$8:$J$1251,2,FALSE)</f>
        <v>#N/A</v>
      </c>
      <c r="D16" s="64" t="e">
        <f>VLOOKUP($B16,Full_data!$B$8:$J$1251,3,0)</f>
        <v>#N/A</v>
      </c>
      <c r="E16" s="64" t="e">
        <f>VLOOKUP($B16,Full_data!$B$8:$J$1251,4,0)</f>
        <v>#N/A</v>
      </c>
      <c r="F16" s="64" t="e">
        <f>VLOOKUP($B16,Full_data!$B$8:$J$1251,7,0)</f>
        <v>#N/A</v>
      </c>
      <c r="G16" s="103" t="str">
        <f>IF(ISERROR(VLOOKUP(B16,#REF!,9,0)),"",IF(ISBLANK(VLOOKUP(B16,#REF!,9,0)),"",(VLOOKUP(B16,#REF!,9,0))))</f>
        <v/>
      </c>
      <c r="H16" s="106">
        <f t="shared" si="2"/>
        <v>0</v>
      </c>
      <c r="I16" s="102" t="e">
        <f t="shared" si="0"/>
        <v>#N/A</v>
      </c>
      <c r="J16" s="336">
        <f>FO!D10</f>
        <v>0</v>
      </c>
      <c r="K16" s="107" t="str">
        <f t="shared" si="1"/>
        <v/>
      </c>
      <c r="L16" s="15">
        <f>IFERROR(VLOOKUP($B16,Logistics!$A$1:$O$534,10,FALSE),0)</f>
        <v>0</v>
      </c>
      <c r="M16" s="15">
        <f>IFERROR(VLOOKUP($B16,Logistics!$A$1:$O$534,11,FALSE),0)</f>
        <v>0</v>
      </c>
      <c r="N16" s="15">
        <f t="shared" si="3"/>
        <v>0</v>
      </c>
      <c r="O16" s="15">
        <f t="shared" si="4"/>
        <v>0</v>
      </c>
    </row>
    <row r="17" spans="1:15" ht="14.25" x14ac:dyDescent="0.2">
      <c r="A17" s="16">
        <v>16</v>
      </c>
      <c r="B17" s="100" t="str">
        <f>FO!C11</f>
        <v/>
      </c>
      <c r="C17" s="16" t="e">
        <f>VLOOKUP($B17,Full_data!$B$8:$J$1251,2,FALSE)</f>
        <v>#N/A</v>
      </c>
      <c r="D17" s="64" t="e">
        <f>VLOOKUP($B17,Full_data!$B$8:$J$1251,3,0)</f>
        <v>#N/A</v>
      </c>
      <c r="E17" s="64" t="e">
        <f>VLOOKUP($B17,Full_data!$B$8:$J$1251,4,0)</f>
        <v>#N/A</v>
      </c>
      <c r="F17" s="64" t="e">
        <f>VLOOKUP($B17,Full_data!$B$8:$J$1251,7,0)</f>
        <v>#N/A</v>
      </c>
      <c r="G17" s="103" t="str">
        <f>IF(ISERROR(VLOOKUP(B17,#REF!,9,0)),"",IF(ISBLANK(VLOOKUP(B17,#REF!,9,0)),"",(VLOOKUP(B17,#REF!,9,0))))</f>
        <v/>
      </c>
      <c r="H17" s="106">
        <f t="shared" si="2"/>
        <v>0</v>
      </c>
      <c r="I17" s="102" t="e">
        <f t="shared" si="0"/>
        <v>#N/A</v>
      </c>
      <c r="J17" s="336">
        <f>FO!D11</f>
        <v>0</v>
      </c>
      <c r="K17" s="107" t="str">
        <f t="shared" si="1"/>
        <v/>
      </c>
      <c r="L17" s="15">
        <f>IFERROR(VLOOKUP($B17,Logistics!$A$1:$O$534,10,FALSE),0)</f>
        <v>0</v>
      </c>
      <c r="M17" s="15">
        <f>IFERROR(VLOOKUP($B17,Logistics!$A$1:$O$534,11,FALSE),0)</f>
        <v>0</v>
      </c>
      <c r="N17" s="15">
        <f t="shared" si="3"/>
        <v>0</v>
      </c>
      <c r="O17" s="15">
        <f t="shared" si="4"/>
        <v>0</v>
      </c>
    </row>
    <row r="18" spans="1:15" ht="14.25" x14ac:dyDescent="0.2">
      <c r="A18" s="105">
        <v>18</v>
      </c>
      <c r="B18" s="100" t="e">
        <f>FO!C12</f>
        <v>#N/A</v>
      </c>
      <c r="C18" s="16" t="e">
        <f>VLOOKUP($B18,Full_data!$B$8:$J$1251,2,FALSE)</f>
        <v>#N/A</v>
      </c>
      <c r="D18" s="64" t="e">
        <f>VLOOKUP($B18,Full_data!$B$8:$J$1251,3,0)</f>
        <v>#N/A</v>
      </c>
      <c r="E18" s="64" t="e">
        <f>VLOOKUP($B18,Full_data!$B$8:$J$1251,4,0)</f>
        <v>#N/A</v>
      </c>
      <c r="F18" s="64" t="e">
        <f>VLOOKUP($B18,Full_data!$B$8:$J$1251,7,0)</f>
        <v>#N/A</v>
      </c>
      <c r="G18" s="103" t="str">
        <f>IF(ISERROR(VLOOKUP(B18,#REF!,9,0)),"",IF(ISBLANK(VLOOKUP(B18,#REF!,9,0)),"",(VLOOKUP(B18,#REF!,9,0))))</f>
        <v/>
      </c>
      <c r="H18" s="106">
        <f t="shared" si="2"/>
        <v>0</v>
      </c>
      <c r="I18" s="102" t="e">
        <f t="shared" si="0"/>
        <v>#N/A</v>
      </c>
      <c r="J18" s="336">
        <f>FO!D12</f>
        <v>0</v>
      </c>
      <c r="K18" s="107" t="str">
        <f t="shared" si="1"/>
        <v/>
      </c>
      <c r="L18" s="15">
        <f>IFERROR(VLOOKUP($B18,Logistics!$A$1:$O$534,10,FALSE),0)</f>
        <v>0</v>
      </c>
      <c r="M18" s="15">
        <f>IFERROR(VLOOKUP($B18,Logistics!$A$1:$O$534,11,FALSE),0)</f>
        <v>0</v>
      </c>
      <c r="N18" s="15">
        <f t="shared" si="3"/>
        <v>0</v>
      </c>
      <c r="O18" s="15">
        <f t="shared" si="4"/>
        <v>0</v>
      </c>
    </row>
    <row r="19" spans="1:15" ht="15.75" x14ac:dyDescent="0.2">
      <c r="A19" s="108">
        <v>19</v>
      </c>
      <c r="B19" s="109">
        <v>4000613</v>
      </c>
      <c r="C19" s="108" t="str">
        <f>VLOOKUP($B19,Full_data!$B$8:$J$1251,2,FALSE)</f>
        <v>PC</v>
      </c>
      <c r="D19" s="110" t="str">
        <f>VLOOKUP($B19,Full_data!$B$8:$J$1251,3,0)</f>
        <v>15U Wall Mounted cabinet 600 x 600mm with accessories (1x6way pdu &amp; 1pcs shelves)</v>
      </c>
      <c r="E19" s="110" t="str">
        <f>VLOOKUP($B19,Full_data!$B$8:$J$1251,4,0)</f>
        <v xml:space="preserve">Cabinet </v>
      </c>
      <c r="F19" s="110">
        <f>VLOOKUP($B19,Full_data!$B$8:$J$1251,7,0)</f>
        <v>415.38461538461536</v>
      </c>
      <c r="G19" s="108" t="str">
        <f>IF(ISERROR(VLOOKUP(B19,#REF!,9,0)),"",IF(ISBLANK(VLOOKUP(B19,#REF!,9,0)),"",(VLOOKUP(B19,#REF!,9,0))))</f>
        <v/>
      </c>
      <c r="H19" s="111">
        <f t="shared" si="2"/>
        <v>0</v>
      </c>
      <c r="I19" s="112">
        <f t="shared" si="0"/>
        <v>415.38461538461536</v>
      </c>
      <c r="J19" s="337">
        <f>FO!D13</f>
        <v>0</v>
      </c>
      <c r="K19" s="113">
        <f t="shared" si="1"/>
        <v>0</v>
      </c>
      <c r="L19" s="15">
        <f>IFERROR(VLOOKUP($B19,Logistics!$A$1:$O$534,10,FALSE),0)</f>
        <v>0</v>
      </c>
      <c r="M19" s="15">
        <f>IFERROR(VLOOKUP($B19,Logistics!$A$1:$O$534,11,FALSE),0)</f>
        <v>0</v>
      </c>
      <c r="N19" s="15">
        <f t="shared" si="3"/>
        <v>0</v>
      </c>
      <c r="O19" s="15">
        <f t="shared" si="4"/>
        <v>0</v>
      </c>
    </row>
    <row r="20" spans="1:15" ht="14.25" x14ac:dyDescent="0.2">
      <c r="A20" s="16">
        <v>20</v>
      </c>
      <c r="B20" s="100"/>
      <c r="C20" s="16" t="e">
        <f>VLOOKUP($B20,Full_data!$B$8:$J$1251,2,FALSE)</f>
        <v>#N/A</v>
      </c>
      <c r="D20" s="64" t="e">
        <f>VLOOKUP($B20,Full_data!$B$8:$J$1251,3,0)</f>
        <v>#N/A</v>
      </c>
      <c r="E20" s="64" t="e">
        <f>VLOOKUP($B20,Full_data!$B$8:$J$1251,4,0)</f>
        <v>#N/A</v>
      </c>
      <c r="F20" s="64" t="e">
        <f>VLOOKUP($B20,Full_data!$B$8:$J$1251,7,0)</f>
        <v>#N/A</v>
      </c>
      <c r="G20" s="103" t="str">
        <f>IF(ISERROR(VLOOKUP(B20,#REF!,9,0)),"",IF(ISBLANK(VLOOKUP(B20,#REF!,9,0)),"",(VLOOKUP(B20,#REF!,9,0))))</f>
        <v/>
      </c>
      <c r="H20" s="106">
        <f t="shared" si="2"/>
        <v>0</v>
      </c>
      <c r="I20" s="102" t="e">
        <f t="shared" si="0"/>
        <v>#N/A</v>
      </c>
      <c r="J20" s="336"/>
      <c r="K20" s="107" t="str">
        <f t="shared" si="1"/>
        <v/>
      </c>
      <c r="L20" s="15">
        <f>IFERROR(VLOOKUP($B20,Logistics!$A$1:$O$534,10,FALSE),0)</f>
        <v>0</v>
      </c>
      <c r="M20" s="15">
        <f>IFERROR(VLOOKUP($B20,Logistics!$A$1:$O$534,11,FALSE),0)</f>
        <v>0</v>
      </c>
      <c r="N20" s="15">
        <f t="shared" si="3"/>
        <v>0</v>
      </c>
      <c r="O20" s="15">
        <f t="shared" si="4"/>
        <v>0</v>
      </c>
    </row>
    <row r="21" spans="1:15" ht="14.25" x14ac:dyDescent="0.2">
      <c r="A21" s="16">
        <v>21</v>
      </c>
      <c r="B21" s="100" t="str">
        <f>CU!C41</f>
        <v/>
      </c>
      <c r="C21" s="16" t="e">
        <f>VLOOKUP($B21,Full_data!$B$8:$J$1251,2,FALSE)</f>
        <v>#N/A</v>
      </c>
      <c r="D21" s="64" t="e">
        <f>VLOOKUP($B21,Full_data!$B$8:$J$1251,3,0)</f>
        <v>#N/A</v>
      </c>
      <c r="E21" s="64" t="e">
        <f>VLOOKUP($B21,Full_data!$B$8:$J$1251,4,0)</f>
        <v>#N/A</v>
      </c>
      <c r="F21" s="64" t="e">
        <f>VLOOKUP($B21,Full_data!$B$8:$J$1251,7,0)</f>
        <v>#N/A</v>
      </c>
      <c r="G21" s="103" t="str">
        <f>IF(ISERROR(VLOOKUP(B21,#REF!,9,0)),"",IF(ISBLANK(VLOOKUP(B21,#REF!,9,0)),"",(VLOOKUP(B21,#REF!,9,0))))</f>
        <v/>
      </c>
      <c r="H21" s="106">
        <f t="shared" si="2"/>
        <v>0</v>
      </c>
      <c r="I21" s="102" t="e">
        <f t="shared" si="0"/>
        <v>#N/A</v>
      </c>
      <c r="J21" s="336"/>
      <c r="K21" s="107" t="str">
        <f t="shared" si="1"/>
        <v/>
      </c>
      <c r="L21" s="15">
        <f>IFERROR(VLOOKUP($B21,Logistics!$A$1:$O$534,10,FALSE),0)</f>
        <v>0</v>
      </c>
      <c r="M21" s="15">
        <f>IFERROR(VLOOKUP($B21,Logistics!$A$1:$O$534,11,FALSE),0)</f>
        <v>0</v>
      </c>
      <c r="N21" s="15">
        <f t="shared" si="3"/>
        <v>0</v>
      </c>
      <c r="O21" s="15">
        <f t="shared" si="4"/>
        <v>0</v>
      </c>
    </row>
    <row r="22" spans="1:15" ht="14.25" x14ac:dyDescent="0.2">
      <c r="A22" s="16">
        <v>22</v>
      </c>
      <c r="B22" s="100"/>
      <c r="C22" s="16" t="e">
        <f>VLOOKUP($B22,Full_data!$B$8:$J$1251,2,FALSE)</f>
        <v>#N/A</v>
      </c>
      <c r="D22" s="64" t="e">
        <f>VLOOKUP($B22,Full_data!$B$8:$J$1251,3,0)</f>
        <v>#N/A</v>
      </c>
      <c r="E22" s="64" t="e">
        <f>VLOOKUP($B22,Full_data!$B$8:$J$1251,4,0)</f>
        <v>#N/A</v>
      </c>
      <c r="F22" s="64" t="e">
        <f>VLOOKUP($B22,Full_data!$B$8:$J$1251,7,0)</f>
        <v>#N/A</v>
      </c>
      <c r="G22" s="103" t="str">
        <f>IF(ISERROR(VLOOKUP(B22,#REF!,9,0)),"",IF(ISBLANK(VLOOKUP(B22,#REF!,9,0)),"",(VLOOKUP(B22,#REF!,9,0))))</f>
        <v/>
      </c>
      <c r="H22" s="106">
        <f t="shared" si="2"/>
        <v>0</v>
      </c>
      <c r="I22" s="102" t="e">
        <f t="shared" si="0"/>
        <v>#N/A</v>
      </c>
      <c r="J22" s="336"/>
      <c r="K22" s="107" t="str">
        <f t="shared" si="1"/>
        <v/>
      </c>
      <c r="L22" s="15">
        <f>IFERROR(VLOOKUP($B22,Logistics!$A$1:$O$534,10,FALSE),0)</f>
        <v>0</v>
      </c>
      <c r="M22" s="15">
        <f>IFERROR(VLOOKUP($B22,Logistics!$A$1:$O$534,11,FALSE),0)</f>
        <v>0</v>
      </c>
      <c r="N22" s="15">
        <f t="shared" si="3"/>
        <v>0</v>
      </c>
      <c r="O22" s="15">
        <f t="shared" si="4"/>
        <v>0</v>
      </c>
    </row>
    <row r="23" spans="1:15" ht="14.25" x14ac:dyDescent="0.2">
      <c r="A23" s="16">
        <v>23</v>
      </c>
      <c r="B23" s="100"/>
      <c r="C23" s="16" t="e">
        <f>VLOOKUP($B23,Full_data!$B$8:$J$1251,2,FALSE)</f>
        <v>#N/A</v>
      </c>
      <c r="D23" s="64" t="e">
        <f>VLOOKUP($B23,Full_data!$B$8:$J$1251,3,0)</f>
        <v>#N/A</v>
      </c>
      <c r="E23" s="64" t="e">
        <f>VLOOKUP($B23,Full_data!$B$8:$J$1251,4,0)</f>
        <v>#N/A</v>
      </c>
      <c r="F23" s="64" t="e">
        <f>VLOOKUP($B23,Full_data!$B$8:$J$1251,7,0)</f>
        <v>#N/A</v>
      </c>
      <c r="G23" s="103" t="str">
        <f>IF(ISERROR(VLOOKUP(B23,#REF!,9,0)),"",IF(ISBLANK(VLOOKUP(B23,#REF!,9,0)),"",(VLOOKUP(B23,#REF!,9,0))))</f>
        <v/>
      </c>
      <c r="H23" s="106">
        <f t="shared" si="2"/>
        <v>0</v>
      </c>
      <c r="I23" s="102" t="e">
        <f t="shared" si="0"/>
        <v>#N/A</v>
      </c>
      <c r="J23" s="336"/>
      <c r="K23" s="107" t="str">
        <f t="shared" si="1"/>
        <v/>
      </c>
      <c r="L23" s="15">
        <f>IFERROR(VLOOKUP($B23,Logistics!$A$1:$O$534,10,FALSE),0)</f>
        <v>0</v>
      </c>
      <c r="M23" s="15">
        <f>IFERROR(VLOOKUP($B23,Logistics!$A$1:$O$534,11,FALSE),0)</f>
        <v>0</v>
      </c>
      <c r="N23" s="15">
        <f t="shared" si="3"/>
        <v>0</v>
      </c>
      <c r="O23" s="15">
        <f t="shared" si="4"/>
        <v>0</v>
      </c>
    </row>
    <row r="24" spans="1:15" ht="14.25" x14ac:dyDescent="0.2">
      <c r="A24" s="16">
        <v>24</v>
      </c>
      <c r="B24" s="100"/>
      <c r="C24" s="16" t="e">
        <f>VLOOKUP($B24,Full_data!$B$8:$J$1251,2,FALSE)</f>
        <v>#N/A</v>
      </c>
      <c r="D24" s="64" t="e">
        <f>VLOOKUP($B24,Full_data!$B$8:$J$1251,3,0)</f>
        <v>#N/A</v>
      </c>
      <c r="E24" s="64" t="e">
        <f>VLOOKUP($B24,Full_data!$B$8:$J$1251,4,0)</f>
        <v>#N/A</v>
      </c>
      <c r="F24" s="64" t="e">
        <f>VLOOKUP($B24,Full_data!$B$8:$J$1251,7,0)</f>
        <v>#N/A</v>
      </c>
      <c r="G24" s="103" t="str">
        <f>IF(ISERROR(VLOOKUP(B24,#REF!,9,0)),"",IF(ISBLANK(VLOOKUP(B24,#REF!,9,0)),"",(VLOOKUP(B24,#REF!,9,0))))</f>
        <v/>
      </c>
      <c r="H24" s="106">
        <f t="shared" si="2"/>
        <v>0</v>
      </c>
      <c r="I24" s="102" t="e">
        <f t="shared" si="0"/>
        <v>#N/A</v>
      </c>
      <c r="J24" s="336"/>
      <c r="K24" s="107" t="str">
        <f t="shared" si="1"/>
        <v/>
      </c>
      <c r="L24" s="15">
        <f>IFERROR(VLOOKUP($B24,Logistics!$A$1:$O$534,10,FALSE),0)</f>
        <v>0</v>
      </c>
      <c r="M24" s="15">
        <f>IFERROR(VLOOKUP($B24,Logistics!$A$1:$O$534,11,FALSE),0)</f>
        <v>0</v>
      </c>
      <c r="N24" s="15">
        <f t="shared" si="3"/>
        <v>0</v>
      </c>
      <c r="O24" s="15">
        <f t="shared" si="4"/>
        <v>0</v>
      </c>
    </row>
    <row r="25" spans="1:15" ht="14.25" x14ac:dyDescent="0.2">
      <c r="A25" s="16">
        <v>25</v>
      </c>
      <c r="B25" s="100"/>
      <c r="C25" s="16" t="e">
        <f>VLOOKUP($B25,Full_data!$B$8:$J$1251,2,FALSE)</f>
        <v>#N/A</v>
      </c>
      <c r="D25" s="64" t="e">
        <f>VLOOKUP($B25,Full_data!$B$8:$J$1251,3,0)</f>
        <v>#N/A</v>
      </c>
      <c r="E25" s="64" t="e">
        <f>VLOOKUP($B25,Full_data!$B$8:$J$1251,4,0)</f>
        <v>#N/A</v>
      </c>
      <c r="F25" s="64" t="e">
        <f>VLOOKUP($B25,Full_data!$B$8:$J$1251,7,0)</f>
        <v>#N/A</v>
      </c>
      <c r="G25" s="103" t="str">
        <f>IF(ISERROR(VLOOKUP(B25,#REF!,9,0)),"",IF(ISBLANK(VLOOKUP(B25,#REF!,9,0)),"",(VLOOKUP(B25,#REF!,9,0))))</f>
        <v/>
      </c>
      <c r="H25" s="106">
        <f t="shared" si="2"/>
        <v>0</v>
      </c>
      <c r="I25" s="102" t="e">
        <f t="shared" si="0"/>
        <v>#N/A</v>
      </c>
      <c r="J25" s="336"/>
      <c r="K25" s="107" t="str">
        <f t="shared" si="1"/>
        <v/>
      </c>
      <c r="L25" s="15">
        <f>IFERROR(VLOOKUP($B25,Logistics!$A$1:$O$534,10,FALSE),0)</f>
        <v>0</v>
      </c>
      <c r="M25" s="15">
        <f>IFERROR(VLOOKUP($B25,Logistics!$A$1:$O$534,11,FALSE),0)</f>
        <v>0</v>
      </c>
      <c r="N25" s="15">
        <f t="shared" si="3"/>
        <v>0</v>
      </c>
      <c r="O25" s="15">
        <f t="shared" si="4"/>
        <v>0</v>
      </c>
    </row>
    <row r="26" spans="1:15" ht="14.25" x14ac:dyDescent="0.2">
      <c r="A26" s="16">
        <v>26</v>
      </c>
      <c r="B26" s="100"/>
      <c r="C26" s="16" t="e">
        <f>VLOOKUP($B26,Full_data!$B$8:$J$1251,2,FALSE)</f>
        <v>#N/A</v>
      </c>
      <c r="D26" s="64" t="e">
        <f>VLOOKUP($B26,Full_data!$B$8:$J$1251,3,0)</f>
        <v>#N/A</v>
      </c>
      <c r="E26" s="64" t="e">
        <f>VLOOKUP($B26,Full_data!$B$8:$J$1251,4,0)</f>
        <v>#N/A</v>
      </c>
      <c r="F26" s="64" t="e">
        <f>VLOOKUP($B26,Full_data!$B$8:$J$1251,7,0)</f>
        <v>#N/A</v>
      </c>
      <c r="G26" s="16" t="str">
        <f>IF(ISERROR(VLOOKUP(B26,#REF!,9,0)),"",IF(ISBLANK(VLOOKUP(B26,#REF!,9,0)),"",(VLOOKUP(B26,#REF!,9,0))))</f>
        <v/>
      </c>
      <c r="H26" s="101">
        <f t="shared" si="2"/>
        <v>0</v>
      </c>
      <c r="I26" s="114" t="e">
        <f t="shared" si="0"/>
        <v>#N/A</v>
      </c>
      <c r="J26" s="16"/>
      <c r="K26" s="104" t="str">
        <f t="shared" si="1"/>
        <v/>
      </c>
      <c r="L26" s="15">
        <f>IFERROR(VLOOKUP($B26,Logistics!$A$1:$O$534,10,FALSE),0)</f>
        <v>0</v>
      </c>
      <c r="M26" s="15">
        <f>IFERROR(VLOOKUP($B26,Logistics!$A$1:$O$534,11,FALSE),0)</f>
        <v>0</v>
      </c>
      <c r="N26" s="15">
        <f t="shared" si="3"/>
        <v>0</v>
      </c>
      <c r="O26" s="15">
        <f t="shared" si="4"/>
        <v>0</v>
      </c>
    </row>
    <row r="27" spans="1:15" ht="14.25" x14ac:dyDescent="0.2">
      <c r="A27" s="16">
        <v>27</v>
      </c>
      <c r="B27" s="100"/>
      <c r="C27" s="16" t="e">
        <f>VLOOKUP($B27,Full_data!$B$8:$J$1251,2,FALSE)</f>
        <v>#N/A</v>
      </c>
      <c r="D27" s="64" t="e">
        <f>VLOOKUP($B27,Full_data!$B$8:$J$1251,3,0)</f>
        <v>#N/A</v>
      </c>
      <c r="E27" s="64" t="e">
        <f>VLOOKUP($B27,Full_data!$B$8:$J$1251,4,0)</f>
        <v>#N/A</v>
      </c>
      <c r="F27" s="64" t="e">
        <f>VLOOKUP($B27,Full_data!$B$8:$J$1251,7,0)</f>
        <v>#N/A</v>
      </c>
      <c r="G27" s="16" t="str">
        <f>IF(ISERROR(VLOOKUP(B27,#REF!,9,0)),"",IF(ISBLANK(VLOOKUP(B27,#REF!,9,0)),"",(VLOOKUP(B27,#REF!,9,0))))</f>
        <v/>
      </c>
      <c r="H27" s="101">
        <f t="shared" si="2"/>
        <v>0</v>
      </c>
      <c r="I27" s="114" t="e">
        <f t="shared" si="0"/>
        <v>#N/A</v>
      </c>
      <c r="J27" s="16"/>
      <c r="K27" s="104" t="str">
        <f t="shared" si="1"/>
        <v/>
      </c>
      <c r="L27" s="15">
        <f>IFERROR(VLOOKUP($B27,Logistics!$A$1:$O$534,10,FALSE),0)</f>
        <v>0</v>
      </c>
      <c r="M27" s="15">
        <f>IFERROR(VLOOKUP($B27,Logistics!$A$1:$O$534,11,FALSE),0)</f>
        <v>0</v>
      </c>
      <c r="N27" s="15">
        <f t="shared" si="3"/>
        <v>0</v>
      </c>
      <c r="O27" s="15">
        <f t="shared" si="4"/>
        <v>0</v>
      </c>
    </row>
    <row r="28" spans="1:15" ht="14.25" x14ac:dyDescent="0.2">
      <c r="A28" s="16">
        <v>28</v>
      </c>
      <c r="B28" s="100"/>
      <c r="C28" s="16" t="e">
        <f>VLOOKUP($B28,Full_data!$B$8:$J$1251,2,FALSE)</f>
        <v>#N/A</v>
      </c>
      <c r="D28" s="64" t="e">
        <f>VLOOKUP($B28,Full_data!$B$8:$J$1251,3,0)</f>
        <v>#N/A</v>
      </c>
      <c r="E28" s="64" t="e">
        <f>VLOOKUP($B28,Full_data!$B$8:$J$1251,4,0)</f>
        <v>#N/A</v>
      </c>
      <c r="F28" s="64" t="e">
        <f>VLOOKUP($B28,Full_data!$B$8:$J$1251,7,0)</f>
        <v>#N/A</v>
      </c>
      <c r="G28" s="16" t="str">
        <f>IF(ISERROR(VLOOKUP(B28,#REF!,9,0)),"",IF(ISBLANK(VLOOKUP(B28,#REF!,9,0)),"",(VLOOKUP(B28,#REF!,9,0))))</f>
        <v/>
      </c>
      <c r="H28" s="101">
        <f t="shared" si="2"/>
        <v>0</v>
      </c>
      <c r="I28" s="114" t="e">
        <f t="shared" si="0"/>
        <v>#N/A</v>
      </c>
      <c r="J28" s="16"/>
      <c r="K28" s="104" t="str">
        <f t="shared" si="1"/>
        <v/>
      </c>
      <c r="L28" s="15">
        <f>IFERROR(VLOOKUP($B28,Logistics!$A$1:$O$534,10,FALSE),0)</f>
        <v>0</v>
      </c>
      <c r="M28" s="15">
        <f>IFERROR(VLOOKUP($B28,Logistics!$A$1:$O$534,11,FALSE),0)</f>
        <v>0</v>
      </c>
      <c r="N28" s="15">
        <f t="shared" si="3"/>
        <v>0</v>
      </c>
      <c r="O28" s="15">
        <f t="shared" si="4"/>
        <v>0</v>
      </c>
    </row>
    <row r="29" spans="1:15" ht="14.25" x14ac:dyDescent="0.2">
      <c r="A29" s="16">
        <v>29</v>
      </c>
      <c r="B29" s="100"/>
      <c r="C29" s="16" t="e">
        <f>VLOOKUP($B29,Full_data!$B$8:$J$1251,2,FALSE)</f>
        <v>#N/A</v>
      </c>
      <c r="D29" s="64" t="e">
        <f>VLOOKUP($B29,Full_data!$B$8:$J$1251,3,0)</f>
        <v>#N/A</v>
      </c>
      <c r="E29" s="64" t="e">
        <f>VLOOKUP($B29,Full_data!$B$8:$J$1251,4,0)</f>
        <v>#N/A</v>
      </c>
      <c r="F29" s="64" t="e">
        <f>VLOOKUP($B29,Full_data!$B$8:$J$1251,7,0)</f>
        <v>#N/A</v>
      </c>
      <c r="G29" s="16" t="str">
        <f>IF(ISERROR(VLOOKUP(B29,#REF!,9,0)),"",IF(ISBLANK(VLOOKUP(B29,#REF!,9,0)),"",(VLOOKUP(B29,#REF!,9,0))))</f>
        <v/>
      </c>
      <c r="H29" s="101">
        <f t="shared" si="2"/>
        <v>0</v>
      </c>
      <c r="I29" s="114" t="e">
        <f t="shared" si="0"/>
        <v>#N/A</v>
      </c>
      <c r="J29" s="16"/>
      <c r="K29" s="104" t="str">
        <f t="shared" si="1"/>
        <v/>
      </c>
      <c r="L29" s="15">
        <f>IFERROR(VLOOKUP($B29,Logistics!$A$1:$O$534,10,FALSE),0)</f>
        <v>0</v>
      </c>
      <c r="M29" s="15">
        <f>IFERROR(VLOOKUP($B29,Logistics!$A$1:$O$534,11,FALSE),0)</f>
        <v>0</v>
      </c>
      <c r="N29" s="15">
        <f t="shared" si="3"/>
        <v>0</v>
      </c>
      <c r="O29" s="15">
        <f t="shared" si="4"/>
        <v>0</v>
      </c>
    </row>
    <row r="30" spans="1:15" ht="14.25" x14ac:dyDescent="0.2">
      <c r="A30" s="16">
        <v>30</v>
      </c>
      <c r="B30" s="100"/>
      <c r="C30" s="16" t="e">
        <f>VLOOKUP($B30,Full_data!$B$8:$J$1251,2,FALSE)</f>
        <v>#N/A</v>
      </c>
      <c r="D30" s="64" t="e">
        <f>VLOOKUP($B30,Full_data!$B$8:$J$1251,3,0)</f>
        <v>#N/A</v>
      </c>
      <c r="E30" s="64" t="e">
        <f>VLOOKUP($B30,Full_data!$B$8:$J$1251,4,0)</f>
        <v>#N/A</v>
      </c>
      <c r="F30" s="64" t="e">
        <f>VLOOKUP($B30,Full_data!$B$8:$J$1251,7,0)</f>
        <v>#N/A</v>
      </c>
      <c r="G30" s="16" t="str">
        <f>IF(ISERROR(VLOOKUP(B30,#REF!,9,0)),"",IF(ISBLANK(VLOOKUP(B30,#REF!,9,0)),"",(VLOOKUP(B30,#REF!,9,0))))</f>
        <v/>
      </c>
      <c r="H30" s="101">
        <f t="shared" si="2"/>
        <v>0</v>
      </c>
      <c r="I30" s="114" t="e">
        <f t="shared" si="0"/>
        <v>#N/A</v>
      </c>
      <c r="J30" s="16"/>
      <c r="K30" s="104" t="str">
        <f t="shared" si="1"/>
        <v/>
      </c>
      <c r="L30" s="15">
        <f>IFERROR(VLOOKUP($B30,Logistics!$A$1:$O$534,10,FALSE),0)</f>
        <v>0</v>
      </c>
      <c r="M30" s="15">
        <f>IFERROR(VLOOKUP($B30,Logistics!$A$1:$O$534,11,FALSE),0)</f>
        <v>0</v>
      </c>
      <c r="N30" s="15">
        <f t="shared" si="3"/>
        <v>0</v>
      </c>
      <c r="O30" s="15">
        <f t="shared" si="4"/>
        <v>0</v>
      </c>
    </row>
    <row r="31" spans="1:15" ht="14.25" x14ac:dyDescent="0.2">
      <c r="A31" s="16">
        <v>31</v>
      </c>
      <c r="B31" s="100"/>
      <c r="C31" s="16" t="e">
        <f>VLOOKUP($B31,Full_data!$B$8:$J$1251,2,FALSE)</f>
        <v>#N/A</v>
      </c>
      <c r="D31" s="64" t="e">
        <f>VLOOKUP($B31,Full_data!$B$8:$J$1251,3,0)</f>
        <v>#N/A</v>
      </c>
      <c r="E31" s="64" t="e">
        <f>VLOOKUP($B31,Full_data!$B$8:$J$1251,4,0)</f>
        <v>#N/A</v>
      </c>
      <c r="F31" s="64" t="e">
        <f>VLOOKUP($B31,Full_data!$B$8:$J$1251,7,0)</f>
        <v>#N/A</v>
      </c>
      <c r="G31" s="16" t="str">
        <f>IF(ISERROR(VLOOKUP(B31,#REF!,9,0)),"",IF(ISBLANK(VLOOKUP(B31,#REF!,9,0)),"",(VLOOKUP(B31,#REF!,9,0))))</f>
        <v/>
      </c>
      <c r="H31" s="101">
        <f t="shared" si="2"/>
        <v>0</v>
      </c>
      <c r="I31" s="114" t="e">
        <f t="shared" si="0"/>
        <v>#N/A</v>
      </c>
      <c r="J31" s="16"/>
      <c r="K31" s="104" t="str">
        <f t="shared" si="1"/>
        <v/>
      </c>
      <c r="L31" s="15">
        <f>IFERROR(VLOOKUP($B31,Logistics!$A$1:$O$534,10,FALSE),0)</f>
        <v>0</v>
      </c>
      <c r="M31" s="15">
        <f>IFERROR(VLOOKUP($B31,Logistics!$A$1:$O$534,11,FALSE),0)</f>
        <v>0</v>
      </c>
      <c r="N31" s="15">
        <f t="shared" si="3"/>
        <v>0</v>
      </c>
      <c r="O31" s="15">
        <f t="shared" si="4"/>
        <v>0</v>
      </c>
    </row>
    <row r="32" spans="1:15" ht="14.25" x14ac:dyDescent="0.2">
      <c r="A32" s="16">
        <v>32</v>
      </c>
      <c r="B32" s="100"/>
      <c r="C32" s="16" t="e">
        <f>VLOOKUP($B32,Full_data!$B$8:$J$1251,2,FALSE)</f>
        <v>#N/A</v>
      </c>
      <c r="D32" s="64" t="e">
        <f>VLOOKUP($B32,Full_data!$B$8:$J$1251,3,0)</f>
        <v>#N/A</v>
      </c>
      <c r="E32" s="64" t="e">
        <f>VLOOKUP($B32,Full_data!$B$8:$J$1251,4,0)</f>
        <v>#N/A</v>
      </c>
      <c r="F32" s="64" t="e">
        <f>VLOOKUP($B32,Full_data!$B$8:$J$1251,7,0)</f>
        <v>#N/A</v>
      </c>
      <c r="G32" s="16" t="str">
        <f>IF(ISERROR(VLOOKUP(B32,#REF!,9,0)),"",IF(ISBLANK(VLOOKUP(B32,#REF!,9,0)),"",(VLOOKUP(B32,#REF!,9,0))))</f>
        <v/>
      </c>
      <c r="H32" s="101">
        <f t="shared" si="2"/>
        <v>0</v>
      </c>
      <c r="I32" s="114" t="e">
        <f t="shared" si="0"/>
        <v>#N/A</v>
      </c>
      <c r="J32" s="16"/>
      <c r="K32" s="104" t="str">
        <f t="shared" si="1"/>
        <v/>
      </c>
      <c r="L32" s="15">
        <f>IFERROR(VLOOKUP($B32,Logistics!$A$1:$O$534,10,FALSE),0)</f>
        <v>0</v>
      </c>
      <c r="M32" s="15">
        <f>IFERROR(VLOOKUP($B32,Logistics!$A$1:$O$534,11,FALSE),0)</f>
        <v>0</v>
      </c>
      <c r="N32" s="15">
        <f t="shared" si="3"/>
        <v>0</v>
      </c>
      <c r="O32" s="15">
        <f t="shared" si="4"/>
        <v>0</v>
      </c>
    </row>
    <row r="33" spans="1:15" ht="14.25" x14ac:dyDescent="0.2">
      <c r="A33" s="16">
        <v>34</v>
      </c>
      <c r="B33" s="100"/>
      <c r="C33" s="16" t="e">
        <f>VLOOKUP($B33,Full_data!$B$8:$J$1251,2,FALSE)</f>
        <v>#N/A</v>
      </c>
      <c r="D33" s="64" t="e">
        <f>VLOOKUP($B33,Full_data!$B$8:$J$1251,3,0)</f>
        <v>#N/A</v>
      </c>
      <c r="E33" s="64" t="e">
        <f>VLOOKUP($B33,Full_data!$B$8:$J$1251,4,0)</f>
        <v>#N/A</v>
      </c>
      <c r="F33" s="64" t="e">
        <f>VLOOKUP($B33,Full_data!$B$8:$J$1251,7,0)</f>
        <v>#N/A</v>
      </c>
      <c r="G33" s="16" t="str">
        <f>IF(ISERROR(VLOOKUP(B33,#REF!,9,0)),"",IF(ISBLANK(VLOOKUP(B33,#REF!,9,0)),"",(VLOOKUP(B33,#REF!,9,0))))</f>
        <v/>
      </c>
      <c r="H33" s="101">
        <f t="shared" si="2"/>
        <v>0</v>
      </c>
      <c r="I33" s="114" t="e">
        <f t="shared" si="0"/>
        <v>#N/A</v>
      </c>
      <c r="J33" s="16"/>
      <c r="K33" s="104" t="str">
        <f t="shared" si="1"/>
        <v/>
      </c>
      <c r="L33" s="15">
        <f>IFERROR(VLOOKUP($B33,Logistics!$A$1:$O$534,10,FALSE),0)</f>
        <v>0</v>
      </c>
      <c r="M33" s="15">
        <f>IFERROR(VLOOKUP($B33,Logistics!$A$1:$O$534,11,FALSE),0)</f>
        <v>0</v>
      </c>
      <c r="N33" s="15">
        <f t="shared" si="3"/>
        <v>0</v>
      </c>
      <c r="O33" s="15">
        <f t="shared" si="4"/>
        <v>0</v>
      </c>
    </row>
    <row r="34" spans="1:15" ht="14.25" x14ac:dyDescent="0.2">
      <c r="A34" s="16">
        <v>35</v>
      </c>
      <c r="B34" s="100"/>
      <c r="C34" s="16" t="e">
        <f>VLOOKUP($B34,Full_data!$B$8:$J$1251,2,FALSE)</f>
        <v>#N/A</v>
      </c>
      <c r="D34" s="64" t="e">
        <f>VLOOKUP($B34,Full_data!$B$8:$J$1251,3,0)</f>
        <v>#N/A</v>
      </c>
      <c r="E34" s="64" t="e">
        <f>VLOOKUP($B34,Full_data!$B$8:$J$1251,4,0)</f>
        <v>#N/A</v>
      </c>
      <c r="F34" s="64" t="e">
        <f>VLOOKUP($B34,Full_data!$B$8:$J$1251,7,0)</f>
        <v>#N/A</v>
      </c>
      <c r="G34" s="16" t="str">
        <f>IF(ISERROR(VLOOKUP(B34,#REF!,9,0)),"",IF(ISBLANK(VLOOKUP(B34,#REF!,9,0)),"",(VLOOKUP(B34,#REF!,9,0))))</f>
        <v/>
      </c>
      <c r="H34" s="101">
        <f t="shared" si="2"/>
        <v>0</v>
      </c>
      <c r="I34" s="114" t="e">
        <f t="shared" si="0"/>
        <v>#N/A</v>
      </c>
      <c r="J34" s="16"/>
      <c r="K34" s="104" t="str">
        <f t="shared" si="1"/>
        <v/>
      </c>
      <c r="L34" s="15">
        <f>IFERROR(VLOOKUP($B34,Logistics!$A$1:$O$534,10,FALSE),0)</f>
        <v>0</v>
      </c>
      <c r="M34" s="15">
        <f>IFERROR(VLOOKUP($B34,Logistics!$A$1:$O$534,11,FALSE),0)</f>
        <v>0</v>
      </c>
      <c r="N34" s="15">
        <f t="shared" si="3"/>
        <v>0</v>
      </c>
      <c r="O34" s="15">
        <f t="shared" si="4"/>
        <v>0</v>
      </c>
    </row>
    <row r="35" spans="1:15" ht="14.25" x14ac:dyDescent="0.2">
      <c r="A35" s="16">
        <v>37</v>
      </c>
      <c r="B35" s="100"/>
      <c r="C35" s="16" t="e">
        <f>VLOOKUP($B35,Full_data!$B$8:$J$1251,2,FALSE)</f>
        <v>#N/A</v>
      </c>
      <c r="D35" s="64" t="e">
        <f>VLOOKUP($B35,Full_data!$B$8:$J$1251,3,0)</f>
        <v>#N/A</v>
      </c>
      <c r="E35" s="64" t="e">
        <f>VLOOKUP($B35,Full_data!$B$8:$J$1251,4,0)</f>
        <v>#N/A</v>
      </c>
      <c r="F35" s="64" t="e">
        <f>VLOOKUP($B35,Full_data!$B$8:$J$1251,7,0)</f>
        <v>#N/A</v>
      </c>
      <c r="G35" s="16" t="str">
        <f>IF(ISERROR(VLOOKUP(B35,#REF!,9,0)),"",IF(ISBLANK(VLOOKUP(B35,#REF!,9,0)),"",(VLOOKUP(B35,#REF!,9,0))))</f>
        <v/>
      </c>
      <c r="H35" s="101">
        <f t="shared" si="2"/>
        <v>0</v>
      </c>
      <c r="I35" s="114" t="e">
        <f t="shared" si="0"/>
        <v>#N/A</v>
      </c>
      <c r="J35" s="16"/>
      <c r="K35" s="104" t="str">
        <f t="shared" si="1"/>
        <v/>
      </c>
      <c r="L35" s="15">
        <f>IFERROR(VLOOKUP($B35,Logistics!$A$1:$O$534,10,FALSE),0)</f>
        <v>0</v>
      </c>
      <c r="M35" s="15">
        <f>IFERROR(VLOOKUP($B35,Logistics!$A$1:$O$534,11,FALSE),0)</f>
        <v>0</v>
      </c>
      <c r="N35" s="15">
        <f t="shared" si="3"/>
        <v>0</v>
      </c>
      <c r="O35" s="15">
        <f t="shared" si="4"/>
        <v>0</v>
      </c>
    </row>
    <row r="36" spans="1:15" ht="14.25" x14ac:dyDescent="0.2">
      <c r="A36" s="16">
        <v>38</v>
      </c>
      <c r="B36" s="100"/>
      <c r="C36" s="16" t="e">
        <f>VLOOKUP($B36,Full_data!$B$8:$J$1251,2,FALSE)</f>
        <v>#N/A</v>
      </c>
      <c r="D36" s="64" t="e">
        <f>VLOOKUP($B36,Full_data!$B$8:$J$1251,3,0)</f>
        <v>#N/A</v>
      </c>
      <c r="E36" s="64" t="e">
        <f>VLOOKUP($B36,Full_data!$B$8:$J$1251,4,0)</f>
        <v>#N/A</v>
      </c>
      <c r="F36" s="64" t="e">
        <f>VLOOKUP($B36,Full_data!$B$8:$J$1251,7,0)</f>
        <v>#N/A</v>
      </c>
      <c r="G36" s="16" t="str">
        <f>IF(ISERROR(VLOOKUP(B36,#REF!,9,0)),"",IF(ISBLANK(VLOOKUP(B36,#REF!,9,0)),"",(VLOOKUP(B36,#REF!,9,0))))</f>
        <v/>
      </c>
      <c r="H36" s="101">
        <f t="shared" si="2"/>
        <v>0</v>
      </c>
      <c r="I36" s="114" t="e">
        <f t="shared" si="0"/>
        <v>#N/A</v>
      </c>
      <c r="J36" s="16"/>
      <c r="K36" s="104" t="str">
        <f t="shared" si="1"/>
        <v/>
      </c>
      <c r="L36" s="15">
        <f>IFERROR(VLOOKUP($B36,Logistics!$A$1:$O$534,10,FALSE),0)</f>
        <v>0</v>
      </c>
      <c r="M36" s="15">
        <f>IFERROR(VLOOKUP($B36,Logistics!$A$1:$O$534,11,FALSE),0)</f>
        <v>0</v>
      </c>
      <c r="N36" s="15">
        <f t="shared" si="3"/>
        <v>0</v>
      </c>
      <c r="O36" s="15">
        <f t="shared" si="4"/>
        <v>0</v>
      </c>
    </row>
    <row r="37" spans="1:15" ht="14.25" x14ac:dyDescent="0.2">
      <c r="A37" s="16">
        <v>39</v>
      </c>
      <c r="B37" s="100"/>
      <c r="C37" s="16" t="e">
        <f>VLOOKUP($B37,Full_data!$B$8:$J$1251,2,FALSE)</f>
        <v>#N/A</v>
      </c>
      <c r="D37" s="64" t="e">
        <f>VLOOKUP($B37,Full_data!$B$8:$J$1251,3,0)</f>
        <v>#N/A</v>
      </c>
      <c r="E37" s="64" t="e">
        <f>VLOOKUP($B37,Full_data!$B$8:$J$1251,4,0)</f>
        <v>#N/A</v>
      </c>
      <c r="F37" s="64" t="e">
        <f>VLOOKUP($B37,Full_data!$B$8:$J$1251,7,0)</f>
        <v>#N/A</v>
      </c>
      <c r="G37" s="16" t="str">
        <f>IF(ISERROR(VLOOKUP(B37,#REF!,9,0)),"",IF(ISBLANK(VLOOKUP(B37,#REF!,9,0)),"",(VLOOKUP(B37,#REF!,9,0))))</f>
        <v/>
      </c>
      <c r="H37" s="101">
        <f t="shared" si="2"/>
        <v>0</v>
      </c>
      <c r="I37" s="114" t="e">
        <f t="shared" si="0"/>
        <v>#N/A</v>
      </c>
      <c r="J37" s="16"/>
      <c r="K37" s="104" t="str">
        <f t="shared" si="1"/>
        <v/>
      </c>
      <c r="L37" s="15">
        <f>IFERROR(VLOOKUP($B37,Logistics!$A$1:$O$534,10,FALSE),0)</f>
        <v>0</v>
      </c>
      <c r="M37" s="15">
        <f>IFERROR(VLOOKUP($B37,Logistics!$A$1:$O$534,11,FALSE),0)</f>
        <v>0</v>
      </c>
      <c r="N37" s="15">
        <f t="shared" si="3"/>
        <v>0</v>
      </c>
      <c r="O37" s="15">
        <f t="shared" si="4"/>
        <v>0</v>
      </c>
    </row>
    <row r="38" spans="1:15" ht="14.25" x14ac:dyDescent="0.2">
      <c r="A38" s="16">
        <v>40</v>
      </c>
      <c r="B38" s="100"/>
      <c r="C38" s="16" t="e">
        <f>VLOOKUP($B38,Full_data!$B$8:$J$1251,2,FALSE)</f>
        <v>#N/A</v>
      </c>
      <c r="D38" s="64" t="e">
        <f>VLOOKUP($B38,Full_data!$B$8:$J$1251,3,0)</f>
        <v>#N/A</v>
      </c>
      <c r="E38" s="64" t="e">
        <f>VLOOKUP($B38,Full_data!$B$8:$J$1251,4,0)</f>
        <v>#N/A</v>
      </c>
      <c r="F38" s="64" t="e">
        <f>VLOOKUP($B38,Full_data!$B$8:$J$1251,7,0)</f>
        <v>#N/A</v>
      </c>
      <c r="G38" s="16" t="str">
        <f>IF(ISERROR(VLOOKUP(B38,#REF!,9,0)),"",IF(ISBLANK(VLOOKUP(B38,#REF!,9,0)),"",(VLOOKUP(B38,#REF!,9,0))))</f>
        <v/>
      </c>
      <c r="H38" s="101">
        <f t="shared" si="2"/>
        <v>0</v>
      </c>
      <c r="I38" s="114" t="e">
        <f t="shared" si="0"/>
        <v>#N/A</v>
      </c>
      <c r="J38" s="16"/>
      <c r="K38" s="104" t="str">
        <f t="shared" si="1"/>
        <v/>
      </c>
      <c r="L38" s="15">
        <f>IFERROR(VLOOKUP($B38,Logistics!$A$1:$O$534,10,FALSE),0)</f>
        <v>0</v>
      </c>
      <c r="M38" s="15">
        <f>IFERROR(VLOOKUP($B38,Logistics!$A$1:$O$534,11,FALSE),0)</f>
        <v>0</v>
      </c>
      <c r="N38" s="15">
        <f t="shared" si="3"/>
        <v>0</v>
      </c>
      <c r="O38" s="15">
        <f t="shared" si="4"/>
        <v>0</v>
      </c>
    </row>
    <row r="39" spans="1:15" ht="14.25" x14ac:dyDescent="0.2">
      <c r="A39" s="16">
        <v>41</v>
      </c>
      <c r="B39" s="100"/>
      <c r="C39" s="16" t="e">
        <f>VLOOKUP($B39,Full_data!$B$8:$J$1251,2,FALSE)</f>
        <v>#N/A</v>
      </c>
      <c r="D39" s="64" t="e">
        <f>VLOOKUP($B39,Full_data!$B$8:$J$1251,3,0)</f>
        <v>#N/A</v>
      </c>
      <c r="E39" s="64" t="e">
        <f>VLOOKUP($B39,Full_data!$B$8:$J$1251,4,0)</f>
        <v>#N/A</v>
      </c>
      <c r="F39" s="64" t="e">
        <f>VLOOKUP($B39,Full_data!$B$8:$J$1251,7,0)</f>
        <v>#N/A</v>
      </c>
      <c r="G39" s="16" t="str">
        <f>IF(ISERROR(VLOOKUP(B39,#REF!,9,0)),"",IF(ISBLANK(VLOOKUP(B39,#REF!,9,0)),"",(VLOOKUP(B39,#REF!,9,0))))</f>
        <v/>
      </c>
      <c r="H39" s="101">
        <f t="shared" si="2"/>
        <v>0</v>
      </c>
      <c r="I39" s="114" t="e">
        <f t="shared" si="0"/>
        <v>#N/A</v>
      </c>
      <c r="J39" s="16"/>
      <c r="K39" s="104" t="str">
        <f t="shared" si="1"/>
        <v/>
      </c>
      <c r="L39" s="15">
        <f>IFERROR(VLOOKUP($B39,Logistics!$A$1:$O$534,10,FALSE),0)</f>
        <v>0</v>
      </c>
      <c r="M39" s="15">
        <f>IFERROR(VLOOKUP($B39,Logistics!$A$1:$O$534,11,FALSE),0)</f>
        <v>0</v>
      </c>
      <c r="N39" s="15">
        <f t="shared" si="3"/>
        <v>0</v>
      </c>
      <c r="O39" s="15">
        <f t="shared" si="4"/>
        <v>0</v>
      </c>
    </row>
    <row r="40" spans="1:15" ht="14.25" x14ac:dyDescent="0.2">
      <c r="A40" s="16">
        <v>42</v>
      </c>
      <c r="B40" s="100">
        <v>4000613</v>
      </c>
      <c r="C40" s="16" t="str">
        <f>VLOOKUP($B40,Full_data!$B$8:$J$1251,2,FALSE)</f>
        <v>PC</v>
      </c>
      <c r="D40" s="64" t="str">
        <f>VLOOKUP($B40,Full_data!$B$8:$J$1251,3,0)</f>
        <v>15U Wall Mounted cabinet 600 x 600mm with accessories (1x6way pdu &amp; 1pcs shelves)</v>
      </c>
      <c r="E40" s="64" t="str">
        <f>VLOOKUP($B40,Full_data!$B$8:$J$1251,4,0)</f>
        <v xml:space="preserve">Cabinet </v>
      </c>
      <c r="F40" s="64">
        <f>VLOOKUP($B40,Full_data!$B$8:$J$1251,7,0)</f>
        <v>415.38461538461536</v>
      </c>
      <c r="G40" s="16" t="str">
        <f>IF(ISERROR(VLOOKUP(B40,#REF!,9,0)),"",IF(ISBLANK(VLOOKUP(B40,#REF!,9,0)),"",(VLOOKUP(B40,#REF!,9,0))))</f>
        <v/>
      </c>
      <c r="H40" s="101">
        <f t="shared" si="2"/>
        <v>0</v>
      </c>
      <c r="I40" s="114">
        <f t="shared" si="0"/>
        <v>415.38461538461536</v>
      </c>
      <c r="J40" s="16"/>
      <c r="K40" s="104">
        <f t="shared" si="1"/>
        <v>0</v>
      </c>
      <c r="L40" s="15">
        <f>IFERROR(VLOOKUP($B40,Logistics!$A$1:$O$534,10,FALSE),0)</f>
        <v>0</v>
      </c>
      <c r="M40" s="15">
        <f>IFERROR(VLOOKUP($B40,Logistics!$A$1:$O$534,11,FALSE),0)</f>
        <v>0</v>
      </c>
      <c r="N40" s="15">
        <f t="shared" si="3"/>
        <v>0</v>
      </c>
      <c r="O40" s="15">
        <f t="shared" si="4"/>
        <v>0</v>
      </c>
    </row>
    <row r="41" spans="1:15" ht="14.25" x14ac:dyDescent="0.2">
      <c r="A41" s="16">
        <v>43</v>
      </c>
      <c r="B41" s="100"/>
      <c r="C41" s="16" t="e">
        <f>VLOOKUP($B41,Full_data!$B$8:$J$1251,2,FALSE)</f>
        <v>#N/A</v>
      </c>
      <c r="D41" s="64" t="e">
        <f>VLOOKUP($B41,Full_data!$B$8:$J$1251,3,0)</f>
        <v>#N/A</v>
      </c>
      <c r="E41" s="64" t="e">
        <f>VLOOKUP($B41,Full_data!$B$8:$J$1251,4,0)</f>
        <v>#N/A</v>
      </c>
      <c r="F41" s="64" t="e">
        <f>VLOOKUP($B41,Full_data!$B$8:$J$1251,7,0)</f>
        <v>#N/A</v>
      </c>
      <c r="G41" s="16" t="str">
        <f>IF(ISERROR(VLOOKUP(B41,#REF!,9,0)),"",IF(ISBLANK(VLOOKUP(B41,#REF!,9,0)),"",(VLOOKUP(B41,#REF!,9,0))))</f>
        <v/>
      </c>
      <c r="H41" s="101">
        <f t="shared" si="2"/>
        <v>0</v>
      </c>
      <c r="I41" s="114" t="e">
        <f t="shared" si="0"/>
        <v>#N/A</v>
      </c>
      <c r="J41" s="16"/>
      <c r="K41" s="104" t="str">
        <f t="shared" si="1"/>
        <v/>
      </c>
      <c r="L41" s="15">
        <f>IFERROR(VLOOKUP($B41,Logistics!$A$1:$O$534,10,FALSE),0)</f>
        <v>0</v>
      </c>
      <c r="M41" s="15">
        <f>IFERROR(VLOOKUP($B41,Logistics!$A$1:$O$534,11,FALSE),0)</f>
        <v>0</v>
      </c>
      <c r="N41" s="15">
        <f t="shared" si="3"/>
        <v>0</v>
      </c>
      <c r="O41" s="15">
        <f t="shared" si="4"/>
        <v>0</v>
      </c>
    </row>
    <row r="42" spans="1:15" ht="14.25" x14ac:dyDescent="0.2">
      <c r="A42" s="16">
        <v>44</v>
      </c>
      <c r="B42" s="100"/>
      <c r="C42" s="16" t="e">
        <f>VLOOKUP($B42,Full_data!$B$8:$J$1251,2,FALSE)</f>
        <v>#N/A</v>
      </c>
      <c r="D42" s="64" t="e">
        <f>VLOOKUP($B42,Full_data!$B$8:$J$1251,3,0)</f>
        <v>#N/A</v>
      </c>
      <c r="E42" s="64" t="e">
        <f>VLOOKUP($B42,Full_data!$B$8:$J$1251,4,0)</f>
        <v>#N/A</v>
      </c>
      <c r="F42" s="64" t="e">
        <f>VLOOKUP($B42,Full_data!$B$8:$J$1251,7,0)</f>
        <v>#N/A</v>
      </c>
      <c r="G42" s="16" t="str">
        <f>IF(ISERROR(VLOOKUP(B42,#REF!,9,0)),"",IF(ISBLANK(VLOOKUP(B42,#REF!,9,0)),"",(VLOOKUP(B42,#REF!,9,0))))</f>
        <v/>
      </c>
      <c r="H42" s="101">
        <f t="shared" si="2"/>
        <v>0</v>
      </c>
      <c r="I42" s="114" t="e">
        <f t="shared" si="0"/>
        <v>#N/A</v>
      </c>
      <c r="J42" s="16"/>
      <c r="K42" s="104" t="str">
        <f t="shared" si="1"/>
        <v/>
      </c>
      <c r="L42" s="15">
        <f>IFERROR(VLOOKUP($B42,Logistics!$A$1:$O$534,10,FALSE),0)</f>
        <v>0</v>
      </c>
      <c r="M42" s="15">
        <f>IFERROR(VLOOKUP($B42,Logistics!$A$1:$O$534,11,FALSE),0)</f>
        <v>0</v>
      </c>
      <c r="N42" s="15">
        <f t="shared" si="3"/>
        <v>0</v>
      </c>
      <c r="O42" s="15">
        <f t="shared" si="4"/>
        <v>0</v>
      </c>
    </row>
    <row r="43" spans="1:15" ht="14.25" x14ac:dyDescent="0.2">
      <c r="A43" s="16">
        <v>45</v>
      </c>
      <c r="B43" s="100">
        <v>190825</v>
      </c>
      <c r="C43" s="16" t="e">
        <f>VLOOKUP($B43,Full_data!$B$8:$J$1251,2,FALSE)</f>
        <v>#N/A</v>
      </c>
      <c r="D43" s="64" t="e">
        <f>VLOOKUP($B43,Full_data!$B$8:$J$1251,3,0)</f>
        <v>#N/A</v>
      </c>
      <c r="E43" s="64" t="e">
        <f>VLOOKUP($B43,Full_data!$B$8:$J$1251,4,0)</f>
        <v>#N/A</v>
      </c>
      <c r="F43" s="64" t="e">
        <f>VLOOKUP($B43,Full_data!$B$8:$J$1251,7,0)</f>
        <v>#N/A</v>
      </c>
      <c r="G43" s="16" t="str">
        <f>IF(ISERROR(VLOOKUP(B43,#REF!,9,0)),"",IF(ISBLANK(VLOOKUP(B43,#REF!,9,0)),"",(VLOOKUP(B43,#REF!,9,0))))</f>
        <v/>
      </c>
      <c r="H43" s="101">
        <f t="shared" si="2"/>
        <v>0</v>
      </c>
      <c r="I43" s="114" t="e">
        <f t="shared" si="0"/>
        <v>#N/A</v>
      </c>
      <c r="J43" s="16"/>
      <c r="K43" s="104" t="str">
        <f t="shared" si="1"/>
        <v/>
      </c>
      <c r="L43" s="15">
        <f>IFERROR(VLOOKUP($B43,Logistics!$A$1:$O$534,10,FALSE),0)</f>
        <v>0</v>
      </c>
      <c r="M43" s="15">
        <f>IFERROR(VLOOKUP($B43,Logistics!$A$1:$O$534,11,FALSE),0)</f>
        <v>0</v>
      </c>
      <c r="N43" s="15">
        <f t="shared" si="3"/>
        <v>0</v>
      </c>
      <c r="O43" s="15">
        <f t="shared" si="4"/>
        <v>0</v>
      </c>
    </row>
    <row r="44" spans="1:15" ht="14.25" x14ac:dyDescent="0.2">
      <c r="A44" s="16">
        <v>46</v>
      </c>
      <c r="B44" s="100">
        <v>190826</v>
      </c>
      <c r="C44" s="16" t="e">
        <f>VLOOKUP($B44,Full_data!$B$8:$J$1251,2,FALSE)</f>
        <v>#N/A</v>
      </c>
      <c r="D44" s="64" t="e">
        <f>VLOOKUP($B44,Full_data!$B$8:$J$1251,3,0)</f>
        <v>#N/A</v>
      </c>
      <c r="E44" s="64" t="e">
        <f>VLOOKUP($B44,Full_data!$B$8:$J$1251,4,0)</f>
        <v>#N/A</v>
      </c>
      <c r="F44" s="64" t="e">
        <f>VLOOKUP($B44,Full_data!$B$8:$J$1251,7,0)</f>
        <v>#N/A</v>
      </c>
      <c r="G44" s="16" t="str">
        <f>IF(ISERROR(VLOOKUP(B44,#REF!,9,0)),"",IF(ISBLANK(VLOOKUP(B44,#REF!,9,0)),"",(VLOOKUP(B44,#REF!,9,0))))</f>
        <v/>
      </c>
      <c r="H44" s="101">
        <f t="shared" si="2"/>
        <v>0</v>
      </c>
      <c r="I44" s="114" t="e">
        <f t="shared" si="0"/>
        <v>#N/A</v>
      </c>
      <c r="J44" s="16"/>
      <c r="K44" s="104" t="str">
        <f t="shared" si="1"/>
        <v/>
      </c>
      <c r="L44" s="15">
        <f>IFERROR(VLOOKUP($B44,Logistics!$A$1:$O$534,10,FALSE),0)</f>
        <v>0</v>
      </c>
      <c r="M44" s="15">
        <f>IFERROR(VLOOKUP($B44,Logistics!$A$1:$O$534,11,FALSE),0)</f>
        <v>0</v>
      </c>
      <c r="N44" s="15">
        <f t="shared" si="3"/>
        <v>0</v>
      </c>
      <c r="O44" s="15">
        <f t="shared" si="4"/>
        <v>0</v>
      </c>
    </row>
    <row r="45" spans="1:15" ht="14.25" x14ac:dyDescent="0.2">
      <c r="A45" s="16">
        <v>47</v>
      </c>
      <c r="B45" s="100">
        <v>309074</v>
      </c>
      <c r="C45" s="16" t="e">
        <f>VLOOKUP($B45,Full_data!$B$8:$J$1251,2,FALSE)</f>
        <v>#N/A</v>
      </c>
      <c r="D45" s="64" t="e">
        <f>VLOOKUP($B45,Full_data!$B$8:$J$1251,3,0)</f>
        <v>#N/A</v>
      </c>
      <c r="E45" s="64" t="e">
        <f>VLOOKUP($B45,Full_data!$B$8:$J$1251,4,0)</f>
        <v>#N/A</v>
      </c>
      <c r="F45" s="64" t="e">
        <f>VLOOKUP($B45,Full_data!$B$8:$J$1251,7,0)</f>
        <v>#N/A</v>
      </c>
      <c r="G45" s="16" t="str">
        <f>IF(ISERROR(VLOOKUP(B45,#REF!,9,0)),"",IF(ISBLANK(VLOOKUP(B45,#REF!,9,0)),"",(VLOOKUP(B45,#REF!,9,0))))</f>
        <v/>
      </c>
      <c r="H45" s="101">
        <f t="shared" si="2"/>
        <v>0</v>
      </c>
      <c r="I45" s="114" t="e">
        <f t="shared" si="0"/>
        <v>#N/A</v>
      </c>
      <c r="J45" s="16"/>
      <c r="K45" s="104" t="str">
        <f t="shared" si="1"/>
        <v/>
      </c>
      <c r="L45" s="15">
        <f>IFERROR(VLOOKUP($B45,Logistics!$A$1:$O$534,10,FALSE),0)</f>
        <v>0</v>
      </c>
      <c r="M45" s="15">
        <f>IFERROR(VLOOKUP($B45,Logistics!$A$1:$O$534,11,FALSE),0)</f>
        <v>0</v>
      </c>
      <c r="N45" s="15">
        <f t="shared" si="3"/>
        <v>0</v>
      </c>
      <c r="O45" s="15">
        <f t="shared" si="4"/>
        <v>0</v>
      </c>
    </row>
    <row r="46" spans="1:15" ht="14.25" x14ac:dyDescent="0.2">
      <c r="A46" s="16">
        <v>48</v>
      </c>
      <c r="B46" s="100">
        <v>309075</v>
      </c>
      <c r="C46" s="16" t="e">
        <f>VLOOKUP($B46,Full_data!$B$8:$J$1251,2,FALSE)</f>
        <v>#N/A</v>
      </c>
      <c r="D46" s="64" t="e">
        <f>VLOOKUP($B46,Full_data!$B$8:$J$1251,3,0)</f>
        <v>#N/A</v>
      </c>
      <c r="E46" s="64" t="e">
        <f>VLOOKUP($B46,Full_data!$B$8:$J$1251,4,0)</f>
        <v>#N/A</v>
      </c>
      <c r="F46" s="64" t="e">
        <f>VLOOKUP($B46,Full_data!$B$8:$J$1251,7,0)</f>
        <v>#N/A</v>
      </c>
      <c r="G46" s="16" t="str">
        <f>IF(ISERROR(VLOOKUP(B46,#REF!,9,0)),"",IF(ISBLANK(VLOOKUP(B46,#REF!,9,0)),"",(VLOOKUP(B46,#REF!,9,0))))</f>
        <v/>
      </c>
      <c r="H46" s="101">
        <f t="shared" si="2"/>
        <v>0</v>
      </c>
      <c r="I46" s="114" t="e">
        <f t="shared" si="0"/>
        <v>#N/A</v>
      </c>
      <c r="J46" s="16"/>
      <c r="K46" s="104" t="str">
        <f t="shared" si="1"/>
        <v/>
      </c>
      <c r="L46" s="15">
        <f>IFERROR(VLOOKUP($B46,Logistics!$A$1:$O$534,10,FALSE),0)</f>
        <v>0</v>
      </c>
      <c r="M46" s="15">
        <f>IFERROR(VLOOKUP($B46,Logistics!$A$1:$O$534,11,FALSE),0)</f>
        <v>0</v>
      </c>
      <c r="N46" s="15">
        <f t="shared" si="3"/>
        <v>0</v>
      </c>
      <c r="O46" s="15">
        <f t="shared" si="4"/>
        <v>0</v>
      </c>
    </row>
    <row r="47" spans="1:15" ht="17.25" customHeight="1" x14ac:dyDescent="0.2">
      <c r="L47" s="431"/>
      <c r="M47" s="431"/>
      <c r="N47" s="431">
        <f t="shared" ref="N47:O47" si="5">SUM(N3:N46)</f>
        <v>0</v>
      </c>
      <c r="O47" s="431">
        <f t="shared" si="5"/>
        <v>0</v>
      </c>
    </row>
  </sheetData>
  <sheetProtection algorithmName="SHA-512" hashValue="HTwcTvUFcOvwEUQ7Gh8M60rQSAswSMsAhdTtMx2RrVYeHEAi4s6835sy+Vgt7GolzkeARQ9jPOdpBKlH115tbA==" saltValue="iZtPsyu17uWeMK06dRC6IA==" spinCount="100000" sheet="1" objects="1" scenarios="1" selectLockedCells="1"/>
  <conditionalFormatting sqref="B19">
    <cfRule type="duplicateValues" dxfId="16"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I126"/>
  <sheetViews>
    <sheetView showGridLines="0" showRowColHeaders="0" zoomScale="90" zoomScaleNormal="90" workbookViewId="0">
      <selection activeCell="D2" sqref="D2"/>
    </sheetView>
  </sheetViews>
  <sheetFormatPr defaultRowHeight="15" x14ac:dyDescent="0.2"/>
  <cols>
    <col min="1" max="2" width="3.125" style="42" customWidth="1"/>
    <col min="3" max="3" width="31.375" style="42" customWidth="1"/>
    <col min="4" max="4" width="14.25" style="42" customWidth="1"/>
    <col min="5" max="5" width="4.625" style="42" customWidth="1"/>
    <col min="6" max="6" width="6.75" style="137" customWidth="1"/>
    <col min="7" max="7" width="12.125" style="46" customWidth="1"/>
    <col min="8" max="8" width="92.5" style="137" customWidth="1"/>
    <col min="9" max="9" width="18.125" style="137" customWidth="1"/>
    <col min="10" max="10" width="10.125" style="46" customWidth="1"/>
    <col min="11" max="11" width="10.25" style="137" customWidth="1"/>
    <col min="12" max="12" width="16.5" style="137" customWidth="1"/>
    <col min="13" max="13" width="12.375" style="42" customWidth="1"/>
    <col min="14" max="14" width="11" style="42" customWidth="1"/>
    <col min="15" max="16" width="9" style="42"/>
    <col min="17" max="17" width="9" style="42" customWidth="1"/>
    <col min="18" max="23" width="9" style="42"/>
    <col min="24" max="24" width="30.5" style="42" bestFit="1" customWidth="1"/>
    <col min="25" max="16384" width="9" style="42"/>
  </cols>
  <sheetData>
    <row r="1" spans="1:35" ht="156" customHeight="1" x14ac:dyDescent="0.2">
      <c r="A1" s="115"/>
      <c r="B1" s="115"/>
      <c r="C1" s="472" t="s">
        <v>2116</v>
      </c>
      <c r="D1" s="472"/>
      <c r="E1" s="267"/>
      <c r="F1" s="268"/>
      <c r="G1" s="268"/>
      <c r="H1" s="268"/>
      <c r="I1" s="268"/>
      <c r="J1" s="268"/>
      <c r="K1" s="268"/>
      <c r="L1" s="268"/>
      <c r="M1" s="115"/>
      <c r="N1" s="115"/>
      <c r="O1" s="115"/>
      <c r="P1" s="115"/>
      <c r="Q1" s="115"/>
      <c r="R1" s="115"/>
      <c r="S1" s="115"/>
      <c r="T1" s="115"/>
      <c r="U1" s="115"/>
      <c r="V1" s="115"/>
      <c r="W1" s="115"/>
      <c r="X1" s="115"/>
      <c r="Y1" s="115"/>
      <c r="Z1" s="115"/>
      <c r="AA1" s="43"/>
      <c r="AB1" s="43"/>
      <c r="AC1" s="43"/>
      <c r="AD1" s="43"/>
      <c r="AE1" s="43"/>
      <c r="AF1" s="43"/>
      <c r="AG1" s="43"/>
      <c r="AH1" s="43"/>
      <c r="AI1" s="43"/>
    </row>
    <row r="2" spans="1:35" ht="21" customHeight="1" x14ac:dyDescent="0.2">
      <c r="A2" s="115"/>
      <c r="B2" s="115"/>
      <c r="C2" s="344" t="s">
        <v>2126</v>
      </c>
      <c r="D2" s="345">
        <v>0</v>
      </c>
      <c r="E2" s="115"/>
      <c r="F2" s="340" t="s">
        <v>2131</v>
      </c>
      <c r="G2" s="341" t="s">
        <v>2121</v>
      </c>
      <c r="H2" s="341" t="s">
        <v>2122</v>
      </c>
      <c r="I2" s="341" t="s">
        <v>2132</v>
      </c>
      <c r="J2" s="342" t="s">
        <v>2107</v>
      </c>
      <c r="K2" s="342" t="s">
        <v>1896</v>
      </c>
      <c r="L2" s="343" t="s">
        <v>2133</v>
      </c>
      <c r="M2" s="115"/>
      <c r="N2" s="115"/>
      <c r="O2" s="115"/>
      <c r="P2" s="115"/>
      <c r="Q2" s="115"/>
      <c r="R2" s="115"/>
      <c r="S2" s="115"/>
      <c r="T2" s="115"/>
      <c r="U2" s="115"/>
      <c r="V2" s="115"/>
      <c r="W2" s="115"/>
      <c r="X2" s="115"/>
      <c r="Y2" s="115"/>
      <c r="Z2" s="115"/>
    </row>
    <row r="3" spans="1:35" ht="18.75" customHeight="1" x14ac:dyDescent="0.2">
      <c r="A3" s="115"/>
      <c r="B3" s="115"/>
      <c r="C3" s="202" t="s">
        <v>2127</v>
      </c>
      <c r="D3" s="366"/>
      <c r="E3" s="115"/>
      <c r="F3" s="473" t="s">
        <v>2128</v>
      </c>
      <c r="G3" s="474"/>
      <c r="H3" s="474"/>
      <c r="I3" s="216"/>
      <c r="J3" s="216"/>
      <c r="K3" s="216"/>
      <c r="L3" s="217"/>
      <c r="M3" s="115"/>
      <c r="N3" s="115"/>
      <c r="O3" s="115"/>
      <c r="P3" s="115"/>
      <c r="Q3" s="115"/>
      <c r="R3" s="115"/>
      <c r="S3" s="115"/>
      <c r="T3" s="115"/>
      <c r="U3" s="115"/>
      <c r="V3" s="115"/>
      <c r="W3" s="115"/>
      <c r="X3" s="115"/>
      <c r="Y3" s="115"/>
      <c r="Z3" s="115"/>
    </row>
    <row r="4" spans="1:35" ht="15.75" customHeight="1" x14ac:dyDescent="0.2">
      <c r="A4" s="115"/>
      <c r="B4" s="115"/>
      <c r="C4" s="214" t="s">
        <v>1836</v>
      </c>
      <c r="D4" s="326"/>
      <c r="E4" s="115"/>
      <c r="F4" s="207">
        <v>1</v>
      </c>
      <c r="G4" s="117" t="str">
        <f>Input_Design!B3</f>
        <v/>
      </c>
      <c r="H4" s="116" t="str">
        <f>IFERROR(Input_Design!D3,"")</f>
        <v/>
      </c>
      <c r="I4" s="327">
        <f>IFERROR(Input_Design!I3,0)</f>
        <v>0</v>
      </c>
      <c r="J4" s="117" t="str">
        <f>IFERROR(Input_Design!C3,"")</f>
        <v/>
      </c>
      <c r="K4" s="333">
        <f>Input_Design!J3</f>
        <v>0</v>
      </c>
      <c r="L4" s="330">
        <f>IFERROR(K4*I4,0)</f>
        <v>0</v>
      </c>
      <c r="M4" s="115"/>
      <c r="N4" s="115"/>
      <c r="O4" s="115"/>
      <c r="P4" s="115"/>
      <c r="Q4" s="115"/>
      <c r="R4" s="115"/>
      <c r="S4" s="115"/>
      <c r="T4" s="115"/>
      <c r="U4" s="115"/>
      <c r="V4" s="115"/>
      <c r="W4" s="115"/>
      <c r="X4" s="115"/>
      <c r="Y4" s="115"/>
      <c r="Z4" s="115"/>
    </row>
    <row r="5" spans="1:35" ht="15.75" customHeight="1" x14ac:dyDescent="0.2">
      <c r="A5" s="115"/>
      <c r="B5" s="115"/>
      <c r="C5" s="204" t="s">
        <v>1837</v>
      </c>
      <c r="D5" s="326"/>
      <c r="E5" s="115"/>
      <c r="F5" s="208">
        <v>2</v>
      </c>
      <c r="G5" s="119" t="str">
        <f>Input_Design!B4</f>
        <v/>
      </c>
      <c r="H5" s="118" t="str">
        <f>IFERROR(Input_Design!D4,"")</f>
        <v/>
      </c>
      <c r="I5" s="328">
        <f>IFERROR(Input_Design!I4,0)</f>
        <v>0</v>
      </c>
      <c r="J5" s="119" t="str">
        <f>IFERROR(Input_Design!C4,"")</f>
        <v/>
      </c>
      <c r="K5" s="334">
        <f>Input_Design!J4</f>
        <v>0</v>
      </c>
      <c r="L5" s="331">
        <f>IFERROR(K5*I5,0)</f>
        <v>0</v>
      </c>
      <c r="M5" s="115"/>
      <c r="N5" s="115"/>
      <c r="O5" s="115"/>
      <c r="P5" s="115"/>
      <c r="Q5" s="115"/>
      <c r="R5" s="115"/>
      <c r="S5" s="115"/>
      <c r="T5" s="115"/>
      <c r="U5" s="115"/>
      <c r="V5" s="115"/>
      <c r="W5" s="115"/>
      <c r="X5" s="115"/>
      <c r="Y5" s="115"/>
      <c r="Z5" s="115"/>
    </row>
    <row r="6" spans="1:35" ht="15.75" customHeight="1" x14ac:dyDescent="0.2">
      <c r="A6" s="115"/>
      <c r="B6" s="115"/>
      <c r="C6" s="205" t="s">
        <v>1838</v>
      </c>
      <c r="D6" s="326"/>
      <c r="E6" s="115"/>
      <c r="F6" s="207">
        <v>3</v>
      </c>
      <c r="G6" s="117" t="str">
        <f>Input_Design!B5</f>
        <v/>
      </c>
      <c r="H6" s="116" t="str">
        <f>IFERROR(Input_Design!D5,"")</f>
        <v/>
      </c>
      <c r="I6" s="327">
        <f>IFERROR(Input_Design!I5,0)</f>
        <v>0</v>
      </c>
      <c r="J6" s="117" t="str">
        <f>IFERROR(Input_Design!C5,"")</f>
        <v/>
      </c>
      <c r="K6" s="333">
        <f>Input_Design!J5</f>
        <v>0</v>
      </c>
      <c r="L6" s="330">
        <f>IFERROR(K6*I6,0)</f>
        <v>0</v>
      </c>
      <c r="M6" s="115"/>
      <c r="N6" s="115"/>
      <c r="O6" s="115"/>
      <c r="P6" s="115"/>
      <c r="Q6" s="115"/>
      <c r="R6" s="115"/>
      <c r="S6" s="115"/>
      <c r="T6" s="115"/>
      <c r="U6" s="115"/>
      <c r="V6" s="115"/>
      <c r="W6" s="115"/>
      <c r="X6" s="115"/>
      <c r="Y6" s="115"/>
      <c r="Z6" s="115"/>
    </row>
    <row r="7" spans="1:35" ht="15.75" customHeight="1" x14ac:dyDescent="0.2">
      <c r="A7" s="115"/>
      <c r="B7" s="115"/>
      <c r="C7" s="204" t="s">
        <v>1839</v>
      </c>
      <c r="D7" s="326"/>
      <c r="E7" s="115"/>
      <c r="F7" s="208">
        <v>4</v>
      </c>
      <c r="G7" s="119" t="str">
        <f>Input_Design!B6</f>
        <v/>
      </c>
      <c r="H7" s="118" t="str">
        <f>IFERROR(Input_Design!D6,"")</f>
        <v/>
      </c>
      <c r="I7" s="328">
        <f>IFERROR(Input_Design!I6,0)</f>
        <v>0</v>
      </c>
      <c r="J7" s="119" t="str">
        <f>IFERROR(Input_Design!C6,"")</f>
        <v/>
      </c>
      <c r="K7" s="334">
        <f>Input_Design!J6</f>
        <v>0</v>
      </c>
      <c r="L7" s="331">
        <f t="shared" ref="L7:L12" si="0">K7*I7</f>
        <v>0</v>
      </c>
      <c r="M7" s="115"/>
      <c r="N7" s="115"/>
      <c r="O7" s="115"/>
      <c r="P7" s="115"/>
      <c r="Q7" s="115"/>
      <c r="R7" s="115"/>
      <c r="S7" s="115"/>
      <c r="T7" s="115"/>
      <c r="U7" s="115"/>
      <c r="V7" s="115"/>
      <c r="W7" s="115"/>
      <c r="X7" s="115"/>
      <c r="Y7" s="115"/>
      <c r="Z7" s="115"/>
    </row>
    <row r="8" spans="1:35" ht="15.75" customHeight="1" x14ac:dyDescent="0.2">
      <c r="A8" s="115"/>
      <c r="B8" s="115"/>
      <c r="C8" s="205" t="s">
        <v>1840</v>
      </c>
      <c r="D8" s="326"/>
      <c r="E8" s="115"/>
      <c r="F8" s="207">
        <v>5</v>
      </c>
      <c r="G8" s="117" t="str">
        <f>Input_Design!B7</f>
        <v/>
      </c>
      <c r="H8" s="116" t="str">
        <f>IFERROR(Input_Design!D7,"")</f>
        <v/>
      </c>
      <c r="I8" s="327">
        <f>IFERROR(Input_Design!I7,0)</f>
        <v>0</v>
      </c>
      <c r="J8" s="117" t="str">
        <f>IFERROR(Input_Design!C7,"")</f>
        <v/>
      </c>
      <c r="K8" s="333">
        <f>Input_Design!J7</f>
        <v>0</v>
      </c>
      <c r="L8" s="330">
        <f t="shared" si="0"/>
        <v>0</v>
      </c>
      <c r="M8" s="115"/>
      <c r="N8" s="115"/>
      <c r="O8" s="115"/>
      <c r="P8" s="115"/>
      <c r="Q8" s="115"/>
      <c r="R8" s="115"/>
      <c r="S8" s="115"/>
      <c r="T8" s="115"/>
      <c r="U8" s="115"/>
      <c r="V8" s="115"/>
      <c r="W8" s="115"/>
      <c r="X8" s="115"/>
      <c r="Y8" s="115"/>
      <c r="Z8" s="115"/>
    </row>
    <row r="9" spans="1:35" ht="15.75" customHeight="1" x14ac:dyDescent="0.2">
      <c r="A9" s="115"/>
      <c r="B9" s="115"/>
      <c r="C9" s="204" t="s">
        <v>1841</v>
      </c>
      <c r="D9" s="201"/>
      <c r="E9" s="115"/>
      <c r="F9" s="208">
        <v>6</v>
      </c>
      <c r="G9" s="119" t="str">
        <f>Input_Design!B8</f>
        <v/>
      </c>
      <c r="H9" s="118" t="str">
        <f>IFERROR(Input_Design!D8,"")</f>
        <v/>
      </c>
      <c r="I9" s="328">
        <f>IFERROR(Input_Design!I8,0)</f>
        <v>0</v>
      </c>
      <c r="J9" s="119" t="str">
        <f>IFERROR(Input_Design!C8,"")</f>
        <v/>
      </c>
      <c r="K9" s="334">
        <f>Input_Design!J8</f>
        <v>0</v>
      </c>
      <c r="L9" s="331">
        <f t="shared" si="0"/>
        <v>0</v>
      </c>
      <c r="M9" s="115"/>
      <c r="N9" s="115"/>
      <c r="O9" s="115"/>
      <c r="P9" s="115"/>
      <c r="Q9" s="115"/>
      <c r="R9" s="115"/>
      <c r="S9" s="115"/>
      <c r="T9" s="115"/>
      <c r="U9" s="115"/>
      <c r="V9" s="115"/>
      <c r="W9" s="115"/>
      <c r="X9" s="115"/>
      <c r="Y9" s="115"/>
      <c r="Z9" s="115"/>
    </row>
    <row r="10" spans="1:35" ht="15.75" customHeight="1" x14ac:dyDescent="0.2">
      <c r="A10" s="115"/>
      <c r="B10" s="115"/>
      <c r="C10" s="205" t="s">
        <v>1843</v>
      </c>
      <c r="D10" s="201"/>
      <c r="E10" s="115"/>
      <c r="F10" s="207">
        <v>7</v>
      </c>
      <c r="G10" s="117" t="str">
        <f>IFERROR(Input_Design!B9,0)</f>
        <v/>
      </c>
      <c r="H10" s="116" t="str">
        <f>IFERROR(Input_Design!D9,"")</f>
        <v/>
      </c>
      <c r="I10" s="327">
        <f>IFERROR(Input_Design!I9,0)</f>
        <v>0</v>
      </c>
      <c r="J10" s="117" t="str">
        <f>IFERROR(Input_Design!C9,"")</f>
        <v/>
      </c>
      <c r="K10" s="333">
        <f>Input_Design!J9</f>
        <v>0</v>
      </c>
      <c r="L10" s="330">
        <f t="shared" si="0"/>
        <v>0</v>
      </c>
      <c r="M10" s="115"/>
      <c r="N10" s="115"/>
      <c r="O10" s="115"/>
      <c r="P10" s="115"/>
      <c r="Q10" s="115"/>
      <c r="R10" s="115"/>
      <c r="S10" s="115"/>
      <c r="T10" s="115"/>
      <c r="U10" s="115"/>
      <c r="V10" s="115"/>
      <c r="W10" s="115"/>
      <c r="X10" s="115"/>
      <c r="Y10" s="115"/>
      <c r="Z10" s="115"/>
    </row>
    <row r="11" spans="1:35" ht="15.75" customHeight="1" x14ac:dyDescent="0.2">
      <c r="A11" s="115"/>
      <c r="B11" s="115"/>
      <c r="C11" s="204" t="s">
        <v>1845</v>
      </c>
      <c r="D11" s="201"/>
      <c r="E11" s="115"/>
      <c r="F11" s="208">
        <v>8</v>
      </c>
      <c r="G11" s="119" t="str">
        <f>Input_Design!B10</f>
        <v/>
      </c>
      <c r="H11" s="118" t="str">
        <f>IFERROR(Input_Design!D10,"")</f>
        <v/>
      </c>
      <c r="I11" s="328">
        <f>IFERROR(Input_Design!I10,0)</f>
        <v>0</v>
      </c>
      <c r="J11" s="119" t="str">
        <f>IFERROR(Input_Design!C10,"")</f>
        <v/>
      </c>
      <c r="K11" s="334">
        <f>Input_Design!J10</f>
        <v>0</v>
      </c>
      <c r="L11" s="331">
        <f t="shared" si="0"/>
        <v>0</v>
      </c>
      <c r="M11" s="115"/>
      <c r="N11" s="115"/>
      <c r="O11" s="115"/>
      <c r="P11" s="115"/>
      <c r="Q11" s="115"/>
      <c r="R11" s="115"/>
      <c r="S11" s="115"/>
      <c r="T11" s="115"/>
      <c r="U11" s="115"/>
      <c r="V11" s="115"/>
      <c r="W11" s="115"/>
      <c r="X11" s="115"/>
      <c r="Y11" s="115"/>
      <c r="Z11" s="115"/>
    </row>
    <row r="12" spans="1:35" ht="15.75" customHeight="1" x14ac:dyDescent="0.2">
      <c r="A12" s="115"/>
      <c r="B12" s="115"/>
      <c r="C12" s="215" t="s">
        <v>1840</v>
      </c>
      <c r="D12" s="201"/>
      <c r="E12" s="115"/>
      <c r="F12" s="207">
        <v>9</v>
      </c>
      <c r="G12" s="117" t="str">
        <f>Input_Design!B11</f>
        <v/>
      </c>
      <c r="H12" s="116" t="str">
        <f>IFERROR(Input_Design!D11,"")</f>
        <v/>
      </c>
      <c r="I12" s="327">
        <f>IFERROR(Input_Design!I11,0)</f>
        <v>0</v>
      </c>
      <c r="J12" s="117" t="str">
        <f>IFERROR(Input_Design!C11,"")</f>
        <v/>
      </c>
      <c r="K12" s="333">
        <f>Input_Design!J11</f>
        <v>0</v>
      </c>
      <c r="L12" s="330">
        <f t="shared" si="0"/>
        <v>0</v>
      </c>
      <c r="M12" s="115"/>
      <c r="N12" s="115"/>
      <c r="O12" s="115"/>
      <c r="P12" s="115"/>
      <c r="Q12" s="115"/>
      <c r="R12" s="115"/>
      <c r="S12" s="115"/>
      <c r="T12" s="115"/>
      <c r="U12" s="115"/>
      <c r="V12" s="115"/>
      <c r="W12" s="115"/>
      <c r="X12" s="115"/>
      <c r="Y12" s="115"/>
      <c r="Z12" s="115"/>
    </row>
    <row r="13" spans="1:35" ht="20.25" customHeight="1" x14ac:dyDescent="0.2">
      <c r="A13" s="115"/>
      <c r="B13" s="115"/>
      <c r="C13" s="212" t="s">
        <v>2129</v>
      </c>
      <c r="D13" s="213"/>
      <c r="E13" s="115"/>
      <c r="F13" s="475" t="s">
        <v>2130</v>
      </c>
      <c r="G13" s="476"/>
      <c r="H13" s="476"/>
      <c r="I13" s="329"/>
      <c r="J13" s="218"/>
      <c r="K13" s="335"/>
      <c r="L13" s="332"/>
      <c r="M13" s="115"/>
      <c r="N13" s="115"/>
      <c r="O13" s="115"/>
      <c r="P13" s="115"/>
      <c r="Q13" s="115"/>
      <c r="R13" s="115"/>
      <c r="S13" s="115"/>
      <c r="T13" s="115"/>
      <c r="U13" s="115"/>
      <c r="V13" s="115"/>
      <c r="W13" s="115"/>
      <c r="X13" s="115"/>
      <c r="Y13" s="115"/>
      <c r="Z13" s="115"/>
    </row>
    <row r="14" spans="1:35" ht="15.75" customHeight="1" x14ac:dyDescent="0.2">
      <c r="A14" s="115"/>
      <c r="B14" s="115"/>
      <c r="C14" s="203" t="s">
        <v>1849</v>
      </c>
      <c r="D14" s="326"/>
      <c r="E14" s="115"/>
      <c r="F14" s="207">
        <v>1</v>
      </c>
      <c r="G14" s="117" t="str">
        <f>IFERROR(Input_Design!B12,"")</f>
        <v/>
      </c>
      <c r="H14" s="116" t="str">
        <f>IFERROR(Input_Design!D12,"")</f>
        <v/>
      </c>
      <c r="I14" s="327">
        <f>IFERROR(Input_Design!I12,0)</f>
        <v>0</v>
      </c>
      <c r="J14" s="117" t="str">
        <f>IFERROR(Input_Design!C12,"")</f>
        <v/>
      </c>
      <c r="K14" s="333">
        <f>Input_Design!J12</f>
        <v>0</v>
      </c>
      <c r="L14" s="330">
        <f t="shared" ref="L14:L20" si="1">K14*I14</f>
        <v>0</v>
      </c>
      <c r="M14" s="115"/>
      <c r="N14" s="115"/>
      <c r="O14" s="115"/>
      <c r="P14" s="115"/>
      <c r="Q14" s="115"/>
      <c r="R14" s="115"/>
      <c r="S14" s="115"/>
      <c r="T14" s="115"/>
      <c r="U14" s="115"/>
      <c r="V14" s="115"/>
      <c r="W14" s="115"/>
      <c r="X14" s="115"/>
      <c r="Y14" s="115"/>
      <c r="Z14" s="115"/>
    </row>
    <row r="15" spans="1:35" ht="15.75" customHeight="1" x14ac:dyDescent="0.2">
      <c r="A15" s="115"/>
      <c r="B15" s="115"/>
      <c r="C15" s="204" t="s">
        <v>1850</v>
      </c>
      <c r="D15" s="326"/>
      <c r="E15" s="115"/>
      <c r="F15" s="208">
        <v>2</v>
      </c>
      <c r="G15" s="119" t="str">
        <f>IFERROR(Input_Design!B13," ")</f>
        <v/>
      </c>
      <c r="H15" s="118" t="str">
        <f>IFERROR(Input_Design!D13,"")</f>
        <v/>
      </c>
      <c r="I15" s="328">
        <f>IFERROR(Input_Design!I13,0)</f>
        <v>0</v>
      </c>
      <c r="J15" s="119" t="str">
        <f>IFERROR(Input_Design!C13,"")</f>
        <v/>
      </c>
      <c r="K15" s="334">
        <f>IFERROR(Input_Design!J13,0)</f>
        <v>0</v>
      </c>
      <c r="L15" s="331">
        <f t="shared" si="1"/>
        <v>0</v>
      </c>
      <c r="M15" s="115"/>
      <c r="N15" s="115"/>
      <c r="O15" s="115"/>
      <c r="P15" s="115"/>
      <c r="Q15" s="115"/>
      <c r="R15" s="115"/>
      <c r="S15" s="115"/>
      <c r="T15" s="115"/>
      <c r="U15" s="115"/>
      <c r="V15" s="115"/>
      <c r="W15" s="115"/>
      <c r="X15" s="115"/>
      <c r="Y15" s="115"/>
      <c r="Z15" s="115"/>
    </row>
    <row r="16" spans="1:35" ht="15.75" customHeight="1" x14ac:dyDescent="0.2">
      <c r="A16" s="115"/>
      <c r="B16" s="115"/>
      <c r="C16" s="205" t="s">
        <v>1851</v>
      </c>
      <c r="D16" s="326"/>
      <c r="E16" s="115"/>
      <c r="F16" s="207">
        <v>3</v>
      </c>
      <c r="G16" s="117" t="str">
        <f>IFERROR(Input_Design!B14,"")</f>
        <v/>
      </c>
      <c r="H16" s="116" t="str">
        <f>IFERROR(Input_Design!D14,"")</f>
        <v/>
      </c>
      <c r="I16" s="327">
        <f>IFERROR(Input_Design!I14,0)</f>
        <v>0</v>
      </c>
      <c r="J16" s="117" t="str">
        <f>IFERROR(Input_Design!C14,"")</f>
        <v/>
      </c>
      <c r="K16" s="333">
        <f>IFERROR(Input_Design!J14,0)</f>
        <v>0</v>
      </c>
      <c r="L16" s="330">
        <f t="shared" si="1"/>
        <v>0</v>
      </c>
      <c r="M16" s="115"/>
      <c r="N16" s="115"/>
      <c r="O16" s="115"/>
      <c r="P16" s="115"/>
      <c r="Q16" s="115"/>
      <c r="R16" s="115"/>
      <c r="S16" s="115"/>
      <c r="T16" s="115"/>
      <c r="U16" s="115"/>
      <c r="V16" s="115"/>
      <c r="W16" s="115"/>
      <c r="X16" s="115"/>
      <c r="Y16" s="115"/>
      <c r="Z16" s="115"/>
    </row>
    <row r="17" spans="1:26" ht="15.75" customHeight="1" x14ac:dyDescent="0.2">
      <c r="A17" s="115"/>
      <c r="B17" s="115"/>
      <c r="C17" s="204" t="s">
        <v>1852</v>
      </c>
      <c r="D17" s="326"/>
      <c r="E17" s="115"/>
      <c r="F17" s="208">
        <v>4</v>
      </c>
      <c r="G17" s="119" t="str">
        <f>Input_Design!B15</f>
        <v/>
      </c>
      <c r="H17" s="118" t="str">
        <f>IFERROR(Input_Design!D15,"")</f>
        <v/>
      </c>
      <c r="I17" s="328">
        <f>IFERROR(Input_Design!I15,0)</f>
        <v>0</v>
      </c>
      <c r="J17" s="119" t="str">
        <f>IFERROR(Input_Design!C15,"")</f>
        <v/>
      </c>
      <c r="K17" s="334">
        <f>IFERROR(Input_Design!J15,0)</f>
        <v>0</v>
      </c>
      <c r="L17" s="331">
        <f t="shared" si="1"/>
        <v>0</v>
      </c>
      <c r="M17" s="115"/>
      <c r="N17" s="115"/>
      <c r="O17" s="115"/>
      <c r="P17" s="115"/>
      <c r="Q17" s="115"/>
      <c r="R17" s="115"/>
      <c r="S17" s="115"/>
      <c r="T17" s="115"/>
      <c r="U17" s="115"/>
      <c r="V17" s="115"/>
      <c r="W17" s="115"/>
      <c r="X17" s="115"/>
      <c r="Y17" s="115"/>
      <c r="Z17" s="115"/>
    </row>
    <row r="18" spans="1:26" ht="15.75" customHeight="1" x14ac:dyDescent="0.2">
      <c r="A18" s="115"/>
      <c r="B18" s="115"/>
      <c r="C18" s="205" t="s">
        <v>1853</v>
      </c>
      <c r="D18" s="200"/>
      <c r="E18" s="115"/>
      <c r="F18" s="207">
        <v>5</v>
      </c>
      <c r="G18" s="117" t="str">
        <f>Input_Design!B16</f>
        <v/>
      </c>
      <c r="H18" s="116" t="str">
        <f>IFERROR(Input_Design!D16,"")</f>
        <v/>
      </c>
      <c r="I18" s="327">
        <f>IFERROR(Input_Design!I16,0)</f>
        <v>0</v>
      </c>
      <c r="J18" s="117" t="str">
        <f>IFERROR(Input_Design!C16,"")</f>
        <v/>
      </c>
      <c r="K18" s="333">
        <f>IFERROR(Input_Design!J16,0)</f>
        <v>0</v>
      </c>
      <c r="L18" s="330">
        <f t="shared" si="1"/>
        <v>0</v>
      </c>
      <c r="M18" s="115"/>
      <c r="N18" s="115"/>
      <c r="O18" s="115"/>
      <c r="P18" s="115"/>
      <c r="Q18" s="115"/>
      <c r="R18" s="115"/>
      <c r="S18" s="115"/>
      <c r="T18" s="115"/>
      <c r="U18" s="115"/>
      <c r="V18" s="115"/>
      <c r="W18" s="115"/>
      <c r="X18" s="115"/>
      <c r="Y18" s="115"/>
      <c r="Z18" s="115"/>
    </row>
    <row r="19" spans="1:26" ht="15.75" customHeight="1" x14ac:dyDescent="0.2">
      <c r="A19" s="115"/>
      <c r="B19" s="115"/>
      <c r="C19" s="204" t="s">
        <v>1854</v>
      </c>
      <c r="D19" s="200"/>
      <c r="E19" s="115"/>
      <c r="F19" s="208">
        <v>6</v>
      </c>
      <c r="G19" s="119" t="str">
        <f>Input_Design!B17</f>
        <v/>
      </c>
      <c r="H19" s="118" t="str">
        <f>IFERROR(Input_Design!D17,"")</f>
        <v/>
      </c>
      <c r="I19" s="328">
        <f>IFERROR(Input_Design!I17,0)</f>
        <v>0</v>
      </c>
      <c r="J19" s="119" t="str">
        <f>IFERROR(Input_Design!C17,"")</f>
        <v/>
      </c>
      <c r="K19" s="334">
        <f>IFERROR(Input_Design!J17,0)</f>
        <v>0</v>
      </c>
      <c r="L19" s="331">
        <f t="shared" si="1"/>
        <v>0</v>
      </c>
      <c r="M19" s="115"/>
      <c r="N19" s="115"/>
      <c r="O19" s="115"/>
      <c r="P19" s="115"/>
      <c r="Q19" s="115"/>
      <c r="R19" s="115"/>
      <c r="S19" s="115"/>
      <c r="T19" s="115"/>
      <c r="U19" s="115"/>
      <c r="V19" s="115"/>
      <c r="W19" s="115"/>
      <c r="X19" s="115"/>
      <c r="Y19" s="115"/>
      <c r="Z19" s="115"/>
    </row>
    <row r="20" spans="1:26" ht="15.75" customHeight="1" x14ac:dyDescent="0.2">
      <c r="A20" s="115"/>
      <c r="B20" s="115"/>
      <c r="C20" s="205" t="s">
        <v>1855</v>
      </c>
      <c r="D20" s="200"/>
      <c r="E20" s="115"/>
      <c r="F20" s="209">
        <v>7</v>
      </c>
      <c r="G20" s="211" t="str">
        <f>IFERROR(Input_Design!B18,"")</f>
        <v/>
      </c>
      <c r="H20" s="210" t="str">
        <f>IFERROR(Input_Design!D18,"")</f>
        <v/>
      </c>
      <c r="I20" s="346">
        <f>IFERROR(Input_Design!I18,0)</f>
        <v>0</v>
      </c>
      <c r="J20" s="347" t="str">
        <f>IFERROR(Input_Design!C18,"")</f>
        <v/>
      </c>
      <c r="K20" s="348">
        <f>IFERROR(Input_Design!J18,0)</f>
        <v>0</v>
      </c>
      <c r="L20" s="349">
        <f t="shared" si="1"/>
        <v>0</v>
      </c>
      <c r="M20" s="115"/>
      <c r="N20" s="115"/>
      <c r="O20" s="115"/>
      <c r="P20" s="115"/>
      <c r="Q20" s="115"/>
      <c r="R20" s="115"/>
      <c r="S20" s="115"/>
      <c r="T20" s="115"/>
      <c r="U20" s="115"/>
      <c r="V20" s="115"/>
      <c r="W20" s="115"/>
      <c r="X20" s="115"/>
      <c r="Y20" s="115"/>
      <c r="Z20" s="115"/>
    </row>
    <row r="21" spans="1:26" ht="15.75" customHeight="1" x14ac:dyDescent="0.2">
      <c r="A21" s="115"/>
      <c r="B21" s="115"/>
      <c r="C21" s="206" t="s">
        <v>1857</v>
      </c>
      <c r="D21" s="200"/>
      <c r="E21" s="115"/>
      <c r="F21" s="268"/>
      <c r="G21" s="268"/>
      <c r="H21" s="268"/>
      <c r="I21" s="479" t="s">
        <v>2134</v>
      </c>
      <c r="J21" s="480"/>
      <c r="K21" s="481"/>
      <c r="L21" s="350">
        <f>SUM(L4:L20)</f>
        <v>0</v>
      </c>
      <c r="M21" s="115"/>
      <c r="N21" s="115"/>
      <c r="O21" s="115"/>
      <c r="P21" s="115"/>
      <c r="Q21" s="115"/>
      <c r="R21" s="115"/>
      <c r="S21" s="115"/>
      <c r="T21" s="115"/>
      <c r="U21" s="115"/>
      <c r="V21" s="115"/>
      <c r="W21" s="115"/>
      <c r="X21" s="115"/>
      <c r="Y21" s="115"/>
      <c r="Z21" s="115"/>
    </row>
    <row r="22" spans="1:26" ht="16.5" customHeight="1" x14ac:dyDescent="0.2">
      <c r="A22" s="115"/>
      <c r="B22" s="115"/>
      <c r="C22" s="115"/>
      <c r="D22" s="115"/>
      <c r="E22" s="115"/>
      <c r="F22" s="268"/>
      <c r="G22" s="268"/>
      <c r="H22" s="268"/>
      <c r="I22" s="268"/>
      <c r="J22" s="268"/>
      <c r="K22" s="268"/>
      <c r="L22" s="268"/>
      <c r="M22" s="115"/>
      <c r="N22" s="115"/>
      <c r="O22" s="115"/>
      <c r="P22" s="115"/>
      <c r="Q22" s="115"/>
      <c r="R22" s="115"/>
      <c r="S22" s="115"/>
      <c r="T22" s="115"/>
      <c r="U22" s="115"/>
      <c r="V22" s="115"/>
      <c r="W22" s="115"/>
      <c r="X22" s="115"/>
      <c r="Y22" s="115"/>
      <c r="Z22" s="115"/>
    </row>
    <row r="23" spans="1:26" ht="15.75" customHeight="1" x14ac:dyDescent="0.2">
      <c r="A23" s="115"/>
      <c r="B23" s="115"/>
      <c r="C23" s="268"/>
      <c r="D23" s="269"/>
      <c r="E23" s="269"/>
      <c r="F23" s="268"/>
      <c r="G23" s="268"/>
      <c r="H23" s="268"/>
      <c r="I23" s="268"/>
      <c r="J23" s="268"/>
      <c r="K23" s="268"/>
      <c r="L23" s="268"/>
      <c r="M23" s="269"/>
      <c r="N23" s="269"/>
      <c r="O23" s="269"/>
      <c r="P23" s="115"/>
      <c r="Q23" s="115"/>
      <c r="R23" s="115"/>
      <c r="S23" s="115"/>
      <c r="T23" s="115"/>
      <c r="U23" s="115"/>
      <c r="V23" s="115"/>
      <c r="W23" s="115"/>
      <c r="X23" s="115"/>
      <c r="Y23" s="115"/>
      <c r="Z23" s="115"/>
    </row>
    <row r="24" spans="1:26" ht="13.5" customHeight="1" x14ac:dyDescent="0.2">
      <c r="A24" s="115"/>
      <c r="B24" s="115"/>
      <c r="C24" s="268"/>
      <c r="D24" s="269"/>
      <c r="E24" s="269"/>
      <c r="F24" s="268"/>
      <c r="G24" s="268"/>
      <c r="H24" s="268"/>
      <c r="I24" s="268"/>
      <c r="J24" s="268"/>
      <c r="K24" s="268"/>
      <c r="L24" s="268"/>
      <c r="M24" s="269"/>
      <c r="N24" s="269"/>
      <c r="O24" s="269"/>
      <c r="P24" s="115"/>
      <c r="Q24" s="115"/>
      <c r="R24" s="115"/>
      <c r="S24" s="115"/>
      <c r="T24" s="115"/>
      <c r="U24" s="115"/>
      <c r="V24" s="115"/>
      <c r="W24" s="115"/>
      <c r="X24" s="115"/>
      <c r="Y24" s="115"/>
      <c r="Z24" s="115"/>
    </row>
    <row r="25" spans="1:26" ht="21" hidden="1" customHeight="1" x14ac:dyDescent="0.2">
      <c r="A25" s="115"/>
      <c r="B25" s="115"/>
      <c r="C25" s="115"/>
      <c r="D25" s="115"/>
      <c r="E25" s="115"/>
      <c r="F25" s="367">
        <v>10</v>
      </c>
      <c r="G25" s="368" t="str">
        <f>IF(K25&gt;0,4000611,"")</f>
        <v/>
      </c>
      <c r="H25" s="369" t="str">
        <f>IF(K25&gt;0,"42U Floor standing cabinet 800 x 800mm with accessories 1x6way pdu &amp; 2pcs vertical cable manager.2pcs shleves","")</f>
        <v/>
      </c>
      <c r="I25" s="370">
        <f>IF(K25&gt;0,530,0)</f>
        <v>0</v>
      </c>
      <c r="J25" s="368" t="str">
        <f>IF(K25&gt;0,"PC","")</f>
        <v/>
      </c>
      <c r="K25" s="371">
        <f>D8</f>
        <v>0</v>
      </c>
      <c r="L25" s="372">
        <f>I25*K25</f>
        <v>0</v>
      </c>
      <c r="M25" s="115"/>
      <c r="N25" s="115"/>
      <c r="O25" s="115"/>
      <c r="P25" s="115"/>
      <c r="Q25" s="115"/>
      <c r="R25" s="115"/>
      <c r="S25" s="115"/>
      <c r="T25" s="115"/>
      <c r="U25" s="115"/>
      <c r="V25" s="115"/>
      <c r="W25" s="115"/>
      <c r="X25" s="115"/>
      <c r="Y25" s="115"/>
      <c r="Z25" s="115"/>
    </row>
    <row r="26" spans="1:26" ht="21" hidden="1" customHeight="1" x14ac:dyDescent="0.2">
      <c r="A26" s="115"/>
      <c r="B26" s="115"/>
      <c r="C26" s="115"/>
      <c r="D26" s="115"/>
      <c r="E26" s="115"/>
      <c r="F26" s="268"/>
      <c r="G26" s="268"/>
      <c r="H26" s="268"/>
      <c r="I26" s="482" t="s">
        <v>2134</v>
      </c>
      <c r="J26" s="482"/>
      <c r="K26" s="482"/>
      <c r="L26" s="120">
        <f>SUM(L4:L12)+L25</f>
        <v>0</v>
      </c>
      <c r="M26" s="115"/>
      <c r="N26" s="115"/>
      <c r="O26" s="115"/>
      <c r="P26" s="115"/>
      <c r="Q26" s="115"/>
      <c r="R26" s="115"/>
      <c r="S26" s="115"/>
      <c r="T26" s="115"/>
      <c r="U26" s="115"/>
      <c r="V26" s="115"/>
      <c r="W26" s="115"/>
      <c r="X26" s="115"/>
      <c r="Y26" s="115"/>
      <c r="Z26" s="115"/>
    </row>
    <row r="27" spans="1:26" ht="21" hidden="1" customHeight="1" x14ac:dyDescent="0.2">
      <c r="A27" s="115"/>
      <c r="B27" s="115"/>
      <c r="C27" s="115"/>
      <c r="D27" s="115"/>
      <c r="E27" s="115"/>
      <c r="F27" s="268"/>
      <c r="G27" s="268"/>
      <c r="H27" s="268"/>
      <c r="I27" s="268"/>
      <c r="J27" s="268"/>
      <c r="K27" s="268"/>
      <c r="L27" s="268"/>
      <c r="M27" s="115"/>
      <c r="N27" s="115"/>
      <c r="O27" s="115"/>
      <c r="P27" s="115"/>
      <c r="Q27" s="115"/>
      <c r="R27" s="115"/>
      <c r="S27" s="115"/>
      <c r="T27" s="115"/>
      <c r="U27" s="115"/>
      <c r="V27" s="115"/>
      <c r="W27" s="115"/>
      <c r="X27" s="115"/>
      <c r="Y27" s="115"/>
      <c r="Z27" s="115"/>
    </row>
    <row r="28" spans="1:26" ht="21" hidden="1" customHeight="1" x14ac:dyDescent="0.2">
      <c r="A28" s="115"/>
      <c r="B28" s="115"/>
      <c r="C28" s="115"/>
      <c r="D28" s="115"/>
      <c r="E28" s="115"/>
      <c r="F28" s="268"/>
      <c r="G28" s="268"/>
      <c r="H28" s="268"/>
      <c r="I28" s="268"/>
      <c r="J28" s="268"/>
      <c r="K28" s="268"/>
      <c r="L28" s="268"/>
      <c r="M28" s="115"/>
      <c r="N28" s="115"/>
      <c r="O28" s="115"/>
      <c r="P28" s="115"/>
      <c r="Q28" s="115"/>
      <c r="R28" s="115"/>
      <c r="S28" s="115"/>
      <c r="T28" s="115"/>
      <c r="U28" s="115"/>
      <c r="V28" s="115"/>
      <c r="W28" s="115"/>
      <c r="X28" s="115"/>
      <c r="Y28" s="115"/>
      <c r="Z28" s="115"/>
    </row>
    <row r="29" spans="1:26" ht="21" customHeight="1" x14ac:dyDescent="0.2">
      <c r="A29" s="115"/>
      <c r="B29" s="115"/>
      <c r="C29" s="115"/>
      <c r="D29" s="115"/>
      <c r="E29" s="115"/>
      <c r="F29" s="268"/>
      <c r="G29" s="268"/>
      <c r="H29" s="268"/>
      <c r="I29" s="486" t="s">
        <v>2773</v>
      </c>
      <c r="J29" s="487"/>
      <c r="K29" s="487"/>
      <c r="L29" s="488"/>
      <c r="M29" s="115"/>
      <c r="N29" s="115"/>
      <c r="O29" s="115"/>
      <c r="P29" s="115"/>
      <c r="Q29" s="115"/>
      <c r="R29" s="115"/>
      <c r="S29" s="115"/>
      <c r="T29" s="115"/>
      <c r="U29" s="115"/>
      <c r="V29" s="115"/>
      <c r="W29" s="115"/>
      <c r="X29" s="115"/>
      <c r="Y29" s="115"/>
      <c r="Z29" s="115"/>
    </row>
    <row r="30" spans="1:26" ht="19.5" customHeight="1" x14ac:dyDescent="0.2">
      <c r="A30" s="115"/>
      <c r="B30" s="115"/>
      <c r="C30" s="115"/>
      <c r="D30" s="115"/>
      <c r="E30" s="115"/>
      <c r="F30" s="268"/>
      <c r="G30" s="268"/>
      <c r="H30" s="268"/>
      <c r="I30" s="489" t="s">
        <v>2770</v>
      </c>
      <c r="J30" s="490"/>
      <c r="K30" s="491"/>
      <c r="L30" s="432">
        <f>Input_Design!N47</f>
        <v>0</v>
      </c>
      <c r="M30" s="115"/>
      <c r="N30" s="115"/>
      <c r="O30" s="115"/>
      <c r="P30" s="115"/>
      <c r="Q30" s="115"/>
      <c r="R30" s="115"/>
      <c r="S30" s="115"/>
      <c r="T30" s="115"/>
      <c r="U30" s="115"/>
      <c r="V30" s="115"/>
      <c r="W30" s="115"/>
      <c r="X30" s="115"/>
      <c r="Y30" s="115"/>
      <c r="Z30" s="115"/>
    </row>
    <row r="31" spans="1:26" ht="19.5" customHeight="1" x14ac:dyDescent="0.2">
      <c r="A31" s="115"/>
      <c r="B31" s="115"/>
      <c r="C31" s="115"/>
      <c r="D31" s="115"/>
      <c r="E31" s="115"/>
      <c r="F31" s="268"/>
      <c r="G31" s="268"/>
      <c r="H31" s="268"/>
      <c r="I31" s="492" t="s">
        <v>2772</v>
      </c>
      <c r="J31" s="493"/>
      <c r="K31" s="494"/>
      <c r="L31" s="433">
        <f>Input_Design!O47</f>
        <v>0</v>
      </c>
      <c r="M31" s="115"/>
      <c r="N31" s="115"/>
      <c r="O31" s="115"/>
      <c r="P31" s="115"/>
      <c r="Q31" s="115"/>
      <c r="R31" s="115"/>
      <c r="S31" s="115"/>
      <c r="T31" s="115"/>
      <c r="U31" s="115"/>
      <c r="V31" s="115"/>
      <c r="W31" s="115"/>
      <c r="X31" s="115"/>
      <c r="Y31" s="115"/>
      <c r="Z31" s="115"/>
    </row>
    <row r="32" spans="1:26" ht="19.5" customHeight="1" x14ac:dyDescent="0.2">
      <c r="A32" s="115"/>
      <c r="B32" s="115"/>
      <c r="C32" s="115"/>
      <c r="D32" s="115"/>
      <c r="E32" s="115"/>
      <c r="F32" s="268"/>
      <c r="G32" s="268"/>
      <c r="H32" s="268"/>
      <c r="I32" s="268"/>
      <c r="J32" s="268"/>
      <c r="K32" s="268"/>
      <c r="L32" s="268"/>
      <c r="M32" s="115"/>
      <c r="N32" s="115"/>
      <c r="O32" s="115"/>
      <c r="P32" s="115"/>
      <c r="Q32" s="115"/>
      <c r="R32" s="115"/>
      <c r="S32" s="115"/>
      <c r="T32" s="115"/>
      <c r="U32" s="115"/>
      <c r="V32" s="115"/>
      <c r="W32" s="115"/>
      <c r="X32" s="115"/>
      <c r="Y32" s="115"/>
      <c r="Z32" s="115"/>
    </row>
    <row r="33" spans="1:26" ht="19.5" customHeight="1" x14ac:dyDescent="0.2">
      <c r="A33" s="115"/>
      <c r="B33" s="115"/>
      <c r="C33" s="115"/>
      <c r="D33" s="115"/>
      <c r="E33" s="115"/>
      <c r="F33" s="268"/>
      <c r="G33" s="268"/>
      <c r="H33" s="268"/>
      <c r="I33" s="268"/>
      <c r="J33" s="268"/>
      <c r="K33" s="268"/>
      <c r="L33" s="268"/>
      <c r="M33" s="115"/>
      <c r="N33" s="115"/>
      <c r="O33" s="115"/>
      <c r="P33" s="115"/>
      <c r="Q33" s="115"/>
      <c r="R33" s="115"/>
      <c r="S33" s="115"/>
      <c r="T33" s="115"/>
      <c r="U33" s="115"/>
      <c r="V33" s="115"/>
      <c r="W33" s="115"/>
      <c r="X33" s="115"/>
      <c r="Y33" s="115"/>
      <c r="Z33" s="115"/>
    </row>
    <row r="34" spans="1:26" ht="19.5" customHeight="1" x14ac:dyDescent="0.2">
      <c r="A34" s="115"/>
      <c r="B34" s="115"/>
      <c r="C34" s="115"/>
      <c r="D34" s="115"/>
      <c r="E34" s="115"/>
      <c r="F34" s="268"/>
      <c r="G34" s="268"/>
      <c r="H34" s="268"/>
      <c r="I34" s="268"/>
      <c r="J34" s="268"/>
      <c r="K34" s="268"/>
      <c r="L34" s="268"/>
      <c r="M34" s="115"/>
      <c r="N34" s="115"/>
      <c r="O34" s="115"/>
      <c r="P34" s="115"/>
      <c r="Q34" s="115"/>
      <c r="R34" s="115"/>
      <c r="S34" s="115"/>
      <c r="T34" s="115"/>
      <c r="U34" s="115"/>
      <c r="V34" s="115"/>
      <c r="W34" s="115"/>
      <c r="X34" s="115"/>
      <c r="Y34" s="115"/>
      <c r="Z34" s="115"/>
    </row>
    <row r="35" spans="1:26" ht="19.5" customHeight="1" x14ac:dyDescent="0.2">
      <c r="A35" s="115"/>
      <c r="B35" s="115"/>
      <c r="C35" s="115"/>
      <c r="D35" s="115"/>
      <c r="E35" s="115"/>
      <c r="F35" s="268"/>
      <c r="G35" s="268"/>
      <c r="H35" s="268"/>
      <c r="I35" s="268"/>
      <c r="J35" s="268"/>
      <c r="K35" s="268"/>
      <c r="L35" s="268"/>
      <c r="M35" s="115"/>
      <c r="N35" s="115"/>
      <c r="O35" s="115"/>
      <c r="P35" s="115"/>
      <c r="Q35" s="115"/>
      <c r="R35" s="115"/>
      <c r="S35" s="115"/>
      <c r="T35" s="115"/>
      <c r="U35" s="115"/>
      <c r="V35" s="115"/>
      <c r="W35" s="115"/>
      <c r="X35" s="115"/>
      <c r="Y35" s="115"/>
      <c r="Z35" s="115"/>
    </row>
    <row r="36" spans="1:26" ht="19.5" customHeight="1" x14ac:dyDescent="0.2">
      <c r="A36" s="115"/>
      <c r="B36" s="115"/>
      <c r="C36" s="115"/>
      <c r="D36" s="115"/>
      <c r="E36" s="115"/>
      <c r="F36" s="268"/>
      <c r="G36" s="268"/>
      <c r="H36" s="268"/>
      <c r="I36" s="268"/>
      <c r="J36" s="268"/>
      <c r="K36" s="268"/>
      <c r="L36" s="268"/>
      <c r="M36" s="115"/>
      <c r="N36" s="115"/>
      <c r="O36" s="115"/>
      <c r="P36" s="115"/>
      <c r="Q36" s="115"/>
      <c r="R36" s="115"/>
      <c r="S36" s="115"/>
      <c r="T36" s="115"/>
      <c r="U36" s="115"/>
      <c r="V36" s="115"/>
      <c r="W36" s="115"/>
      <c r="X36" s="115"/>
      <c r="Y36" s="115"/>
      <c r="Z36" s="115"/>
    </row>
    <row r="37" spans="1:26" ht="19.5" customHeight="1" x14ac:dyDescent="0.2">
      <c r="A37" s="115"/>
      <c r="B37" s="115"/>
      <c r="C37" s="115"/>
      <c r="D37" s="115"/>
      <c r="E37" s="115"/>
      <c r="F37" s="268"/>
      <c r="G37" s="268"/>
      <c r="H37" s="268"/>
      <c r="I37" s="268"/>
      <c r="J37" s="268"/>
      <c r="K37" s="268"/>
      <c r="L37" s="268"/>
      <c r="M37" s="115"/>
      <c r="N37" s="115"/>
      <c r="O37" s="115"/>
      <c r="P37" s="115"/>
      <c r="Q37" s="115"/>
      <c r="R37" s="115"/>
      <c r="S37" s="115"/>
      <c r="T37" s="115"/>
      <c r="U37" s="115"/>
      <c r="V37" s="115"/>
      <c r="W37" s="115"/>
      <c r="X37" s="115"/>
      <c r="Y37" s="115"/>
      <c r="Z37" s="115"/>
    </row>
    <row r="38" spans="1:26" ht="19.5" customHeight="1" x14ac:dyDescent="0.2">
      <c r="A38" s="115"/>
      <c r="B38" s="115"/>
      <c r="C38" s="115"/>
      <c r="D38" s="115"/>
      <c r="E38" s="115"/>
      <c r="F38" s="268"/>
      <c r="G38" s="268"/>
      <c r="H38" s="268"/>
      <c r="I38" s="268"/>
      <c r="J38" s="268"/>
      <c r="K38" s="268"/>
      <c r="L38" s="268"/>
      <c r="M38" s="115"/>
      <c r="N38" s="115"/>
      <c r="O38" s="115"/>
      <c r="P38" s="115"/>
      <c r="Q38" s="115"/>
      <c r="R38" s="115"/>
      <c r="S38" s="115"/>
      <c r="T38" s="115"/>
      <c r="U38" s="115"/>
      <c r="V38" s="115"/>
      <c r="W38" s="115"/>
      <c r="X38" s="115"/>
      <c r="Y38" s="115"/>
      <c r="Z38" s="115"/>
    </row>
    <row r="39" spans="1:26" ht="19.5" customHeight="1" x14ac:dyDescent="0.2">
      <c r="A39" s="115"/>
      <c r="B39" s="115"/>
      <c r="C39" s="115"/>
      <c r="D39" s="115"/>
      <c r="E39" s="115"/>
      <c r="F39" s="268"/>
      <c r="G39" s="268"/>
      <c r="H39" s="268"/>
      <c r="I39" s="268"/>
      <c r="J39" s="268"/>
      <c r="K39" s="268"/>
      <c r="L39" s="268"/>
      <c r="M39" s="115"/>
      <c r="N39" s="115"/>
      <c r="O39" s="115"/>
      <c r="P39" s="115"/>
      <c r="Q39" s="115"/>
      <c r="R39" s="115"/>
      <c r="S39" s="115"/>
      <c r="T39" s="115"/>
      <c r="U39" s="115"/>
      <c r="V39" s="115"/>
      <c r="W39" s="115"/>
      <c r="X39" s="115"/>
      <c r="Y39" s="115"/>
      <c r="Z39" s="115"/>
    </row>
    <row r="40" spans="1:26" ht="19.5" customHeight="1" x14ac:dyDescent="0.2">
      <c r="A40" s="115"/>
      <c r="B40" s="115"/>
      <c r="C40" s="115"/>
      <c r="D40" s="115"/>
      <c r="E40" s="115"/>
      <c r="F40" s="268"/>
      <c r="G40" s="268"/>
      <c r="H40" s="268"/>
      <c r="I40" s="268"/>
      <c r="J40" s="268"/>
      <c r="K40" s="268"/>
      <c r="L40" s="268"/>
      <c r="M40" s="115"/>
      <c r="N40" s="115"/>
      <c r="O40" s="115"/>
      <c r="P40" s="115"/>
      <c r="Q40" s="115"/>
      <c r="R40" s="115"/>
      <c r="S40" s="115"/>
      <c r="T40" s="115"/>
      <c r="U40" s="115"/>
      <c r="V40" s="115"/>
      <c r="W40" s="115"/>
      <c r="X40" s="115"/>
      <c r="Y40" s="115"/>
      <c r="Z40" s="115"/>
    </row>
    <row r="41" spans="1:26" ht="19.5" customHeight="1" x14ac:dyDescent="0.2">
      <c r="A41" s="115"/>
      <c r="B41" s="115"/>
      <c r="C41" s="115"/>
      <c r="D41" s="115"/>
      <c r="E41" s="115"/>
      <c r="F41" s="268"/>
      <c r="G41" s="268"/>
      <c r="H41" s="268"/>
      <c r="I41" s="268"/>
      <c r="J41" s="268"/>
      <c r="K41" s="268"/>
      <c r="L41" s="268"/>
      <c r="M41" s="115"/>
      <c r="N41" s="115"/>
      <c r="O41" s="115"/>
      <c r="P41" s="115"/>
      <c r="Q41" s="115"/>
      <c r="R41" s="115"/>
      <c r="S41" s="115"/>
      <c r="T41" s="115"/>
      <c r="U41" s="115"/>
      <c r="V41" s="115"/>
      <c r="W41" s="115"/>
      <c r="X41" s="115"/>
      <c r="Y41" s="115"/>
      <c r="Z41" s="115"/>
    </row>
    <row r="42" spans="1:26" ht="19.5" customHeight="1" x14ac:dyDescent="0.2">
      <c r="A42" s="115"/>
      <c r="B42" s="115"/>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row>
    <row r="43" spans="1:26" ht="19.5" customHeight="1" x14ac:dyDescent="0.2">
      <c r="A43" s="115"/>
      <c r="B43" s="115"/>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row>
    <row r="44" spans="1:26" ht="19.5" customHeight="1" x14ac:dyDescent="0.2">
      <c r="A44" s="115"/>
      <c r="B44" s="115"/>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row>
    <row r="45" spans="1:26" ht="19.5" customHeight="1" x14ac:dyDescent="0.2">
      <c r="A45" s="115"/>
      <c r="B45" s="115"/>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row>
    <row r="46" spans="1:26" ht="19.5" customHeight="1" x14ac:dyDescent="0.2">
      <c r="A46" s="115"/>
      <c r="B46" s="115"/>
      <c r="C46" s="115"/>
      <c r="D46" s="115"/>
      <c r="E46" s="115"/>
      <c r="F46" s="115"/>
      <c r="G46" s="115"/>
      <c r="H46" s="115"/>
      <c r="I46" s="115"/>
      <c r="J46" s="115"/>
      <c r="K46" s="115"/>
      <c r="L46" s="115"/>
      <c r="M46" s="115"/>
      <c r="N46" s="115"/>
      <c r="O46" s="115"/>
      <c r="P46" s="115"/>
      <c r="Q46" s="115"/>
      <c r="R46" s="115"/>
      <c r="S46" s="115"/>
      <c r="T46" s="115"/>
      <c r="U46" s="115"/>
      <c r="V46" s="115"/>
      <c r="W46" s="115"/>
      <c r="X46" s="115"/>
      <c r="Y46" s="115"/>
      <c r="Z46" s="115"/>
    </row>
    <row r="47" spans="1:26" ht="19.5" customHeight="1" x14ac:dyDescent="0.2">
      <c r="A47" s="115"/>
      <c r="B47" s="115"/>
      <c r="C47" s="115"/>
      <c r="D47" s="115"/>
      <c r="E47" s="115"/>
      <c r="F47" s="115"/>
      <c r="G47" s="115"/>
      <c r="H47" s="115"/>
      <c r="I47" s="115"/>
      <c r="J47" s="115"/>
      <c r="K47" s="115"/>
      <c r="L47" s="115"/>
      <c r="M47" s="115"/>
      <c r="N47" s="115"/>
      <c r="O47" s="115"/>
      <c r="P47" s="115"/>
      <c r="Q47" s="115"/>
      <c r="R47" s="115"/>
      <c r="S47" s="115"/>
      <c r="T47" s="115"/>
      <c r="U47" s="115"/>
      <c r="V47" s="115"/>
      <c r="W47" s="115"/>
      <c r="X47" s="115"/>
      <c r="Y47" s="115"/>
      <c r="Z47" s="115"/>
    </row>
    <row r="48" spans="1:26" ht="19.5" customHeight="1" x14ac:dyDescent="0.2">
      <c r="A48" s="115"/>
      <c r="B48" s="115"/>
      <c r="C48" s="115"/>
      <c r="D48" s="115"/>
      <c r="E48" s="115"/>
      <c r="F48" s="115"/>
      <c r="G48" s="115"/>
      <c r="H48" s="115"/>
      <c r="I48" s="115"/>
      <c r="J48" s="115"/>
      <c r="K48" s="115"/>
      <c r="L48" s="115"/>
      <c r="M48" s="115"/>
      <c r="N48" s="115"/>
      <c r="O48" s="115"/>
      <c r="P48" s="115"/>
      <c r="Q48" s="115"/>
      <c r="R48" s="115"/>
      <c r="S48" s="115"/>
      <c r="T48" s="115"/>
      <c r="U48" s="115"/>
      <c r="V48" s="115"/>
      <c r="W48" s="115"/>
      <c r="X48" s="115"/>
      <c r="Y48" s="115"/>
      <c r="Z48" s="115"/>
    </row>
    <row r="49" spans="1:26" ht="19.5" customHeight="1" x14ac:dyDescent="0.2">
      <c r="A49" s="115"/>
      <c r="B49" s="115"/>
      <c r="C49" s="115"/>
      <c r="D49" s="115"/>
      <c r="E49" s="115"/>
      <c r="F49" s="115"/>
      <c r="G49" s="115"/>
      <c r="H49" s="115"/>
      <c r="I49" s="115"/>
      <c r="J49" s="115"/>
      <c r="K49" s="115"/>
      <c r="L49" s="115"/>
      <c r="M49" s="115"/>
      <c r="N49" s="115"/>
      <c r="O49" s="115"/>
      <c r="P49" s="115"/>
      <c r="Q49" s="115"/>
      <c r="R49" s="115"/>
      <c r="S49" s="115"/>
      <c r="T49" s="115"/>
      <c r="U49" s="115"/>
      <c r="V49" s="115"/>
      <c r="W49" s="115"/>
      <c r="X49" s="115"/>
      <c r="Y49" s="115"/>
      <c r="Z49" s="115"/>
    </row>
    <row r="50" spans="1:26" ht="19.5" customHeight="1" x14ac:dyDescent="0.2">
      <c r="A50" s="115"/>
      <c r="B50" s="115"/>
      <c r="C50" s="115"/>
      <c r="D50" s="115"/>
      <c r="E50" s="115"/>
      <c r="F50" s="115"/>
      <c r="G50" s="115"/>
      <c r="H50" s="115"/>
      <c r="I50" s="115"/>
      <c r="J50" s="115"/>
      <c r="K50" s="115"/>
      <c r="L50" s="115"/>
      <c r="M50" s="115"/>
      <c r="N50" s="115"/>
      <c r="O50" s="115"/>
      <c r="P50" s="115"/>
      <c r="Q50" s="115"/>
      <c r="R50" s="115"/>
      <c r="S50" s="115"/>
      <c r="T50" s="115"/>
      <c r="U50" s="115"/>
      <c r="V50" s="115"/>
      <c r="W50" s="115"/>
      <c r="X50" s="115"/>
      <c r="Y50" s="115"/>
      <c r="Z50" s="115"/>
    </row>
    <row r="51" spans="1:26" ht="19.5" customHeight="1" x14ac:dyDescent="0.2">
      <c r="A51" s="115"/>
      <c r="B51" s="115"/>
      <c r="C51" s="115"/>
      <c r="D51" s="115"/>
      <c r="E51" s="115"/>
      <c r="F51" s="115"/>
      <c r="G51" s="115"/>
      <c r="H51" s="115"/>
      <c r="I51" s="115"/>
      <c r="J51" s="115"/>
      <c r="K51" s="115"/>
      <c r="L51" s="115"/>
      <c r="M51" s="115"/>
      <c r="N51" s="115"/>
      <c r="O51" s="115"/>
      <c r="P51" s="115"/>
      <c r="Q51" s="115"/>
      <c r="R51" s="115"/>
      <c r="S51" s="115"/>
      <c r="T51" s="115"/>
      <c r="U51" s="115"/>
      <c r="V51" s="115"/>
      <c r="W51" s="115"/>
      <c r="X51" s="115"/>
      <c r="Y51" s="115"/>
      <c r="Z51" s="115"/>
    </row>
    <row r="52" spans="1:26" ht="19.5" customHeight="1" x14ac:dyDescent="0.2">
      <c r="A52" s="115"/>
      <c r="B52" s="115"/>
      <c r="C52" s="115"/>
      <c r="D52" s="115"/>
      <c r="E52" s="115"/>
      <c r="F52" s="115"/>
      <c r="G52" s="115"/>
      <c r="H52" s="115"/>
      <c r="I52" s="115"/>
      <c r="J52" s="115"/>
      <c r="K52" s="115"/>
      <c r="L52" s="115"/>
      <c r="M52" s="115"/>
      <c r="N52" s="115"/>
      <c r="O52" s="115"/>
      <c r="P52" s="115"/>
      <c r="Q52" s="115"/>
      <c r="R52" s="115"/>
      <c r="S52" s="115"/>
      <c r="T52" s="115"/>
      <c r="U52" s="115"/>
      <c r="V52" s="115"/>
      <c r="W52" s="115"/>
      <c r="X52" s="115"/>
      <c r="Y52" s="115"/>
      <c r="Z52" s="115"/>
    </row>
    <row r="53" spans="1:26" ht="19.5" customHeight="1" x14ac:dyDescent="0.2">
      <c r="A53" s="115"/>
      <c r="B53" s="115"/>
      <c r="C53" s="115"/>
      <c r="D53" s="115"/>
      <c r="E53" s="115"/>
      <c r="F53" s="115"/>
      <c r="G53" s="115"/>
      <c r="H53" s="115"/>
      <c r="I53" s="115"/>
      <c r="J53" s="115"/>
      <c r="K53" s="115"/>
      <c r="L53" s="115"/>
      <c r="M53" s="115"/>
      <c r="N53" s="115"/>
      <c r="O53" s="115"/>
      <c r="P53" s="115"/>
      <c r="Q53" s="115"/>
      <c r="R53" s="115"/>
      <c r="S53" s="115"/>
      <c r="T53" s="115"/>
      <c r="U53" s="115"/>
      <c r="V53" s="115"/>
      <c r="W53" s="115"/>
      <c r="X53" s="115"/>
      <c r="Y53" s="115"/>
      <c r="Z53" s="115"/>
    </row>
    <row r="54" spans="1:26" ht="19.5" customHeight="1" x14ac:dyDescent="0.2">
      <c r="A54" s="115"/>
      <c r="B54" s="115"/>
      <c r="C54" s="115"/>
      <c r="D54" s="115"/>
      <c r="E54" s="115"/>
      <c r="F54" s="115"/>
      <c r="G54" s="115"/>
      <c r="H54" s="115"/>
      <c r="I54" s="115"/>
      <c r="J54" s="115"/>
      <c r="K54" s="115"/>
      <c r="L54" s="115"/>
      <c r="M54" s="115"/>
      <c r="N54" s="115"/>
      <c r="O54" s="115"/>
      <c r="P54" s="115"/>
      <c r="Q54" s="115"/>
      <c r="R54" s="115"/>
      <c r="S54" s="115"/>
      <c r="T54" s="115"/>
      <c r="U54" s="115"/>
      <c r="V54" s="115"/>
      <c r="W54" s="115"/>
      <c r="X54" s="115"/>
      <c r="Y54" s="115"/>
      <c r="Z54" s="115"/>
    </row>
    <row r="55" spans="1:26" ht="19.5" customHeight="1" x14ac:dyDescent="0.2">
      <c r="A55" s="115"/>
      <c r="B55" s="115"/>
      <c r="C55" s="115"/>
      <c r="D55" s="115"/>
      <c r="E55" s="115"/>
      <c r="F55" s="115"/>
      <c r="G55" s="115"/>
      <c r="H55" s="115"/>
      <c r="I55" s="115"/>
      <c r="J55" s="115"/>
      <c r="K55" s="115"/>
      <c r="L55" s="115"/>
      <c r="M55" s="115"/>
      <c r="N55" s="115"/>
      <c r="O55" s="115"/>
      <c r="P55" s="115"/>
      <c r="Q55" s="115"/>
      <c r="R55" s="115"/>
      <c r="S55" s="115"/>
      <c r="T55" s="115"/>
      <c r="U55" s="115"/>
      <c r="V55" s="115"/>
      <c r="W55" s="115"/>
      <c r="X55" s="115"/>
      <c r="Y55" s="115"/>
      <c r="Z55" s="115"/>
    </row>
    <row r="56" spans="1:26" ht="19.5" customHeight="1" x14ac:dyDescent="0.2">
      <c r="A56" s="115"/>
      <c r="B56" s="115"/>
      <c r="C56" s="115"/>
      <c r="D56" s="115"/>
      <c r="E56" s="115"/>
      <c r="F56" s="115"/>
      <c r="G56" s="115"/>
      <c r="H56" s="115"/>
      <c r="I56" s="115"/>
      <c r="J56" s="115"/>
      <c r="K56" s="115"/>
      <c r="L56" s="115"/>
      <c r="M56" s="115"/>
      <c r="N56" s="115"/>
      <c r="O56" s="115"/>
      <c r="P56" s="115"/>
      <c r="Q56" s="115"/>
      <c r="R56" s="115"/>
      <c r="S56" s="115"/>
      <c r="T56" s="115"/>
      <c r="U56" s="115"/>
      <c r="V56" s="115"/>
      <c r="W56" s="115"/>
      <c r="X56" s="115"/>
      <c r="Y56" s="115"/>
      <c r="Z56" s="115"/>
    </row>
    <row r="57" spans="1:26" ht="19.5" customHeight="1" x14ac:dyDescent="0.2">
      <c r="A57" s="115"/>
      <c r="B57" s="115"/>
      <c r="C57" s="115"/>
      <c r="D57" s="115"/>
      <c r="E57" s="115"/>
      <c r="F57" s="115"/>
      <c r="G57" s="115"/>
      <c r="H57" s="115"/>
      <c r="I57" s="115"/>
      <c r="J57" s="115"/>
      <c r="K57" s="115"/>
      <c r="L57" s="115"/>
      <c r="M57" s="115"/>
      <c r="N57" s="115"/>
      <c r="O57" s="115"/>
      <c r="P57" s="115"/>
      <c r="Q57" s="115"/>
      <c r="R57" s="115"/>
      <c r="S57" s="115"/>
      <c r="T57" s="115"/>
      <c r="U57" s="115"/>
      <c r="V57" s="115"/>
      <c r="W57" s="115"/>
      <c r="X57" s="115"/>
      <c r="Y57" s="115"/>
      <c r="Z57" s="115"/>
    </row>
    <row r="58" spans="1:26" ht="19.5" customHeight="1" x14ac:dyDescent="0.2">
      <c r="A58" s="115"/>
      <c r="B58" s="115"/>
      <c r="C58" s="115"/>
      <c r="D58" s="115"/>
      <c r="E58" s="115"/>
      <c r="F58" s="115"/>
      <c r="G58" s="115"/>
      <c r="H58" s="115"/>
      <c r="I58" s="115"/>
      <c r="J58" s="115"/>
      <c r="K58" s="115"/>
      <c r="L58" s="115"/>
      <c r="M58" s="115"/>
      <c r="N58" s="115"/>
      <c r="O58" s="115"/>
      <c r="P58" s="115"/>
      <c r="Q58" s="115"/>
      <c r="R58" s="115"/>
      <c r="S58" s="115"/>
      <c r="T58" s="115"/>
      <c r="U58" s="115"/>
      <c r="V58" s="115"/>
      <c r="W58" s="115"/>
      <c r="X58" s="115"/>
      <c r="Y58" s="115"/>
      <c r="Z58" s="115"/>
    </row>
    <row r="59" spans="1:26" ht="19.5" customHeight="1" x14ac:dyDescent="0.2">
      <c r="A59" s="115"/>
      <c r="B59" s="115"/>
      <c r="C59" s="115"/>
      <c r="D59" s="115"/>
      <c r="E59" s="115"/>
      <c r="F59" s="115"/>
      <c r="G59" s="115"/>
      <c r="H59" s="115"/>
      <c r="I59" s="115"/>
      <c r="J59" s="115"/>
      <c r="K59" s="115"/>
      <c r="L59" s="115"/>
      <c r="M59" s="115"/>
      <c r="N59" s="115"/>
      <c r="O59" s="115"/>
      <c r="P59" s="115"/>
      <c r="Q59" s="115"/>
      <c r="R59" s="115"/>
      <c r="S59" s="115"/>
      <c r="T59" s="115"/>
      <c r="U59" s="115"/>
      <c r="V59" s="115"/>
      <c r="W59" s="115"/>
      <c r="X59" s="115"/>
      <c r="Y59" s="115"/>
      <c r="Z59" s="115"/>
    </row>
    <row r="60" spans="1:26" ht="19.5" customHeight="1" x14ac:dyDescent="0.2">
      <c r="A60" s="115"/>
      <c r="B60" s="115"/>
      <c r="C60" s="115"/>
      <c r="D60" s="115"/>
      <c r="E60" s="115"/>
      <c r="F60" s="115"/>
      <c r="G60" s="115"/>
      <c r="H60" s="115"/>
      <c r="I60" s="115"/>
      <c r="J60" s="115"/>
      <c r="K60" s="115"/>
      <c r="L60" s="115"/>
      <c r="M60" s="115"/>
      <c r="N60" s="115"/>
      <c r="O60" s="115"/>
      <c r="P60" s="115"/>
      <c r="Q60" s="115"/>
      <c r="R60" s="115"/>
      <c r="S60" s="115"/>
      <c r="T60" s="115"/>
      <c r="U60" s="115"/>
      <c r="V60" s="115"/>
      <c r="W60" s="115"/>
      <c r="X60" s="115"/>
      <c r="Y60" s="115"/>
      <c r="Z60" s="115"/>
    </row>
    <row r="61" spans="1:26" ht="19.5" customHeight="1" x14ac:dyDescent="0.2">
      <c r="A61" s="115"/>
      <c r="B61" s="115"/>
      <c r="C61" s="115"/>
      <c r="D61" s="115"/>
      <c r="E61" s="115"/>
      <c r="F61" s="115"/>
      <c r="G61" s="115"/>
      <c r="H61" s="115"/>
      <c r="I61" s="115"/>
      <c r="J61" s="115"/>
      <c r="K61" s="115"/>
      <c r="L61" s="115"/>
      <c r="M61" s="115"/>
      <c r="N61" s="115"/>
      <c r="O61" s="115"/>
      <c r="P61" s="115"/>
      <c r="Q61" s="115"/>
      <c r="R61" s="115"/>
      <c r="S61" s="115"/>
      <c r="T61" s="115"/>
      <c r="U61" s="115"/>
      <c r="V61" s="115"/>
      <c r="W61" s="115"/>
      <c r="X61" s="115"/>
      <c r="Y61" s="115"/>
      <c r="Z61" s="115"/>
    </row>
    <row r="62" spans="1:26" ht="19.5" customHeight="1" x14ac:dyDescent="0.2">
      <c r="A62" s="115"/>
      <c r="B62" s="115"/>
      <c r="C62" s="115"/>
      <c r="D62" s="115"/>
      <c r="E62" s="115"/>
      <c r="F62" s="115"/>
      <c r="G62" s="115"/>
      <c r="H62" s="115"/>
      <c r="I62" s="115"/>
      <c r="J62" s="115"/>
      <c r="K62" s="115"/>
      <c r="L62" s="115"/>
      <c r="M62" s="115"/>
      <c r="N62" s="115"/>
      <c r="O62" s="115"/>
      <c r="P62" s="115"/>
      <c r="Q62" s="115"/>
      <c r="R62" s="115"/>
      <c r="S62" s="115"/>
      <c r="T62" s="115"/>
      <c r="U62" s="115"/>
      <c r="V62" s="115"/>
      <c r="W62" s="115"/>
      <c r="X62" s="115"/>
      <c r="Y62" s="115"/>
      <c r="Z62" s="115"/>
    </row>
    <row r="63" spans="1:26" ht="19.5" customHeight="1" x14ac:dyDescent="0.2">
      <c r="A63" s="115"/>
      <c r="B63" s="115"/>
      <c r="C63" s="115"/>
      <c r="D63" s="115"/>
      <c r="E63" s="115"/>
      <c r="F63" s="115"/>
      <c r="G63" s="115"/>
      <c r="H63" s="115"/>
      <c r="I63" s="115"/>
      <c r="J63" s="115"/>
      <c r="K63" s="115"/>
      <c r="L63" s="115"/>
      <c r="M63" s="115"/>
      <c r="N63" s="115"/>
      <c r="O63" s="115"/>
      <c r="P63" s="115"/>
      <c r="Q63" s="115"/>
      <c r="R63" s="115"/>
      <c r="S63" s="115"/>
      <c r="T63" s="115"/>
      <c r="U63" s="115"/>
      <c r="V63" s="115"/>
      <c r="W63" s="115"/>
      <c r="X63" s="115"/>
      <c r="Y63" s="115"/>
      <c r="Z63" s="115"/>
    </row>
    <row r="64" spans="1:26" ht="19.5" customHeight="1" x14ac:dyDescent="0.2">
      <c r="A64" s="115"/>
      <c r="B64" s="115"/>
      <c r="C64" s="115"/>
      <c r="D64" s="115"/>
      <c r="E64" s="115"/>
      <c r="F64" s="115"/>
      <c r="G64" s="115"/>
      <c r="H64" s="115"/>
      <c r="I64" s="115"/>
      <c r="J64" s="115"/>
      <c r="K64" s="115"/>
      <c r="L64" s="115"/>
      <c r="M64" s="115"/>
      <c r="N64" s="115"/>
      <c r="O64" s="115"/>
      <c r="P64" s="115"/>
      <c r="Q64" s="115"/>
      <c r="R64" s="115"/>
      <c r="S64" s="115"/>
      <c r="T64" s="115"/>
      <c r="U64" s="115"/>
      <c r="V64" s="115"/>
      <c r="W64" s="115"/>
      <c r="X64" s="115"/>
      <c r="Y64" s="115"/>
      <c r="Z64" s="115"/>
    </row>
    <row r="65" spans="1:26" ht="19.5" customHeight="1" x14ac:dyDescent="0.2">
      <c r="A65" s="115"/>
      <c r="B65" s="115"/>
      <c r="C65" s="115"/>
      <c r="D65" s="115"/>
      <c r="E65" s="115"/>
      <c r="F65" s="115"/>
      <c r="G65" s="115"/>
      <c r="H65" s="115"/>
      <c r="I65" s="115"/>
      <c r="J65" s="115"/>
      <c r="K65" s="115"/>
      <c r="L65" s="115"/>
      <c r="M65" s="115"/>
      <c r="N65" s="115"/>
      <c r="O65" s="115"/>
      <c r="P65" s="115"/>
      <c r="Q65" s="115"/>
      <c r="R65" s="115"/>
      <c r="S65" s="115"/>
      <c r="T65" s="115"/>
      <c r="U65" s="115"/>
      <c r="V65" s="115"/>
      <c r="W65" s="115"/>
      <c r="X65" s="115"/>
      <c r="Y65" s="115"/>
      <c r="Z65" s="115"/>
    </row>
    <row r="66" spans="1:26" ht="19.5" customHeight="1" x14ac:dyDescent="0.2">
      <c r="A66" s="115"/>
      <c r="B66" s="115"/>
      <c r="C66" s="115"/>
      <c r="D66" s="115"/>
      <c r="E66" s="115"/>
      <c r="F66" s="115"/>
      <c r="G66" s="115"/>
      <c r="H66" s="115"/>
      <c r="I66" s="115"/>
      <c r="J66" s="115"/>
      <c r="K66" s="115"/>
      <c r="L66" s="115"/>
      <c r="M66" s="115"/>
      <c r="N66" s="115"/>
      <c r="O66" s="115"/>
      <c r="P66" s="115"/>
      <c r="Q66" s="115"/>
      <c r="R66" s="115"/>
      <c r="S66" s="115"/>
      <c r="T66" s="115"/>
      <c r="U66" s="115"/>
      <c r="V66" s="115"/>
      <c r="W66" s="115"/>
      <c r="X66" s="115"/>
      <c r="Y66" s="115"/>
      <c r="Z66" s="115"/>
    </row>
    <row r="67" spans="1:26" ht="19.5" customHeight="1" x14ac:dyDescent="0.2">
      <c r="A67" s="115"/>
      <c r="B67" s="115"/>
      <c r="C67" s="115"/>
      <c r="D67" s="115"/>
      <c r="E67" s="115"/>
      <c r="F67" s="115"/>
      <c r="G67" s="115"/>
      <c r="H67" s="115"/>
      <c r="I67" s="115"/>
      <c r="J67" s="115"/>
      <c r="K67" s="115"/>
      <c r="L67" s="115"/>
      <c r="M67" s="115"/>
      <c r="N67" s="115"/>
      <c r="O67" s="115"/>
      <c r="P67" s="115"/>
      <c r="Q67" s="115"/>
      <c r="R67" s="115"/>
      <c r="S67" s="115"/>
      <c r="T67" s="115"/>
      <c r="U67" s="115"/>
      <c r="V67" s="115"/>
      <c r="W67" s="115"/>
      <c r="X67" s="115"/>
      <c r="Y67" s="115"/>
      <c r="Z67" s="115"/>
    </row>
    <row r="68" spans="1:26" ht="19.5" customHeight="1" x14ac:dyDescent="0.2">
      <c r="A68" s="115"/>
      <c r="B68" s="115"/>
      <c r="C68" s="115"/>
      <c r="D68" s="115"/>
      <c r="E68" s="115"/>
      <c r="F68" s="115"/>
      <c r="G68" s="115"/>
      <c r="H68" s="115"/>
      <c r="I68" s="115"/>
      <c r="J68" s="115"/>
      <c r="K68" s="115"/>
      <c r="L68" s="115"/>
      <c r="M68" s="115"/>
      <c r="N68" s="115"/>
      <c r="O68" s="115"/>
      <c r="P68" s="115"/>
      <c r="Q68" s="115"/>
      <c r="R68" s="115"/>
      <c r="S68" s="115"/>
      <c r="T68" s="115"/>
      <c r="U68" s="115"/>
      <c r="V68" s="115"/>
      <c r="W68" s="115"/>
      <c r="X68" s="115"/>
      <c r="Y68" s="115"/>
      <c r="Z68" s="115"/>
    </row>
    <row r="69" spans="1:26" ht="19.5" customHeight="1" x14ac:dyDescent="0.2">
      <c r="A69" s="115"/>
      <c r="B69" s="115"/>
      <c r="C69" s="115"/>
      <c r="D69" s="115"/>
      <c r="E69" s="115"/>
      <c r="F69" s="115"/>
      <c r="G69" s="115"/>
      <c r="H69" s="115"/>
      <c r="I69" s="115"/>
      <c r="J69" s="115"/>
      <c r="K69" s="115"/>
      <c r="L69" s="115"/>
      <c r="M69" s="115"/>
      <c r="N69" s="115"/>
      <c r="O69" s="115"/>
      <c r="P69" s="115"/>
      <c r="Q69" s="115"/>
      <c r="R69" s="115"/>
      <c r="S69" s="115"/>
      <c r="T69" s="115"/>
      <c r="U69" s="115"/>
      <c r="V69" s="115"/>
      <c r="W69" s="115"/>
      <c r="X69" s="115"/>
      <c r="Y69" s="115"/>
      <c r="Z69" s="115"/>
    </row>
    <row r="70" spans="1:26" ht="19.5" customHeight="1" x14ac:dyDescent="0.2">
      <c r="A70" s="115"/>
      <c r="B70" s="115"/>
      <c r="C70" s="115"/>
      <c r="D70" s="115"/>
      <c r="E70" s="115"/>
      <c r="F70" s="115"/>
      <c r="G70" s="115"/>
      <c r="H70" s="115"/>
      <c r="I70" s="115"/>
      <c r="J70" s="115"/>
      <c r="K70" s="115"/>
      <c r="L70" s="115"/>
      <c r="M70" s="115"/>
      <c r="N70" s="115"/>
      <c r="O70" s="115"/>
      <c r="P70" s="115"/>
      <c r="Q70" s="115"/>
      <c r="R70" s="115"/>
      <c r="S70" s="115"/>
      <c r="T70" s="115"/>
      <c r="U70" s="115"/>
      <c r="V70" s="115"/>
      <c r="W70" s="115"/>
      <c r="X70" s="115"/>
      <c r="Y70" s="115"/>
      <c r="Z70" s="115"/>
    </row>
    <row r="71" spans="1:26" ht="19.5" customHeight="1" x14ac:dyDescent="0.2">
      <c r="A71" s="43"/>
      <c r="B71" s="43"/>
      <c r="C71" s="43"/>
      <c r="D71" s="121"/>
      <c r="E71" s="122"/>
      <c r="F71" s="123"/>
      <c r="G71" s="124"/>
      <c r="H71" s="124"/>
      <c r="I71" s="124"/>
      <c r="J71" s="124"/>
      <c r="K71" s="43"/>
      <c r="L71" s="43"/>
      <c r="M71" s="43"/>
      <c r="N71" s="43"/>
    </row>
    <row r="72" spans="1:26" ht="19.5" customHeight="1" x14ac:dyDescent="0.2">
      <c r="A72" s="43"/>
      <c r="B72" s="43"/>
      <c r="C72" s="43"/>
      <c r="D72" s="121"/>
      <c r="E72" s="122"/>
      <c r="F72" s="123"/>
      <c r="G72" s="124"/>
      <c r="H72" s="124"/>
      <c r="I72" s="124"/>
      <c r="J72" s="124"/>
      <c r="K72" s="43"/>
      <c r="L72" s="43"/>
      <c r="M72" s="43"/>
      <c r="N72" s="43"/>
    </row>
    <row r="73" spans="1:26" ht="19.5" customHeight="1" x14ac:dyDescent="0.2">
      <c r="A73" s="43"/>
      <c r="B73" s="43"/>
      <c r="C73" s="43"/>
      <c r="D73" s="121"/>
      <c r="E73" s="122"/>
      <c r="F73" s="123"/>
      <c r="G73" s="124"/>
      <c r="H73" s="124"/>
      <c r="I73" s="124"/>
      <c r="J73" s="124"/>
      <c r="K73" s="43"/>
      <c r="L73" s="43"/>
      <c r="M73" s="43"/>
      <c r="N73" s="43"/>
    </row>
    <row r="74" spans="1:26" ht="19.5" customHeight="1" x14ac:dyDescent="0.2">
      <c r="A74" s="43"/>
      <c r="B74" s="43"/>
      <c r="C74" s="43"/>
      <c r="D74" s="121"/>
      <c r="E74" s="122"/>
      <c r="F74" s="123"/>
      <c r="G74" s="124"/>
      <c r="H74" s="124"/>
      <c r="I74" s="124"/>
      <c r="J74" s="124"/>
      <c r="K74" s="43"/>
      <c r="L74" s="43"/>
      <c r="M74" s="43"/>
      <c r="N74" s="43"/>
    </row>
    <row r="75" spans="1:26" ht="19.5" customHeight="1" x14ac:dyDescent="0.2">
      <c r="A75" s="43"/>
      <c r="B75" s="43"/>
      <c r="C75" s="43"/>
      <c r="D75" s="121"/>
      <c r="E75" s="122"/>
      <c r="F75" s="123"/>
      <c r="G75" s="124"/>
      <c r="H75" s="124"/>
      <c r="I75" s="124"/>
      <c r="J75" s="124"/>
      <c r="K75" s="43"/>
      <c r="L75" s="43"/>
      <c r="M75" s="43"/>
      <c r="N75" s="43"/>
    </row>
    <row r="76" spans="1:26" ht="19.5" customHeight="1" x14ac:dyDescent="0.2">
      <c r="A76" s="43"/>
      <c r="B76" s="43"/>
      <c r="C76" s="43"/>
      <c r="D76" s="121"/>
      <c r="E76" s="122"/>
      <c r="F76" s="123"/>
      <c r="G76" s="124"/>
      <c r="H76" s="124"/>
      <c r="I76" s="124"/>
      <c r="J76" s="124"/>
      <c r="K76" s="43"/>
      <c r="L76" s="43"/>
      <c r="M76" s="43"/>
      <c r="N76" s="43"/>
    </row>
    <row r="77" spans="1:26" ht="19.5" customHeight="1" x14ac:dyDescent="0.2">
      <c r="A77" s="43"/>
      <c r="B77" s="43"/>
      <c r="C77" s="43"/>
      <c r="D77" s="121"/>
      <c r="E77" s="122"/>
      <c r="F77" s="123"/>
      <c r="G77" s="124"/>
      <c r="H77" s="124"/>
      <c r="I77" s="124"/>
      <c r="J77" s="124"/>
      <c r="K77" s="43"/>
      <c r="L77" s="43"/>
      <c r="M77" s="43"/>
      <c r="N77" s="43"/>
    </row>
    <row r="78" spans="1:26" ht="19.5" customHeight="1" x14ac:dyDescent="0.2">
      <c r="A78" s="43"/>
      <c r="B78" s="43"/>
      <c r="D78" s="121"/>
      <c r="E78" s="122"/>
      <c r="F78" s="123"/>
      <c r="G78" s="124"/>
      <c r="H78" s="124"/>
      <c r="I78" s="124"/>
      <c r="J78" s="124"/>
      <c r="K78" s="43"/>
      <c r="L78" s="43"/>
      <c r="M78" s="43"/>
      <c r="N78" s="43"/>
    </row>
    <row r="79" spans="1:26" ht="15.75" x14ac:dyDescent="0.2">
      <c r="A79" s="43"/>
      <c r="B79" s="43"/>
      <c r="F79" s="121" t="s">
        <v>965</v>
      </c>
      <c r="G79" s="312"/>
      <c r="H79" s="123"/>
      <c r="I79" s="124"/>
      <c r="J79" s="124"/>
      <c r="K79" s="124"/>
      <c r="L79" s="124"/>
      <c r="M79" s="43"/>
      <c r="N79" s="43"/>
    </row>
    <row r="80" spans="1:26" ht="15.75" x14ac:dyDescent="0.2">
      <c r="A80" s="43"/>
      <c r="B80" s="43"/>
      <c r="F80" s="125"/>
      <c r="G80" s="313"/>
      <c r="H80" s="125"/>
      <c r="I80" s="124"/>
      <c r="J80" s="124"/>
      <c r="K80" s="124"/>
      <c r="L80" s="124"/>
    </row>
    <row r="81" spans="1:12" ht="15.75" x14ac:dyDescent="0.2">
      <c r="A81" s="43"/>
      <c r="B81" s="43"/>
      <c r="F81" s="126" t="s">
        <v>966</v>
      </c>
      <c r="G81" s="314"/>
      <c r="H81" s="125"/>
      <c r="I81" s="124"/>
      <c r="J81" s="124"/>
      <c r="K81" s="124"/>
      <c r="L81" s="124"/>
    </row>
    <row r="82" spans="1:12" ht="15.75" x14ac:dyDescent="0.2">
      <c r="A82" s="43"/>
      <c r="B82" s="43"/>
      <c r="F82" s="125" t="s">
        <v>967</v>
      </c>
      <c r="G82" s="313"/>
      <c r="H82" s="125"/>
      <c r="I82" s="124"/>
      <c r="J82" s="124"/>
      <c r="K82" s="124"/>
      <c r="L82" s="124"/>
    </row>
    <row r="83" spans="1:12" ht="15.75" x14ac:dyDescent="0.2">
      <c r="A83" s="43"/>
      <c r="B83" s="43"/>
      <c r="F83" s="125"/>
      <c r="G83" s="313"/>
      <c r="H83" s="125"/>
      <c r="I83" s="124"/>
      <c r="J83" s="124"/>
      <c r="K83" s="124"/>
      <c r="L83" s="124"/>
    </row>
    <row r="84" spans="1:12" ht="15.75" x14ac:dyDescent="0.2">
      <c r="A84" s="43"/>
      <c r="B84" s="43"/>
      <c r="F84" s="126" t="s">
        <v>968</v>
      </c>
      <c r="G84" s="314"/>
      <c r="H84" s="125"/>
      <c r="I84" s="127"/>
      <c r="J84" s="124"/>
      <c r="K84" s="124"/>
      <c r="L84" s="124"/>
    </row>
    <row r="85" spans="1:12" ht="15.75" x14ac:dyDescent="0.2">
      <c r="A85" s="43"/>
      <c r="B85" s="43"/>
      <c r="F85" s="125" t="s">
        <v>1858</v>
      </c>
      <c r="G85" s="313"/>
      <c r="H85" s="125"/>
      <c r="I85" s="128" t="s">
        <v>969</v>
      </c>
      <c r="J85" s="129"/>
      <c r="K85" s="129"/>
      <c r="L85" s="129"/>
    </row>
    <row r="86" spans="1:12" ht="15.75" x14ac:dyDescent="0.2">
      <c r="A86" s="43"/>
      <c r="B86" s="43"/>
      <c r="F86" s="125"/>
      <c r="G86" s="313"/>
      <c r="H86" s="125"/>
      <c r="I86" s="127"/>
      <c r="J86" s="129"/>
      <c r="K86" s="129"/>
      <c r="L86" s="129"/>
    </row>
    <row r="87" spans="1:12" ht="15.75" x14ac:dyDescent="0.2">
      <c r="A87" s="43"/>
      <c r="B87" s="43"/>
      <c r="F87" s="126" t="s">
        <v>970</v>
      </c>
      <c r="G87" s="313"/>
      <c r="H87" s="125"/>
      <c r="I87" s="127"/>
      <c r="J87" s="478" t="s">
        <v>971</v>
      </c>
      <c r="K87" s="478"/>
      <c r="L87" s="478"/>
    </row>
    <row r="88" spans="1:12" ht="15.75" x14ac:dyDescent="0.2">
      <c r="A88" s="43"/>
      <c r="B88" s="43"/>
      <c r="F88" s="483" t="s">
        <v>972</v>
      </c>
      <c r="G88" s="483"/>
      <c r="H88" s="484"/>
      <c r="I88" s="127"/>
      <c r="J88" s="485" t="s">
        <v>973</v>
      </c>
      <c r="K88" s="485"/>
      <c r="L88" s="485"/>
    </row>
    <row r="89" spans="1:12" ht="15.75" x14ac:dyDescent="0.2">
      <c r="A89" s="43"/>
      <c r="B89" s="43"/>
      <c r="F89" s="483"/>
      <c r="G89" s="483"/>
      <c r="H89" s="484"/>
      <c r="I89" s="127"/>
      <c r="J89" s="485" t="s">
        <v>974</v>
      </c>
      <c r="K89" s="485"/>
      <c r="L89" s="485"/>
    </row>
    <row r="90" spans="1:12" ht="15.75" x14ac:dyDescent="0.2">
      <c r="A90" s="43"/>
      <c r="B90" s="43"/>
      <c r="F90" s="483" t="s">
        <v>975</v>
      </c>
      <c r="G90" s="483"/>
      <c r="H90" s="484"/>
      <c r="I90" s="127"/>
      <c r="J90" s="130"/>
      <c r="K90" s="130"/>
      <c r="L90" s="130"/>
    </row>
    <row r="91" spans="1:12" x14ac:dyDescent="0.2">
      <c r="A91" s="43"/>
      <c r="B91" s="43"/>
      <c r="F91" s="131" t="str">
        <f>"This Quote Generated from DDT.V0.1 with " &amp; Design!D2*100 &amp; "% Discount"</f>
        <v>This Quote Generated from DDT.V0.1 with 0% Discount</v>
      </c>
      <c r="G91" s="134"/>
      <c r="H91" s="132"/>
      <c r="I91" s="133"/>
      <c r="J91" s="134"/>
      <c r="K91" s="135"/>
      <c r="L91" s="135"/>
    </row>
    <row r="92" spans="1:12" x14ac:dyDescent="0.2">
      <c r="A92" s="43"/>
      <c r="B92" s="43"/>
      <c r="F92" s="136"/>
      <c r="H92" s="136"/>
    </row>
    <row r="93" spans="1:12" x14ac:dyDescent="0.2">
      <c r="A93" s="43"/>
      <c r="B93" s="43"/>
      <c r="F93" s="136"/>
      <c r="H93" s="136"/>
    </row>
    <row r="94" spans="1:12" x14ac:dyDescent="0.2">
      <c r="A94" s="43"/>
      <c r="B94" s="43"/>
      <c r="F94" s="136"/>
      <c r="H94" s="136"/>
    </row>
    <row r="95" spans="1:12" x14ac:dyDescent="0.2">
      <c r="A95" s="43"/>
      <c r="B95" s="43"/>
      <c r="F95" s="136"/>
      <c r="H95" s="136"/>
    </row>
    <row r="96" spans="1:12" x14ac:dyDescent="0.2">
      <c r="A96" s="43"/>
      <c r="B96" s="43"/>
      <c r="F96" s="136"/>
      <c r="H96" s="136"/>
    </row>
    <row r="97" spans="1:12" x14ac:dyDescent="0.2">
      <c r="A97" s="43"/>
      <c r="B97" s="43"/>
      <c r="F97" s="136"/>
      <c r="H97" s="136"/>
    </row>
    <row r="98" spans="1:12" x14ac:dyDescent="0.2">
      <c r="A98" s="43"/>
      <c r="B98" s="43"/>
      <c r="F98" s="136"/>
      <c r="H98" s="136"/>
    </row>
    <row r="99" spans="1:12" x14ac:dyDescent="0.2">
      <c r="A99" s="43"/>
      <c r="B99" s="43"/>
      <c r="F99" s="136"/>
      <c r="H99" s="136"/>
    </row>
    <row r="100" spans="1:12" x14ac:dyDescent="0.2">
      <c r="A100" s="43"/>
      <c r="B100" s="43"/>
      <c r="F100" s="136"/>
      <c r="H100" s="136"/>
    </row>
    <row r="101" spans="1:12" x14ac:dyDescent="0.2">
      <c r="A101" s="43"/>
      <c r="B101" s="43"/>
    </row>
    <row r="102" spans="1:12" x14ac:dyDescent="0.2">
      <c r="A102" s="43"/>
      <c r="B102" s="43"/>
      <c r="F102" s="136"/>
      <c r="H102" s="136"/>
      <c r="I102" s="138"/>
    </row>
    <row r="103" spans="1:12" x14ac:dyDescent="0.2">
      <c r="A103" s="43"/>
      <c r="B103" s="43"/>
      <c r="F103" s="136"/>
      <c r="H103" s="136"/>
    </row>
    <row r="104" spans="1:12" x14ac:dyDescent="0.2">
      <c r="A104" s="43"/>
      <c r="B104" s="43"/>
      <c r="F104" s="136"/>
      <c r="H104" s="136"/>
    </row>
    <row r="105" spans="1:12" x14ac:dyDescent="0.2">
      <c r="A105" s="43"/>
      <c r="B105" s="43"/>
    </row>
    <row r="106" spans="1:12" x14ac:dyDescent="0.2">
      <c r="A106" s="43"/>
      <c r="B106" s="43"/>
    </row>
    <row r="107" spans="1:12" ht="14.25" x14ac:dyDescent="0.2">
      <c r="A107" s="43"/>
      <c r="B107" s="43"/>
      <c r="F107" s="477"/>
      <c r="G107" s="477"/>
      <c r="H107" s="477"/>
      <c r="I107" s="477"/>
      <c r="J107" s="477"/>
      <c r="K107" s="477"/>
      <c r="L107" s="477"/>
    </row>
    <row r="108" spans="1:12" ht="14.25" x14ac:dyDescent="0.2">
      <c r="A108" s="43"/>
      <c r="B108" s="43"/>
      <c r="F108" s="477"/>
      <c r="G108" s="477"/>
      <c r="H108" s="477"/>
      <c r="I108" s="477"/>
      <c r="J108" s="477"/>
      <c r="K108" s="477"/>
      <c r="L108" s="477"/>
    </row>
    <row r="109" spans="1:12" x14ac:dyDescent="0.2">
      <c r="A109" s="43"/>
      <c r="B109" s="43"/>
    </row>
    <row r="110" spans="1:12" x14ac:dyDescent="0.2">
      <c r="A110" s="43"/>
      <c r="B110" s="43"/>
    </row>
    <row r="111" spans="1:12" x14ac:dyDescent="0.2">
      <c r="A111" s="43"/>
      <c r="B111" s="43"/>
    </row>
    <row r="112" spans="1:12" x14ac:dyDescent="0.2">
      <c r="A112" s="43"/>
      <c r="B112" s="43"/>
    </row>
    <row r="113" spans="1:12" x14ac:dyDescent="0.2">
      <c r="A113" s="43"/>
      <c r="B113" s="43"/>
    </row>
    <row r="114" spans="1:12" x14ac:dyDescent="0.2">
      <c r="A114" s="43"/>
      <c r="B114" s="43"/>
    </row>
    <row r="115" spans="1:12" x14ac:dyDescent="0.2">
      <c r="A115" s="43"/>
      <c r="B115" s="43"/>
    </row>
    <row r="116" spans="1:12" x14ac:dyDescent="0.2">
      <c r="I116" s="46"/>
      <c r="J116" s="137"/>
    </row>
    <row r="117" spans="1:12" x14ac:dyDescent="0.2">
      <c r="I117" s="46"/>
      <c r="J117" s="137"/>
    </row>
    <row r="118" spans="1:12" x14ac:dyDescent="0.2">
      <c r="I118" s="46"/>
      <c r="J118" s="137"/>
    </row>
    <row r="120" spans="1:12" x14ac:dyDescent="0.2">
      <c r="F120" s="495" t="s">
        <v>1859</v>
      </c>
      <c r="G120" s="495"/>
      <c r="I120" s="137" t="s">
        <v>1860</v>
      </c>
    </row>
    <row r="121" spans="1:12" x14ac:dyDescent="0.2">
      <c r="F121" s="495" t="s">
        <v>1861</v>
      </c>
      <c r="G121" s="495"/>
      <c r="I121" s="137" t="s">
        <v>1862</v>
      </c>
    </row>
    <row r="122" spans="1:12" x14ac:dyDescent="0.2">
      <c r="F122" s="495" t="s">
        <v>1863</v>
      </c>
      <c r="G122" s="495"/>
      <c r="I122" s="137" t="s">
        <v>1864</v>
      </c>
    </row>
    <row r="125" spans="1:12" ht="14.25" x14ac:dyDescent="0.2">
      <c r="F125" s="477" t="s">
        <v>976</v>
      </c>
      <c r="G125" s="477"/>
      <c r="H125" s="477"/>
      <c r="I125" s="477"/>
      <c r="J125" s="477"/>
      <c r="K125" s="477"/>
      <c r="L125" s="477"/>
    </row>
    <row r="126" spans="1:12" ht="14.25" x14ac:dyDescent="0.2">
      <c r="F126" s="477" t="s">
        <v>977</v>
      </c>
      <c r="G126" s="477"/>
      <c r="H126" s="477"/>
      <c r="I126" s="477"/>
      <c r="J126" s="477"/>
      <c r="K126" s="477"/>
      <c r="L126" s="477"/>
    </row>
  </sheetData>
  <sheetProtection algorithmName="SHA-512" hashValue="BwxhQEJWx4FrVddiIdQjKf0ZDDSfbWoDKbEx+MGQAEvuVGvKhI9mBkD1haekqHIfxJ539cWYJg2HJ3rt8n4e/Q==" saltValue="EgP/iu+dfADB7GzvuY71CQ==" spinCount="100000" sheet="1" objects="1" scenarios="1" selectLockedCells="1"/>
  <mergeCells count="20">
    <mergeCell ref="F125:L125"/>
    <mergeCell ref="F126:L126"/>
    <mergeCell ref="F120:G120"/>
    <mergeCell ref="F121:G121"/>
    <mergeCell ref="F122:G122"/>
    <mergeCell ref="C1:D1"/>
    <mergeCell ref="F3:H3"/>
    <mergeCell ref="F13:H13"/>
    <mergeCell ref="F108:L108"/>
    <mergeCell ref="J87:L87"/>
    <mergeCell ref="I21:K21"/>
    <mergeCell ref="I26:K26"/>
    <mergeCell ref="F88:H89"/>
    <mergeCell ref="J88:L88"/>
    <mergeCell ref="J89:L89"/>
    <mergeCell ref="F90:H90"/>
    <mergeCell ref="F107:L107"/>
    <mergeCell ref="I29:L29"/>
    <mergeCell ref="I30:K30"/>
    <mergeCell ref="I31:K31"/>
  </mergeCells>
  <dataValidations count="2">
    <dataValidation type="whole" allowBlank="1" sqref="D4:D8 D14:D17">
      <formula1>0</formula1>
      <formula2>10000000000</formula2>
    </dataValidation>
    <dataValidation allowBlank="1" sqref="D18:D21 D9:D12"/>
  </dataValidations>
  <hyperlinks>
    <hyperlink ref="J89" r:id="rId1"/>
    <hyperlink ref="J88" r:id="rId2"/>
  </hyperlinks>
  <pageMargins left="0.48" right="0.34" top="0.59" bottom="0.38" header="0.3" footer="0.17"/>
  <pageSetup paperSize="9" scale="45" orientation="portrait" r:id="rId3"/>
  <headerFooter>
    <oddHeader>&amp;L&amp;G</oddHeader>
    <oddFooter>&amp;CDatwyler Middle East FZE, Unit 1004 &amp; 1005, 10th Floor, IB Tower, Business Bay, P.O Box 263480, Dubai, UAE
T +971 4 422 8129, F +971 4 422 8096, www.cabling.datwyler.com</oddFooter>
  </headerFooter>
  <colBreaks count="2" manualBreakCount="2">
    <brk id="5" max="1048575" man="1"/>
    <brk id="12" max="121" man="1"/>
  </colBreaks>
  <drawing r:id="rId4"/>
  <legacyDrawing r:id="rId5"/>
  <legacyDrawingHF r:id="rId6"/>
  <controls>
    <mc:AlternateContent xmlns:mc="http://schemas.openxmlformats.org/markup-compatibility/2006">
      <mc:Choice Requires="x14">
        <control shapeId="9236" r:id="rId7" name="TextBox6">
          <controlPr defaultSize="0" autoLine="0" r:id="rId8">
            <anchor moveWithCells="1">
              <from>
                <xdr:col>8</xdr:col>
                <xdr:colOff>695325</xdr:colOff>
                <xdr:row>0</xdr:row>
                <xdr:rowOff>1590675</xdr:rowOff>
              </from>
              <to>
                <xdr:col>11</xdr:col>
                <xdr:colOff>1114425</xdr:colOff>
                <xdr:row>0</xdr:row>
                <xdr:rowOff>1866900</xdr:rowOff>
              </to>
            </anchor>
          </controlPr>
        </control>
      </mc:Choice>
      <mc:Fallback>
        <control shapeId="9236" r:id="rId7" name="TextBox6"/>
      </mc:Fallback>
    </mc:AlternateContent>
    <mc:AlternateContent xmlns:mc="http://schemas.openxmlformats.org/markup-compatibility/2006">
      <mc:Choice Requires="x14">
        <control shapeId="9235" r:id="rId9" name="TextBox5">
          <controlPr defaultSize="0" autoLine="0" r:id="rId8">
            <anchor moveWithCells="1">
              <from>
                <xdr:col>8</xdr:col>
                <xdr:colOff>695325</xdr:colOff>
                <xdr:row>0</xdr:row>
                <xdr:rowOff>1228725</xdr:rowOff>
              </from>
              <to>
                <xdr:col>11</xdr:col>
                <xdr:colOff>1114425</xdr:colOff>
                <xdr:row>0</xdr:row>
                <xdr:rowOff>1504950</xdr:rowOff>
              </to>
            </anchor>
          </controlPr>
        </control>
      </mc:Choice>
      <mc:Fallback>
        <control shapeId="9235" r:id="rId9" name="TextBox5"/>
      </mc:Fallback>
    </mc:AlternateContent>
    <mc:AlternateContent xmlns:mc="http://schemas.openxmlformats.org/markup-compatibility/2006">
      <mc:Choice Requires="x14">
        <control shapeId="9234" r:id="rId10" name="TextBox4">
          <controlPr defaultSize="0" autoLine="0" r:id="rId11">
            <anchor moveWithCells="1">
              <from>
                <xdr:col>8</xdr:col>
                <xdr:colOff>695325</xdr:colOff>
                <xdr:row>0</xdr:row>
                <xdr:rowOff>895350</xdr:rowOff>
              </from>
              <to>
                <xdr:col>11</xdr:col>
                <xdr:colOff>1114425</xdr:colOff>
                <xdr:row>0</xdr:row>
                <xdr:rowOff>1162050</xdr:rowOff>
              </to>
            </anchor>
          </controlPr>
        </control>
      </mc:Choice>
      <mc:Fallback>
        <control shapeId="9234" r:id="rId10" name="TextBox4"/>
      </mc:Fallback>
    </mc:AlternateContent>
    <mc:AlternateContent xmlns:mc="http://schemas.openxmlformats.org/markup-compatibility/2006">
      <mc:Choice Requires="x14">
        <control shapeId="9233" r:id="rId12" name="TextBox3">
          <controlPr defaultSize="0" autoLine="0" r:id="rId13">
            <anchor moveWithCells="1">
              <from>
                <xdr:col>6</xdr:col>
                <xdr:colOff>819150</xdr:colOff>
                <xdr:row>0</xdr:row>
                <xdr:rowOff>1600200</xdr:rowOff>
              </from>
              <to>
                <xdr:col>7</xdr:col>
                <xdr:colOff>2962275</xdr:colOff>
                <xdr:row>0</xdr:row>
                <xdr:rowOff>1876425</xdr:rowOff>
              </to>
            </anchor>
          </controlPr>
        </control>
      </mc:Choice>
      <mc:Fallback>
        <control shapeId="9233" r:id="rId12" name="TextBox3"/>
      </mc:Fallback>
    </mc:AlternateContent>
    <mc:AlternateContent xmlns:mc="http://schemas.openxmlformats.org/markup-compatibility/2006">
      <mc:Choice Requires="x14">
        <control shapeId="9232" r:id="rId14" name="TextBox2">
          <controlPr defaultSize="0" autoLine="0" r:id="rId13">
            <anchor moveWithCells="1">
              <from>
                <xdr:col>6</xdr:col>
                <xdr:colOff>828675</xdr:colOff>
                <xdr:row>0</xdr:row>
                <xdr:rowOff>1238250</xdr:rowOff>
              </from>
              <to>
                <xdr:col>7</xdr:col>
                <xdr:colOff>2971800</xdr:colOff>
                <xdr:row>0</xdr:row>
                <xdr:rowOff>1514475</xdr:rowOff>
              </to>
            </anchor>
          </controlPr>
        </control>
      </mc:Choice>
      <mc:Fallback>
        <control shapeId="9232" r:id="rId14" name="TextBox2"/>
      </mc:Fallback>
    </mc:AlternateContent>
    <mc:AlternateContent xmlns:mc="http://schemas.openxmlformats.org/markup-compatibility/2006">
      <mc:Choice Requires="x14">
        <control shapeId="9231" r:id="rId15" name="TextBox1">
          <controlPr defaultSize="0" autoLine="0" r:id="rId16">
            <anchor moveWithCells="1">
              <from>
                <xdr:col>6</xdr:col>
                <xdr:colOff>838200</xdr:colOff>
                <xdr:row>0</xdr:row>
                <xdr:rowOff>904875</xdr:rowOff>
              </from>
              <to>
                <xdr:col>7</xdr:col>
                <xdr:colOff>2981325</xdr:colOff>
                <xdr:row>0</xdr:row>
                <xdr:rowOff>1171575</xdr:rowOff>
              </to>
            </anchor>
          </controlPr>
        </control>
      </mc:Choice>
      <mc:Fallback>
        <control shapeId="9231" r:id="rId15" name="TextBox1"/>
      </mc:Fallback>
    </mc:AlternateContent>
    <mc:AlternateContent xmlns:mc="http://schemas.openxmlformats.org/markup-compatibility/2006">
      <mc:Choice Requires="x14">
        <control shapeId="9222" r:id="rId17" name="DD_PP_Color">
          <controlPr defaultSize="0" autoLine="0" autoPict="0" macro="[0]!DD_PP_Color_Change">
            <anchor moveWithCells="1">
              <from>
                <xdr:col>2</xdr:col>
                <xdr:colOff>2390775</xdr:colOff>
                <xdr:row>7</xdr:row>
                <xdr:rowOff>200025</xdr:rowOff>
              </from>
              <to>
                <xdr:col>3</xdr:col>
                <xdr:colOff>1076325</xdr:colOff>
                <xdr:row>9</xdr:row>
                <xdr:rowOff>0</xdr:rowOff>
              </to>
            </anchor>
          </controlPr>
        </control>
      </mc:Choice>
    </mc:AlternateContent>
    <mc:AlternateContent xmlns:mc="http://schemas.openxmlformats.org/markup-compatibility/2006">
      <mc:Choice Requires="x14">
        <control shapeId="9217" r:id="rId18" name="DD_FO_Fiber_Type">
          <controlPr defaultSize="0" print="0" autoLine="0" autoPict="0" macro="[0]!ComboUpdate">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9218" r:id="rId19" name="DD_FO_Fiber_Core">
          <controlPr defaultSize="0" print="0" autoLine="0" autoPict="0" macro="[0]!DD_FO_Fiber_Core_Change">
            <anchor moveWithCells="1">
              <from>
                <xdr:col>3</xdr:col>
                <xdr:colOff>0</xdr:colOff>
                <xdr:row>17</xdr:row>
                <xdr:rowOff>200025</xdr:rowOff>
              </from>
              <to>
                <xdr:col>4</xdr:col>
                <xdr:colOff>0</xdr:colOff>
                <xdr:row>19</xdr:row>
                <xdr:rowOff>0</xdr:rowOff>
              </to>
            </anchor>
          </controlPr>
        </control>
      </mc:Choice>
    </mc:AlternateContent>
    <mc:AlternateContent xmlns:mc="http://schemas.openxmlformats.org/markup-compatibility/2006">
      <mc:Choice Requires="x14">
        <control shapeId="9219" r:id="rId20" name="DD_PVC_LSOH">
          <controlPr defaultSize="0" autoLine="0" autoPict="0" macro="[0]!DD_PVC_LSOH_Change">
            <anchor moveWithCells="1">
              <from>
                <xdr:col>2</xdr:col>
                <xdr:colOff>2390775</xdr:colOff>
                <xdr:row>10</xdr:row>
                <xdr:rowOff>200025</xdr:rowOff>
              </from>
              <to>
                <xdr:col>4</xdr:col>
                <xdr:colOff>0</xdr:colOff>
                <xdr:row>12</xdr:row>
                <xdr:rowOff>0</xdr:rowOff>
              </to>
            </anchor>
          </controlPr>
        </control>
      </mc:Choice>
    </mc:AlternateContent>
    <mc:AlternateContent xmlns:mc="http://schemas.openxmlformats.org/markup-compatibility/2006">
      <mc:Choice Requires="x14">
        <control shapeId="9220" r:id="rId21" name="dd_Cable_Category">
          <controlPr defaultSize="0" autoLine="0" autoPict="0" macro="[0]!dd_Cable_Category_Change">
            <anchor moveWithCells="1">
              <from>
                <xdr:col>2</xdr:col>
                <xdr:colOff>2390775</xdr:colOff>
                <xdr:row>9</xdr:row>
                <xdr:rowOff>200025</xdr:rowOff>
              </from>
              <to>
                <xdr:col>4</xdr:col>
                <xdr:colOff>0</xdr:colOff>
                <xdr:row>11</xdr:row>
                <xdr:rowOff>0</xdr:rowOff>
              </to>
            </anchor>
          </controlPr>
        </control>
      </mc:Choice>
    </mc:AlternateContent>
    <mc:AlternateContent xmlns:mc="http://schemas.openxmlformats.org/markup-compatibility/2006">
      <mc:Choice Requires="x14">
        <control shapeId="9221" r:id="rId22" name="DD_FP_Type">
          <controlPr defaultSize="0" autoLine="0" autoPict="0" macro="[0]!DD_FP_Type_Change">
            <anchor mov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9223" r:id="rId23" name="DD_FO_Connector_type">
          <controlPr defaultSize="0" autoLine="0" autoPict="0" macro="[0]!DD_FO_Connector_type_Change">
            <anchor moveWithCells="1">
              <from>
                <xdr:col>3</xdr:col>
                <xdr:colOff>0</xdr:colOff>
                <xdr:row>18</xdr:row>
                <xdr:rowOff>200025</xdr:rowOff>
              </from>
              <to>
                <xdr:col>4</xdr:col>
                <xdr:colOff>0</xdr:colOff>
                <xdr:row>20</xdr:row>
                <xdr:rowOff>0</xdr:rowOff>
              </to>
            </anchor>
          </controlPr>
        </control>
      </mc:Choice>
    </mc:AlternateContent>
    <mc:AlternateContent xmlns:mc="http://schemas.openxmlformats.org/markup-compatibility/2006">
      <mc:Choice Requires="x14">
        <control shapeId="9224" r:id="rId24" name="DD_FO_PC_Length">
          <controlPr defaultSize="0" autoLine="0" autoPict="0" macro="[0]!DD_FO_PC_Length_Change">
            <anchor moveWithCells="1">
              <from>
                <xdr:col>3</xdr:col>
                <xdr:colOff>0</xdr:colOff>
                <xdr:row>19</xdr:row>
                <xdr:rowOff>200025</xdr:rowOff>
              </from>
              <to>
                <xdr:col>4</xdr:col>
                <xdr:colOff>0</xdr:colOff>
                <xdr:row>21</xdr:row>
                <xdr:rowOff>0</xdr:rowOff>
              </to>
            </anchor>
          </controlPr>
        </control>
      </mc:Choice>
    </mc:AlternateContent>
    <mc:AlternateContent xmlns:mc="http://schemas.openxmlformats.org/markup-compatibility/2006">
      <mc:Choice Requires="x14">
        <control shapeId="9228" r:id="rId25" name="CB_FO">
          <controlPr defaultSize="0" autoFill="0" autoLine="0" autoPict="0" macro="[0]!CB_FO_Click">
            <anchor moveWithCells="1">
              <from>
                <xdr:col>1</xdr:col>
                <xdr:colOff>200025</xdr:colOff>
                <xdr:row>0</xdr:row>
                <xdr:rowOff>847725</xdr:rowOff>
              </from>
              <to>
                <xdr:col>2</xdr:col>
                <xdr:colOff>1905000</xdr:colOff>
                <xdr:row>0</xdr:row>
                <xdr:rowOff>1085850</xdr:rowOff>
              </to>
            </anchor>
          </controlPr>
        </control>
      </mc:Choice>
    </mc:AlternateContent>
    <mc:AlternateContent xmlns:mc="http://schemas.openxmlformats.org/markup-compatibility/2006">
      <mc:Choice Requires="x14">
        <control shapeId="9229" r:id="rId26" name="CB_CU">
          <controlPr defaultSize="0" autoFill="0" autoLine="0" autoPict="0" macro="[0]!CB_CU_Click">
            <anchor moveWithCells="1">
              <from>
                <xdr:col>1</xdr:col>
                <xdr:colOff>190500</xdr:colOff>
                <xdr:row>0</xdr:row>
                <xdr:rowOff>590550</xdr:rowOff>
              </from>
              <to>
                <xdr:col>2</xdr:col>
                <xdr:colOff>1733550</xdr:colOff>
                <xdr:row>0</xdr:row>
                <xdr:rowOff>828675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dimension ref="A1:O544"/>
  <sheetViews>
    <sheetView workbookViewId="0">
      <selection activeCell="B544" sqref="B544"/>
    </sheetView>
  </sheetViews>
  <sheetFormatPr defaultRowHeight="14.25" x14ac:dyDescent="0.2"/>
  <cols>
    <col min="1" max="1" width="22" style="403" bestFit="1" customWidth="1"/>
    <col min="2" max="2" width="12.625" style="403" bestFit="1" customWidth="1"/>
    <col min="3" max="3" width="11.125" style="403" bestFit="1" customWidth="1"/>
    <col min="4" max="4" width="4.75" style="403" bestFit="1" customWidth="1"/>
    <col min="5" max="5" width="6.375" style="403" bestFit="1" customWidth="1"/>
    <col min="6" max="6" width="14" style="403" bestFit="1" customWidth="1"/>
    <col min="7" max="7" width="18.625" style="403" bestFit="1" customWidth="1"/>
    <col min="8" max="8" width="9.875" style="403" bestFit="1" customWidth="1"/>
    <col min="9" max="9" width="7.875" style="403" bestFit="1" customWidth="1"/>
    <col min="10" max="10" width="11.875" style="403" bestFit="1" customWidth="1"/>
    <col min="11" max="11" width="8.875" style="403" bestFit="1" customWidth="1"/>
    <col min="12" max="12" width="15" style="403" bestFit="1" customWidth="1"/>
    <col min="13" max="13" width="16.875" style="403" bestFit="1" customWidth="1"/>
    <col min="14" max="14" width="9.875" style="403" bestFit="1" customWidth="1"/>
    <col min="15" max="15" width="8.875" style="403" bestFit="1" customWidth="1"/>
    <col min="16" max="256" width="9" style="403"/>
    <col min="257" max="257" width="19" style="403" bestFit="1" customWidth="1"/>
    <col min="258" max="258" width="14" style="403" bestFit="1" customWidth="1"/>
    <col min="259" max="259" width="10.125" style="403" bestFit="1" customWidth="1"/>
    <col min="260" max="261" width="6.125" style="403" bestFit="1" customWidth="1"/>
    <col min="262" max="262" width="12.625" style="403" bestFit="1" customWidth="1"/>
    <col min="263" max="263" width="19.875" style="403" bestFit="1" customWidth="1"/>
    <col min="264" max="264" width="8.875" style="403" bestFit="1" customWidth="1"/>
    <col min="265" max="265" width="8.25" style="403" bestFit="1" customWidth="1"/>
    <col min="266" max="266" width="10.5" style="403" bestFit="1" customWidth="1"/>
    <col min="267" max="267" width="9" style="403" bestFit="1" customWidth="1"/>
    <col min="268" max="268" width="13.25" style="403" bestFit="1" customWidth="1"/>
    <col min="269" max="269" width="13.5" style="403" bestFit="1" customWidth="1"/>
    <col min="270" max="270" width="8.375" style="403" bestFit="1" customWidth="1"/>
    <col min="271" max="271" width="9.25" style="403" bestFit="1" customWidth="1"/>
    <col min="272" max="512" width="9" style="403"/>
    <col min="513" max="513" width="19" style="403" bestFit="1" customWidth="1"/>
    <col min="514" max="514" width="14" style="403" bestFit="1" customWidth="1"/>
    <col min="515" max="515" width="10.125" style="403" bestFit="1" customWidth="1"/>
    <col min="516" max="517" width="6.125" style="403" bestFit="1" customWidth="1"/>
    <col min="518" max="518" width="12.625" style="403" bestFit="1" customWidth="1"/>
    <col min="519" max="519" width="19.875" style="403" bestFit="1" customWidth="1"/>
    <col min="520" max="520" width="8.875" style="403" bestFit="1" customWidth="1"/>
    <col min="521" max="521" width="8.25" style="403" bestFit="1" customWidth="1"/>
    <col min="522" max="522" width="10.5" style="403" bestFit="1" customWidth="1"/>
    <col min="523" max="523" width="9" style="403" bestFit="1" customWidth="1"/>
    <col min="524" max="524" width="13.25" style="403" bestFit="1" customWidth="1"/>
    <col min="525" max="525" width="13.5" style="403" bestFit="1" customWidth="1"/>
    <col min="526" max="526" width="8.375" style="403" bestFit="1" customWidth="1"/>
    <col min="527" max="527" width="9.25" style="403" bestFit="1" customWidth="1"/>
    <col min="528" max="768" width="9" style="403"/>
    <col min="769" max="769" width="19" style="403" bestFit="1" customWidth="1"/>
    <col min="770" max="770" width="14" style="403" bestFit="1" customWidth="1"/>
    <col min="771" max="771" width="10.125" style="403" bestFit="1" customWidth="1"/>
    <col min="772" max="773" width="6.125" style="403" bestFit="1" customWidth="1"/>
    <col min="774" max="774" width="12.625" style="403" bestFit="1" customWidth="1"/>
    <col min="775" max="775" width="19.875" style="403" bestFit="1" customWidth="1"/>
    <col min="776" max="776" width="8.875" style="403" bestFit="1" customWidth="1"/>
    <col min="777" max="777" width="8.25" style="403" bestFit="1" customWidth="1"/>
    <col min="778" max="778" width="10.5" style="403" bestFit="1" customWidth="1"/>
    <col min="779" max="779" width="9" style="403" bestFit="1" customWidth="1"/>
    <col min="780" max="780" width="13.25" style="403" bestFit="1" customWidth="1"/>
    <col min="781" max="781" width="13.5" style="403" bestFit="1" customWidth="1"/>
    <col min="782" max="782" width="8.375" style="403" bestFit="1" customWidth="1"/>
    <col min="783" max="783" width="9.25" style="403" bestFit="1" customWidth="1"/>
    <col min="784" max="1024" width="9" style="403"/>
    <col min="1025" max="1025" width="19" style="403" bestFit="1" customWidth="1"/>
    <col min="1026" max="1026" width="14" style="403" bestFit="1" customWidth="1"/>
    <col min="1027" max="1027" width="10.125" style="403" bestFit="1" customWidth="1"/>
    <col min="1028" max="1029" width="6.125" style="403" bestFit="1" customWidth="1"/>
    <col min="1030" max="1030" width="12.625" style="403" bestFit="1" customWidth="1"/>
    <col min="1031" max="1031" width="19.875" style="403" bestFit="1" customWidth="1"/>
    <col min="1032" max="1032" width="8.875" style="403" bestFit="1" customWidth="1"/>
    <col min="1033" max="1033" width="8.25" style="403" bestFit="1" customWidth="1"/>
    <col min="1034" max="1034" width="10.5" style="403" bestFit="1" customWidth="1"/>
    <col min="1035" max="1035" width="9" style="403" bestFit="1" customWidth="1"/>
    <col min="1036" max="1036" width="13.25" style="403" bestFit="1" customWidth="1"/>
    <col min="1037" max="1037" width="13.5" style="403" bestFit="1" customWidth="1"/>
    <col min="1038" max="1038" width="8.375" style="403" bestFit="1" customWidth="1"/>
    <col min="1039" max="1039" width="9.25" style="403" bestFit="1" customWidth="1"/>
    <col min="1040" max="1280" width="9" style="403"/>
    <col min="1281" max="1281" width="19" style="403" bestFit="1" customWidth="1"/>
    <col min="1282" max="1282" width="14" style="403" bestFit="1" customWidth="1"/>
    <col min="1283" max="1283" width="10.125" style="403" bestFit="1" customWidth="1"/>
    <col min="1284" max="1285" width="6.125" style="403" bestFit="1" customWidth="1"/>
    <col min="1286" max="1286" width="12.625" style="403" bestFit="1" customWidth="1"/>
    <col min="1287" max="1287" width="19.875" style="403" bestFit="1" customWidth="1"/>
    <col min="1288" max="1288" width="8.875" style="403" bestFit="1" customWidth="1"/>
    <col min="1289" max="1289" width="8.25" style="403" bestFit="1" customWidth="1"/>
    <col min="1290" max="1290" width="10.5" style="403" bestFit="1" customWidth="1"/>
    <col min="1291" max="1291" width="9" style="403" bestFit="1" customWidth="1"/>
    <col min="1292" max="1292" width="13.25" style="403" bestFit="1" customWidth="1"/>
    <col min="1293" max="1293" width="13.5" style="403" bestFit="1" customWidth="1"/>
    <col min="1294" max="1294" width="8.375" style="403" bestFit="1" customWidth="1"/>
    <col min="1295" max="1295" width="9.25" style="403" bestFit="1" customWidth="1"/>
    <col min="1296" max="1536" width="9" style="403"/>
    <col min="1537" max="1537" width="19" style="403" bestFit="1" customWidth="1"/>
    <col min="1538" max="1538" width="14" style="403" bestFit="1" customWidth="1"/>
    <col min="1539" max="1539" width="10.125" style="403" bestFit="1" customWidth="1"/>
    <col min="1540" max="1541" width="6.125" style="403" bestFit="1" customWidth="1"/>
    <col min="1542" max="1542" width="12.625" style="403" bestFit="1" customWidth="1"/>
    <col min="1543" max="1543" width="19.875" style="403" bestFit="1" customWidth="1"/>
    <col min="1544" max="1544" width="8.875" style="403" bestFit="1" customWidth="1"/>
    <col min="1545" max="1545" width="8.25" style="403" bestFit="1" customWidth="1"/>
    <col min="1546" max="1546" width="10.5" style="403" bestFit="1" customWidth="1"/>
    <col min="1547" max="1547" width="9" style="403" bestFit="1" customWidth="1"/>
    <col min="1548" max="1548" width="13.25" style="403" bestFit="1" customWidth="1"/>
    <col min="1549" max="1549" width="13.5" style="403" bestFit="1" customWidth="1"/>
    <col min="1550" max="1550" width="8.375" style="403" bestFit="1" customWidth="1"/>
    <col min="1551" max="1551" width="9.25" style="403" bestFit="1" customWidth="1"/>
    <col min="1552" max="1792" width="9" style="403"/>
    <col min="1793" max="1793" width="19" style="403" bestFit="1" customWidth="1"/>
    <col min="1794" max="1794" width="14" style="403" bestFit="1" customWidth="1"/>
    <col min="1795" max="1795" width="10.125" style="403" bestFit="1" customWidth="1"/>
    <col min="1796" max="1797" width="6.125" style="403" bestFit="1" customWidth="1"/>
    <col min="1798" max="1798" width="12.625" style="403" bestFit="1" customWidth="1"/>
    <col min="1799" max="1799" width="19.875" style="403" bestFit="1" customWidth="1"/>
    <col min="1800" max="1800" width="8.875" style="403" bestFit="1" customWidth="1"/>
    <col min="1801" max="1801" width="8.25" style="403" bestFit="1" customWidth="1"/>
    <col min="1802" max="1802" width="10.5" style="403" bestFit="1" customWidth="1"/>
    <col min="1803" max="1803" width="9" style="403" bestFit="1" customWidth="1"/>
    <col min="1804" max="1804" width="13.25" style="403" bestFit="1" customWidth="1"/>
    <col min="1805" max="1805" width="13.5" style="403" bestFit="1" customWidth="1"/>
    <col min="1806" max="1806" width="8.375" style="403" bestFit="1" customWidth="1"/>
    <col min="1807" max="1807" width="9.25" style="403" bestFit="1" customWidth="1"/>
    <col min="1808" max="2048" width="9" style="403"/>
    <col min="2049" max="2049" width="19" style="403" bestFit="1" customWidth="1"/>
    <col min="2050" max="2050" width="14" style="403" bestFit="1" customWidth="1"/>
    <col min="2051" max="2051" width="10.125" style="403" bestFit="1" customWidth="1"/>
    <col min="2052" max="2053" width="6.125" style="403" bestFit="1" customWidth="1"/>
    <col min="2054" max="2054" width="12.625" style="403" bestFit="1" customWidth="1"/>
    <col min="2055" max="2055" width="19.875" style="403" bestFit="1" customWidth="1"/>
    <col min="2056" max="2056" width="8.875" style="403" bestFit="1" customWidth="1"/>
    <col min="2057" max="2057" width="8.25" style="403" bestFit="1" customWidth="1"/>
    <col min="2058" max="2058" width="10.5" style="403" bestFit="1" customWidth="1"/>
    <col min="2059" max="2059" width="9" style="403" bestFit="1" customWidth="1"/>
    <col min="2060" max="2060" width="13.25" style="403" bestFit="1" customWidth="1"/>
    <col min="2061" max="2061" width="13.5" style="403" bestFit="1" customWidth="1"/>
    <col min="2062" max="2062" width="8.375" style="403" bestFit="1" customWidth="1"/>
    <col min="2063" max="2063" width="9.25" style="403" bestFit="1" customWidth="1"/>
    <col min="2064" max="2304" width="9" style="403"/>
    <col min="2305" max="2305" width="19" style="403" bestFit="1" customWidth="1"/>
    <col min="2306" max="2306" width="14" style="403" bestFit="1" customWidth="1"/>
    <col min="2307" max="2307" width="10.125" style="403" bestFit="1" customWidth="1"/>
    <col min="2308" max="2309" width="6.125" style="403" bestFit="1" customWidth="1"/>
    <col min="2310" max="2310" width="12.625" style="403" bestFit="1" customWidth="1"/>
    <col min="2311" max="2311" width="19.875" style="403" bestFit="1" customWidth="1"/>
    <col min="2312" max="2312" width="8.875" style="403" bestFit="1" customWidth="1"/>
    <col min="2313" max="2313" width="8.25" style="403" bestFit="1" customWidth="1"/>
    <col min="2314" max="2314" width="10.5" style="403" bestFit="1" customWidth="1"/>
    <col min="2315" max="2315" width="9" style="403" bestFit="1" customWidth="1"/>
    <col min="2316" max="2316" width="13.25" style="403" bestFit="1" customWidth="1"/>
    <col min="2317" max="2317" width="13.5" style="403" bestFit="1" customWidth="1"/>
    <col min="2318" max="2318" width="8.375" style="403" bestFit="1" customWidth="1"/>
    <col min="2319" max="2319" width="9.25" style="403" bestFit="1" customWidth="1"/>
    <col min="2320" max="2560" width="9" style="403"/>
    <col min="2561" max="2561" width="19" style="403" bestFit="1" customWidth="1"/>
    <col min="2562" max="2562" width="14" style="403" bestFit="1" customWidth="1"/>
    <col min="2563" max="2563" width="10.125" style="403" bestFit="1" customWidth="1"/>
    <col min="2564" max="2565" width="6.125" style="403" bestFit="1" customWidth="1"/>
    <col min="2566" max="2566" width="12.625" style="403" bestFit="1" customWidth="1"/>
    <col min="2567" max="2567" width="19.875" style="403" bestFit="1" customWidth="1"/>
    <col min="2568" max="2568" width="8.875" style="403" bestFit="1" customWidth="1"/>
    <col min="2569" max="2569" width="8.25" style="403" bestFit="1" customWidth="1"/>
    <col min="2570" max="2570" width="10.5" style="403" bestFit="1" customWidth="1"/>
    <col min="2571" max="2571" width="9" style="403" bestFit="1" customWidth="1"/>
    <col min="2572" max="2572" width="13.25" style="403" bestFit="1" customWidth="1"/>
    <col min="2573" max="2573" width="13.5" style="403" bestFit="1" customWidth="1"/>
    <col min="2574" max="2574" width="8.375" style="403" bestFit="1" customWidth="1"/>
    <col min="2575" max="2575" width="9.25" style="403" bestFit="1" customWidth="1"/>
    <col min="2576" max="2816" width="9" style="403"/>
    <col min="2817" max="2817" width="19" style="403" bestFit="1" customWidth="1"/>
    <col min="2818" max="2818" width="14" style="403" bestFit="1" customWidth="1"/>
    <col min="2819" max="2819" width="10.125" style="403" bestFit="1" customWidth="1"/>
    <col min="2820" max="2821" width="6.125" style="403" bestFit="1" customWidth="1"/>
    <col min="2822" max="2822" width="12.625" style="403" bestFit="1" customWidth="1"/>
    <col min="2823" max="2823" width="19.875" style="403" bestFit="1" customWidth="1"/>
    <col min="2824" max="2824" width="8.875" style="403" bestFit="1" customWidth="1"/>
    <col min="2825" max="2825" width="8.25" style="403" bestFit="1" customWidth="1"/>
    <col min="2826" max="2826" width="10.5" style="403" bestFit="1" customWidth="1"/>
    <col min="2827" max="2827" width="9" style="403" bestFit="1" customWidth="1"/>
    <col min="2828" max="2828" width="13.25" style="403" bestFit="1" customWidth="1"/>
    <col min="2829" max="2829" width="13.5" style="403" bestFit="1" customWidth="1"/>
    <col min="2830" max="2830" width="8.375" style="403" bestFit="1" customWidth="1"/>
    <col min="2831" max="2831" width="9.25" style="403" bestFit="1" customWidth="1"/>
    <col min="2832" max="3072" width="9" style="403"/>
    <col min="3073" max="3073" width="19" style="403" bestFit="1" customWidth="1"/>
    <col min="3074" max="3074" width="14" style="403" bestFit="1" customWidth="1"/>
    <col min="3075" max="3075" width="10.125" style="403" bestFit="1" customWidth="1"/>
    <col min="3076" max="3077" width="6.125" style="403" bestFit="1" customWidth="1"/>
    <col min="3078" max="3078" width="12.625" style="403" bestFit="1" customWidth="1"/>
    <col min="3079" max="3079" width="19.875" style="403" bestFit="1" customWidth="1"/>
    <col min="3080" max="3080" width="8.875" style="403" bestFit="1" customWidth="1"/>
    <col min="3081" max="3081" width="8.25" style="403" bestFit="1" customWidth="1"/>
    <col min="3082" max="3082" width="10.5" style="403" bestFit="1" customWidth="1"/>
    <col min="3083" max="3083" width="9" style="403" bestFit="1" customWidth="1"/>
    <col min="3084" max="3084" width="13.25" style="403" bestFit="1" customWidth="1"/>
    <col min="3085" max="3085" width="13.5" style="403" bestFit="1" customWidth="1"/>
    <col min="3086" max="3086" width="8.375" style="403" bestFit="1" customWidth="1"/>
    <col min="3087" max="3087" width="9.25" style="403" bestFit="1" customWidth="1"/>
    <col min="3088" max="3328" width="9" style="403"/>
    <col min="3329" max="3329" width="19" style="403" bestFit="1" customWidth="1"/>
    <col min="3330" max="3330" width="14" style="403" bestFit="1" customWidth="1"/>
    <col min="3331" max="3331" width="10.125" style="403" bestFit="1" customWidth="1"/>
    <col min="3332" max="3333" width="6.125" style="403" bestFit="1" customWidth="1"/>
    <col min="3334" max="3334" width="12.625" style="403" bestFit="1" customWidth="1"/>
    <col min="3335" max="3335" width="19.875" style="403" bestFit="1" customWidth="1"/>
    <col min="3336" max="3336" width="8.875" style="403" bestFit="1" customWidth="1"/>
    <col min="3337" max="3337" width="8.25" style="403" bestFit="1" customWidth="1"/>
    <col min="3338" max="3338" width="10.5" style="403" bestFit="1" customWidth="1"/>
    <col min="3339" max="3339" width="9" style="403" bestFit="1" customWidth="1"/>
    <col min="3340" max="3340" width="13.25" style="403" bestFit="1" customWidth="1"/>
    <col min="3341" max="3341" width="13.5" style="403" bestFit="1" customWidth="1"/>
    <col min="3342" max="3342" width="8.375" style="403" bestFit="1" customWidth="1"/>
    <col min="3343" max="3343" width="9.25" style="403" bestFit="1" customWidth="1"/>
    <col min="3344" max="3584" width="9" style="403"/>
    <col min="3585" max="3585" width="19" style="403" bestFit="1" customWidth="1"/>
    <col min="3586" max="3586" width="14" style="403" bestFit="1" customWidth="1"/>
    <col min="3587" max="3587" width="10.125" style="403" bestFit="1" customWidth="1"/>
    <col min="3588" max="3589" width="6.125" style="403" bestFit="1" customWidth="1"/>
    <col min="3590" max="3590" width="12.625" style="403" bestFit="1" customWidth="1"/>
    <col min="3591" max="3591" width="19.875" style="403" bestFit="1" customWidth="1"/>
    <col min="3592" max="3592" width="8.875" style="403" bestFit="1" customWidth="1"/>
    <col min="3593" max="3593" width="8.25" style="403" bestFit="1" customWidth="1"/>
    <col min="3594" max="3594" width="10.5" style="403" bestFit="1" customWidth="1"/>
    <col min="3595" max="3595" width="9" style="403" bestFit="1" customWidth="1"/>
    <col min="3596" max="3596" width="13.25" style="403" bestFit="1" customWidth="1"/>
    <col min="3597" max="3597" width="13.5" style="403" bestFit="1" customWidth="1"/>
    <col min="3598" max="3598" width="8.375" style="403" bestFit="1" customWidth="1"/>
    <col min="3599" max="3599" width="9.25" style="403" bestFit="1" customWidth="1"/>
    <col min="3600" max="3840" width="9" style="403"/>
    <col min="3841" max="3841" width="19" style="403" bestFit="1" customWidth="1"/>
    <col min="3842" max="3842" width="14" style="403" bestFit="1" customWidth="1"/>
    <col min="3843" max="3843" width="10.125" style="403" bestFit="1" customWidth="1"/>
    <col min="3844" max="3845" width="6.125" style="403" bestFit="1" customWidth="1"/>
    <col min="3846" max="3846" width="12.625" style="403" bestFit="1" customWidth="1"/>
    <col min="3847" max="3847" width="19.875" style="403" bestFit="1" customWidth="1"/>
    <col min="3848" max="3848" width="8.875" style="403" bestFit="1" customWidth="1"/>
    <col min="3849" max="3849" width="8.25" style="403" bestFit="1" customWidth="1"/>
    <col min="3850" max="3850" width="10.5" style="403" bestFit="1" customWidth="1"/>
    <col min="3851" max="3851" width="9" style="403" bestFit="1" customWidth="1"/>
    <col min="3852" max="3852" width="13.25" style="403" bestFit="1" customWidth="1"/>
    <col min="3853" max="3853" width="13.5" style="403" bestFit="1" customWidth="1"/>
    <col min="3854" max="3854" width="8.375" style="403" bestFit="1" customWidth="1"/>
    <col min="3855" max="3855" width="9.25" style="403" bestFit="1" customWidth="1"/>
    <col min="3856" max="4096" width="9" style="403"/>
    <col min="4097" max="4097" width="19" style="403" bestFit="1" customWidth="1"/>
    <col min="4098" max="4098" width="14" style="403" bestFit="1" customWidth="1"/>
    <col min="4099" max="4099" width="10.125" style="403" bestFit="1" customWidth="1"/>
    <col min="4100" max="4101" width="6.125" style="403" bestFit="1" customWidth="1"/>
    <col min="4102" max="4102" width="12.625" style="403" bestFit="1" customWidth="1"/>
    <col min="4103" max="4103" width="19.875" style="403" bestFit="1" customWidth="1"/>
    <col min="4104" max="4104" width="8.875" style="403" bestFit="1" customWidth="1"/>
    <col min="4105" max="4105" width="8.25" style="403" bestFit="1" customWidth="1"/>
    <col min="4106" max="4106" width="10.5" style="403" bestFit="1" customWidth="1"/>
    <col min="4107" max="4107" width="9" style="403" bestFit="1" customWidth="1"/>
    <col min="4108" max="4108" width="13.25" style="403" bestFit="1" customWidth="1"/>
    <col min="4109" max="4109" width="13.5" style="403" bestFit="1" customWidth="1"/>
    <col min="4110" max="4110" width="8.375" style="403" bestFit="1" customWidth="1"/>
    <col min="4111" max="4111" width="9.25" style="403" bestFit="1" customWidth="1"/>
    <col min="4112" max="4352" width="9" style="403"/>
    <col min="4353" max="4353" width="19" style="403" bestFit="1" customWidth="1"/>
    <col min="4354" max="4354" width="14" style="403" bestFit="1" customWidth="1"/>
    <col min="4355" max="4355" width="10.125" style="403" bestFit="1" customWidth="1"/>
    <col min="4356" max="4357" width="6.125" style="403" bestFit="1" customWidth="1"/>
    <col min="4358" max="4358" width="12.625" style="403" bestFit="1" customWidth="1"/>
    <col min="4359" max="4359" width="19.875" style="403" bestFit="1" customWidth="1"/>
    <col min="4360" max="4360" width="8.875" style="403" bestFit="1" customWidth="1"/>
    <col min="4361" max="4361" width="8.25" style="403" bestFit="1" customWidth="1"/>
    <col min="4362" max="4362" width="10.5" style="403" bestFit="1" customWidth="1"/>
    <col min="4363" max="4363" width="9" style="403" bestFit="1" customWidth="1"/>
    <col min="4364" max="4364" width="13.25" style="403" bestFit="1" customWidth="1"/>
    <col min="4365" max="4365" width="13.5" style="403" bestFit="1" customWidth="1"/>
    <col min="4366" max="4366" width="8.375" style="403" bestFit="1" customWidth="1"/>
    <col min="4367" max="4367" width="9.25" style="403" bestFit="1" customWidth="1"/>
    <col min="4368" max="4608" width="9" style="403"/>
    <col min="4609" max="4609" width="19" style="403" bestFit="1" customWidth="1"/>
    <col min="4610" max="4610" width="14" style="403" bestFit="1" customWidth="1"/>
    <col min="4611" max="4611" width="10.125" style="403" bestFit="1" customWidth="1"/>
    <col min="4612" max="4613" width="6.125" style="403" bestFit="1" customWidth="1"/>
    <col min="4614" max="4614" width="12.625" style="403" bestFit="1" customWidth="1"/>
    <col min="4615" max="4615" width="19.875" style="403" bestFit="1" customWidth="1"/>
    <col min="4616" max="4616" width="8.875" style="403" bestFit="1" customWidth="1"/>
    <col min="4617" max="4617" width="8.25" style="403" bestFit="1" customWidth="1"/>
    <col min="4618" max="4618" width="10.5" style="403" bestFit="1" customWidth="1"/>
    <col min="4619" max="4619" width="9" style="403" bestFit="1" customWidth="1"/>
    <col min="4620" max="4620" width="13.25" style="403" bestFit="1" customWidth="1"/>
    <col min="4621" max="4621" width="13.5" style="403" bestFit="1" customWidth="1"/>
    <col min="4622" max="4622" width="8.375" style="403" bestFit="1" customWidth="1"/>
    <col min="4623" max="4623" width="9.25" style="403" bestFit="1" customWidth="1"/>
    <col min="4624" max="4864" width="9" style="403"/>
    <col min="4865" max="4865" width="19" style="403" bestFit="1" customWidth="1"/>
    <col min="4866" max="4866" width="14" style="403" bestFit="1" customWidth="1"/>
    <col min="4867" max="4867" width="10.125" style="403" bestFit="1" customWidth="1"/>
    <col min="4868" max="4869" width="6.125" style="403" bestFit="1" customWidth="1"/>
    <col min="4870" max="4870" width="12.625" style="403" bestFit="1" customWidth="1"/>
    <col min="4871" max="4871" width="19.875" style="403" bestFit="1" customWidth="1"/>
    <col min="4872" max="4872" width="8.875" style="403" bestFit="1" customWidth="1"/>
    <col min="4873" max="4873" width="8.25" style="403" bestFit="1" customWidth="1"/>
    <col min="4874" max="4874" width="10.5" style="403" bestFit="1" customWidth="1"/>
    <col min="4875" max="4875" width="9" style="403" bestFit="1" customWidth="1"/>
    <col min="4876" max="4876" width="13.25" style="403" bestFit="1" customWidth="1"/>
    <col min="4877" max="4877" width="13.5" style="403" bestFit="1" customWidth="1"/>
    <col min="4878" max="4878" width="8.375" style="403" bestFit="1" customWidth="1"/>
    <col min="4879" max="4879" width="9.25" style="403" bestFit="1" customWidth="1"/>
    <col min="4880" max="5120" width="9" style="403"/>
    <col min="5121" max="5121" width="19" style="403" bestFit="1" customWidth="1"/>
    <col min="5122" max="5122" width="14" style="403" bestFit="1" customWidth="1"/>
    <col min="5123" max="5123" width="10.125" style="403" bestFit="1" customWidth="1"/>
    <col min="5124" max="5125" width="6.125" style="403" bestFit="1" customWidth="1"/>
    <col min="5126" max="5126" width="12.625" style="403" bestFit="1" customWidth="1"/>
    <col min="5127" max="5127" width="19.875" style="403" bestFit="1" customWidth="1"/>
    <col min="5128" max="5128" width="8.875" style="403" bestFit="1" customWidth="1"/>
    <col min="5129" max="5129" width="8.25" style="403" bestFit="1" customWidth="1"/>
    <col min="5130" max="5130" width="10.5" style="403" bestFit="1" customWidth="1"/>
    <col min="5131" max="5131" width="9" style="403" bestFit="1" customWidth="1"/>
    <col min="5132" max="5132" width="13.25" style="403" bestFit="1" customWidth="1"/>
    <col min="5133" max="5133" width="13.5" style="403" bestFit="1" customWidth="1"/>
    <col min="5134" max="5134" width="8.375" style="403" bestFit="1" customWidth="1"/>
    <col min="5135" max="5135" width="9.25" style="403" bestFit="1" customWidth="1"/>
    <col min="5136" max="5376" width="9" style="403"/>
    <col min="5377" max="5377" width="19" style="403" bestFit="1" customWidth="1"/>
    <col min="5378" max="5378" width="14" style="403" bestFit="1" customWidth="1"/>
    <col min="5379" max="5379" width="10.125" style="403" bestFit="1" customWidth="1"/>
    <col min="5380" max="5381" width="6.125" style="403" bestFit="1" customWidth="1"/>
    <col min="5382" max="5382" width="12.625" style="403" bestFit="1" customWidth="1"/>
    <col min="5383" max="5383" width="19.875" style="403" bestFit="1" customWidth="1"/>
    <col min="5384" max="5384" width="8.875" style="403" bestFit="1" customWidth="1"/>
    <col min="5385" max="5385" width="8.25" style="403" bestFit="1" customWidth="1"/>
    <col min="5386" max="5386" width="10.5" style="403" bestFit="1" customWidth="1"/>
    <col min="5387" max="5387" width="9" style="403" bestFit="1" customWidth="1"/>
    <col min="5388" max="5388" width="13.25" style="403" bestFit="1" customWidth="1"/>
    <col min="5389" max="5389" width="13.5" style="403" bestFit="1" customWidth="1"/>
    <col min="5390" max="5390" width="8.375" style="403" bestFit="1" customWidth="1"/>
    <col min="5391" max="5391" width="9.25" style="403" bestFit="1" customWidth="1"/>
    <col min="5392" max="5632" width="9" style="403"/>
    <col min="5633" max="5633" width="19" style="403" bestFit="1" customWidth="1"/>
    <col min="5634" max="5634" width="14" style="403" bestFit="1" customWidth="1"/>
    <col min="5635" max="5635" width="10.125" style="403" bestFit="1" customWidth="1"/>
    <col min="5636" max="5637" width="6.125" style="403" bestFit="1" customWidth="1"/>
    <col min="5638" max="5638" width="12.625" style="403" bestFit="1" customWidth="1"/>
    <col min="5639" max="5639" width="19.875" style="403" bestFit="1" customWidth="1"/>
    <col min="5640" max="5640" width="8.875" style="403" bestFit="1" customWidth="1"/>
    <col min="5641" max="5641" width="8.25" style="403" bestFit="1" customWidth="1"/>
    <col min="5642" max="5642" width="10.5" style="403" bestFit="1" customWidth="1"/>
    <col min="5643" max="5643" width="9" style="403" bestFit="1" customWidth="1"/>
    <col min="5644" max="5644" width="13.25" style="403" bestFit="1" customWidth="1"/>
    <col min="5645" max="5645" width="13.5" style="403" bestFit="1" customWidth="1"/>
    <col min="5646" max="5646" width="8.375" style="403" bestFit="1" customWidth="1"/>
    <col min="5647" max="5647" width="9.25" style="403" bestFit="1" customWidth="1"/>
    <col min="5648" max="5888" width="9" style="403"/>
    <col min="5889" max="5889" width="19" style="403" bestFit="1" customWidth="1"/>
    <col min="5890" max="5890" width="14" style="403" bestFit="1" customWidth="1"/>
    <col min="5891" max="5891" width="10.125" style="403" bestFit="1" customWidth="1"/>
    <col min="5892" max="5893" width="6.125" style="403" bestFit="1" customWidth="1"/>
    <col min="5894" max="5894" width="12.625" style="403" bestFit="1" customWidth="1"/>
    <col min="5895" max="5895" width="19.875" style="403" bestFit="1" customWidth="1"/>
    <col min="5896" max="5896" width="8.875" style="403" bestFit="1" customWidth="1"/>
    <col min="5897" max="5897" width="8.25" style="403" bestFit="1" customWidth="1"/>
    <col min="5898" max="5898" width="10.5" style="403" bestFit="1" customWidth="1"/>
    <col min="5899" max="5899" width="9" style="403" bestFit="1" customWidth="1"/>
    <col min="5900" max="5900" width="13.25" style="403" bestFit="1" customWidth="1"/>
    <col min="5901" max="5901" width="13.5" style="403" bestFit="1" customWidth="1"/>
    <col min="5902" max="5902" width="8.375" style="403" bestFit="1" customWidth="1"/>
    <col min="5903" max="5903" width="9.25" style="403" bestFit="1" customWidth="1"/>
    <col min="5904" max="6144" width="9" style="403"/>
    <col min="6145" max="6145" width="19" style="403" bestFit="1" customWidth="1"/>
    <col min="6146" max="6146" width="14" style="403" bestFit="1" customWidth="1"/>
    <col min="6147" max="6147" width="10.125" style="403" bestFit="1" customWidth="1"/>
    <col min="6148" max="6149" width="6.125" style="403" bestFit="1" customWidth="1"/>
    <col min="6150" max="6150" width="12.625" style="403" bestFit="1" customWidth="1"/>
    <col min="6151" max="6151" width="19.875" style="403" bestFit="1" customWidth="1"/>
    <col min="6152" max="6152" width="8.875" style="403" bestFit="1" customWidth="1"/>
    <col min="6153" max="6153" width="8.25" style="403" bestFit="1" customWidth="1"/>
    <col min="6154" max="6154" width="10.5" style="403" bestFit="1" customWidth="1"/>
    <col min="6155" max="6155" width="9" style="403" bestFit="1" customWidth="1"/>
    <col min="6156" max="6156" width="13.25" style="403" bestFit="1" customWidth="1"/>
    <col min="6157" max="6157" width="13.5" style="403" bestFit="1" customWidth="1"/>
    <col min="6158" max="6158" width="8.375" style="403" bestFit="1" customWidth="1"/>
    <col min="6159" max="6159" width="9.25" style="403" bestFit="1" customWidth="1"/>
    <col min="6160" max="6400" width="9" style="403"/>
    <col min="6401" max="6401" width="19" style="403" bestFit="1" customWidth="1"/>
    <col min="6402" max="6402" width="14" style="403" bestFit="1" customWidth="1"/>
    <col min="6403" max="6403" width="10.125" style="403" bestFit="1" customWidth="1"/>
    <col min="6404" max="6405" width="6.125" style="403" bestFit="1" customWidth="1"/>
    <col min="6406" max="6406" width="12.625" style="403" bestFit="1" customWidth="1"/>
    <col min="6407" max="6407" width="19.875" style="403" bestFit="1" customWidth="1"/>
    <col min="6408" max="6408" width="8.875" style="403" bestFit="1" customWidth="1"/>
    <col min="6409" max="6409" width="8.25" style="403" bestFit="1" customWidth="1"/>
    <col min="6410" max="6410" width="10.5" style="403" bestFit="1" customWidth="1"/>
    <col min="6411" max="6411" width="9" style="403" bestFit="1" customWidth="1"/>
    <col min="6412" max="6412" width="13.25" style="403" bestFit="1" customWidth="1"/>
    <col min="6413" max="6413" width="13.5" style="403" bestFit="1" customWidth="1"/>
    <col min="6414" max="6414" width="8.375" style="403" bestFit="1" customWidth="1"/>
    <col min="6415" max="6415" width="9.25" style="403" bestFit="1" customWidth="1"/>
    <col min="6416" max="6656" width="9" style="403"/>
    <col min="6657" max="6657" width="19" style="403" bestFit="1" customWidth="1"/>
    <col min="6658" max="6658" width="14" style="403" bestFit="1" customWidth="1"/>
    <col min="6659" max="6659" width="10.125" style="403" bestFit="1" customWidth="1"/>
    <col min="6660" max="6661" width="6.125" style="403" bestFit="1" customWidth="1"/>
    <col min="6662" max="6662" width="12.625" style="403" bestFit="1" customWidth="1"/>
    <col min="6663" max="6663" width="19.875" style="403" bestFit="1" customWidth="1"/>
    <col min="6664" max="6664" width="8.875" style="403" bestFit="1" customWidth="1"/>
    <col min="6665" max="6665" width="8.25" style="403" bestFit="1" customWidth="1"/>
    <col min="6666" max="6666" width="10.5" style="403" bestFit="1" customWidth="1"/>
    <col min="6667" max="6667" width="9" style="403" bestFit="1" customWidth="1"/>
    <col min="6668" max="6668" width="13.25" style="403" bestFit="1" customWidth="1"/>
    <col min="6669" max="6669" width="13.5" style="403" bestFit="1" customWidth="1"/>
    <col min="6670" max="6670" width="8.375" style="403" bestFit="1" customWidth="1"/>
    <col min="6671" max="6671" width="9.25" style="403" bestFit="1" customWidth="1"/>
    <col min="6672" max="6912" width="9" style="403"/>
    <col min="6913" max="6913" width="19" style="403" bestFit="1" customWidth="1"/>
    <col min="6914" max="6914" width="14" style="403" bestFit="1" customWidth="1"/>
    <col min="6915" max="6915" width="10.125" style="403" bestFit="1" customWidth="1"/>
    <col min="6916" max="6917" width="6.125" style="403" bestFit="1" customWidth="1"/>
    <col min="6918" max="6918" width="12.625" style="403" bestFit="1" customWidth="1"/>
    <col min="6919" max="6919" width="19.875" style="403" bestFit="1" customWidth="1"/>
    <col min="6920" max="6920" width="8.875" style="403" bestFit="1" customWidth="1"/>
    <col min="6921" max="6921" width="8.25" style="403" bestFit="1" customWidth="1"/>
    <col min="6922" max="6922" width="10.5" style="403" bestFit="1" customWidth="1"/>
    <col min="6923" max="6923" width="9" style="403" bestFit="1" customWidth="1"/>
    <col min="6924" max="6924" width="13.25" style="403" bestFit="1" customWidth="1"/>
    <col min="6925" max="6925" width="13.5" style="403" bestFit="1" customWidth="1"/>
    <col min="6926" max="6926" width="8.375" style="403" bestFit="1" customWidth="1"/>
    <col min="6927" max="6927" width="9.25" style="403" bestFit="1" customWidth="1"/>
    <col min="6928" max="7168" width="9" style="403"/>
    <col min="7169" max="7169" width="19" style="403" bestFit="1" customWidth="1"/>
    <col min="7170" max="7170" width="14" style="403" bestFit="1" customWidth="1"/>
    <col min="7171" max="7171" width="10.125" style="403" bestFit="1" customWidth="1"/>
    <col min="7172" max="7173" width="6.125" style="403" bestFit="1" customWidth="1"/>
    <col min="7174" max="7174" width="12.625" style="403" bestFit="1" customWidth="1"/>
    <col min="7175" max="7175" width="19.875" style="403" bestFit="1" customWidth="1"/>
    <col min="7176" max="7176" width="8.875" style="403" bestFit="1" customWidth="1"/>
    <col min="7177" max="7177" width="8.25" style="403" bestFit="1" customWidth="1"/>
    <col min="7178" max="7178" width="10.5" style="403" bestFit="1" customWidth="1"/>
    <col min="7179" max="7179" width="9" style="403" bestFit="1" customWidth="1"/>
    <col min="7180" max="7180" width="13.25" style="403" bestFit="1" customWidth="1"/>
    <col min="7181" max="7181" width="13.5" style="403" bestFit="1" customWidth="1"/>
    <col min="7182" max="7182" width="8.375" style="403" bestFit="1" customWidth="1"/>
    <col min="7183" max="7183" width="9.25" style="403" bestFit="1" customWidth="1"/>
    <col min="7184" max="7424" width="9" style="403"/>
    <col min="7425" max="7425" width="19" style="403" bestFit="1" customWidth="1"/>
    <col min="7426" max="7426" width="14" style="403" bestFit="1" customWidth="1"/>
    <col min="7427" max="7427" width="10.125" style="403" bestFit="1" customWidth="1"/>
    <col min="7428" max="7429" width="6.125" style="403" bestFit="1" customWidth="1"/>
    <col min="7430" max="7430" width="12.625" style="403" bestFit="1" customWidth="1"/>
    <col min="7431" max="7431" width="19.875" style="403" bestFit="1" customWidth="1"/>
    <col min="7432" max="7432" width="8.875" style="403" bestFit="1" customWidth="1"/>
    <col min="7433" max="7433" width="8.25" style="403" bestFit="1" customWidth="1"/>
    <col min="7434" max="7434" width="10.5" style="403" bestFit="1" customWidth="1"/>
    <col min="7435" max="7435" width="9" style="403" bestFit="1" customWidth="1"/>
    <col min="7436" max="7436" width="13.25" style="403" bestFit="1" customWidth="1"/>
    <col min="7437" max="7437" width="13.5" style="403" bestFit="1" customWidth="1"/>
    <col min="7438" max="7438" width="8.375" style="403" bestFit="1" customWidth="1"/>
    <col min="7439" max="7439" width="9.25" style="403" bestFit="1" customWidth="1"/>
    <col min="7440" max="7680" width="9" style="403"/>
    <col min="7681" max="7681" width="19" style="403" bestFit="1" customWidth="1"/>
    <col min="7682" max="7682" width="14" style="403" bestFit="1" customWidth="1"/>
    <col min="7683" max="7683" width="10.125" style="403" bestFit="1" customWidth="1"/>
    <col min="7684" max="7685" width="6.125" style="403" bestFit="1" customWidth="1"/>
    <col min="7686" max="7686" width="12.625" style="403" bestFit="1" customWidth="1"/>
    <col min="7687" max="7687" width="19.875" style="403" bestFit="1" customWidth="1"/>
    <col min="7688" max="7688" width="8.875" style="403" bestFit="1" customWidth="1"/>
    <col min="7689" max="7689" width="8.25" style="403" bestFit="1" customWidth="1"/>
    <col min="7690" max="7690" width="10.5" style="403" bestFit="1" customWidth="1"/>
    <col min="7691" max="7691" width="9" style="403" bestFit="1" customWidth="1"/>
    <col min="7692" max="7692" width="13.25" style="403" bestFit="1" customWidth="1"/>
    <col min="7693" max="7693" width="13.5" style="403" bestFit="1" customWidth="1"/>
    <col min="7694" max="7694" width="8.375" style="403" bestFit="1" customWidth="1"/>
    <col min="7695" max="7695" width="9.25" style="403" bestFit="1" customWidth="1"/>
    <col min="7696" max="7936" width="9" style="403"/>
    <col min="7937" max="7937" width="19" style="403" bestFit="1" customWidth="1"/>
    <col min="7938" max="7938" width="14" style="403" bestFit="1" customWidth="1"/>
    <col min="7939" max="7939" width="10.125" style="403" bestFit="1" customWidth="1"/>
    <col min="7940" max="7941" width="6.125" style="403" bestFit="1" customWidth="1"/>
    <col min="7942" max="7942" width="12.625" style="403" bestFit="1" customWidth="1"/>
    <col min="7943" max="7943" width="19.875" style="403" bestFit="1" customWidth="1"/>
    <col min="7944" max="7944" width="8.875" style="403" bestFit="1" customWidth="1"/>
    <col min="7945" max="7945" width="8.25" style="403" bestFit="1" customWidth="1"/>
    <col min="7946" max="7946" width="10.5" style="403" bestFit="1" customWidth="1"/>
    <col min="7947" max="7947" width="9" style="403" bestFit="1" customWidth="1"/>
    <col min="7948" max="7948" width="13.25" style="403" bestFit="1" customWidth="1"/>
    <col min="7949" max="7949" width="13.5" style="403" bestFit="1" customWidth="1"/>
    <col min="7950" max="7950" width="8.375" style="403" bestFit="1" customWidth="1"/>
    <col min="7951" max="7951" width="9.25" style="403" bestFit="1" customWidth="1"/>
    <col min="7952" max="8192" width="9" style="403"/>
    <col min="8193" max="8193" width="19" style="403" bestFit="1" customWidth="1"/>
    <col min="8194" max="8194" width="14" style="403" bestFit="1" customWidth="1"/>
    <col min="8195" max="8195" width="10.125" style="403" bestFit="1" customWidth="1"/>
    <col min="8196" max="8197" width="6.125" style="403" bestFit="1" customWidth="1"/>
    <col min="8198" max="8198" width="12.625" style="403" bestFit="1" customWidth="1"/>
    <col min="8199" max="8199" width="19.875" style="403" bestFit="1" customWidth="1"/>
    <col min="8200" max="8200" width="8.875" style="403" bestFit="1" customWidth="1"/>
    <col min="8201" max="8201" width="8.25" style="403" bestFit="1" customWidth="1"/>
    <col min="8202" max="8202" width="10.5" style="403" bestFit="1" customWidth="1"/>
    <col min="8203" max="8203" width="9" style="403" bestFit="1" customWidth="1"/>
    <col min="8204" max="8204" width="13.25" style="403" bestFit="1" customWidth="1"/>
    <col min="8205" max="8205" width="13.5" style="403" bestFit="1" customWidth="1"/>
    <col min="8206" max="8206" width="8.375" style="403" bestFit="1" customWidth="1"/>
    <col min="8207" max="8207" width="9.25" style="403" bestFit="1" customWidth="1"/>
    <col min="8208" max="8448" width="9" style="403"/>
    <col min="8449" max="8449" width="19" style="403" bestFit="1" customWidth="1"/>
    <col min="8450" max="8450" width="14" style="403" bestFit="1" customWidth="1"/>
    <col min="8451" max="8451" width="10.125" style="403" bestFit="1" customWidth="1"/>
    <col min="8452" max="8453" width="6.125" style="403" bestFit="1" customWidth="1"/>
    <col min="8454" max="8454" width="12.625" style="403" bestFit="1" customWidth="1"/>
    <col min="8455" max="8455" width="19.875" style="403" bestFit="1" customWidth="1"/>
    <col min="8456" max="8456" width="8.875" style="403" bestFit="1" customWidth="1"/>
    <col min="8457" max="8457" width="8.25" style="403" bestFit="1" customWidth="1"/>
    <col min="8458" max="8458" width="10.5" style="403" bestFit="1" customWidth="1"/>
    <col min="8459" max="8459" width="9" style="403" bestFit="1" customWidth="1"/>
    <col min="8460" max="8460" width="13.25" style="403" bestFit="1" customWidth="1"/>
    <col min="8461" max="8461" width="13.5" style="403" bestFit="1" customWidth="1"/>
    <col min="8462" max="8462" width="8.375" style="403" bestFit="1" customWidth="1"/>
    <col min="8463" max="8463" width="9.25" style="403" bestFit="1" customWidth="1"/>
    <col min="8464" max="8704" width="9" style="403"/>
    <col min="8705" max="8705" width="19" style="403" bestFit="1" customWidth="1"/>
    <col min="8706" max="8706" width="14" style="403" bestFit="1" customWidth="1"/>
    <col min="8707" max="8707" width="10.125" style="403" bestFit="1" customWidth="1"/>
    <col min="8708" max="8709" width="6.125" style="403" bestFit="1" customWidth="1"/>
    <col min="8710" max="8710" width="12.625" style="403" bestFit="1" customWidth="1"/>
    <col min="8711" max="8711" width="19.875" style="403" bestFit="1" customWidth="1"/>
    <col min="8712" max="8712" width="8.875" style="403" bestFit="1" customWidth="1"/>
    <col min="8713" max="8713" width="8.25" style="403" bestFit="1" customWidth="1"/>
    <col min="8714" max="8714" width="10.5" style="403" bestFit="1" customWidth="1"/>
    <col min="8715" max="8715" width="9" style="403" bestFit="1" customWidth="1"/>
    <col min="8716" max="8716" width="13.25" style="403" bestFit="1" customWidth="1"/>
    <col min="8717" max="8717" width="13.5" style="403" bestFit="1" customWidth="1"/>
    <col min="8718" max="8718" width="8.375" style="403" bestFit="1" customWidth="1"/>
    <col min="8719" max="8719" width="9.25" style="403" bestFit="1" customWidth="1"/>
    <col min="8720" max="8960" width="9" style="403"/>
    <col min="8961" max="8961" width="19" style="403" bestFit="1" customWidth="1"/>
    <col min="8962" max="8962" width="14" style="403" bestFit="1" customWidth="1"/>
    <col min="8963" max="8963" width="10.125" style="403" bestFit="1" customWidth="1"/>
    <col min="8964" max="8965" width="6.125" style="403" bestFit="1" customWidth="1"/>
    <col min="8966" max="8966" width="12.625" style="403" bestFit="1" customWidth="1"/>
    <col min="8967" max="8967" width="19.875" style="403" bestFit="1" customWidth="1"/>
    <col min="8968" max="8968" width="8.875" style="403" bestFit="1" customWidth="1"/>
    <col min="8969" max="8969" width="8.25" style="403" bestFit="1" customWidth="1"/>
    <col min="8970" max="8970" width="10.5" style="403" bestFit="1" customWidth="1"/>
    <col min="8971" max="8971" width="9" style="403" bestFit="1" customWidth="1"/>
    <col min="8972" max="8972" width="13.25" style="403" bestFit="1" customWidth="1"/>
    <col min="8973" max="8973" width="13.5" style="403" bestFit="1" customWidth="1"/>
    <col min="8974" max="8974" width="8.375" style="403" bestFit="1" customWidth="1"/>
    <col min="8975" max="8975" width="9.25" style="403" bestFit="1" customWidth="1"/>
    <col min="8976" max="9216" width="9" style="403"/>
    <col min="9217" max="9217" width="19" style="403" bestFit="1" customWidth="1"/>
    <col min="9218" max="9218" width="14" style="403" bestFit="1" customWidth="1"/>
    <col min="9219" max="9219" width="10.125" style="403" bestFit="1" customWidth="1"/>
    <col min="9220" max="9221" width="6.125" style="403" bestFit="1" customWidth="1"/>
    <col min="9222" max="9222" width="12.625" style="403" bestFit="1" customWidth="1"/>
    <col min="9223" max="9223" width="19.875" style="403" bestFit="1" customWidth="1"/>
    <col min="9224" max="9224" width="8.875" style="403" bestFit="1" customWidth="1"/>
    <col min="9225" max="9225" width="8.25" style="403" bestFit="1" customWidth="1"/>
    <col min="9226" max="9226" width="10.5" style="403" bestFit="1" customWidth="1"/>
    <col min="9227" max="9227" width="9" style="403" bestFit="1" customWidth="1"/>
    <col min="9228" max="9228" width="13.25" style="403" bestFit="1" customWidth="1"/>
    <col min="9229" max="9229" width="13.5" style="403" bestFit="1" customWidth="1"/>
    <col min="9230" max="9230" width="8.375" style="403" bestFit="1" customWidth="1"/>
    <col min="9231" max="9231" width="9.25" style="403" bestFit="1" customWidth="1"/>
    <col min="9232" max="9472" width="9" style="403"/>
    <col min="9473" max="9473" width="19" style="403" bestFit="1" customWidth="1"/>
    <col min="9474" max="9474" width="14" style="403" bestFit="1" customWidth="1"/>
    <col min="9475" max="9475" width="10.125" style="403" bestFit="1" customWidth="1"/>
    <col min="9476" max="9477" width="6.125" style="403" bestFit="1" customWidth="1"/>
    <col min="9478" max="9478" width="12.625" style="403" bestFit="1" customWidth="1"/>
    <col min="9479" max="9479" width="19.875" style="403" bestFit="1" customWidth="1"/>
    <col min="9480" max="9480" width="8.875" style="403" bestFit="1" customWidth="1"/>
    <col min="9481" max="9481" width="8.25" style="403" bestFit="1" customWidth="1"/>
    <col min="9482" max="9482" width="10.5" style="403" bestFit="1" customWidth="1"/>
    <col min="9483" max="9483" width="9" style="403" bestFit="1" customWidth="1"/>
    <col min="9484" max="9484" width="13.25" style="403" bestFit="1" customWidth="1"/>
    <col min="9485" max="9485" width="13.5" style="403" bestFit="1" customWidth="1"/>
    <col min="9486" max="9486" width="8.375" style="403" bestFit="1" customWidth="1"/>
    <col min="9487" max="9487" width="9.25" style="403" bestFit="1" customWidth="1"/>
    <col min="9488" max="9728" width="9" style="403"/>
    <col min="9729" max="9729" width="19" style="403" bestFit="1" customWidth="1"/>
    <col min="9730" max="9730" width="14" style="403" bestFit="1" customWidth="1"/>
    <col min="9731" max="9731" width="10.125" style="403" bestFit="1" customWidth="1"/>
    <col min="9732" max="9733" width="6.125" style="403" bestFit="1" customWidth="1"/>
    <col min="9734" max="9734" width="12.625" style="403" bestFit="1" customWidth="1"/>
    <col min="9735" max="9735" width="19.875" style="403" bestFit="1" customWidth="1"/>
    <col min="9736" max="9736" width="8.875" style="403" bestFit="1" customWidth="1"/>
    <col min="9737" max="9737" width="8.25" style="403" bestFit="1" customWidth="1"/>
    <col min="9738" max="9738" width="10.5" style="403" bestFit="1" customWidth="1"/>
    <col min="9739" max="9739" width="9" style="403" bestFit="1" customWidth="1"/>
    <col min="9740" max="9740" width="13.25" style="403" bestFit="1" customWidth="1"/>
    <col min="9741" max="9741" width="13.5" style="403" bestFit="1" customWidth="1"/>
    <col min="9742" max="9742" width="8.375" style="403" bestFit="1" customWidth="1"/>
    <col min="9743" max="9743" width="9.25" style="403" bestFit="1" customWidth="1"/>
    <col min="9744" max="9984" width="9" style="403"/>
    <col min="9985" max="9985" width="19" style="403" bestFit="1" customWidth="1"/>
    <col min="9986" max="9986" width="14" style="403" bestFit="1" customWidth="1"/>
    <col min="9987" max="9987" width="10.125" style="403" bestFit="1" customWidth="1"/>
    <col min="9988" max="9989" width="6.125" style="403" bestFit="1" customWidth="1"/>
    <col min="9990" max="9990" width="12.625" style="403" bestFit="1" customWidth="1"/>
    <col min="9991" max="9991" width="19.875" style="403" bestFit="1" customWidth="1"/>
    <col min="9992" max="9992" width="8.875" style="403" bestFit="1" customWidth="1"/>
    <col min="9993" max="9993" width="8.25" style="403" bestFit="1" customWidth="1"/>
    <col min="9994" max="9994" width="10.5" style="403" bestFit="1" customWidth="1"/>
    <col min="9995" max="9995" width="9" style="403" bestFit="1" customWidth="1"/>
    <col min="9996" max="9996" width="13.25" style="403" bestFit="1" customWidth="1"/>
    <col min="9997" max="9997" width="13.5" style="403" bestFit="1" customWidth="1"/>
    <col min="9998" max="9998" width="8.375" style="403" bestFit="1" customWidth="1"/>
    <col min="9999" max="9999" width="9.25" style="403" bestFit="1" customWidth="1"/>
    <col min="10000" max="10240" width="9" style="403"/>
    <col min="10241" max="10241" width="19" style="403" bestFit="1" customWidth="1"/>
    <col min="10242" max="10242" width="14" style="403" bestFit="1" customWidth="1"/>
    <col min="10243" max="10243" width="10.125" style="403" bestFit="1" customWidth="1"/>
    <col min="10244" max="10245" width="6.125" style="403" bestFit="1" customWidth="1"/>
    <col min="10246" max="10246" width="12.625" style="403" bestFit="1" customWidth="1"/>
    <col min="10247" max="10247" width="19.875" style="403" bestFit="1" customWidth="1"/>
    <col min="10248" max="10248" width="8.875" style="403" bestFit="1" customWidth="1"/>
    <col min="10249" max="10249" width="8.25" style="403" bestFit="1" customWidth="1"/>
    <col min="10250" max="10250" width="10.5" style="403" bestFit="1" customWidth="1"/>
    <col min="10251" max="10251" width="9" style="403" bestFit="1" customWidth="1"/>
    <col min="10252" max="10252" width="13.25" style="403" bestFit="1" customWidth="1"/>
    <col min="10253" max="10253" width="13.5" style="403" bestFit="1" customWidth="1"/>
    <col min="10254" max="10254" width="8.375" style="403" bestFit="1" customWidth="1"/>
    <col min="10255" max="10255" width="9.25" style="403" bestFit="1" customWidth="1"/>
    <col min="10256" max="10496" width="9" style="403"/>
    <col min="10497" max="10497" width="19" style="403" bestFit="1" customWidth="1"/>
    <col min="10498" max="10498" width="14" style="403" bestFit="1" customWidth="1"/>
    <col min="10499" max="10499" width="10.125" style="403" bestFit="1" customWidth="1"/>
    <col min="10500" max="10501" width="6.125" style="403" bestFit="1" customWidth="1"/>
    <col min="10502" max="10502" width="12.625" style="403" bestFit="1" customWidth="1"/>
    <col min="10503" max="10503" width="19.875" style="403" bestFit="1" customWidth="1"/>
    <col min="10504" max="10504" width="8.875" style="403" bestFit="1" customWidth="1"/>
    <col min="10505" max="10505" width="8.25" style="403" bestFit="1" customWidth="1"/>
    <col min="10506" max="10506" width="10.5" style="403" bestFit="1" customWidth="1"/>
    <col min="10507" max="10507" width="9" style="403" bestFit="1" customWidth="1"/>
    <col min="10508" max="10508" width="13.25" style="403" bestFit="1" customWidth="1"/>
    <col min="10509" max="10509" width="13.5" style="403" bestFit="1" customWidth="1"/>
    <col min="10510" max="10510" width="8.375" style="403" bestFit="1" customWidth="1"/>
    <col min="10511" max="10511" width="9.25" style="403" bestFit="1" customWidth="1"/>
    <col min="10512" max="10752" width="9" style="403"/>
    <col min="10753" max="10753" width="19" style="403" bestFit="1" customWidth="1"/>
    <col min="10754" max="10754" width="14" style="403" bestFit="1" customWidth="1"/>
    <col min="10755" max="10755" width="10.125" style="403" bestFit="1" customWidth="1"/>
    <col min="10756" max="10757" width="6.125" style="403" bestFit="1" customWidth="1"/>
    <col min="10758" max="10758" width="12.625" style="403" bestFit="1" customWidth="1"/>
    <col min="10759" max="10759" width="19.875" style="403" bestFit="1" customWidth="1"/>
    <col min="10760" max="10760" width="8.875" style="403" bestFit="1" customWidth="1"/>
    <col min="10761" max="10761" width="8.25" style="403" bestFit="1" customWidth="1"/>
    <col min="10762" max="10762" width="10.5" style="403" bestFit="1" customWidth="1"/>
    <col min="10763" max="10763" width="9" style="403" bestFit="1" customWidth="1"/>
    <col min="10764" max="10764" width="13.25" style="403" bestFit="1" customWidth="1"/>
    <col min="10765" max="10765" width="13.5" style="403" bestFit="1" customWidth="1"/>
    <col min="10766" max="10766" width="8.375" style="403" bestFit="1" customWidth="1"/>
    <col min="10767" max="10767" width="9.25" style="403" bestFit="1" customWidth="1"/>
    <col min="10768" max="11008" width="9" style="403"/>
    <col min="11009" max="11009" width="19" style="403" bestFit="1" customWidth="1"/>
    <col min="11010" max="11010" width="14" style="403" bestFit="1" customWidth="1"/>
    <col min="11011" max="11011" width="10.125" style="403" bestFit="1" customWidth="1"/>
    <col min="11012" max="11013" width="6.125" style="403" bestFit="1" customWidth="1"/>
    <col min="11014" max="11014" width="12.625" style="403" bestFit="1" customWidth="1"/>
    <col min="11015" max="11015" width="19.875" style="403" bestFit="1" customWidth="1"/>
    <col min="11016" max="11016" width="8.875" style="403" bestFit="1" customWidth="1"/>
    <col min="11017" max="11017" width="8.25" style="403" bestFit="1" customWidth="1"/>
    <col min="11018" max="11018" width="10.5" style="403" bestFit="1" customWidth="1"/>
    <col min="11019" max="11019" width="9" style="403" bestFit="1" customWidth="1"/>
    <col min="11020" max="11020" width="13.25" style="403" bestFit="1" customWidth="1"/>
    <col min="11021" max="11021" width="13.5" style="403" bestFit="1" customWidth="1"/>
    <col min="11022" max="11022" width="8.375" style="403" bestFit="1" customWidth="1"/>
    <col min="11023" max="11023" width="9.25" style="403" bestFit="1" customWidth="1"/>
    <col min="11024" max="11264" width="9" style="403"/>
    <col min="11265" max="11265" width="19" style="403" bestFit="1" customWidth="1"/>
    <col min="11266" max="11266" width="14" style="403" bestFit="1" customWidth="1"/>
    <col min="11267" max="11267" width="10.125" style="403" bestFit="1" customWidth="1"/>
    <col min="11268" max="11269" width="6.125" style="403" bestFit="1" customWidth="1"/>
    <col min="11270" max="11270" width="12.625" style="403" bestFit="1" customWidth="1"/>
    <col min="11271" max="11271" width="19.875" style="403" bestFit="1" customWidth="1"/>
    <col min="11272" max="11272" width="8.875" style="403" bestFit="1" customWidth="1"/>
    <col min="11273" max="11273" width="8.25" style="403" bestFit="1" customWidth="1"/>
    <col min="11274" max="11274" width="10.5" style="403" bestFit="1" customWidth="1"/>
    <col min="11275" max="11275" width="9" style="403" bestFit="1" customWidth="1"/>
    <col min="11276" max="11276" width="13.25" style="403" bestFit="1" customWidth="1"/>
    <col min="11277" max="11277" width="13.5" style="403" bestFit="1" customWidth="1"/>
    <col min="11278" max="11278" width="8.375" style="403" bestFit="1" customWidth="1"/>
    <col min="11279" max="11279" width="9.25" style="403" bestFit="1" customWidth="1"/>
    <col min="11280" max="11520" width="9" style="403"/>
    <col min="11521" max="11521" width="19" style="403" bestFit="1" customWidth="1"/>
    <col min="11522" max="11522" width="14" style="403" bestFit="1" customWidth="1"/>
    <col min="11523" max="11523" width="10.125" style="403" bestFit="1" customWidth="1"/>
    <col min="11524" max="11525" width="6.125" style="403" bestFit="1" customWidth="1"/>
    <col min="11526" max="11526" width="12.625" style="403" bestFit="1" customWidth="1"/>
    <col min="11527" max="11527" width="19.875" style="403" bestFit="1" customWidth="1"/>
    <col min="11528" max="11528" width="8.875" style="403" bestFit="1" customWidth="1"/>
    <col min="11529" max="11529" width="8.25" style="403" bestFit="1" customWidth="1"/>
    <col min="11530" max="11530" width="10.5" style="403" bestFit="1" customWidth="1"/>
    <col min="11531" max="11531" width="9" style="403" bestFit="1" customWidth="1"/>
    <col min="11532" max="11532" width="13.25" style="403" bestFit="1" customWidth="1"/>
    <col min="11533" max="11533" width="13.5" style="403" bestFit="1" customWidth="1"/>
    <col min="11534" max="11534" width="8.375" style="403" bestFit="1" customWidth="1"/>
    <col min="11535" max="11535" width="9.25" style="403" bestFit="1" customWidth="1"/>
    <col min="11536" max="11776" width="9" style="403"/>
    <col min="11777" max="11777" width="19" style="403" bestFit="1" customWidth="1"/>
    <col min="11778" max="11778" width="14" style="403" bestFit="1" customWidth="1"/>
    <col min="11779" max="11779" width="10.125" style="403" bestFit="1" customWidth="1"/>
    <col min="11780" max="11781" width="6.125" style="403" bestFit="1" customWidth="1"/>
    <col min="11782" max="11782" width="12.625" style="403" bestFit="1" customWidth="1"/>
    <col min="11783" max="11783" width="19.875" style="403" bestFit="1" customWidth="1"/>
    <col min="11784" max="11784" width="8.875" style="403" bestFit="1" customWidth="1"/>
    <col min="11785" max="11785" width="8.25" style="403" bestFit="1" customWidth="1"/>
    <col min="11786" max="11786" width="10.5" style="403" bestFit="1" customWidth="1"/>
    <col min="11787" max="11787" width="9" style="403" bestFit="1" customWidth="1"/>
    <col min="11788" max="11788" width="13.25" style="403" bestFit="1" customWidth="1"/>
    <col min="11789" max="11789" width="13.5" style="403" bestFit="1" customWidth="1"/>
    <col min="11790" max="11790" width="8.375" style="403" bestFit="1" customWidth="1"/>
    <col min="11791" max="11791" width="9.25" style="403" bestFit="1" customWidth="1"/>
    <col min="11792" max="12032" width="9" style="403"/>
    <col min="12033" max="12033" width="19" style="403" bestFit="1" customWidth="1"/>
    <col min="12034" max="12034" width="14" style="403" bestFit="1" customWidth="1"/>
    <col min="12035" max="12035" width="10.125" style="403" bestFit="1" customWidth="1"/>
    <col min="12036" max="12037" width="6.125" style="403" bestFit="1" customWidth="1"/>
    <col min="12038" max="12038" width="12.625" style="403" bestFit="1" customWidth="1"/>
    <col min="12039" max="12039" width="19.875" style="403" bestFit="1" customWidth="1"/>
    <col min="12040" max="12040" width="8.875" style="403" bestFit="1" customWidth="1"/>
    <col min="12041" max="12041" width="8.25" style="403" bestFit="1" customWidth="1"/>
    <col min="12042" max="12042" width="10.5" style="403" bestFit="1" customWidth="1"/>
    <col min="12043" max="12043" width="9" style="403" bestFit="1" customWidth="1"/>
    <col min="12044" max="12044" width="13.25" style="403" bestFit="1" customWidth="1"/>
    <col min="12045" max="12045" width="13.5" style="403" bestFit="1" customWidth="1"/>
    <col min="12046" max="12046" width="8.375" style="403" bestFit="1" customWidth="1"/>
    <col min="12047" max="12047" width="9.25" style="403" bestFit="1" customWidth="1"/>
    <col min="12048" max="12288" width="9" style="403"/>
    <col min="12289" max="12289" width="19" style="403" bestFit="1" customWidth="1"/>
    <col min="12290" max="12290" width="14" style="403" bestFit="1" customWidth="1"/>
    <col min="12291" max="12291" width="10.125" style="403" bestFit="1" customWidth="1"/>
    <col min="12292" max="12293" width="6.125" style="403" bestFit="1" customWidth="1"/>
    <col min="12294" max="12294" width="12.625" style="403" bestFit="1" customWidth="1"/>
    <col min="12295" max="12295" width="19.875" style="403" bestFit="1" customWidth="1"/>
    <col min="12296" max="12296" width="8.875" style="403" bestFit="1" customWidth="1"/>
    <col min="12297" max="12297" width="8.25" style="403" bestFit="1" customWidth="1"/>
    <col min="12298" max="12298" width="10.5" style="403" bestFit="1" customWidth="1"/>
    <col min="12299" max="12299" width="9" style="403" bestFit="1" customWidth="1"/>
    <col min="12300" max="12300" width="13.25" style="403" bestFit="1" customWidth="1"/>
    <col min="12301" max="12301" width="13.5" style="403" bestFit="1" customWidth="1"/>
    <col min="12302" max="12302" width="8.375" style="403" bestFit="1" customWidth="1"/>
    <col min="12303" max="12303" width="9.25" style="403" bestFit="1" customWidth="1"/>
    <col min="12304" max="12544" width="9" style="403"/>
    <col min="12545" max="12545" width="19" style="403" bestFit="1" customWidth="1"/>
    <col min="12546" max="12546" width="14" style="403" bestFit="1" customWidth="1"/>
    <col min="12547" max="12547" width="10.125" style="403" bestFit="1" customWidth="1"/>
    <col min="12548" max="12549" width="6.125" style="403" bestFit="1" customWidth="1"/>
    <col min="12550" max="12550" width="12.625" style="403" bestFit="1" customWidth="1"/>
    <col min="12551" max="12551" width="19.875" style="403" bestFit="1" customWidth="1"/>
    <col min="12552" max="12552" width="8.875" style="403" bestFit="1" customWidth="1"/>
    <col min="12553" max="12553" width="8.25" style="403" bestFit="1" customWidth="1"/>
    <col min="12554" max="12554" width="10.5" style="403" bestFit="1" customWidth="1"/>
    <col min="12555" max="12555" width="9" style="403" bestFit="1" customWidth="1"/>
    <col min="12556" max="12556" width="13.25" style="403" bestFit="1" customWidth="1"/>
    <col min="12557" max="12557" width="13.5" style="403" bestFit="1" customWidth="1"/>
    <col min="12558" max="12558" width="8.375" style="403" bestFit="1" customWidth="1"/>
    <col min="12559" max="12559" width="9.25" style="403" bestFit="1" customWidth="1"/>
    <col min="12560" max="12800" width="9" style="403"/>
    <col min="12801" max="12801" width="19" style="403" bestFit="1" customWidth="1"/>
    <col min="12802" max="12802" width="14" style="403" bestFit="1" customWidth="1"/>
    <col min="12803" max="12803" width="10.125" style="403" bestFit="1" customWidth="1"/>
    <col min="12804" max="12805" width="6.125" style="403" bestFit="1" customWidth="1"/>
    <col min="12806" max="12806" width="12.625" style="403" bestFit="1" customWidth="1"/>
    <col min="12807" max="12807" width="19.875" style="403" bestFit="1" customWidth="1"/>
    <col min="12808" max="12808" width="8.875" style="403" bestFit="1" customWidth="1"/>
    <col min="12809" max="12809" width="8.25" style="403" bestFit="1" customWidth="1"/>
    <col min="12810" max="12810" width="10.5" style="403" bestFit="1" customWidth="1"/>
    <col min="12811" max="12811" width="9" style="403" bestFit="1" customWidth="1"/>
    <col min="12812" max="12812" width="13.25" style="403" bestFit="1" customWidth="1"/>
    <col min="12813" max="12813" width="13.5" style="403" bestFit="1" customWidth="1"/>
    <col min="12814" max="12814" width="8.375" style="403" bestFit="1" customWidth="1"/>
    <col min="12815" max="12815" width="9.25" style="403" bestFit="1" customWidth="1"/>
    <col min="12816" max="13056" width="9" style="403"/>
    <col min="13057" max="13057" width="19" style="403" bestFit="1" customWidth="1"/>
    <col min="13058" max="13058" width="14" style="403" bestFit="1" customWidth="1"/>
    <col min="13059" max="13059" width="10.125" style="403" bestFit="1" customWidth="1"/>
    <col min="13060" max="13061" width="6.125" style="403" bestFit="1" customWidth="1"/>
    <col min="13062" max="13062" width="12.625" style="403" bestFit="1" customWidth="1"/>
    <col min="13063" max="13063" width="19.875" style="403" bestFit="1" customWidth="1"/>
    <col min="13064" max="13064" width="8.875" style="403" bestFit="1" customWidth="1"/>
    <col min="13065" max="13065" width="8.25" style="403" bestFit="1" customWidth="1"/>
    <col min="13066" max="13066" width="10.5" style="403" bestFit="1" customWidth="1"/>
    <col min="13067" max="13067" width="9" style="403" bestFit="1" customWidth="1"/>
    <col min="13068" max="13068" width="13.25" style="403" bestFit="1" customWidth="1"/>
    <col min="13069" max="13069" width="13.5" style="403" bestFit="1" customWidth="1"/>
    <col min="13070" max="13070" width="8.375" style="403" bestFit="1" customWidth="1"/>
    <col min="13071" max="13071" width="9.25" style="403" bestFit="1" customWidth="1"/>
    <col min="13072" max="13312" width="9" style="403"/>
    <col min="13313" max="13313" width="19" style="403" bestFit="1" customWidth="1"/>
    <col min="13314" max="13314" width="14" style="403" bestFit="1" customWidth="1"/>
    <col min="13315" max="13315" width="10.125" style="403" bestFit="1" customWidth="1"/>
    <col min="13316" max="13317" width="6.125" style="403" bestFit="1" customWidth="1"/>
    <col min="13318" max="13318" width="12.625" style="403" bestFit="1" customWidth="1"/>
    <col min="13319" max="13319" width="19.875" style="403" bestFit="1" customWidth="1"/>
    <col min="13320" max="13320" width="8.875" style="403" bestFit="1" customWidth="1"/>
    <col min="13321" max="13321" width="8.25" style="403" bestFit="1" customWidth="1"/>
    <col min="13322" max="13322" width="10.5" style="403" bestFit="1" customWidth="1"/>
    <col min="13323" max="13323" width="9" style="403" bestFit="1" customWidth="1"/>
    <col min="13324" max="13324" width="13.25" style="403" bestFit="1" customWidth="1"/>
    <col min="13325" max="13325" width="13.5" style="403" bestFit="1" customWidth="1"/>
    <col min="13326" max="13326" width="8.375" style="403" bestFit="1" customWidth="1"/>
    <col min="13327" max="13327" width="9.25" style="403" bestFit="1" customWidth="1"/>
    <col min="13328" max="13568" width="9" style="403"/>
    <col min="13569" max="13569" width="19" style="403" bestFit="1" customWidth="1"/>
    <col min="13570" max="13570" width="14" style="403" bestFit="1" customWidth="1"/>
    <col min="13571" max="13571" width="10.125" style="403" bestFit="1" customWidth="1"/>
    <col min="13572" max="13573" width="6.125" style="403" bestFit="1" customWidth="1"/>
    <col min="13574" max="13574" width="12.625" style="403" bestFit="1" customWidth="1"/>
    <col min="13575" max="13575" width="19.875" style="403" bestFit="1" customWidth="1"/>
    <col min="13576" max="13576" width="8.875" style="403" bestFit="1" customWidth="1"/>
    <col min="13577" max="13577" width="8.25" style="403" bestFit="1" customWidth="1"/>
    <col min="13578" max="13578" width="10.5" style="403" bestFit="1" customWidth="1"/>
    <col min="13579" max="13579" width="9" style="403" bestFit="1" customWidth="1"/>
    <col min="13580" max="13580" width="13.25" style="403" bestFit="1" customWidth="1"/>
    <col min="13581" max="13581" width="13.5" style="403" bestFit="1" customWidth="1"/>
    <col min="13582" max="13582" width="8.375" style="403" bestFit="1" customWidth="1"/>
    <col min="13583" max="13583" width="9.25" style="403" bestFit="1" customWidth="1"/>
    <col min="13584" max="13824" width="9" style="403"/>
    <col min="13825" max="13825" width="19" style="403" bestFit="1" customWidth="1"/>
    <col min="13826" max="13826" width="14" style="403" bestFit="1" customWidth="1"/>
    <col min="13827" max="13827" width="10.125" style="403" bestFit="1" customWidth="1"/>
    <col min="13828" max="13829" width="6.125" style="403" bestFit="1" customWidth="1"/>
    <col min="13830" max="13830" width="12.625" style="403" bestFit="1" customWidth="1"/>
    <col min="13831" max="13831" width="19.875" style="403" bestFit="1" customWidth="1"/>
    <col min="13832" max="13832" width="8.875" style="403" bestFit="1" customWidth="1"/>
    <col min="13833" max="13833" width="8.25" style="403" bestFit="1" customWidth="1"/>
    <col min="13834" max="13834" width="10.5" style="403" bestFit="1" customWidth="1"/>
    <col min="13835" max="13835" width="9" style="403" bestFit="1" customWidth="1"/>
    <col min="13836" max="13836" width="13.25" style="403" bestFit="1" customWidth="1"/>
    <col min="13837" max="13837" width="13.5" style="403" bestFit="1" customWidth="1"/>
    <col min="13838" max="13838" width="8.375" style="403" bestFit="1" customWidth="1"/>
    <col min="13839" max="13839" width="9.25" style="403" bestFit="1" customWidth="1"/>
    <col min="13840" max="14080" width="9" style="403"/>
    <col min="14081" max="14081" width="19" style="403" bestFit="1" customWidth="1"/>
    <col min="14082" max="14082" width="14" style="403" bestFit="1" customWidth="1"/>
    <col min="14083" max="14083" width="10.125" style="403" bestFit="1" customWidth="1"/>
    <col min="14084" max="14085" width="6.125" style="403" bestFit="1" customWidth="1"/>
    <col min="14086" max="14086" width="12.625" style="403" bestFit="1" customWidth="1"/>
    <col min="14087" max="14087" width="19.875" style="403" bestFit="1" customWidth="1"/>
    <col min="14088" max="14088" width="8.875" style="403" bestFit="1" customWidth="1"/>
    <col min="14089" max="14089" width="8.25" style="403" bestFit="1" customWidth="1"/>
    <col min="14090" max="14090" width="10.5" style="403" bestFit="1" customWidth="1"/>
    <col min="14091" max="14091" width="9" style="403" bestFit="1" customWidth="1"/>
    <col min="14092" max="14092" width="13.25" style="403" bestFit="1" customWidth="1"/>
    <col min="14093" max="14093" width="13.5" style="403" bestFit="1" customWidth="1"/>
    <col min="14094" max="14094" width="8.375" style="403" bestFit="1" customWidth="1"/>
    <col min="14095" max="14095" width="9.25" style="403" bestFit="1" customWidth="1"/>
    <col min="14096" max="14336" width="9" style="403"/>
    <col min="14337" max="14337" width="19" style="403" bestFit="1" customWidth="1"/>
    <col min="14338" max="14338" width="14" style="403" bestFit="1" customWidth="1"/>
    <col min="14339" max="14339" width="10.125" style="403" bestFit="1" customWidth="1"/>
    <col min="14340" max="14341" width="6.125" style="403" bestFit="1" customWidth="1"/>
    <col min="14342" max="14342" width="12.625" style="403" bestFit="1" customWidth="1"/>
    <col min="14343" max="14343" width="19.875" style="403" bestFit="1" customWidth="1"/>
    <col min="14344" max="14344" width="8.875" style="403" bestFit="1" customWidth="1"/>
    <col min="14345" max="14345" width="8.25" style="403" bestFit="1" customWidth="1"/>
    <col min="14346" max="14346" width="10.5" style="403" bestFit="1" customWidth="1"/>
    <col min="14347" max="14347" width="9" style="403" bestFit="1" customWidth="1"/>
    <col min="14348" max="14348" width="13.25" style="403" bestFit="1" customWidth="1"/>
    <col min="14349" max="14349" width="13.5" style="403" bestFit="1" customWidth="1"/>
    <col min="14350" max="14350" width="8.375" style="403" bestFit="1" customWidth="1"/>
    <col min="14351" max="14351" width="9.25" style="403" bestFit="1" customWidth="1"/>
    <col min="14352" max="14592" width="9" style="403"/>
    <col min="14593" max="14593" width="19" style="403" bestFit="1" customWidth="1"/>
    <col min="14594" max="14594" width="14" style="403" bestFit="1" customWidth="1"/>
    <col min="14595" max="14595" width="10.125" style="403" bestFit="1" customWidth="1"/>
    <col min="14596" max="14597" width="6.125" style="403" bestFit="1" customWidth="1"/>
    <col min="14598" max="14598" width="12.625" style="403" bestFit="1" customWidth="1"/>
    <col min="14599" max="14599" width="19.875" style="403" bestFit="1" customWidth="1"/>
    <col min="14600" max="14600" width="8.875" style="403" bestFit="1" customWidth="1"/>
    <col min="14601" max="14601" width="8.25" style="403" bestFit="1" customWidth="1"/>
    <col min="14602" max="14602" width="10.5" style="403" bestFit="1" customWidth="1"/>
    <col min="14603" max="14603" width="9" style="403" bestFit="1" customWidth="1"/>
    <col min="14604" max="14604" width="13.25" style="403" bestFit="1" customWidth="1"/>
    <col min="14605" max="14605" width="13.5" style="403" bestFit="1" customWidth="1"/>
    <col min="14606" max="14606" width="8.375" style="403" bestFit="1" customWidth="1"/>
    <col min="14607" max="14607" width="9.25" style="403" bestFit="1" customWidth="1"/>
    <col min="14608" max="14848" width="9" style="403"/>
    <col min="14849" max="14849" width="19" style="403" bestFit="1" customWidth="1"/>
    <col min="14850" max="14850" width="14" style="403" bestFit="1" customWidth="1"/>
    <col min="14851" max="14851" width="10.125" style="403" bestFit="1" customWidth="1"/>
    <col min="14852" max="14853" width="6.125" style="403" bestFit="1" customWidth="1"/>
    <col min="14854" max="14854" width="12.625" style="403" bestFit="1" customWidth="1"/>
    <col min="14855" max="14855" width="19.875" style="403" bestFit="1" customWidth="1"/>
    <col min="14856" max="14856" width="8.875" style="403" bestFit="1" customWidth="1"/>
    <col min="14857" max="14857" width="8.25" style="403" bestFit="1" customWidth="1"/>
    <col min="14858" max="14858" width="10.5" style="403" bestFit="1" customWidth="1"/>
    <col min="14859" max="14859" width="9" style="403" bestFit="1" customWidth="1"/>
    <col min="14860" max="14860" width="13.25" style="403" bestFit="1" customWidth="1"/>
    <col min="14861" max="14861" width="13.5" style="403" bestFit="1" customWidth="1"/>
    <col min="14862" max="14862" width="8.375" style="403" bestFit="1" customWidth="1"/>
    <col min="14863" max="14863" width="9.25" style="403" bestFit="1" customWidth="1"/>
    <col min="14864" max="15104" width="9" style="403"/>
    <col min="15105" max="15105" width="19" style="403" bestFit="1" customWidth="1"/>
    <col min="15106" max="15106" width="14" style="403" bestFit="1" customWidth="1"/>
    <col min="15107" max="15107" width="10.125" style="403" bestFit="1" customWidth="1"/>
    <col min="15108" max="15109" width="6.125" style="403" bestFit="1" customWidth="1"/>
    <col min="15110" max="15110" width="12.625" style="403" bestFit="1" customWidth="1"/>
    <col min="15111" max="15111" width="19.875" style="403" bestFit="1" customWidth="1"/>
    <col min="15112" max="15112" width="8.875" style="403" bestFit="1" customWidth="1"/>
    <col min="15113" max="15113" width="8.25" style="403" bestFit="1" customWidth="1"/>
    <col min="15114" max="15114" width="10.5" style="403" bestFit="1" customWidth="1"/>
    <col min="15115" max="15115" width="9" style="403" bestFit="1" customWidth="1"/>
    <col min="15116" max="15116" width="13.25" style="403" bestFit="1" customWidth="1"/>
    <col min="15117" max="15117" width="13.5" style="403" bestFit="1" customWidth="1"/>
    <col min="15118" max="15118" width="8.375" style="403" bestFit="1" customWidth="1"/>
    <col min="15119" max="15119" width="9.25" style="403" bestFit="1" customWidth="1"/>
    <col min="15120" max="15360" width="9" style="403"/>
    <col min="15361" max="15361" width="19" style="403" bestFit="1" customWidth="1"/>
    <col min="15362" max="15362" width="14" style="403" bestFit="1" customWidth="1"/>
    <col min="15363" max="15363" width="10.125" style="403" bestFit="1" customWidth="1"/>
    <col min="15364" max="15365" width="6.125" style="403" bestFit="1" customWidth="1"/>
    <col min="15366" max="15366" width="12.625" style="403" bestFit="1" customWidth="1"/>
    <col min="15367" max="15367" width="19.875" style="403" bestFit="1" customWidth="1"/>
    <col min="15368" max="15368" width="8.875" style="403" bestFit="1" customWidth="1"/>
    <col min="15369" max="15369" width="8.25" style="403" bestFit="1" customWidth="1"/>
    <col min="15370" max="15370" width="10.5" style="403" bestFit="1" customWidth="1"/>
    <col min="15371" max="15371" width="9" style="403" bestFit="1" customWidth="1"/>
    <col min="15372" max="15372" width="13.25" style="403" bestFit="1" customWidth="1"/>
    <col min="15373" max="15373" width="13.5" style="403" bestFit="1" customWidth="1"/>
    <col min="15374" max="15374" width="8.375" style="403" bestFit="1" customWidth="1"/>
    <col min="15375" max="15375" width="9.25" style="403" bestFit="1" customWidth="1"/>
    <col min="15376" max="15616" width="9" style="403"/>
    <col min="15617" max="15617" width="19" style="403" bestFit="1" customWidth="1"/>
    <col min="15618" max="15618" width="14" style="403" bestFit="1" customWidth="1"/>
    <col min="15619" max="15619" width="10.125" style="403" bestFit="1" customWidth="1"/>
    <col min="15620" max="15621" width="6.125" style="403" bestFit="1" customWidth="1"/>
    <col min="15622" max="15622" width="12.625" style="403" bestFit="1" customWidth="1"/>
    <col min="15623" max="15623" width="19.875" style="403" bestFit="1" customWidth="1"/>
    <col min="15624" max="15624" width="8.875" style="403" bestFit="1" customWidth="1"/>
    <col min="15625" max="15625" width="8.25" style="403" bestFit="1" customWidth="1"/>
    <col min="15626" max="15626" width="10.5" style="403" bestFit="1" customWidth="1"/>
    <col min="15627" max="15627" width="9" style="403" bestFit="1" customWidth="1"/>
    <col min="15628" max="15628" width="13.25" style="403" bestFit="1" customWidth="1"/>
    <col min="15629" max="15629" width="13.5" style="403" bestFit="1" customWidth="1"/>
    <col min="15630" max="15630" width="8.375" style="403" bestFit="1" customWidth="1"/>
    <col min="15631" max="15631" width="9.25" style="403" bestFit="1" customWidth="1"/>
    <col min="15632" max="15872" width="9" style="403"/>
    <col min="15873" max="15873" width="19" style="403" bestFit="1" customWidth="1"/>
    <col min="15874" max="15874" width="14" style="403" bestFit="1" customWidth="1"/>
    <col min="15875" max="15875" width="10.125" style="403" bestFit="1" customWidth="1"/>
    <col min="15876" max="15877" width="6.125" style="403" bestFit="1" customWidth="1"/>
    <col min="15878" max="15878" width="12.625" style="403" bestFit="1" customWidth="1"/>
    <col min="15879" max="15879" width="19.875" style="403" bestFit="1" customWidth="1"/>
    <col min="15880" max="15880" width="8.875" style="403" bestFit="1" customWidth="1"/>
    <col min="15881" max="15881" width="8.25" style="403" bestFit="1" customWidth="1"/>
    <col min="15882" max="15882" width="10.5" style="403" bestFit="1" customWidth="1"/>
    <col min="15883" max="15883" width="9" style="403" bestFit="1" customWidth="1"/>
    <col min="15884" max="15884" width="13.25" style="403" bestFit="1" customWidth="1"/>
    <col min="15885" max="15885" width="13.5" style="403" bestFit="1" customWidth="1"/>
    <col min="15886" max="15886" width="8.375" style="403" bestFit="1" customWidth="1"/>
    <col min="15887" max="15887" width="9.25" style="403" bestFit="1" customWidth="1"/>
    <col min="15888" max="16128" width="9" style="403"/>
    <col min="16129" max="16129" width="19" style="403" bestFit="1" customWidth="1"/>
    <col min="16130" max="16130" width="14" style="403" bestFit="1" customWidth="1"/>
    <col min="16131" max="16131" width="10.125" style="403" bestFit="1" customWidth="1"/>
    <col min="16132" max="16133" width="6.125" style="403" bestFit="1" customWidth="1"/>
    <col min="16134" max="16134" width="12.625" style="403" bestFit="1" customWidth="1"/>
    <col min="16135" max="16135" width="19.875" style="403" bestFit="1" customWidth="1"/>
    <col min="16136" max="16136" width="8.875" style="403" bestFit="1" customWidth="1"/>
    <col min="16137" max="16137" width="8.25" style="403" bestFit="1" customWidth="1"/>
    <col min="16138" max="16138" width="10.5" style="403" bestFit="1" customWidth="1"/>
    <col min="16139" max="16139" width="9" style="403" bestFit="1" customWidth="1"/>
    <col min="16140" max="16140" width="13.25" style="403" bestFit="1" customWidth="1"/>
    <col min="16141" max="16141" width="13.5" style="403" bestFit="1" customWidth="1"/>
    <col min="16142" max="16142" width="8.375" style="403" bestFit="1" customWidth="1"/>
    <col min="16143" max="16143" width="9.25" style="403" bestFit="1" customWidth="1"/>
    <col min="16144" max="16384" width="9" style="403"/>
  </cols>
  <sheetData>
    <row r="1" spans="1:15" ht="28.5" x14ac:dyDescent="0.2">
      <c r="A1" s="403" t="s">
        <v>2158</v>
      </c>
      <c r="B1" s="403" t="s">
        <v>2159</v>
      </c>
      <c r="C1" s="403" t="s">
        <v>2160</v>
      </c>
      <c r="D1" s="403" t="s">
        <v>2161</v>
      </c>
      <c r="E1" s="403" t="s">
        <v>2162</v>
      </c>
      <c r="F1" s="403" t="s">
        <v>2163</v>
      </c>
      <c r="G1" s="403" t="s">
        <v>2164</v>
      </c>
      <c r="H1" s="403" t="s">
        <v>2165</v>
      </c>
      <c r="I1" s="403" t="s">
        <v>2166</v>
      </c>
      <c r="J1" s="404" t="s">
        <v>2167</v>
      </c>
      <c r="K1" s="404" t="s">
        <v>2168</v>
      </c>
      <c r="L1" s="403" t="s">
        <v>2169</v>
      </c>
      <c r="M1" s="403" t="s">
        <v>2170</v>
      </c>
      <c r="N1" s="403" t="s">
        <v>2171</v>
      </c>
      <c r="O1" s="403" t="s">
        <v>2172</v>
      </c>
    </row>
    <row r="2" spans="1:15" hidden="1" x14ac:dyDescent="0.2">
      <c r="A2" s="403">
        <v>190077</v>
      </c>
      <c r="B2" s="403" t="s">
        <v>2173</v>
      </c>
      <c r="C2" s="403" t="s">
        <v>2174</v>
      </c>
      <c r="D2" s="403" t="s">
        <v>2175</v>
      </c>
      <c r="E2" s="405">
        <v>2000</v>
      </c>
      <c r="F2" s="403" t="s">
        <v>2176</v>
      </c>
      <c r="G2" s="403" t="s">
        <v>2177</v>
      </c>
      <c r="H2" s="403">
        <v>206</v>
      </c>
      <c r="I2" s="403">
        <v>206</v>
      </c>
      <c r="J2" s="406">
        <f t="shared" ref="J2:J65" si="0">I2/E2</f>
        <v>0.10299999999999999</v>
      </c>
      <c r="K2" s="403">
        <v>1.0940000000000001</v>
      </c>
      <c r="L2" s="407">
        <v>142415920914</v>
      </c>
      <c r="M2" s="403" t="s">
        <v>2178</v>
      </c>
      <c r="O2" s="403">
        <v>85447000</v>
      </c>
    </row>
    <row r="3" spans="1:15" hidden="1" x14ac:dyDescent="0.2">
      <c r="A3" s="403">
        <v>190077</v>
      </c>
      <c r="B3" s="403" t="s">
        <v>2173</v>
      </c>
      <c r="C3" s="403" t="s">
        <v>2179</v>
      </c>
      <c r="D3" s="403" t="s">
        <v>2175</v>
      </c>
      <c r="E3" s="405">
        <v>2000</v>
      </c>
      <c r="F3" s="403" t="s">
        <v>2176</v>
      </c>
      <c r="G3" s="403" t="s">
        <v>2177</v>
      </c>
      <c r="H3" s="403">
        <v>206</v>
      </c>
      <c r="I3" s="403">
        <v>206</v>
      </c>
      <c r="J3" s="406">
        <f t="shared" si="0"/>
        <v>0.10299999999999999</v>
      </c>
      <c r="K3" s="403">
        <v>1.0940000000000001</v>
      </c>
      <c r="L3" s="407">
        <v>142415920914</v>
      </c>
      <c r="M3" s="403" t="s">
        <v>2178</v>
      </c>
      <c r="O3" s="403">
        <v>85447000</v>
      </c>
    </row>
    <row r="4" spans="1:15" x14ac:dyDescent="0.2">
      <c r="A4" s="403">
        <v>191454</v>
      </c>
      <c r="B4" s="403" t="s">
        <v>2173</v>
      </c>
      <c r="C4" s="403" t="s">
        <v>2180</v>
      </c>
      <c r="D4" s="403" t="s">
        <v>2175</v>
      </c>
      <c r="E4" s="405">
        <v>7000</v>
      </c>
      <c r="F4" s="403" t="s">
        <v>2181</v>
      </c>
      <c r="G4" s="403" t="s">
        <v>2182</v>
      </c>
      <c r="H4" s="403">
        <v>378</v>
      </c>
      <c r="I4" s="403">
        <v>378</v>
      </c>
      <c r="J4" s="406">
        <f t="shared" si="0"/>
        <v>5.3999999999999999E-2</v>
      </c>
      <c r="K4" s="403">
        <v>1.0289999999999999</v>
      </c>
      <c r="L4" s="407">
        <v>142415920914</v>
      </c>
      <c r="M4" s="403" t="s">
        <v>2178</v>
      </c>
      <c r="O4" s="403">
        <v>85444921</v>
      </c>
    </row>
    <row r="5" spans="1:15" hidden="1" x14ac:dyDescent="0.2">
      <c r="A5" s="403">
        <v>190355</v>
      </c>
      <c r="B5" s="403" t="s">
        <v>2173</v>
      </c>
      <c r="C5" s="403" t="s">
        <v>2183</v>
      </c>
      <c r="D5" s="403" t="s">
        <v>2175</v>
      </c>
      <c r="E5" s="405">
        <v>1000</v>
      </c>
      <c r="F5" s="403" t="s">
        <v>2184</v>
      </c>
      <c r="G5" s="403" t="s">
        <v>2177</v>
      </c>
      <c r="H5" s="403">
        <v>81</v>
      </c>
      <c r="I5" s="403">
        <v>81</v>
      </c>
      <c r="J5" s="406">
        <f t="shared" si="0"/>
        <v>8.1000000000000003E-2</v>
      </c>
      <c r="K5" s="403">
        <v>0.47</v>
      </c>
      <c r="L5" s="407">
        <v>142415920914</v>
      </c>
      <c r="M5" s="403" t="s">
        <v>2178</v>
      </c>
      <c r="O5" s="403">
        <v>85447000</v>
      </c>
    </row>
    <row r="6" spans="1:15" hidden="1" x14ac:dyDescent="0.2">
      <c r="A6" s="403">
        <v>1411153</v>
      </c>
      <c r="B6" s="403" t="s">
        <v>2173</v>
      </c>
      <c r="C6" s="403" t="s">
        <v>2185</v>
      </c>
      <c r="D6" s="403" t="s">
        <v>2186</v>
      </c>
      <c r="E6" s="403">
        <v>600</v>
      </c>
      <c r="F6" s="403" t="s">
        <v>2187</v>
      </c>
      <c r="G6" s="403" t="s">
        <v>2188</v>
      </c>
      <c r="H6" s="403">
        <v>2</v>
      </c>
      <c r="I6" s="403">
        <v>1.8</v>
      </c>
      <c r="J6" s="406">
        <f t="shared" si="0"/>
        <v>3.0000000000000001E-3</v>
      </c>
      <c r="K6" s="403">
        <v>2.8799999999999999E-2</v>
      </c>
      <c r="L6" s="407">
        <v>142415775185</v>
      </c>
      <c r="M6" s="403" t="s">
        <v>2189</v>
      </c>
      <c r="N6" s="403" t="s">
        <v>2190</v>
      </c>
      <c r="O6" s="403">
        <v>85369010</v>
      </c>
    </row>
    <row r="7" spans="1:15" hidden="1" x14ac:dyDescent="0.2">
      <c r="A7" s="403">
        <v>191251</v>
      </c>
      <c r="B7" s="403" t="s">
        <v>2173</v>
      </c>
      <c r="C7" s="403" t="s">
        <v>2191</v>
      </c>
      <c r="D7" s="403" t="s">
        <v>2175</v>
      </c>
      <c r="E7" s="405">
        <v>10000</v>
      </c>
      <c r="F7" s="403" t="s">
        <v>2184</v>
      </c>
      <c r="G7" s="403" t="s">
        <v>2192</v>
      </c>
      <c r="H7" s="403">
        <v>77</v>
      </c>
      <c r="I7" s="403">
        <v>76.713999999999999</v>
      </c>
      <c r="J7" s="406">
        <f t="shared" si="0"/>
        <v>7.6714000000000001E-3</v>
      </c>
      <c r="K7" s="403">
        <v>2.02</v>
      </c>
      <c r="L7" s="407">
        <v>142415938312</v>
      </c>
      <c r="M7" s="403" t="s">
        <v>2178</v>
      </c>
      <c r="O7" s="403">
        <v>85447000</v>
      </c>
    </row>
    <row r="8" spans="1:15" hidden="1" x14ac:dyDescent="0.2">
      <c r="A8" s="403">
        <v>148833</v>
      </c>
      <c r="B8" s="403" t="s">
        <v>2173</v>
      </c>
      <c r="C8" s="403" t="s">
        <v>2193</v>
      </c>
      <c r="D8" s="403" t="s">
        <v>2175</v>
      </c>
      <c r="E8" s="405">
        <v>1000</v>
      </c>
      <c r="F8" s="403" t="s">
        <v>2184</v>
      </c>
      <c r="G8" s="403" t="s">
        <v>2177</v>
      </c>
      <c r="H8" s="403">
        <v>608</v>
      </c>
      <c r="I8" s="403">
        <v>607.5</v>
      </c>
      <c r="J8" s="406">
        <f t="shared" si="0"/>
        <v>0.60750000000000004</v>
      </c>
      <c r="K8" s="403">
        <v>1.62</v>
      </c>
      <c r="L8" s="407">
        <v>142414888910</v>
      </c>
      <c r="M8" s="403" t="s">
        <v>2194</v>
      </c>
      <c r="N8" s="403" t="s">
        <v>2190</v>
      </c>
      <c r="O8" s="403">
        <v>85444910</v>
      </c>
    </row>
    <row r="9" spans="1:15" hidden="1" x14ac:dyDescent="0.2">
      <c r="A9" s="403">
        <v>427721</v>
      </c>
      <c r="B9" s="403" t="s">
        <v>2173</v>
      </c>
      <c r="C9" s="403" t="s">
        <v>2195</v>
      </c>
      <c r="D9" s="403" t="s">
        <v>2186</v>
      </c>
      <c r="E9" s="403">
        <v>33</v>
      </c>
      <c r="F9" s="403" t="s">
        <v>2196</v>
      </c>
      <c r="G9" s="403" t="s">
        <v>2197</v>
      </c>
      <c r="H9" s="403">
        <v>0</v>
      </c>
      <c r="I9" s="403">
        <v>0.43099999999999999</v>
      </c>
      <c r="J9" s="406">
        <f t="shared" si="0"/>
        <v>1.3060606060606061E-2</v>
      </c>
      <c r="K9" s="403">
        <v>2.2769999999999999E-3</v>
      </c>
      <c r="L9" s="407">
        <v>3020399876116</v>
      </c>
      <c r="M9" s="403" t="s">
        <v>2194</v>
      </c>
      <c r="N9" s="403" t="s">
        <v>2190</v>
      </c>
      <c r="O9" s="403">
        <v>85447000</v>
      </c>
    </row>
    <row r="10" spans="1:15" hidden="1" x14ac:dyDescent="0.2">
      <c r="A10" s="403">
        <v>185862</v>
      </c>
      <c r="B10" s="403" t="s">
        <v>2173</v>
      </c>
      <c r="C10" s="403" t="s">
        <v>2198</v>
      </c>
      <c r="D10" s="403" t="s">
        <v>2186</v>
      </c>
      <c r="E10" s="403">
        <v>4</v>
      </c>
      <c r="F10" s="403" t="s">
        <v>2199</v>
      </c>
      <c r="G10" s="403" t="s">
        <v>2200</v>
      </c>
      <c r="H10" s="403">
        <v>0</v>
      </c>
      <c r="I10" s="403">
        <v>0.21199999999999999</v>
      </c>
      <c r="J10" s="406">
        <f t="shared" si="0"/>
        <v>5.2999999999999999E-2</v>
      </c>
      <c r="K10" s="403">
        <v>9.7999999999999997E-4</v>
      </c>
      <c r="L10" s="407">
        <v>142611826103</v>
      </c>
      <c r="M10" s="403" t="s">
        <v>2178</v>
      </c>
      <c r="N10" s="403" t="s">
        <v>2190</v>
      </c>
      <c r="O10" s="403">
        <v>85444210</v>
      </c>
    </row>
    <row r="11" spans="1:15" hidden="1" x14ac:dyDescent="0.2">
      <c r="A11" s="403">
        <v>653512</v>
      </c>
      <c r="B11" s="403" t="s">
        <v>2173</v>
      </c>
      <c r="C11" s="403" t="s">
        <v>2201</v>
      </c>
      <c r="D11" s="403" t="s">
        <v>2186</v>
      </c>
      <c r="E11" s="403">
        <v>107</v>
      </c>
      <c r="F11" s="403" t="s">
        <v>2202</v>
      </c>
      <c r="G11" s="403" t="s">
        <v>2203</v>
      </c>
      <c r="H11" s="403">
        <v>15</v>
      </c>
      <c r="I11" s="403">
        <v>14.98</v>
      </c>
      <c r="J11" s="406">
        <f t="shared" si="0"/>
        <v>0.14000000000000001</v>
      </c>
      <c r="K11" s="403">
        <v>5.6495999999999998E-2</v>
      </c>
      <c r="L11" s="407">
        <v>142612160043</v>
      </c>
      <c r="M11" s="403" t="s">
        <v>2204</v>
      </c>
      <c r="N11" s="403" t="s">
        <v>2190</v>
      </c>
      <c r="O11" s="403">
        <v>85444211</v>
      </c>
    </row>
    <row r="12" spans="1:15" hidden="1" x14ac:dyDescent="0.2">
      <c r="A12" s="403">
        <v>4000611</v>
      </c>
      <c r="B12" s="403" t="s">
        <v>2173</v>
      </c>
      <c r="C12" s="403" t="s">
        <v>2205</v>
      </c>
      <c r="D12" s="403" t="s">
        <v>2206</v>
      </c>
      <c r="E12" s="403">
        <v>1</v>
      </c>
      <c r="F12" s="403" t="s">
        <v>2207</v>
      </c>
      <c r="G12" s="403" t="s">
        <v>2208</v>
      </c>
      <c r="H12" s="403">
        <v>130</v>
      </c>
      <c r="I12" s="403">
        <v>130</v>
      </c>
      <c r="J12" s="406">
        <f t="shared" si="0"/>
        <v>130</v>
      </c>
      <c r="K12" s="403">
        <v>1.426023</v>
      </c>
      <c r="L12" s="407">
        <v>142415880145</v>
      </c>
      <c r="M12" s="403" t="s">
        <v>2194</v>
      </c>
      <c r="N12" s="403" t="s">
        <v>2190</v>
      </c>
      <c r="O12" s="403">
        <v>85371000</v>
      </c>
    </row>
    <row r="13" spans="1:15" hidden="1" x14ac:dyDescent="0.2">
      <c r="A13" s="403">
        <v>191032</v>
      </c>
      <c r="B13" s="403" t="s">
        <v>2173</v>
      </c>
      <c r="C13" s="403" t="s">
        <v>2209</v>
      </c>
      <c r="D13" s="403" t="s">
        <v>2175</v>
      </c>
      <c r="E13" s="405">
        <v>1000</v>
      </c>
      <c r="F13" s="403" t="s">
        <v>2184</v>
      </c>
      <c r="G13" s="403" t="s">
        <v>2177</v>
      </c>
      <c r="H13" s="403">
        <v>405</v>
      </c>
      <c r="I13" s="403">
        <v>405.14</v>
      </c>
      <c r="J13" s="406">
        <f t="shared" si="0"/>
        <v>0.40514</v>
      </c>
      <c r="K13" s="403">
        <v>1.5840000000000001</v>
      </c>
      <c r="L13" s="407">
        <v>142415938312</v>
      </c>
      <c r="M13" s="403" t="s">
        <v>2210</v>
      </c>
      <c r="O13" s="403">
        <v>85444991</v>
      </c>
    </row>
    <row r="14" spans="1:15" hidden="1" x14ac:dyDescent="0.2">
      <c r="A14" s="403">
        <v>191453</v>
      </c>
      <c r="B14" s="403" t="s">
        <v>2173</v>
      </c>
      <c r="C14" s="403" t="s">
        <v>2211</v>
      </c>
      <c r="D14" s="403" t="s">
        <v>2175</v>
      </c>
      <c r="E14" s="405">
        <v>12000</v>
      </c>
      <c r="F14" s="403" t="s">
        <v>2181</v>
      </c>
      <c r="G14" s="403" t="s">
        <v>2212</v>
      </c>
      <c r="H14" s="403">
        <v>648</v>
      </c>
      <c r="I14" s="403">
        <v>648</v>
      </c>
      <c r="J14" s="406">
        <f t="shared" si="0"/>
        <v>5.3999999999999999E-2</v>
      </c>
      <c r="K14" s="403">
        <v>1.764</v>
      </c>
      <c r="L14" s="407">
        <v>142415938312</v>
      </c>
      <c r="M14" s="403" t="s">
        <v>2178</v>
      </c>
      <c r="O14" s="403">
        <v>85444921</v>
      </c>
    </row>
    <row r="15" spans="1:15" hidden="1" x14ac:dyDescent="0.2">
      <c r="A15" s="403">
        <v>240604</v>
      </c>
      <c r="B15" s="403" t="s">
        <v>2173</v>
      </c>
      <c r="C15" s="403" t="s">
        <v>2195</v>
      </c>
      <c r="D15" s="403" t="s">
        <v>2186</v>
      </c>
      <c r="E15" s="403">
        <v>66</v>
      </c>
      <c r="F15" s="403" t="s">
        <v>2213</v>
      </c>
      <c r="G15" s="403" t="s">
        <v>2214</v>
      </c>
      <c r="H15" s="403">
        <v>4</v>
      </c>
      <c r="I15" s="403">
        <v>4.125</v>
      </c>
      <c r="J15" s="406">
        <f t="shared" si="0"/>
        <v>6.25E-2</v>
      </c>
      <c r="K15" s="403">
        <v>2.3231999999999999E-2</v>
      </c>
      <c r="L15" s="407">
        <v>142414784547</v>
      </c>
      <c r="M15" s="403" t="s">
        <v>2194</v>
      </c>
      <c r="N15" s="403" t="s">
        <v>2190</v>
      </c>
      <c r="O15" s="403">
        <v>39269099</v>
      </c>
    </row>
    <row r="16" spans="1:15" hidden="1" x14ac:dyDescent="0.2">
      <c r="A16" s="403">
        <v>240642</v>
      </c>
      <c r="B16" s="403" t="s">
        <v>2173</v>
      </c>
      <c r="C16" s="403" t="s">
        <v>2215</v>
      </c>
      <c r="D16" s="403" t="s">
        <v>2186</v>
      </c>
      <c r="E16" s="403">
        <v>500</v>
      </c>
      <c r="F16" s="403" t="s">
        <v>2199</v>
      </c>
      <c r="G16" s="403" t="s">
        <v>2216</v>
      </c>
      <c r="H16" s="403">
        <v>34</v>
      </c>
      <c r="I16" s="403">
        <v>34</v>
      </c>
      <c r="J16" s="406">
        <f t="shared" si="0"/>
        <v>6.8000000000000005E-2</v>
      </c>
      <c r="K16" s="403">
        <v>0.26250000000000001</v>
      </c>
      <c r="L16" s="407">
        <v>142414908756</v>
      </c>
      <c r="M16" s="403" t="s">
        <v>2194</v>
      </c>
      <c r="N16" s="403" t="s">
        <v>2190</v>
      </c>
      <c r="O16" s="403">
        <v>39269099</v>
      </c>
    </row>
    <row r="17" spans="1:15" hidden="1" x14ac:dyDescent="0.2">
      <c r="A17" s="403">
        <v>4000611</v>
      </c>
      <c r="B17" s="403" t="s">
        <v>2173</v>
      </c>
      <c r="C17" s="403" t="s">
        <v>2217</v>
      </c>
      <c r="D17" s="403" t="s">
        <v>2206</v>
      </c>
      <c r="E17" s="403">
        <v>1</v>
      </c>
      <c r="F17" s="403" t="s">
        <v>2207</v>
      </c>
      <c r="G17" s="403" t="s">
        <v>2208</v>
      </c>
      <c r="H17" s="403">
        <v>130</v>
      </c>
      <c r="I17" s="403">
        <v>130</v>
      </c>
      <c r="J17" s="406">
        <f t="shared" si="0"/>
        <v>130</v>
      </c>
      <c r="K17" s="403">
        <v>1.426023</v>
      </c>
      <c r="L17" s="407">
        <v>142415880145</v>
      </c>
      <c r="M17" s="403" t="s">
        <v>2194</v>
      </c>
      <c r="N17" s="403" t="s">
        <v>2190</v>
      </c>
      <c r="O17" s="403">
        <v>85371000</v>
      </c>
    </row>
    <row r="18" spans="1:15" hidden="1" x14ac:dyDescent="0.2">
      <c r="A18" s="403">
        <v>418515</v>
      </c>
      <c r="B18" s="403" t="s">
        <v>2173</v>
      </c>
      <c r="C18" s="403" t="s">
        <v>2195</v>
      </c>
      <c r="D18" s="403" t="s">
        <v>2186</v>
      </c>
      <c r="E18" s="403">
        <v>600</v>
      </c>
      <c r="F18" s="403" t="s">
        <v>2218</v>
      </c>
      <c r="G18" s="403" t="s">
        <v>2219</v>
      </c>
      <c r="H18" s="403">
        <v>3</v>
      </c>
      <c r="I18" s="403">
        <v>2.88</v>
      </c>
      <c r="J18" s="406">
        <f t="shared" si="0"/>
        <v>4.7999999999999996E-3</v>
      </c>
      <c r="K18" s="403">
        <v>1.6799999999999999E-2</v>
      </c>
      <c r="L18" s="407">
        <v>142415898111</v>
      </c>
      <c r="M18" s="403" t="s">
        <v>2194</v>
      </c>
      <c r="N18" s="403" t="s">
        <v>2190</v>
      </c>
      <c r="O18" s="403">
        <v>85367000</v>
      </c>
    </row>
    <row r="19" spans="1:15" hidden="1" x14ac:dyDescent="0.2">
      <c r="A19" s="403">
        <v>415233</v>
      </c>
      <c r="B19" s="403" t="s">
        <v>2173</v>
      </c>
      <c r="C19" s="403" t="s">
        <v>2220</v>
      </c>
      <c r="D19" s="403" t="s">
        <v>2186</v>
      </c>
      <c r="E19" s="403">
        <v>2</v>
      </c>
      <c r="F19" s="403" t="s">
        <v>2221</v>
      </c>
      <c r="G19" s="403" t="s">
        <v>2219</v>
      </c>
      <c r="H19" s="403">
        <v>9</v>
      </c>
      <c r="I19" s="403">
        <v>8.6999999999999993</v>
      </c>
      <c r="J19" s="406">
        <f t="shared" si="0"/>
        <v>4.3499999999999996</v>
      </c>
      <c r="K19" s="403">
        <v>0.89298</v>
      </c>
      <c r="L19" s="407">
        <v>142415110816</v>
      </c>
      <c r="M19" s="403" t="s">
        <v>2189</v>
      </c>
      <c r="N19" s="403" t="s">
        <v>2190</v>
      </c>
      <c r="O19" s="403">
        <v>85369010</v>
      </c>
    </row>
    <row r="20" spans="1:15" hidden="1" x14ac:dyDescent="0.2">
      <c r="A20" s="403">
        <v>4000611</v>
      </c>
      <c r="B20" s="403" t="s">
        <v>2173</v>
      </c>
      <c r="C20" s="403" t="s">
        <v>2222</v>
      </c>
      <c r="D20" s="403" t="s">
        <v>2206</v>
      </c>
      <c r="E20" s="403">
        <v>1</v>
      </c>
      <c r="F20" s="403" t="s">
        <v>2207</v>
      </c>
      <c r="G20" s="403" t="s">
        <v>2208</v>
      </c>
      <c r="H20" s="403">
        <v>130</v>
      </c>
      <c r="I20" s="403">
        <v>130</v>
      </c>
      <c r="J20" s="406">
        <f t="shared" si="0"/>
        <v>130</v>
      </c>
      <c r="K20" s="403">
        <v>1.426023</v>
      </c>
      <c r="L20" s="407">
        <v>142415880145</v>
      </c>
      <c r="M20" s="403" t="s">
        <v>2194</v>
      </c>
      <c r="N20" s="403" t="s">
        <v>2190</v>
      </c>
      <c r="O20" s="403">
        <v>85371000</v>
      </c>
    </row>
    <row r="21" spans="1:15" hidden="1" x14ac:dyDescent="0.2">
      <c r="A21" s="403">
        <v>240563</v>
      </c>
      <c r="B21" s="403" t="s">
        <v>2173</v>
      </c>
      <c r="C21" s="403" t="s">
        <v>2223</v>
      </c>
      <c r="D21" s="403" t="s">
        <v>2175</v>
      </c>
      <c r="E21" s="405">
        <v>9150</v>
      </c>
      <c r="F21" s="403" t="s">
        <v>2224</v>
      </c>
      <c r="G21" s="403" t="s">
        <v>2225</v>
      </c>
      <c r="H21" s="403">
        <v>384</v>
      </c>
      <c r="I21" s="403">
        <v>384.3</v>
      </c>
      <c r="J21" s="406">
        <f t="shared" si="0"/>
        <v>4.2000000000000003E-2</v>
      </c>
      <c r="K21" s="403">
        <v>1.1346000000000001</v>
      </c>
      <c r="L21" s="407">
        <v>142415784924</v>
      </c>
      <c r="M21" s="403" t="s">
        <v>2194</v>
      </c>
      <c r="N21" s="403" t="s">
        <v>2190</v>
      </c>
      <c r="O21" s="403">
        <v>85442090</v>
      </c>
    </row>
    <row r="22" spans="1:15" hidden="1" x14ac:dyDescent="0.2">
      <c r="A22" s="403">
        <v>240563</v>
      </c>
      <c r="B22" s="403" t="s">
        <v>2173</v>
      </c>
      <c r="C22" s="403" t="s">
        <v>2226</v>
      </c>
      <c r="D22" s="403" t="s">
        <v>2175</v>
      </c>
      <c r="E22" s="405">
        <v>9150</v>
      </c>
      <c r="F22" s="403" t="s">
        <v>2224</v>
      </c>
      <c r="G22" s="403" t="s">
        <v>2225</v>
      </c>
      <c r="H22" s="403">
        <v>384</v>
      </c>
      <c r="I22" s="403">
        <v>384.3</v>
      </c>
      <c r="J22" s="406">
        <f t="shared" si="0"/>
        <v>4.2000000000000003E-2</v>
      </c>
      <c r="K22" s="403">
        <v>1.1346000000000001</v>
      </c>
      <c r="L22" s="407">
        <v>142415784924</v>
      </c>
      <c r="M22" s="403" t="s">
        <v>2194</v>
      </c>
      <c r="N22" s="403" t="s">
        <v>2190</v>
      </c>
      <c r="O22" s="403">
        <v>85442090</v>
      </c>
    </row>
    <row r="23" spans="1:15" hidden="1" x14ac:dyDescent="0.2">
      <c r="A23" s="403">
        <v>240563</v>
      </c>
      <c r="B23" s="403" t="s">
        <v>2173</v>
      </c>
      <c r="C23" s="403" t="s">
        <v>2227</v>
      </c>
      <c r="D23" s="403" t="s">
        <v>2175</v>
      </c>
      <c r="E23" s="405">
        <v>9150</v>
      </c>
      <c r="F23" s="403" t="s">
        <v>2224</v>
      </c>
      <c r="G23" s="403" t="s">
        <v>2225</v>
      </c>
      <c r="H23" s="403">
        <v>384</v>
      </c>
      <c r="I23" s="403">
        <v>384.3</v>
      </c>
      <c r="J23" s="406">
        <f t="shared" si="0"/>
        <v>4.2000000000000003E-2</v>
      </c>
      <c r="K23" s="403">
        <v>1.1346000000000001</v>
      </c>
      <c r="L23" s="407">
        <v>142415758139</v>
      </c>
      <c r="M23" s="403" t="s">
        <v>2194</v>
      </c>
      <c r="N23" s="403" t="s">
        <v>2190</v>
      </c>
      <c r="O23" s="403">
        <v>85442090</v>
      </c>
    </row>
    <row r="24" spans="1:15" hidden="1" x14ac:dyDescent="0.2">
      <c r="A24" s="403">
        <v>240563</v>
      </c>
      <c r="B24" s="403" t="s">
        <v>2173</v>
      </c>
      <c r="C24" s="403" t="s">
        <v>2228</v>
      </c>
      <c r="D24" s="403" t="s">
        <v>2175</v>
      </c>
      <c r="E24" s="405">
        <v>2440</v>
      </c>
      <c r="F24" s="403" t="s">
        <v>2224</v>
      </c>
      <c r="G24" s="403" t="s">
        <v>2229</v>
      </c>
      <c r="H24" s="403">
        <v>102</v>
      </c>
      <c r="I24" s="403">
        <v>102.48</v>
      </c>
      <c r="J24" s="406">
        <f t="shared" si="0"/>
        <v>4.2000000000000003E-2</v>
      </c>
      <c r="K24" s="403">
        <v>0.30256</v>
      </c>
      <c r="L24" s="407">
        <v>142415758139</v>
      </c>
      <c r="M24" s="403" t="s">
        <v>2194</v>
      </c>
      <c r="N24" s="403" t="s">
        <v>2190</v>
      </c>
      <c r="O24" s="403">
        <v>85442090</v>
      </c>
    </row>
    <row r="25" spans="1:15" hidden="1" x14ac:dyDescent="0.2">
      <c r="A25" s="403">
        <v>240563</v>
      </c>
      <c r="B25" s="403" t="s">
        <v>2173</v>
      </c>
      <c r="C25" s="403" t="s">
        <v>2230</v>
      </c>
      <c r="D25" s="403" t="s">
        <v>2175</v>
      </c>
      <c r="E25" s="405">
        <v>9150</v>
      </c>
      <c r="F25" s="403" t="s">
        <v>2224</v>
      </c>
      <c r="G25" s="403" t="s">
        <v>2225</v>
      </c>
      <c r="H25" s="403">
        <v>384</v>
      </c>
      <c r="I25" s="403">
        <v>384.3</v>
      </c>
      <c r="J25" s="406">
        <f t="shared" si="0"/>
        <v>4.2000000000000003E-2</v>
      </c>
      <c r="K25" s="403">
        <v>1.1346000000000001</v>
      </c>
      <c r="L25" s="407">
        <v>142415758139</v>
      </c>
      <c r="M25" s="403" t="s">
        <v>2194</v>
      </c>
      <c r="N25" s="403" t="s">
        <v>2190</v>
      </c>
      <c r="O25" s="403">
        <v>85442090</v>
      </c>
    </row>
    <row r="26" spans="1:15" hidden="1" x14ac:dyDescent="0.2">
      <c r="A26" s="403">
        <v>240563</v>
      </c>
      <c r="B26" s="403" t="s">
        <v>2173</v>
      </c>
      <c r="C26" s="403" t="s">
        <v>2231</v>
      </c>
      <c r="D26" s="403" t="s">
        <v>2175</v>
      </c>
      <c r="E26" s="405">
        <v>9150</v>
      </c>
      <c r="F26" s="403" t="s">
        <v>2224</v>
      </c>
      <c r="G26" s="403" t="s">
        <v>2225</v>
      </c>
      <c r="H26" s="403">
        <v>384</v>
      </c>
      <c r="I26" s="403">
        <v>384.3</v>
      </c>
      <c r="J26" s="406">
        <f t="shared" si="0"/>
        <v>4.2000000000000003E-2</v>
      </c>
      <c r="K26" s="403">
        <v>1.1346000000000001</v>
      </c>
      <c r="L26" s="407">
        <v>142415758139</v>
      </c>
      <c r="M26" s="403" t="s">
        <v>2194</v>
      </c>
      <c r="N26" s="403" t="s">
        <v>2190</v>
      </c>
      <c r="O26" s="403">
        <v>85442090</v>
      </c>
    </row>
    <row r="27" spans="1:15" hidden="1" x14ac:dyDescent="0.2">
      <c r="A27" s="403">
        <v>240600</v>
      </c>
      <c r="B27" s="403" t="s">
        <v>2173</v>
      </c>
      <c r="C27" s="403" t="s">
        <v>2232</v>
      </c>
      <c r="D27" s="403" t="s">
        <v>2186</v>
      </c>
      <c r="E27" s="405">
        <v>4236</v>
      </c>
      <c r="F27" s="403" t="s">
        <v>2233</v>
      </c>
      <c r="G27" s="403" t="s">
        <v>2234</v>
      </c>
      <c r="H27" s="403">
        <v>212</v>
      </c>
      <c r="I27" s="403">
        <v>211.8</v>
      </c>
      <c r="J27" s="406">
        <f t="shared" si="0"/>
        <v>0.05</v>
      </c>
      <c r="K27" s="403">
        <v>0.77518799999999999</v>
      </c>
      <c r="L27" s="407">
        <v>142414784547</v>
      </c>
      <c r="M27" s="403" t="s">
        <v>2194</v>
      </c>
      <c r="N27" s="403" t="s">
        <v>2190</v>
      </c>
      <c r="O27" s="403">
        <v>39269099</v>
      </c>
    </row>
    <row r="28" spans="1:15" hidden="1" x14ac:dyDescent="0.2">
      <c r="A28" s="403">
        <v>188368</v>
      </c>
      <c r="B28" s="403" t="s">
        <v>2173</v>
      </c>
      <c r="C28" s="403" t="s">
        <v>2235</v>
      </c>
      <c r="D28" s="403" t="s">
        <v>2175</v>
      </c>
      <c r="E28" s="403">
        <v>999</v>
      </c>
      <c r="F28" s="403" t="s">
        <v>2184</v>
      </c>
      <c r="G28" s="403" t="s">
        <v>2236</v>
      </c>
      <c r="H28" s="403">
        <v>115</v>
      </c>
      <c r="I28" s="403">
        <v>114.88500000000001</v>
      </c>
      <c r="J28" s="406">
        <f t="shared" si="0"/>
        <v>0.115</v>
      </c>
      <c r="K28" s="403">
        <v>0.34565400000000002</v>
      </c>
      <c r="L28" s="407">
        <v>3020290779515</v>
      </c>
      <c r="M28" s="403" t="s">
        <v>2178</v>
      </c>
      <c r="N28" s="403" t="s">
        <v>2190</v>
      </c>
      <c r="O28" s="403">
        <v>85444990</v>
      </c>
    </row>
    <row r="29" spans="1:15" x14ac:dyDescent="0.2">
      <c r="A29" s="403">
        <v>191454</v>
      </c>
      <c r="B29" s="403" t="s">
        <v>2173</v>
      </c>
      <c r="C29" s="403" t="s">
        <v>2237</v>
      </c>
      <c r="D29" s="403" t="s">
        <v>2175</v>
      </c>
      <c r="E29" s="405">
        <v>12000</v>
      </c>
      <c r="F29" s="403" t="s">
        <v>2181</v>
      </c>
      <c r="G29" s="403" t="s">
        <v>2212</v>
      </c>
      <c r="H29" s="403">
        <v>648</v>
      </c>
      <c r="I29" s="403">
        <v>648</v>
      </c>
      <c r="J29" s="406">
        <f t="shared" si="0"/>
        <v>5.3999999999999999E-2</v>
      </c>
      <c r="K29" s="403">
        <v>1.764</v>
      </c>
      <c r="L29" s="407">
        <v>142415783151</v>
      </c>
      <c r="M29" s="403" t="s">
        <v>2178</v>
      </c>
      <c r="N29" s="403" t="s">
        <v>2190</v>
      </c>
      <c r="O29" s="403">
        <v>85444929</v>
      </c>
    </row>
    <row r="30" spans="1:15" x14ac:dyDescent="0.2">
      <c r="A30" s="403">
        <v>191454</v>
      </c>
      <c r="B30" s="403" t="s">
        <v>2173</v>
      </c>
      <c r="C30" s="403" t="s">
        <v>2238</v>
      </c>
      <c r="D30" s="403" t="s">
        <v>2175</v>
      </c>
      <c r="E30" s="405">
        <v>10000</v>
      </c>
      <c r="F30" s="403" t="s">
        <v>2181</v>
      </c>
      <c r="G30" s="403" t="s">
        <v>2239</v>
      </c>
      <c r="H30" s="403">
        <v>540</v>
      </c>
      <c r="I30" s="403">
        <v>540</v>
      </c>
      <c r="J30" s="406">
        <f t="shared" si="0"/>
        <v>5.3999999999999999E-2</v>
      </c>
      <c r="K30" s="403">
        <v>1.47</v>
      </c>
      <c r="L30" s="407">
        <v>142415736116</v>
      </c>
      <c r="M30" s="403" t="s">
        <v>2178</v>
      </c>
      <c r="N30" s="403" t="s">
        <v>2190</v>
      </c>
      <c r="O30" s="403">
        <v>85444929</v>
      </c>
    </row>
    <row r="31" spans="1:15" x14ac:dyDescent="0.2">
      <c r="A31" s="403">
        <v>191454</v>
      </c>
      <c r="B31" s="403" t="s">
        <v>2173</v>
      </c>
      <c r="C31" s="403" t="s">
        <v>2240</v>
      </c>
      <c r="D31" s="403" t="s">
        <v>2175</v>
      </c>
      <c r="E31" s="405">
        <v>3000</v>
      </c>
      <c r="F31" s="403" t="s">
        <v>2181</v>
      </c>
      <c r="G31" s="403" t="s">
        <v>2241</v>
      </c>
      <c r="H31" s="403">
        <v>162</v>
      </c>
      <c r="I31" s="403">
        <v>162</v>
      </c>
      <c r="J31" s="406">
        <f t="shared" si="0"/>
        <v>5.3999999999999999E-2</v>
      </c>
      <c r="K31" s="403">
        <v>0.441</v>
      </c>
      <c r="L31" s="407">
        <v>142415823269</v>
      </c>
      <c r="M31" s="403" t="s">
        <v>2178</v>
      </c>
      <c r="N31" s="403" t="s">
        <v>2190</v>
      </c>
      <c r="O31" s="403">
        <v>85444929</v>
      </c>
    </row>
    <row r="32" spans="1:15" x14ac:dyDescent="0.2">
      <c r="A32" s="403">
        <v>191454</v>
      </c>
      <c r="B32" s="403" t="s">
        <v>2173</v>
      </c>
      <c r="C32" s="403" t="s">
        <v>2242</v>
      </c>
      <c r="D32" s="403" t="s">
        <v>2175</v>
      </c>
      <c r="E32" s="405">
        <v>11000</v>
      </c>
      <c r="F32" s="403" t="s">
        <v>2181</v>
      </c>
      <c r="G32" s="403" t="s">
        <v>2243</v>
      </c>
      <c r="H32" s="403">
        <v>594</v>
      </c>
      <c r="I32" s="403">
        <v>594</v>
      </c>
      <c r="J32" s="406">
        <f t="shared" si="0"/>
        <v>5.3999999999999999E-2</v>
      </c>
      <c r="K32" s="403">
        <v>1.617</v>
      </c>
      <c r="L32" s="407">
        <v>142415823269</v>
      </c>
      <c r="M32" s="403" t="s">
        <v>2178</v>
      </c>
      <c r="N32" s="403" t="s">
        <v>2190</v>
      </c>
      <c r="O32" s="403">
        <v>85444929</v>
      </c>
    </row>
    <row r="33" spans="1:15" hidden="1" x14ac:dyDescent="0.2">
      <c r="A33" s="403">
        <v>4000614</v>
      </c>
      <c r="B33" s="403" t="s">
        <v>2173</v>
      </c>
      <c r="C33" s="403" t="s">
        <v>2244</v>
      </c>
      <c r="D33" s="403" t="s">
        <v>2186</v>
      </c>
      <c r="E33" s="403">
        <v>4</v>
      </c>
      <c r="F33" s="403" t="s">
        <v>2207</v>
      </c>
      <c r="G33" s="403" t="s">
        <v>2245</v>
      </c>
      <c r="H33" s="403">
        <v>112</v>
      </c>
      <c r="I33" s="403">
        <v>112</v>
      </c>
      <c r="J33" s="406">
        <f t="shared" si="0"/>
        <v>28</v>
      </c>
      <c r="K33" s="403">
        <v>1.0311840000000001</v>
      </c>
      <c r="L33" s="407">
        <v>142415761142</v>
      </c>
      <c r="M33" s="403" t="s">
        <v>2194</v>
      </c>
      <c r="N33" s="403" t="s">
        <v>2190</v>
      </c>
      <c r="O33" s="403">
        <v>85371000</v>
      </c>
    </row>
    <row r="34" spans="1:15" hidden="1" x14ac:dyDescent="0.2">
      <c r="A34" s="403">
        <v>653762</v>
      </c>
      <c r="B34" s="403" t="s">
        <v>2173</v>
      </c>
      <c r="C34" s="403" t="s">
        <v>2246</v>
      </c>
      <c r="D34" s="403" t="s">
        <v>2186</v>
      </c>
      <c r="E34" s="405">
        <v>1137</v>
      </c>
      <c r="F34" s="403" t="s">
        <v>2247</v>
      </c>
      <c r="G34" s="403" t="s">
        <v>2248</v>
      </c>
      <c r="H34" s="403">
        <v>184</v>
      </c>
      <c r="I34" s="403">
        <v>184.19399999999999</v>
      </c>
      <c r="J34" s="406">
        <f t="shared" si="0"/>
        <v>0.16199999999999998</v>
      </c>
      <c r="K34" s="403">
        <v>6.0261000000000002E-2</v>
      </c>
      <c r="L34" s="407">
        <v>142612160043</v>
      </c>
      <c r="M34" s="403" t="s">
        <v>2204</v>
      </c>
      <c r="N34" s="403" t="s">
        <v>2190</v>
      </c>
      <c r="O34" s="403">
        <v>85366990</v>
      </c>
    </row>
    <row r="35" spans="1:15" hidden="1" x14ac:dyDescent="0.2">
      <c r="A35" s="403">
        <v>240562</v>
      </c>
      <c r="B35" s="403" t="s">
        <v>2173</v>
      </c>
      <c r="C35" s="403" t="s">
        <v>2249</v>
      </c>
      <c r="D35" s="403" t="s">
        <v>2175</v>
      </c>
      <c r="E35" s="405">
        <v>9150</v>
      </c>
      <c r="F35" s="403" t="s">
        <v>2224</v>
      </c>
      <c r="G35" s="403" t="s">
        <v>2225</v>
      </c>
      <c r="H35" s="403">
        <v>384</v>
      </c>
      <c r="I35" s="403">
        <v>384.3</v>
      </c>
      <c r="J35" s="406">
        <f t="shared" si="0"/>
        <v>4.2000000000000003E-2</v>
      </c>
      <c r="K35" s="403">
        <v>1.1346000000000001</v>
      </c>
      <c r="L35" s="407">
        <v>142415888640</v>
      </c>
      <c r="M35" s="403" t="s">
        <v>2194</v>
      </c>
      <c r="N35" s="403" t="s">
        <v>2190</v>
      </c>
      <c r="O35" s="403">
        <v>85442090</v>
      </c>
    </row>
    <row r="36" spans="1:15" hidden="1" x14ac:dyDescent="0.2">
      <c r="A36" s="403">
        <v>240562</v>
      </c>
      <c r="B36" s="403" t="s">
        <v>2173</v>
      </c>
      <c r="C36" s="403" t="s">
        <v>2250</v>
      </c>
      <c r="D36" s="403" t="s">
        <v>2175</v>
      </c>
      <c r="E36" s="405">
        <v>9150</v>
      </c>
      <c r="F36" s="403" t="s">
        <v>2224</v>
      </c>
      <c r="G36" s="403" t="s">
        <v>2225</v>
      </c>
      <c r="H36" s="403">
        <v>384</v>
      </c>
      <c r="I36" s="403">
        <v>384.3</v>
      </c>
      <c r="J36" s="406">
        <f t="shared" si="0"/>
        <v>4.2000000000000003E-2</v>
      </c>
      <c r="K36" s="403">
        <v>1.1346000000000001</v>
      </c>
      <c r="L36" s="407">
        <v>142415888640</v>
      </c>
      <c r="M36" s="403" t="s">
        <v>2194</v>
      </c>
      <c r="N36" s="403" t="s">
        <v>2190</v>
      </c>
      <c r="O36" s="403">
        <v>85442090</v>
      </c>
    </row>
    <row r="37" spans="1:15" hidden="1" x14ac:dyDescent="0.2">
      <c r="A37" s="403">
        <v>240562</v>
      </c>
      <c r="B37" s="403" t="s">
        <v>2173</v>
      </c>
      <c r="C37" s="403" t="s">
        <v>2251</v>
      </c>
      <c r="D37" s="403" t="s">
        <v>2175</v>
      </c>
      <c r="E37" s="405">
        <v>9150</v>
      </c>
      <c r="F37" s="403" t="s">
        <v>2224</v>
      </c>
      <c r="G37" s="403" t="s">
        <v>2225</v>
      </c>
      <c r="H37" s="403">
        <v>384</v>
      </c>
      <c r="I37" s="403">
        <v>384.3</v>
      </c>
      <c r="J37" s="406">
        <f t="shared" si="0"/>
        <v>4.2000000000000003E-2</v>
      </c>
      <c r="K37" s="403">
        <v>1.1346000000000001</v>
      </c>
      <c r="L37" s="407">
        <v>142415888640</v>
      </c>
      <c r="M37" s="403" t="s">
        <v>2194</v>
      </c>
      <c r="N37" s="403" t="s">
        <v>2190</v>
      </c>
      <c r="O37" s="403">
        <v>85442090</v>
      </c>
    </row>
    <row r="38" spans="1:15" hidden="1" x14ac:dyDescent="0.2">
      <c r="A38" s="403">
        <v>240640</v>
      </c>
      <c r="B38" s="403" t="s">
        <v>2173</v>
      </c>
      <c r="C38" s="403" t="s">
        <v>2252</v>
      </c>
      <c r="D38" s="403" t="s">
        <v>2186</v>
      </c>
      <c r="E38" s="405">
        <v>3644</v>
      </c>
      <c r="F38" s="403" t="s">
        <v>2233</v>
      </c>
      <c r="G38" s="403" t="s">
        <v>2253</v>
      </c>
      <c r="H38" s="403">
        <v>200</v>
      </c>
      <c r="I38" s="403">
        <v>200.42</v>
      </c>
      <c r="J38" s="406">
        <f t="shared" si="0"/>
        <v>5.4999999999999993E-2</v>
      </c>
      <c r="K38" s="403">
        <v>0.73973199999999995</v>
      </c>
      <c r="L38" s="407">
        <v>142414908756</v>
      </c>
      <c r="M38" s="403" t="s">
        <v>2194</v>
      </c>
      <c r="N38" s="403" t="s">
        <v>2190</v>
      </c>
      <c r="O38" s="403">
        <v>39269099</v>
      </c>
    </row>
    <row r="39" spans="1:15" hidden="1" x14ac:dyDescent="0.2">
      <c r="A39" s="403">
        <v>190077</v>
      </c>
      <c r="B39" s="403" t="s">
        <v>2173</v>
      </c>
      <c r="C39" s="403" t="s">
        <v>2254</v>
      </c>
      <c r="D39" s="403" t="s">
        <v>2175</v>
      </c>
      <c r="E39" s="405">
        <v>6000</v>
      </c>
      <c r="F39" s="403" t="s">
        <v>2184</v>
      </c>
      <c r="G39" s="403" t="s">
        <v>2241</v>
      </c>
      <c r="H39" s="403">
        <v>444</v>
      </c>
      <c r="I39" s="403">
        <v>444</v>
      </c>
      <c r="J39" s="406">
        <f t="shared" si="0"/>
        <v>7.3999999999999996E-2</v>
      </c>
      <c r="K39" s="403">
        <v>1.8</v>
      </c>
      <c r="L39" s="407">
        <v>142415591190</v>
      </c>
      <c r="M39" s="403" t="s">
        <v>2178</v>
      </c>
      <c r="N39" s="403" t="s">
        <v>2190</v>
      </c>
      <c r="O39" s="403">
        <v>85447000</v>
      </c>
    </row>
    <row r="40" spans="1:15" hidden="1" x14ac:dyDescent="0.2">
      <c r="A40" s="403">
        <v>187209</v>
      </c>
      <c r="B40" s="403" t="s">
        <v>2173</v>
      </c>
      <c r="C40" s="403" t="s">
        <v>2255</v>
      </c>
      <c r="D40" s="403" t="s">
        <v>2175</v>
      </c>
      <c r="E40" s="405">
        <v>6000</v>
      </c>
      <c r="F40" s="403" t="s">
        <v>2181</v>
      </c>
      <c r="G40" s="403" t="s">
        <v>2256</v>
      </c>
      <c r="H40" s="403">
        <v>666</v>
      </c>
      <c r="I40" s="403">
        <v>666</v>
      </c>
      <c r="J40" s="406">
        <f t="shared" si="0"/>
        <v>0.111</v>
      </c>
      <c r="K40" s="403">
        <v>1.752</v>
      </c>
      <c r="L40" s="407">
        <v>142415823269</v>
      </c>
      <c r="M40" s="403" t="s">
        <v>2178</v>
      </c>
      <c r="N40" s="403" t="s">
        <v>2190</v>
      </c>
      <c r="O40" s="403">
        <v>85444991</v>
      </c>
    </row>
    <row r="41" spans="1:15" hidden="1" x14ac:dyDescent="0.2">
      <c r="A41" s="403">
        <v>187354</v>
      </c>
      <c r="B41" s="403" t="s">
        <v>2173</v>
      </c>
      <c r="C41" s="403" t="s">
        <v>2257</v>
      </c>
      <c r="D41" s="403" t="s">
        <v>2175</v>
      </c>
      <c r="E41" s="405">
        <v>2000</v>
      </c>
      <c r="F41" s="403" t="s">
        <v>2184</v>
      </c>
      <c r="G41" s="403" t="s">
        <v>2258</v>
      </c>
      <c r="H41" s="403">
        <v>296</v>
      </c>
      <c r="I41" s="403">
        <v>296</v>
      </c>
      <c r="J41" s="406">
        <f t="shared" si="0"/>
        <v>0.14799999999999999</v>
      </c>
      <c r="K41" s="403">
        <v>0.94799999999999995</v>
      </c>
      <c r="L41" s="407">
        <v>142415591190</v>
      </c>
      <c r="M41" s="403" t="s">
        <v>2178</v>
      </c>
      <c r="N41" s="403" t="s">
        <v>2190</v>
      </c>
      <c r="O41" s="403">
        <v>85447000</v>
      </c>
    </row>
    <row r="42" spans="1:15" hidden="1" x14ac:dyDescent="0.2">
      <c r="A42" s="403">
        <v>190112</v>
      </c>
      <c r="B42" s="403" t="s">
        <v>2173</v>
      </c>
      <c r="C42" s="403" t="s">
        <v>2259</v>
      </c>
      <c r="D42" s="403" t="s">
        <v>2175</v>
      </c>
      <c r="E42" s="405">
        <v>5000</v>
      </c>
      <c r="F42" s="403" t="s">
        <v>2184</v>
      </c>
      <c r="G42" s="403" t="s">
        <v>2260</v>
      </c>
      <c r="H42" s="403">
        <v>385</v>
      </c>
      <c r="I42" s="403">
        <v>385</v>
      </c>
      <c r="J42" s="406">
        <f t="shared" si="0"/>
        <v>7.6999999999999999E-2</v>
      </c>
      <c r="K42" s="403">
        <v>1.1200000000000001</v>
      </c>
      <c r="L42" s="407">
        <v>142415783151</v>
      </c>
      <c r="M42" s="403" t="s">
        <v>2178</v>
      </c>
      <c r="N42" s="403" t="s">
        <v>2190</v>
      </c>
      <c r="O42" s="403">
        <v>85447000</v>
      </c>
    </row>
    <row r="43" spans="1:15" hidden="1" x14ac:dyDescent="0.2">
      <c r="A43" s="403">
        <v>187354</v>
      </c>
      <c r="B43" s="403" t="s">
        <v>2173</v>
      </c>
      <c r="C43" s="403" t="s">
        <v>2261</v>
      </c>
      <c r="D43" s="403" t="s">
        <v>2175</v>
      </c>
      <c r="E43" s="405">
        <v>5000</v>
      </c>
      <c r="F43" s="403" t="s">
        <v>2184</v>
      </c>
      <c r="G43" s="403" t="s">
        <v>2260</v>
      </c>
      <c r="H43" s="403">
        <v>740</v>
      </c>
      <c r="I43" s="403">
        <v>740</v>
      </c>
      <c r="J43" s="406">
        <f t="shared" si="0"/>
        <v>0.14799999999999999</v>
      </c>
      <c r="K43" s="403">
        <v>2.37</v>
      </c>
      <c r="L43" s="407">
        <v>142415905599</v>
      </c>
      <c r="M43" s="403" t="s">
        <v>2178</v>
      </c>
      <c r="N43" s="403" t="s">
        <v>2190</v>
      </c>
      <c r="O43" s="403">
        <v>85447000</v>
      </c>
    </row>
    <row r="44" spans="1:15" hidden="1" x14ac:dyDescent="0.2">
      <c r="A44" s="403">
        <v>190112</v>
      </c>
      <c r="B44" s="403" t="s">
        <v>2173</v>
      </c>
      <c r="C44" s="403" t="s">
        <v>2262</v>
      </c>
      <c r="D44" s="403" t="s">
        <v>2175</v>
      </c>
      <c r="E44" s="405">
        <v>3000</v>
      </c>
      <c r="F44" s="403" t="s">
        <v>2184</v>
      </c>
      <c r="G44" s="403" t="s">
        <v>2263</v>
      </c>
      <c r="H44" s="403">
        <v>231</v>
      </c>
      <c r="I44" s="403">
        <v>231</v>
      </c>
      <c r="J44" s="406">
        <f t="shared" si="0"/>
        <v>7.6999999999999999E-2</v>
      </c>
      <c r="K44" s="403">
        <v>0.67200000000000004</v>
      </c>
      <c r="L44" s="407">
        <v>142415783151</v>
      </c>
      <c r="M44" s="403" t="s">
        <v>2178</v>
      </c>
      <c r="N44" s="403" t="s">
        <v>2190</v>
      </c>
      <c r="O44" s="403">
        <v>85447000</v>
      </c>
    </row>
    <row r="45" spans="1:15" hidden="1" x14ac:dyDescent="0.2">
      <c r="A45" s="403">
        <v>231002</v>
      </c>
      <c r="B45" s="403" t="s">
        <v>2173</v>
      </c>
      <c r="C45" s="403" t="s">
        <v>2264</v>
      </c>
      <c r="D45" s="403" t="s">
        <v>2175</v>
      </c>
      <c r="E45" s="405">
        <v>54000</v>
      </c>
      <c r="F45" s="403" t="s">
        <v>2184</v>
      </c>
      <c r="G45" s="403" t="s">
        <v>2265</v>
      </c>
      <c r="H45" s="403">
        <v>533</v>
      </c>
      <c r="I45" s="403">
        <v>532.98</v>
      </c>
      <c r="J45" s="406">
        <f t="shared" si="0"/>
        <v>9.8700000000000003E-3</v>
      </c>
      <c r="K45" s="403">
        <v>2.052</v>
      </c>
      <c r="L45" s="407">
        <v>142415888640</v>
      </c>
      <c r="M45" s="403" t="s">
        <v>2194</v>
      </c>
      <c r="N45" s="403" t="s">
        <v>2190</v>
      </c>
      <c r="O45" s="403">
        <v>85444910</v>
      </c>
    </row>
    <row r="46" spans="1:15" hidden="1" x14ac:dyDescent="0.2">
      <c r="A46" s="403">
        <v>190204</v>
      </c>
      <c r="B46" s="403" t="s">
        <v>2173</v>
      </c>
      <c r="C46" s="403" t="s">
        <v>2266</v>
      </c>
      <c r="D46" s="403" t="s">
        <v>2175</v>
      </c>
      <c r="E46" s="405">
        <v>2052</v>
      </c>
      <c r="F46" s="403" t="s">
        <v>2176</v>
      </c>
      <c r="G46" s="403" t="s">
        <v>2267</v>
      </c>
      <c r="H46" s="403">
        <v>172</v>
      </c>
      <c r="I46" s="403">
        <v>172.36799999999999</v>
      </c>
      <c r="J46" s="406">
        <f t="shared" si="0"/>
        <v>8.3999999999999991E-2</v>
      </c>
      <c r="K46" s="403">
        <v>0.47811599999999999</v>
      </c>
      <c r="L46" s="407">
        <v>142415905599</v>
      </c>
      <c r="M46" s="403" t="s">
        <v>2178</v>
      </c>
      <c r="N46" s="403" t="s">
        <v>2190</v>
      </c>
      <c r="O46" s="403">
        <v>85447000</v>
      </c>
    </row>
    <row r="47" spans="1:15" hidden="1" x14ac:dyDescent="0.2">
      <c r="A47" s="403">
        <v>191923</v>
      </c>
      <c r="B47" s="403" t="s">
        <v>2173</v>
      </c>
      <c r="C47" s="403" t="s">
        <v>2268</v>
      </c>
      <c r="D47" s="403" t="s">
        <v>2175</v>
      </c>
      <c r="E47" s="405">
        <v>1000</v>
      </c>
      <c r="F47" s="403" t="s">
        <v>2181</v>
      </c>
      <c r="G47" s="403" t="s">
        <v>2258</v>
      </c>
      <c r="H47" s="403">
        <v>164</v>
      </c>
      <c r="I47" s="403">
        <v>163.6</v>
      </c>
      <c r="J47" s="406">
        <f t="shared" si="0"/>
        <v>0.1636</v>
      </c>
      <c r="K47" s="403">
        <v>0.55300000000000005</v>
      </c>
      <c r="L47" s="407">
        <v>142415716318</v>
      </c>
      <c r="M47" s="403" t="s">
        <v>2178</v>
      </c>
      <c r="N47" s="403" t="s">
        <v>2190</v>
      </c>
      <c r="O47" s="403">
        <v>85444991</v>
      </c>
    </row>
    <row r="48" spans="1:15" hidden="1" x14ac:dyDescent="0.2">
      <c r="A48" s="403">
        <v>191923</v>
      </c>
      <c r="B48" s="403" t="s">
        <v>2173</v>
      </c>
      <c r="C48" s="403" t="s">
        <v>2269</v>
      </c>
      <c r="D48" s="403" t="s">
        <v>2175</v>
      </c>
      <c r="E48" s="405">
        <v>1500</v>
      </c>
      <c r="F48" s="403" t="s">
        <v>2181</v>
      </c>
      <c r="G48" s="403" t="s">
        <v>2263</v>
      </c>
      <c r="H48" s="403">
        <v>245</v>
      </c>
      <c r="I48" s="403">
        <v>245.4</v>
      </c>
      <c r="J48" s="406">
        <f t="shared" si="0"/>
        <v>0.1636</v>
      </c>
      <c r="K48" s="403">
        <v>0.82950000000000002</v>
      </c>
      <c r="L48" s="407">
        <v>142415716318</v>
      </c>
      <c r="M48" s="403" t="s">
        <v>2178</v>
      </c>
      <c r="N48" s="403" t="s">
        <v>2190</v>
      </c>
      <c r="O48" s="403">
        <v>85444991</v>
      </c>
    </row>
    <row r="49" spans="1:15" hidden="1" x14ac:dyDescent="0.2">
      <c r="A49" s="403">
        <v>191923</v>
      </c>
      <c r="B49" s="403" t="s">
        <v>2173</v>
      </c>
      <c r="C49" s="403" t="s">
        <v>2270</v>
      </c>
      <c r="D49" s="403" t="s">
        <v>2175</v>
      </c>
      <c r="E49" s="405">
        <v>1500</v>
      </c>
      <c r="F49" s="403" t="s">
        <v>2181</v>
      </c>
      <c r="G49" s="403" t="s">
        <v>2263</v>
      </c>
      <c r="H49" s="403">
        <v>245</v>
      </c>
      <c r="I49" s="403">
        <v>245.4</v>
      </c>
      <c r="J49" s="406">
        <f t="shared" si="0"/>
        <v>0.1636</v>
      </c>
      <c r="K49" s="403">
        <v>0.82950000000000002</v>
      </c>
      <c r="L49" s="407">
        <v>142415823269</v>
      </c>
      <c r="M49" s="403" t="s">
        <v>2178</v>
      </c>
      <c r="N49" s="403" t="s">
        <v>2190</v>
      </c>
      <c r="O49" s="403">
        <v>85444991</v>
      </c>
    </row>
    <row r="50" spans="1:15" hidden="1" x14ac:dyDescent="0.2">
      <c r="A50" s="403">
        <v>433341</v>
      </c>
      <c r="B50" s="403" t="s">
        <v>2173</v>
      </c>
      <c r="C50" s="403" t="s">
        <v>2271</v>
      </c>
      <c r="D50" s="403" t="s">
        <v>2186</v>
      </c>
      <c r="E50" s="403">
        <v>50</v>
      </c>
      <c r="F50" s="403" t="s">
        <v>2272</v>
      </c>
      <c r="G50" s="403" t="s">
        <v>2273</v>
      </c>
      <c r="H50" s="403">
        <v>1</v>
      </c>
      <c r="I50" s="403">
        <v>1.3</v>
      </c>
      <c r="J50" s="406">
        <f t="shared" si="0"/>
        <v>2.6000000000000002E-2</v>
      </c>
      <c r="K50" s="403">
        <v>1.15E-2</v>
      </c>
      <c r="L50" s="407">
        <v>3020430800317</v>
      </c>
      <c r="M50" s="403" t="s">
        <v>2194</v>
      </c>
      <c r="O50" s="403">
        <v>85447000</v>
      </c>
    </row>
    <row r="51" spans="1:15" hidden="1" x14ac:dyDescent="0.2">
      <c r="A51" s="403" t="s">
        <v>2274</v>
      </c>
      <c r="B51" s="403" t="s">
        <v>2173</v>
      </c>
      <c r="C51" s="403" t="s">
        <v>2275</v>
      </c>
      <c r="D51" s="403" t="s">
        <v>2175</v>
      </c>
      <c r="E51" s="405">
        <v>10065</v>
      </c>
      <c r="F51" s="403" t="s">
        <v>2276</v>
      </c>
      <c r="G51" s="403" t="s">
        <v>2277</v>
      </c>
      <c r="H51" s="403">
        <v>483</v>
      </c>
      <c r="I51" s="403">
        <v>483.12</v>
      </c>
      <c r="J51" s="406">
        <f t="shared" si="0"/>
        <v>4.8000000000000001E-2</v>
      </c>
      <c r="K51" s="403">
        <v>1.2681899999999999</v>
      </c>
      <c r="L51" s="407" t="s">
        <v>2278</v>
      </c>
      <c r="M51" s="403" t="s">
        <v>2194</v>
      </c>
      <c r="N51" s="403" t="s">
        <v>2190</v>
      </c>
      <c r="O51" s="403" t="s">
        <v>2278</v>
      </c>
    </row>
    <row r="52" spans="1:15" hidden="1" x14ac:dyDescent="0.2">
      <c r="A52" s="403">
        <v>470513</v>
      </c>
      <c r="B52" s="403" t="s">
        <v>2173</v>
      </c>
      <c r="C52" s="403" t="s">
        <v>2279</v>
      </c>
      <c r="D52" s="403" t="s">
        <v>2186</v>
      </c>
      <c r="E52" s="403">
        <v>2</v>
      </c>
      <c r="F52" s="403" t="s">
        <v>2280</v>
      </c>
      <c r="G52" s="403" t="s">
        <v>2281</v>
      </c>
      <c r="H52" s="403">
        <v>2</v>
      </c>
      <c r="I52" s="403">
        <v>2</v>
      </c>
      <c r="J52" s="406">
        <f t="shared" si="0"/>
        <v>1</v>
      </c>
      <c r="K52" s="403">
        <v>2.1399999999999999E-2</v>
      </c>
      <c r="L52" s="407">
        <v>3020431584617</v>
      </c>
      <c r="M52" s="403" t="s">
        <v>2194</v>
      </c>
      <c r="O52" s="403">
        <v>85367000</v>
      </c>
    </row>
    <row r="53" spans="1:15" hidden="1" x14ac:dyDescent="0.2">
      <c r="A53" s="403">
        <v>4000610</v>
      </c>
      <c r="B53" s="403" t="s">
        <v>2173</v>
      </c>
      <c r="C53" s="403" t="s">
        <v>2282</v>
      </c>
      <c r="D53" s="403" t="s">
        <v>2206</v>
      </c>
      <c r="E53" s="403">
        <v>1</v>
      </c>
      <c r="F53" s="403" t="s">
        <v>2207</v>
      </c>
      <c r="G53" s="403" t="s">
        <v>2208</v>
      </c>
      <c r="H53" s="403">
        <v>138</v>
      </c>
      <c r="I53" s="403">
        <v>138</v>
      </c>
      <c r="J53" s="406">
        <f t="shared" si="0"/>
        <v>138</v>
      </c>
      <c r="K53" s="403">
        <v>1.7313480000000001</v>
      </c>
      <c r="L53" s="407">
        <v>142415880145</v>
      </c>
      <c r="M53" s="403" t="s">
        <v>2194</v>
      </c>
      <c r="N53" s="403" t="s">
        <v>2190</v>
      </c>
      <c r="O53" s="403">
        <v>85371000</v>
      </c>
    </row>
    <row r="54" spans="1:15" hidden="1" x14ac:dyDescent="0.2">
      <c r="A54" s="403">
        <v>4000612</v>
      </c>
      <c r="B54" s="403" t="s">
        <v>2173</v>
      </c>
      <c r="C54" s="403" t="s">
        <v>2283</v>
      </c>
      <c r="D54" s="403" t="s">
        <v>2206</v>
      </c>
      <c r="E54" s="403">
        <v>1</v>
      </c>
      <c r="F54" s="403" t="s">
        <v>2207</v>
      </c>
      <c r="G54" s="403" t="s">
        <v>2208</v>
      </c>
      <c r="H54" s="403">
        <v>115</v>
      </c>
      <c r="I54" s="403">
        <v>115</v>
      </c>
      <c r="J54" s="406">
        <f t="shared" si="0"/>
        <v>115</v>
      </c>
      <c r="K54" s="403">
        <v>1.3171409999999999</v>
      </c>
      <c r="L54" s="407">
        <v>142414982337</v>
      </c>
      <c r="M54" s="403" t="s">
        <v>2194</v>
      </c>
      <c r="N54" s="403" t="s">
        <v>2190</v>
      </c>
      <c r="O54" s="403">
        <v>85177000</v>
      </c>
    </row>
    <row r="55" spans="1:15" hidden="1" x14ac:dyDescent="0.2">
      <c r="A55" s="403">
        <v>418071</v>
      </c>
      <c r="B55" s="403" t="s">
        <v>2173</v>
      </c>
      <c r="C55" s="403" t="s">
        <v>2284</v>
      </c>
      <c r="D55" s="403" t="s">
        <v>2186</v>
      </c>
      <c r="E55" s="405">
        <v>3200</v>
      </c>
      <c r="F55" s="403" t="s">
        <v>2285</v>
      </c>
      <c r="G55" s="403" t="s">
        <v>2229</v>
      </c>
      <c r="H55" s="403">
        <v>67</v>
      </c>
      <c r="I55" s="403">
        <v>67.2</v>
      </c>
      <c r="J55" s="406">
        <f t="shared" si="0"/>
        <v>2.1000000000000001E-2</v>
      </c>
      <c r="K55" s="403">
        <v>0.752</v>
      </c>
      <c r="L55" s="407">
        <v>142415941461</v>
      </c>
      <c r="M55" s="403" t="s">
        <v>2286</v>
      </c>
      <c r="O55" s="403">
        <v>85369010</v>
      </c>
    </row>
    <row r="56" spans="1:15" hidden="1" x14ac:dyDescent="0.2">
      <c r="A56" s="403">
        <v>418022</v>
      </c>
      <c r="B56" s="403" t="s">
        <v>2173</v>
      </c>
      <c r="C56" s="403" t="s">
        <v>2287</v>
      </c>
      <c r="D56" s="403" t="s">
        <v>2186</v>
      </c>
      <c r="E56" s="403">
        <v>375</v>
      </c>
      <c r="F56" s="403" t="s">
        <v>2233</v>
      </c>
      <c r="G56" s="403" t="s">
        <v>2288</v>
      </c>
      <c r="H56" s="403">
        <v>205</v>
      </c>
      <c r="I56" s="403">
        <v>204.97499999999999</v>
      </c>
      <c r="J56" s="406">
        <f t="shared" si="0"/>
        <v>0.54659999999999997</v>
      </c>
      <c r="K56" s="403">
        <v>1.248</v>
      </c>
      <c r="L56" s="407">
        <v>142415941461</v>
      </c>
      <c r="M56" s="403" t="s">
        <v>2286</v>
      </c>
      <c r="O56" s="403">
        <v>85369010</v>
      </c>
    </row>
    <row r="57" spans="1:15" hidden="1" x14ac:dyDescent="0.2">
      <c r="A57" s="403">
        <v>418019</v>
      </c>
      <c r="B57" s="403" t="s">
        <v>2173</v>
      </c>
      <c r="C57" s="403" t="s">
        <v>2289</v>
      </c>
      <c r="D57" s="403" t="s">
        <v>2186</v>
      </c>
      <c r="E57" s="403">
        <v>110</v>
      </c>
      <c r="F57" s="403" t="s">
        <v>2290</v>
      </c>
      <c r="G57" s="403" t="s">
        <v>2291</v>
      </c>
      <c r="H57" s="403">
        <v>117</v>
      </c>
      <c r="I57" s="403">
        <v>116.6</v>
      </c>
      <c r="J57" s="406">
        <f t="shared" si="0"/>
        <v>1.06</v>
      </c>
      <c r="K57" s="403">
        <v>0.75504000000000004</v>
      </c>
      <c r="L57" s="407">
        <v>142415941461</v>
      </c>
      <c r="M57" s="403" t="s">
        <v>2286</v>
      </c>
      <c r="O57" s="403">
        <v>85369010</v>
      </c>
    </row>
    <row r="58" spans="1:15" hidden="1" x14ac:dyDescent="0.2">
      <c r="A58" s="403" t="s">
        <v>2292</v>
      </c>
      <c r="B58" s="403" t="s">
        <v>2173</v>
      </c>
      <c r="C58" s="403" t="s">
        <v>2293</v>
      </c>
      <c r="D58" s="403" t="s">
        <v>2175</v>
      </c>
      <c r="E58" s="403">
        <v>20</v>
      </c>
      <c r="F58" s="403" t="s">
        <v>2294</v>
      </c>
      <c r="G58" s="403" t="s">
        <v>2219</v>
      </c>
      <c r="H58" s="408">
        <v>14700</v>
      </c>
      <c r="I58" s="403">
        <v>1.47</v>
      </c>
      <c r="J58" s="406">
        <f t="shared" si="0"/>
        <v>7.3499999999999996E-2</v>
      </c>
      <c r="K58" s="403">
        <v>7.8399999999999997E-3</v>
      </c>
      <c r="L58" s="407">
        <v>142415956116</v>
      </c>
      <c r="M58" s="403" t="s">
        <v>2178</v>
      </c>
      <c r="N58" s="403" t="s">
        <v>2295</v>
      </c>
      <c r="O58" s="403">
        <v>85444921</v>
      </c>
    </row>
    <row r="59" spans="1:15" hidden="1" x14ac:dyDescent="0.2">
      <c r="A59" s="403">
        <v>460001</v>
      </c>
      <c r="B59" s="403" t="s">
        <v>2173</v>
      </c>
      <c r="C59" s="403" t="s">
        <v>2296</v>
      </c>
      <c r="D59" s="403" t="s">
        <v>2186</v>
      </c>
      <c r="E59" s="403">
        <v>300</v>
      </c>
      <c r="F59" s="403" t="s">
        <v>2297</v>
      </c>
      <c r="G59" s="403" t="s">
        <v>2298</v>
      </c>
      <c r="H59" s="403">
        <v>240</v>
      </c>
      <c r="I59" s="403">
        <v>240</v>
      </c>
      <c r="J59" s="406">
        <f t="shared" si="0"/>
        <v>0.8</v>
      </c>
      <c r="K59" s="403">
        <v>1.2090000000000001</v>
      </c>
      <c r="L59" s="407">
        <v>142415941461</v>
      </c>
      <c r="M59" s="403" t="s">
        <v>2286</v>
      </c>
      <c r="O59" s="403">
        <v>85369010</v>
      </c>
    </row>
    <row r="60" spans="1:15" hidden="1" x14ac:dyDescent="0.2">
      <c r="A60" s="403" t="s">
        <v>2299</v>
      </c>
      <c r="B60" s="403" t="s">
        <v>2173</v>
      </c>
      <c r="C60" s="403" t="s">
        <v>2293</v>
      </c>
      <c r="D60" s="403" t="s">
        <v>2175</v>
      </c>
      <c r="E60" s="403">
        <v>20</v>
      </c>
      <c r="F60" s="403" t="s">
        <v>2294</v>
      </c>
      <c r="G60" s="403" t="s">
        <v>2219</v>
      </c>
      <c r="H60" s="403">
        <v>1</v>
      </c>
      <c r="I60" s="403">
        <v>1.47</v>
      </c>
      <c r="J60" s="406">
        <f t="shared" si="0"/>
        <v>7.3499999999999996E-2</v>
      </c>
      <c r="K60" s="403">
        <v>7.8399999999999997E-3</v>
      </c>
      <c r="L60" s="407">
        <v>142415956116</v>
      </c>
      <c r="M60" s="403" t="s">
        <v>2178</v>
      </c>
      <c r="N60" s="403" t="s">
        <v>2295</v>
      </c>
      <c r="O60" s="403">
        <v>85444921</v>
      </c>
    </row>
    <row r="61" spans="1:15" hidden="1" x14ac:dyDescent="0.2">
      <c r="A61" s="403">
        <v>191453</v>
      </c>
      <c r="B61" s="403" t="s">
        <v>2173</v>
      </c>
      <c r="C61" s="403" t="s">
        <v>2300</v>
      </c>
      <c r="D61" s="403" t="s">
        <v>2175</v>
      </c>
      <c r="E61" s="405">
        <v>12000</v>
      </c>
      <c r="F61" s="403" t="s">
        <v>2181</v>
      </c>
      <c r="G61" s="403" t="s">
        <v>2212</v>
      </c>
      <c r="H61" s="403">
        <v>648</v>
      </c>
      <c r="I61" s="403">
        <v>648</v>
      </c>
      <c r="J61" s="406">
        <f t="shared" si="0"/>
        <v>5.3999999999999999E-2</v>
      </c>
      <c r="K61" s="403">
        <v>1.764</v>
      </c>
      <c r="L61" s="407">
        <v>142415956116</v>
      </c>
      <c r="M61" s="403" t="s">
        <v>2178</v>
      </c>
      <c r="O61" s="403">
        <v>85444921</v>
      </c>
    </row>
    <row r="62" spans="1:15" hidden="1" x14ac:dyDescent="0.2">
      <c r="A62" s="403">
        <v>191032</v>
      </c>
      <c r="B62" s="403" t="s">
        <v>2173</v>
      </c>
      <c r="C62" s="403" t="s">
        <v>2301</v>
      </c>
      <c r="D62" s="403" t="s">
        <v>2175</v>
      </c>
      <c r="E62" s="405">
        <v>1000</v>
      </c>
      <c r="F62" s="403" t="s">
        <v>2184</v>
      </c>
      <c r="G62" s="403" t="s">
        <v>2177</v>
      </c>
      <c r="H62" s="403">
        <v>405</v>
      </c>
      <c r="I62" s="403">
        <v>405.14</v>
      </c>
      <c r="J62" s="406">
        <f t="shared" si="0"/>
        <v>0.40514</v>
      </c>
      <c r="K62" s="403">
        <v>1.5840000000000001</v>
      </c>
      <c r="L62" s="407">
        <v>142415956116</v>
      </c>
      <c r="M62" s="403" t="s">
        <v>2210</v>
      </c>
      <c r="O62" s="403">
        <v>85444991</v>
      </c>
    </row>
    <row r="63" spans="1:15" hidden="1" x14ac:dyDescent="0.2">
      <c r="A63" s="403" t="s">
        <v>2302</v>
      </c>
      <c r="B63" s="403" t="s">
        <v>2173</v>
      </c>
      <c r="C63" s="403" t="s">
        <v>2293</v>
      </c>
      <c r="D63" s="403" t="s">
        <v>2175</v>
      </c>
      <c r="E63" s="403">
        <v>20</v>
      </c>
      <c r="F63" s="403" t="s">
        <v>2303</v>
      </c>
      <c r="G63" s="403" t="s">
        <v>2177</v>
      </c>
      <c r="H63" s="403">
        <v>6</v>
      </c>
      <c r="I63" s="403">
        <v>5.5</v>
      </c>
      <c r="J63" s="406">
        <f t="shared" si="0"/>
        <v>0.27500000000000002</v>
      </c>
      <c r="K63" s="403">
        <v>0.105</v>
      </c>
      <c r="L63" s="407">
        <v>142415956116</v>
      </c>
      <c r="M63" s="403" t="s">
        <v>2178</v>
      </c>
      <c r="N63" s="403" t="s">
        <v>2295</v>
      </c>
      <c r="O63" s="403">
        <v>85447000</v>
      </c>
    </row>
    <row r="64" spans="1:15" hidden="1" x14ac:dyDescent="0.2">
      <c r="A64" s="403">
        <v>1411153</v>
      </c>
      <c r="B64" s="403" t="s">
        <v>2173</v>
      </c>
      <c r="C64" s="403" t="s">
        <v>2304</v>
      </c>
      <c r="D64" s="403" t="s">
        <v>2186</v>
      </c>
      <c r="E64" s="403">
        <v>3</v>
      </c>
      <c r="F64" s="403" t="s">
        <v>2187</v>
      </c>
      <c r="G64" s="403" t="s">
        <v>2305</v>
      </c>
      <c r="H64" s="403">
        <v>0</v>
      </c>
      <c r="I64" s="403">
        <v>8.9999999999999993E-3</v>
      </c>
      <c r="J64" s="406">
        <f t="shared" si="0"/>
        <v>2.9999999999999996E-3</v>
      </c>
      <c r="K64" s="403">
        <v>1.44E-4</v>
      </c>
      <c r="L64" s="407">
        <v>3020327714515</v>
      </c>
      <c r="M64" s="403" t="s">
        <v>2194</v>
      </c>
      <c r="N64" s="403" t="s">
        <v>2190</v>
      </c>
      <c r="O64" s="403">
        <v>85369010</v>
      </c>
    </row>
    <row r="65" spans="1:15" hidden="1" x14ac:dyDescent="0.2">
      <c r="A65" s="403">
        <v>421313</v>
      </c>
      <c r="B65" s="403" t="s">
        <v>2173</v>
      </c>
      <c r="C65" s="403" t="s">
        <v>2304</v>
      </c>
      <c r="D65" s="403" t="s">
        <v>2186</v>
      </c>
      <c r="E65" s="403">
        <v>162</v>
      </c>
      <c r="F65" s="403" t="s">
        <v>2306</v>
      </c>
      <c r="G65" s="403" t="s">
        <v>2219</v>
      </c>
      <c r="H65" s="403">
        <v>13</v>
      </c>
      <c r="I65" s="403">
        <v>12.992000000000001</v>
      </c>
      <c r="J65" s="406">
        <f t="shared" si="0"/>
        <v>8.0197530864197536E-2</v>
      </c>
      <c r="K65" s="403">
        <v>5.0057999999999998E-2</v>
      </c>
      <c r="L65" s="407">
        <v>142612160043</v>
      </c>
      <c r="N65" s="403" t="s">
        <v>2190</v>
      </c>
      <c r="O65" s="403">
        <v>85447000</v>
      </c>
    </row>
    <row r="66" spans="1:15" hidden="1" x14ac:dyDescent="0.2">
      <c r="A66" s="403">
        <v>421313</v>
      </c>
      <c r="B66" s="403" t="s">
        <v>2173</v>
      </c>
      <c r="C66" s="403" t="s">
        <v>2304</v>
      </c>
      <c r="D66" s="403" t="s">
        <v>2186</v>
      </c>
      <c r="E66" s="403">
        <v>24</v>
      </c>
      <c r="F66" s="403" t="s">
        <v>2306</v>
      </c>
      <c r="G66" s="403" t="s">
        <v>2307</v>
      </c>
      <c r="H66" s="403">
        <v>2</v>
      </c>
      <c r="I66" s="403">
        <v>1.925</v>
      </c>
      <c r="J66" s="406">
        <f t="shared" ref="J66:J129" si="1">I66/E66</f>
        <v>8.020833333333334E-2</v>
      </c>
      <c r="K66" s="403">
        <v>7.4159999999999998E-3</v>
      </c>
      <c r="L66" s="407">
        <v>142612160043</v>
      </c>
      <c r="M66" s="403" t="s">
        <v>2178</v>
      </c>
      <c r="N66" s="403" t="s">
        <v>2190</v>
      </c>
      <c r="O66" s="403">
        <v>85447000</v>
      </c>
    </row>
    <row r="67" spans="1:15" hidden="1" x14ac:dyDescent="0.2">
      <c r="A67" s="403">
        <v>423312</v>
      </c>
      <c r="B67" s="403" t="s">
        <v>2173</v>
      </c>
      <c r="C67" s="403" t="s">
        <v>2308</v>
      </c>
      <c r="D67" s="403" t="s">
        <v>2186</v>
      </c>
      <c r="E67" s="403">
        <v>78</v>
      </c>
      <c r="F67" s="403" t="s">
        <v>2309</v>
      </c>
      <c r="G67" s="403" t="s">
        <v>2310</v>
      </c>
      <c r="H67" s="403">
        <v>4</v>
      </c>
      <c r="I67" s="403">
        <v>4.29</v>
      </c>
      <c r="J67" s="406">
        <f t="shared" si="1"/>
        <v>5.5E-2</v>
      </c>
      <c r="K67" s="403">
        <v>3.9E-2</v>
      </c>
      <c r="L67" s="407">
        <v>3020293099615</v>
      </c>
      <c r="M67" s="403" t="s">
        <v>2194</v>
      </c>
      <c r="N67" s="403" t="s">
        <v>2190</v>
      </c>
      <c r="O67" s="403">
        <v>85447000</v>
      </c>
    </row>
    <row r="68" spans="1:15" hidden="1" x14ac:dyDescent="0.2">
      <c r="A68" s="403">
        <v>309021</v>
      </c>
      <c r="B68" s="403" t="s">
        <v>2173</v>
      </c>
      <c r="C68" s="403" t="s">
        <v>2311</v>
      </c>
      <c r="D68" s="403" t="s">
        <v>2186</v>
      </c>
      <c r="E68" s="405">
        <v>1000</v>
      </c>
      <c r="F68" s="403" t="s">
        <v>2312</v>
      </c>
      <c r="G68" s="403" t="s">
        <v>2313</v>
      </c>
      <c r="H68" s="403">
        <v>53</v>
      </c>
      <c r="I68" s="403">
        <v>61.1</v>
      </c>
      <c r="J68" s="406">
        <f t="shared" si="1"/>
        <v>6.1100000000000002E-2</v>
      </c>
      <c r="K68" s="403">
        <v>0.23</v>
      </c>
      <c r="L68" s="407">
        <v>142415948345</v>
      </c>
      <c r="M68" s="403" t="s">
        <v>2194</v>
      </c>
      <c r="O68" s="403">
        <v>85444921</v>
      </c>
    </row>
    <row r="69" spans="1:15" x14ac:dyDescent="0.2">
      <c r="A69" s="403">
        <v>191454</v>
      </c>
      <c r="B69" s="403" t="s">
        <v>2173</v>
      </c>
      <c r="C69" s="403" t="s">
        <v>2314</v>
      </c>
      <c r="D69" s="403" t="s">
        <v>2175</v>
      </c>
      <c r="E69" s="405">
        <v>12000</v>
      </c>
      <c r="F69" s="403" t="s">
        <v>2181</v>
      </c>
      <c r="G69" s="403" t="s">
        <v>2212</v>
      </c>
      <c r="H69" s="403">
        <v>648</v>
      </c>
      <c r="I69" s="403">
        <v>648</v>
      </c>
      <c r="J69" s="406">
        <f t="shared" si="1"/>
        <v>5.3999999999999999E-2</v>
      </c>
      <c r="K69" s="403">
        <v>1.764</v>
      </c>
      <c r="L69" s="407">
        <v>142415920914</v>
      </c>
      <c r="M69" s="403" t="s">
        <v>2178</v>
      </c>
      <c r="O69" s="403">
        <v>85444921</v>
      </c>
    </row>
    <row r="70" spans="1:15" hidden="1" x14ac:dyDescent="0.2">
      <c r="A70" s="403" t="s">
        <v>2315</v>
      </c>
      <c r="B70" s="403" t="s">
        <v>2173</v>
      </c>
      <c r="C70" s="403" t="s">
        <v>2195</v>
      </c>
      <c r="D70" s="403" t="s">
        <v>2186</v>
      </c>
      <c r="E70" s="405">
        <v>1000</v>
      </c>
      <c r="F70" s="403" t="s">
        <v>2316</v>
      </c>
      <c r="G70" s="403" t="s">
        <v>2219</v>
      </c>
      <c r="H70" s="403">
        <v>11</v>
      </c>
      <c r="I70" s="403">
        <v>11.3</v>
      </c>
      <c r="J70" s="406">
        <f t="shared" si="1"/>
        <v>1.1300000000000001E-2</v>
      </c>
      <c r="K70" s="403">
        <v>2.4E-2</v>
      </c>
      <c r="L70" s="407">
        <v>142415725482</v>
      </c>
      <c r="M70" s="403" t="s">
        <v>2194</v>
      </c>
      <c r="N70" s="403" t="s">
        <v>2190</v>
      </c>
      <c r="O70" s="403">
        <v>39232110</v>
      </c>
    </row>
    <row r="71" spans="1:15" hidden="1" x14ac:dyDescent="0.2">
      <c r="A71" s="403">
        <v>177388</v>
      </c>
      <c r="B71" s="403" t="s">
        <v>2173</v>
      </c>
      <c r="C71" s="403" t="s">
        <v>2317</v>
      </c>
      <c r="D71" s="403" t="s">
        <v>2175</v>
      </c>
      <c r="E71" s="403">
        <v>1</v>
      </c>
      <c r="F71" s="403" t="s">
        <v>2318</v>
      </c>
      <c r="G71" s="403" t="s">
        <v>2177</v>
      </c>
      <c r="H71" s="403">
        <v>65</v>
      </c>
      <c r="I71" s="403">
        <v>64.900000000000006</v>
      </c>
      <c r="J71" s="406">
        <f t="shared" si="1"/>
        <v>64.900000000000006</v>
      </c>
      <c r="K71" s="403">
        <v>0.11</v>
      </c>
      <c r="L71" s="407">
        <v>191500414668</v>
      </c>
      <c r="M71" s="403" t="s">
        <v>2178</v>
      </c>
      <c r="N71" s="403" t="s">
        <v>2190</v>
      </c>
      <c r="O71" s="403">
        <v>85444990</v>
      </c>
    </row>
    <row r="72" spans="1:15" hidden="1" x14ac:dyDescent="0.2">
      <c r="A72" s="403">
        <v>181234</v>
      </c>
      <c r="B72" s="403" t="s">
        <v>2173</v>
      </c>
      <c r="C72" s="403" t="s">
        <v>2317</v>
      </c>
      <c r="D72" s="403" t="s">
        <v>2186</v>
      </c>
      <c r="E72" s="403">
        <v>1</v>
      </c>
      <c r="F72" s="403" t="s">
        <v>2280</v>
      </c>
      <c r="G72" s="403" t="s">
        <v>2219</v>
      </c>
      <c r="H72" s="403">
        <v>5</v>
      </c>
      <c r="I72" s="403">
        <v>4.75</v>
      </c>
      <c r="J72" s="406">
        <f t="shared" si="1"/>
        <v>4.75</v>
      </c>
      <c r="K72" s="403">
        <v>4.3296000000000001E-2</v>
      </c>
      <c r="L72" s="407">
        <v>191500414668</v>
      </c>
      <c r="M72" s="403" t="s">
        <v>2178</v>
      </c>
      <c r="N72" s="403" t="s">
        <v>2190</v>
      </c>
      <c r="O72" s="403">
        <v>85447000</v>
      </c>
    </row>
    <row r="73" spans="1:15" hidden="1" x14ac:dyDescent="0.2">
      <c r="A73" s="403">
        <v>182912</v>
      </c>
      <c r="B73" s="403" t="s">
        <v>2173</v>
      </c>
      <c r="C73" s="403" t="s">
        <v>2317</v>
      </c>
      <c r="D73" s="403" t="s">
        <v>2186</v>
      </c>
      <c r="E73" s="403">
        <v>2</v>
      </c>
      <c r="F73" s="403" t="s">
        <v>2280</v>
      </c>
      <c r="G73" s="403" t="s">
        <v>2281</v>
      </c>
      <c r="H73" s="403">
        <v>52</v>
      </c>
      <c r="I73" s="403">
        <v>51.6</v>
      </c>
      <c r="J73" s="406">
        <f t="shared" si="1"/>
        <v>25.8</v>
      </c>
      <c r="K73" s="403">
        <v>0.215</v>
      </c>
      <c r="L73" s="407">
        <v>191500414668</v>
      </c>
      <c r="M73" s="403" t="s">
        <v>2178</v>
      </c>
      <c r="N73" s="403" t="s">
        <v>2190</v>
      </c>
      <c r="O73" s="403">
        <v>85447000</v>
      </c>
    </row>
    <row r="74" spans="1:15" hidden="1" x14ac:dyDescent="0.2">
      <c r="A74" s="403">
        <v>185736</v>
      </c>
      <c r="B74" s="403" t="s">
        <v>2173</v>
      </c>
      <c r="C74" s="403" t="s">
        <v>2220</v>
      </c>
      <c r="D74" s="403" t="s">
        <v>2186</v>
      </c>
      <c r="E74" s="403">
        <v>1</v>
      </c>
      <c r="F74" s="403" t="s">
        <v>2221</v>
      </c>
      <c r="G74" s="403" t="s">
        <v>2319</v>
      </c>
      <c r="H74" s="403">
        <v>0</v>
      </c>
      <c r="I74" s="403">
        <v>0.15</v>
      </c>
      <c r="J74" s="406">
        <f t="shared" si="1"/>
        <v>0.15</v>
      </c>
      <c r="K74" s="403">
        <v>2.7599999999999999E-3</v>
      </c>
      <c r="L74" s="407">
        <v>142415110816</v>
      </c>
      <c r="N74" s="403" t="s">
        <v>2190</v>
      </c>
      <c r="O74" s="403">
        <v>39269097</v>
      </c>
    </row>
    <row r="75" spans="1:15" hidden="1" x14ac:dyDescent="0.2">
      <c r="A75" s="403">
        <v>185862</v>
      </c>
      <c r="B75" s="403" t="s">
        <v>2173</v>
      </c>
      <c r="C75" s="403" t="s">
        <v>2320</v>
      </c>
      <c r="D75" s="403" t="s">
        <v>2186</v>
      </c>
      <c r="E75" s="403">
        <v>3</v>
      </c>
      <c r="F75" s="403" t="s">
        <v>2199</v>
      </c>
      <c r="G75" s="403" t="s">
        <v>2305</v>
      </c>
      <c r="H75" s="403">
        <v>0</v>
      </c>
      <c r="I75" s="403">
        <v>0.159</v>
      </c>
      <c r="J75" s="406">
        <f t="shared" si="1"/>
        <v>5.2999999999999999E-2</v>
      </c>
      <c r="K75" s="403">
        <v>7.3499999999999998E-4</v>
      </c>
      <c r="L75" s="407">
        <v>142611774361</v>
      </c>
      <c r="M75" s="403" t="s">
        <v>2178</v>
      </c>
      <c r="N75" s="403" t="s">
        <v>2190</v>
      </c>
      <c r="O75" s="403">
        <v>85444210</v>
      </c>
    </row>
    <row r="76" spans="1:15" hidden="1" x14ac:dyDescent="0.2">
      <c r="A76" s="403">
        <v>653508</v>
      </c>
      <c r="B76" s="403" t="s">
        <v>2173</v>
      </c>
      <c r="C76" s="403" t="s">
        <v>2321</v>
      </c>
      <c r="D76" s="403" t="s">
        <v>2186</v>
      </c>
      <c r="E76" s="405">
        <v>2000</v>
      </c>
      <c r="F76" s="403" t="s">
        <v>2322</v>
      </c>
      <c r="G76" s="403" t="s">
        <v>2323</v>
      </c>
      <c r="H76" s="403">
        <v>117</v>
      </c>
      <c r="I76" s="403">
        <v>117</v>
      </c>
      <c r="J76" s="406">
        <f t="shared" si="1"/>
        <v>5.8500000000000003E-2</v>
      </c>
      <c r="K76" s="403">
        <v>0.52800000000000002</v>
      </c>
      <c r="L76" s="407">
        <v>142415907728</v>
      </c>
      <c r="M76" s="403" t="s">
        <v>2204</v>
      </c>
      <c r="N76" s="403" t="s">
        <v>2190</v>
      </c>
      <c r="O76" s="403">
        <v>85444211</v>
      </c>
    </row>
    <row r="77" spans="1:15" hidden="1" x14ac:dyDescent="0.2">
      <c r="A77" s="403">
        <v>653508</v>
      </c>
      <c r="B77" s="403" t="s">
        <v>2173</v>
      </c>
      <c r="C77" s="403" t="s">
        <v>2320</v>
      </c>
      <c r="D77" s="403" t="s">
        <v>2186</v>
      </c>
      <c r="E77" s="403">
        <v>40</v>
      </c>
      <c r="F77" s="403" t="s">
        <v>2322</v>
      </c>
      <c r="G77" s="403" t="s">
        <v>2324</v>
      </c>
      <c r="H77" s="403">
        <v>2</v>
      </c>
      <c r="I77" s="403">
        <v>2.34</v>
      </c>
      <c r="J77" s="406">
        <f t="shared" si="1"/>
        <v>5.8499999999999996E-2</v>
      </c>
      <c r="K77" s="403">
        <v>1.056E-2</v>
      </c>
      <c r="L77" s="407">
        <v>142415907728</v>
      </c>
      <c r="M77" s="403" t="s">
        <v>2204</v>
      </c>
      <c r="N77" s="403" t="s">
        <v>2190</v>
      </c>
      <c r="O77" s="403">
        <v>85444211</v>
      </c>
    </row>
    <row r="78" spans="1:15" hidden="1" x14ac:dyDescent="0.2">
      <c r="A78" s="403">
        <v>653516</v>
      </c>
      <c r="B78" s="403" t="s">
        <v>2173</v>
      </c>
      <c r="C78" s="403" t="s">
        <v>2325</v>
      </c>
      <c r="D78" s="403" t="s">
        <v>2186</v>
      </c>
      <c r="E78" s="403">
        <v>749</v>
      </c>
      <c r="F78" s="403" t="s">
        <v>2326</v>
      </c>
      <c r="G78" s="403" t="s">
        <v>2327</v>
      </c>
      <c r="H78" s="403">
        <v>161</v>
      </c>
      <c r="I78" s="403">
        <v>161.035</v>
      </c>
      <c r="J78" s="406">
        <f t="shared" si="1"/>
        <v>0.215</v>
      </c>
      <c r="K78" s="403">
        <v>0.53178999999999998</v>
      </c>
      <c r="L78" s="407" t="s">
        <v>2278</v>
      </c>
      <c r="M78" s="403" t="s">
        <v>2204</v>
      </c>
      <c r="N78" s="403" t="s">
        <v>2190</v>
      </c>
      <c r="O78" s="403">
        <v>85444210</v>
      </c>
    </row>
    <row r="79" spans="1:15" hidden="1" x14ac:dyDescent="0.2">
      <c r="A79" s="403">
        <v>191453</v>
      </c>
      <c r="B79" s="403" t="s">
        <v>2173</v>
      </c>
      <c r="C79" s="403" t="s">
        <v>2328</v>
      </c>
      <c r="D79" s="403" t="s">
        <v>2175</v>
      </c>
      <c r="E79" s="405">
        <v>12000</v>
      </c>
      <c r="F79" s="403" t="s">
        <v>2181</v>
      </c>
      <c r="G79" s="403" t="s">
        <v>2212</v>
      </c>
      <c r="H79" s="403">
        <v>648</v>
      </c>
      <c r="I79" s="403">
        <v>648</v>
      </c>
      <c r="J79" s="406">
        <f t="shared" si="1"/>
        <v>5.3999999999999999E-2</v>
      </c>
      <c r="K79" s="403">
        <v>1.764</v>
      </c>
      <c r="L79" s="407">
        <v>142415938312</v>
      </c>
      <c r="M79" s="403" t="s">
        <v>2178</v>
      </c>
      <c r="O79" s="403">
        <v>85444921</v>
      </c>
    </row>
    <row r="80" spans="1:15" hidden="1" x14ac:dyDescent="0.2">
      <c r="A80" s="403">
        <v>651710</v>
      </c>
      <c r="B80" s="403" t="s">
        <v>2173</v>
      </c>
      <c r="C80" s="403" t="s">
        <v>2220</v>
      </c>
      <c r="D80" s="403" t="s">
        <v>2186</v>
      </c>
      <c r="E80" s="403">
        <v>1</v>
      </c>
      <c r="F80" s="403" t="s">
        <v>2280</v>
      </c>
      <c r="G80" s="403" t="s">
        <v>2219</v>
      </c>
      <c r="H80" s="403">
        <v>0</v>
      </c>
      <c r="I80" s="403">
        <v>0.09</v>
      </c>
      <c r="J80" s="406">
        <f t="shared" si="1"/>
        <v>0.09</v>
      </c>
      <c r="K80" s="403">
        <v>1.083E-3</v>
      </c>
      <c r="L80" s="407">
        <v>142114085324</v>
      </c>
      <c r="M80" s="403" t="s">
        <v>2204</v>
      </c>
      <c r="N80" s="403" t="s">
        <v>2190</v>
      </c>
      <c r="O80" s="403">
        <v>85444210</v>
      </c>
    </row>
    <row r="81" spans="1:15" hidden="1" x14ac:dyDescent="0.2">
      <c r="A81" s="403">
        <v>309025</v>
      </c>
      <c r="B81" s="403" t="s">
        <v>2173</v>
      </c>
      <c r="C81" s="403" t="s">
        <v>2329</v>
      </c>
      <c r="D81" s="403" t="s">
        <v>2186</v>
      </c>
      <c r="E81" s="403">
        <v>649</v>
      </c>
      <c r="F81" s="403" t="s">
        <v>2247</v>
      </c>
      <c r="G81" s="403" t="s">
        <v>2330</v>
      </c>
      <c r="H81" s="403">
        <v>83</v>
      </c>
      <c r="I81" s="403">
        <v>91.671000000000006</v>
      </c>
      <c r="J81" s="406">
        <f t="shared" si="1"/>
        <v>0.14124961479198769</v>
      </c>
      <c r="K81" s="403">
        <v>0.357599</v>
      </c>
      <c r="L81" s="407">
        <v>142415818961</v>
      </c>
      <c r="M81" s="403" t="s">
        <v>2194</v>
      </c>
      <c r="N81" s="403" t="s">
        <v>2190</v>
      </c>
      <c r="O81" s="403">
        <v>85444921</v>
      </c>
    </row>
    <row r="82" spans="1:15" hidden="1" x14ac:dyDescent="0.2">
      <c r="A82" s="403">
        <v>4000639</v>
      </c>
      <c r="B82" s="403" t="s">
        <v>2173</v>
      </c>
      <c r="C82" s="403" t="s">
        <v>2331</v>
      </c>
      <c r="D82" s="403" t="s">
        <v>2186</v>
      </c>
      <c r="E82" s="403">
        <v>477</v>
      </c>
      <c r="F82" s="403" t="s">
        <v>2332</v>
      </c>
      <c r="G82" s="403" t="s">
        <v>2333</v>
      </c>
      <c r="H82" s="403">
        <v>54</v>
      </c>
      <c r="I82" s="403">
        <v>53.901000000000003</v>
      </c>
      <c r="J82" s="406">
        <f t="shared" si="1"/>
        <v>0.113</v>
      </c>
      <c r="K82" s="403">
        <v>0.30671100000000001</v>
      </c>
      <c r="L82" s="407">
        <v>1424155262471</v>
      </c>
      <c r="M82" s="403" t="s">
        <v>2334</v>
      </c>
      <c r="N82" s="403" t="s">
        <v>2190</v>
      </c>
      <c r="O82" s="403">
        <v>85367000</v>
      </c>
    </row>
    <row r="83" spans="1:15" hidden="1" x14ac:dyDescent="0.2">
      <c r="A83" s="403">
        <v>4000639</v>
      </c>
      <c r="B83" s="403" t="s">
        <v>2173</v>
      </c>
      <c r="C83" s="403" t="s">
        <v>2331</v>
      </c>
      <c r="D83" s="403" t="s">
        <v>2186</v>
      </c>
      <c r="E83" s="403">
        <v>399</v>
      </c>
      <c r="F83" s="403" t="s">
        <v>2332</v>
      </c>
      <c r="G83" s="403" t="s">
        <v>2335</v>
      </c>
      <c r="H83" s="403">
        <v>45</v>
      </c>
      <c r="I83" s="403">
        <v>45.087000000000003</v>
      </c>
      <c r="J83" s="406">
        <f t="shared" si="1"/>
        <v>0.113</v>
      </c>
      <c r="K83" s="403">
        <v>0.25655699999999998</v>
      </c>
      <c r="L83" s="407">
        <v>142415805816</v>
      </c>
      <c r="M83" s="403" t="s">
        <v>2334</v>
      </c>
      <c r="N83" s="403" t="s">
        <v>2190</v>
      </c>
      <c r="O83" s="403">
        <v>85367000</v>
      </c>
    </row>
    <row r="84" spans="1:15" hidden="1" x14ac:dyDescent="0.2">
      <c r="A84" s="403">
        <v>4000611</v>
      </c>
      <c r="B84" s="403" t="s">
        <v>2173</v>
      </c>
      <c r="C84" s="403" t="s">
        <v>2336</v>
      </c>
      <c r="D84" s="403" t="s">
        <v>2206</v>
      </c>
      <c r="E84" s="403">
        <v>2</v>
      </c>
      <c r="F84" s="403" t="s">
        <v>2207</v>
      </c>
      <c r="G84" s="403" t="s">
        <v>2337</v>
      </c>
      <c r="H84" s="403">
        <v>260</v>
      </c>
      <c r="I84" s="403">
        <v>260</v>
      </c>
      <c r="J84" s="406">
        <f t="shared" si="1"/>
        <v>130</v>
      </c>
      <c r="K84" s="403">
        <v>2.8520460000000001</v>
      </c>
      <c r="L84" s="407">
        <v>142415880145</v>
      </c>
      <c r="M84" s="403" t="s">
        <v>2194</v>
      </c>
      <c r="N84" s="403" t="s">
        <v>2190</v>
      </c>
      <c r="O84" s="403">
        <v>85371000</v>
      </c>
    </row>
    <row r="85" spans="1:15" hidden="1" x14ac:dyDescent="0.2">
      <c r="A85" s="403">
        <v>4000611</v>
      </c>
      <c r="B85" s="403" t="s">
        <v>2173</v>
      </c>
      <c r="C85" s="403" t="s">
        <v>2338</v>
      </c>
      <c r="D85" s="403" t="s">
        <v>2206</v>
      </c>
      <c r="E85" s="403">
        <v>2</v>
      </c>
      <c r="F85" s="403" t="s">
        <v>2207</v>
      </c>
      <c r="G85" s="403" t="s">
        <v>2337</v>
      </c>
      <c r="H85" s="403">
        <v>260</v>
      </c>
      <c r="I85" s="403">
        <v>260</v>
      </c>
      <c r="J85" s="406">
        <f t="shared" si="1"/>
        <v>130</v>
      </c>
      <c r="K85" s="403">
        <v>2.8520460000000001</v>
      </c>
      <c r="L85" s="407">
        <v>142415880145</v>
      </c>
      <c r="M85" s="403" t="s">
        <v>2194</v>
      </c>
      <c r="N85" s="403" t="s">
        <v>2190</v>
      </c>
      <c r="O85" s="403">
        <v>85371000</v>
      </c>
    </row>
    <row r="86" spans="1:15" hidden="1" x14ac:dyDescent="0.2">
      <c r="A86" s="403">
        <v>418506</v>
      </c>
      <c r="B86" s="403" t="s">
        <v>2173</v>
      </c>
      <c r="C86" s="403" t="s">
        <v>2320</v>
      </c>
      <c r="D86" s="403" t="s">
        <v>2186</v>
      </c>
      <c r="E86" s="403">
        <v>37</v>
      </c>
      <c r="F86" s="403" t="s">
        <v>2339</v>
      </c>
      <c r="G86" s="403" t="s">
        <v>2340</v>
      </c>
      <c r="H86" s="403">
        <v>0</v>
      </c>
      <c r="I86" s="403">
        <v>0.23200000000000001</v>
      </c>
      <c r="J86" s="406">
        <f t="shared" si="1"/>
        <v>6.2702702702702702E-3</v>
      </c>
      <c r="K86" s="403">
        <v>8.1400000000000005E-4</v>
      </c>
      <c r="L86" s="407">
        <v>142415760947</v>
      </c>
      <c r="M86" s="403" t="s">
        <v>2194</v>
      </c>
      <c r="N86" s="403" t="s">
        <v>2190</v>
      </c>
      <c r="O86" s="403">
        <v>85367000</v>
      </c>
    </row>
    <row r="87" spans="1:15" hidden="1" x14ac:dyDescent="0.2">
      <c r="A87" s="403">
        <v>653503</v>
      </c>
      <c r="B87" s="403" t="s">
        <v>2173</v>
      </c>
      <c r="C87" s="403" t="s">
        <v>2331</v>
      </c>
      <c r="D87" s="403" t="s">
        <v>2186</v>
      </c>
      <c r="E87" s="405">
        <v>1500</v>
      </c>
      <c r="F87" s="403" t="s">
        <v>2199</v>
      </c>
      <c r="G87" s="403" t="s">
        <v>2341</v>
      </c>
      <c r="H87" s="403">
        <v>56</v>
      </c>
      <c r="I87" s="403">
        <v>56.25</v>
      </c>
      <c r="J87" s="406">
        <f t="shared" si="1"/>
        <v>3.7499999999999999E-2</v>
      </c>
      <c r="K87" s="403">
        <v>0.192</v>
      </c>
      <c r="L87" s="407">
        <v>142415892796</v>
      </c>
      <c r="M87" s="403" t="s">
        <v>2204</v>
      </c>
      <c r="N87" s="403" t="s">
        <v>2190</v>
      </c>
      <c r="O87" s="403">
        <v>85444210</v>
      </c>
    </row>
    <row r="88" spans="1:15" hidden="1" x14ac:dyDescent="0.2">
      <c r="A88" s="403">
        <v>240563</v>
      </c>
      <c r="B88" s="403" t="s">
        <v>2173</v>
      </c>
      <c r="C88" s="403" t="s">
        <v>2342</v>
      </c>
      <c r="D88" s="403" t="s">
        <v>2175</v>
      </c>
      <c r="E88" s="405">
        <v>3050</v>
      </c>
      <c r="F88" s="403" t="s">
        <v>2224</v>
      </c>
      <c r="G88" s="403" t="s">
        <v>2343</v>
      </c>
      <c r="H88" s="403">
        <v>128</v>
      </c>
      <c r="I88" s="403">
        <v>128.1</v>
      </c>
      <c r="J88" s="406">
        <f t="shared" si="1"/>
        <v>4.1999999999999996E-2</v>
      </c>
      <c r="K88" s="403">
        <v>0.37819999999999998</v>
      </c>
      <c r="L88" s="407">
        <v>142415888640</v>
      </c>
      <c r="M88" s="403" t="s">
        <v>2194</v>
      </c>
      <c r="N88" s="403" t="s">
        <v>2190</v>
      </c>
      <c r="O88" s="403">
        <v>85442090</v>
      </c>
    </row>
    <row r="89" spans="1:15" hidden="1" x14ac:dyDescent="0.2">
      <c r="A89" s="403">
        <v>4000787</v>
      </c>
      <c r="B89" s="403" t="s">
        <v>2173</v>
      </c>
      <c r="C89" s="403" t="s">
        <v>2344</v>
      </c>
      <c r="D89" s="403" t="s">
        <v>2186</v>
      </c>
      <c r="E89" s="403">
        <v>50</v>
      </c>
      <c r="F89" s="403" t="s">
        <v>2345</v>
      </c>
      <c r="G89" s="403" t="s">
        <v>2343</v>
      </c>
      <c r="H89" s="403">
        <v>189</v>
      </c>
      <c r="I89" s="403">
        <v>188.5</v>
      </c>
      <c r="J89" s="406">
        <f t="shared" si="1"/>
        <v>3.77</v>
      </c>
      <c r="K89" s="403">
        <v>0.55800000000000005</v>
      </c>
      <c r="L89" s="407">
        <v>142415952909</v>
      </c>
      <c r="M89" s="403" t="s">
        <v>2194</v>
      </c>
      <c r="O89" s="403">
        <v>85371000</v>
      </c>
    </row>
    <row r="90" spans="1:15" hidden="1" x14ac:dyDescent="0.2">
      <c r="A90" s="403">
        <v>240563</v>
      </c>
      <c r="B90" s="403" t="s">
        <v>2173</v>
      </c>
      <c r="C90" s="403" t="s">
        <v>2346</v>
      </c>
      <c r="D90" s="403" t="s">
        <v>2175</v>
      </c>
      <c r="E90" s="405">
        <v>9150</v>
      </c>
      <c r="F90" s="403" t="s">
        <v>2224</v>
      </c>
      <c r="G90" s="403" t="s">
        <v>2225</v>
      </c>
      <c r="H90" s="403">
        <v>384</v>
      </c>
      <c r="I90" s="403">
        <v>384.3</v>
      </c>
      <c r="J90" s="406">
        <f t="shared" si="1"/>
        <v>4.2000000000000003E-2</v>
      </c>
      <c r="K90" s="403">
        <v>1.1346000000000001</v>
      </c>
      <c r="L90" s="407">
        <v>142415784924</v>
      </c>
      <c r="M90" s="403" t="s">
        <v>2194</v>
      </c>
      <c r="N90" s="403" t="s">
        <v>2190</v>
      </c>
      <c r="O90" s="403">
        <v>85442090</v>
      </c>
    </row>
    <row r="91" spans="1:15" hidden="1" x14ac:dyDescent="0.2">
      <c r="A91" s="403">
        <v>240563</v>
      </c>
      <c r="B91" s="403" t="s">
        <v>2173</v>
      </c>
      <c r="C91" s="403" t="s">
        <v>2347</v>
      </c>
      <c r="D91" s="403" t="s">
        <v>2175</v>
      </c>
      <c r="E91" s="405">
        <v>9150</v>
      </c>
      <c r="F91" s="403" t="s">
        <v>2224</v>
      </c>
      <c r="G91" s="403" t="s">
        <v>2225</v>
      </c>
      <c r="H91" s="403">
        <v>384</v>
      </c>
      <c r="I91" s="403">
        <v>384.3</v>
      </c>
      <c r="J91" s="406">
        <f t="shared" si="1"/>
        <v>4.2000000000000003E-2</v>
      </c>
      <c r="K91" s="403">
        <v>1.1346000000000001</v>
      </c>
      <c r="L91" s="407">
        <v>142415784924</v>
      </c>
      <c r="M91" s="403" t="s">
        <v>2194</v>
      </c>
      <c r="N91" s="403" t="s">
        <v>2190</v>
      </c>
      <c r="O91" s="403">
        <v>85442090</v>
      </c>
    </row>
    <row r="92" spans="1:15" hidden="1" x14ac:dyDescent="0.2">
      <c r="A92" s="403">
        <v>240563</v>
      </c>
      <c r="B92" s="403" t="s">
        <v>2173</v>
      </c>
      <c r="C92" s="403" t="s">
        <v>2348</v>
      </c>
      <c r="D92" s="403" t="s">
        <v>2175</v>
      </c>
      <c r="E92" s="405">
        <v>3050</v>
      </c>
      <c r="F92" s="403" t="s">
        <v>2224</v>
      </c>
      <c r="G92" s="403" t="s">
        <v>2343</v>
      </c>
      <c r="H92" s="403">
        <v>128</v>
      </c>
      <c r="I92" s="403">
        <v>128.1</v>
      </c>
      <c r="J92" s="406">
        <f t="shared" si="1"/>
        <v>4.1999999999999996E-2</v>
      </c>
      <c r="K92" s="403">
        <v>0.37819999999999998</v>
      </c>
      <c r="L92" s="407">
        <v>142414956340</v>
      </c>
      <c r="M92" s="403" t="s">
        <v>2194</v>
      </c>
      <c r="N92" s="403" t="s">
        <v>2190</v>
      </c>
      <c r="O92" s="403">
        <v>85442090</v>
      </c>
    </row>
    <row r="93" spans="1:15" hidden="1" x14ac:dyDescent="0.2">
      <c r="A93" s="403">
        <v>240563</v>
      </c>
      <c r="B93" s="403" t="s">
        <v>2173</v>
      </c>
      <c r="C93" s="403" t="s">
        <v>2349</v>
      </c>
      <c r="D93" s="403" t="s">
        <v>2175</v>
      </c>
      <c r="E93" s="405">
        <v>9150</v>
      </c>
      <c r="F93" s="403" t="s">
        <v>2224</v>
      </c>
      <c r="G93" s="403" t="s">
        <v>2225</v>
      </c>
      <c r="H93" s="403">
        <v>384</v>
      </c>
      <c r="I93" s="403">
        <v>384.3</v>
      </c>
      <c r="J93" s="406">
        <f t="shared" si="1"/>
        <v>4.2000000000000003E-2</v>
      </c>
      <c r="K93" s="403">
        <v>1.1346000000000001</v>
      </c>
      <c r="L93" s="407">
        <v>142414956340</v>
      </c>
      <c r="M93" s="403" t="s">
        <v>2194</v>
      </c>
      <c r="N93" s="403" t="s">
        <v>2190</v>
      </c>
      <c r="O93" s="403">
        <v>85442090</v>
      </c>
    </row>
    <row r="94" spans="1:15" hidden="1" x14ac:dyDescent="0.2">
      <c r="A94" s="403">
        <v>240563</v>
      </c>
      <c r="B94" s="403" t="s">
        <v>2173</v>
      </c>
      <c r="C94" s="403" t="s">
        <v>2350</v>
      </c>
      <c r="D94" s="403" t="s">
        <v>2175</v>
      </c>
      <c r="E94" s="403">
        <v>915</v>
      </c>
      <c r="F94" s="403" t="s">
        <v>2224</v>
      </c>
      <c r="G94" s="403" t="s">
        <v>2351</v>
      </c>
      <c r="H94" s="403">
        <v>38</v>
      </c>
      <c r="I94" s="403">
        <v>38.43</v>
      </c>
      <c r="J94" s="406">
        <f t="shared" si="1"/>
        <v>4.2000000000000003E-2</v>
      </c>
      <c r="K94" s="403">
        <v>0.11346000000000001</v>
      </c>
      <c r="L94" s="407">
        <v>142415784924</v>
      </c>
      <c r="M94" s="403" t="s">
        <v>2194</v>
      </c>
      <c r="N94" s="403" t="s">
        <v>2190</v>
      </c>
      <c r="O94" s="403">
        <v>85442090</v>
      </c>
    </row>
    <row r="95" spans="1:15" hidden="1" x14ac:dyDescent="0.2">
      <c r="A95" s="403">
        <v>240563</v>
      </c>
      <c r="B95" s="403" t="s">
        <v>2173</v>
      </c>
      <c r="C95" s="403" t="s">
        <v>2352</v>
      </c>
      <c r="D95" s="403" t="s">
        <v>2175</v>
      </c>
      <c r="E95" s="405">
        <v>5490</v>
      </c>
      <c r="F95" s="403" t="s">
        <v>2224</v>
      </c>
      <c r="G95" s="403" t="s">
        <v>2353</v>
      </c>
      <c r="H95" s="403">
        <v>231</v>
      </c>
      <c r="I95" s="403">
        <v>230.58</v>
      </c>
      <c r="J95" s="406">
        <f t="shared" si="1"/>
        <v>4.2000000000000003E-2</v>
      </c>
      <c r="K95" s="403">
        <v>0.68076000000000003</v>
      </c>
      <c r="L95" s="407">
        <v>142415758139</v>
      </c>
      <c r="M95" s="403" t="s">
        <v>2194</v>
      </c>
      <c r="N95" s="403" t="s">
        <v>2190</v>
      </c>
      <c r="O95" s="403">
        <v>85442090</v>
      </c>
    </row>
    <row r="96" spans="1:15" hidden="1" x14ac:dyDescent="0.2">
      <c r="A96" s="403">
        <v>240563</v>
      </c>
      <c r="B96" s="403" t="s">
        <v>2173</v>
      </c>
      <c r="C96" s="403" t="s">
        <v>2354</v>
      </c>
      <c r="D96" s="403" t="s">
        <v>2175</v>
      </c>
      <c r="E96" s="405">
        <v>9150</v>
      </c>
      <c r="F96" s="403" t="s">
        <v>2224</v>
      </c>
      <c r="G96" s="403" t="s">
        <v>2225</v>
      </c>
      <c r="H96" s="403">
        <v>384</v>
      </c>
      <c r="I96" s="403">
        <v>384.3</v>
      </c>
      <c r="J96" s="406">
        <f t="shared" si="1"/>
        <v>4.2000000000000003E-2</v>
      </c>
      <c r="K96" s="403">
        <v>1.1346000000000001</v>
      </c>
      <c r="L96" s="407">
        <v>142415758139</v>
      </c>
      <c r="M96" s="403" t="s">
        <v>2194</v>
      </c>
      <c r="N96" s="403" t="s">
        <v>2190</v>
      </c>
      <c r="O96" s="403">
        <v>85442090</v>
      </c>
    </row>
    <row r="97" spans="1:15" hidden="1" x14ac:dyDescent="0.2">
      <c r="A97" s="403">
        <v>240563</v>
      </c>
      <c r="B97" s="403" t="s">
        <v>2173</v>
      </c>
      <c r="C97" s="403" t="s">
        <v>2355</v>
      </c>
      <c r="D97" s="403" t="s">
        <v>2175</v>
      </c>
      <c r="E97" s="405">
        <v>13725</v>
      </c>
      <c r="F97" s="403" t="s">
        <v>2224</v>
      </c>
      <c r="G97" s="403" t="s">
        <v>2356</v>
      </c>
      <c r="H97" s="403">
        <v>576</v>
      </c>
      <c r="I97" s="403">
        <v>576.45000000000005</v>
      </c>
      <c r="J97" s="406">
        <f t="shared" si="1"/>
        <v>4.2000000000000003E-2</v>
      </c>
      <c r="K97" s="403">
        <v>1.7019</v>
      </c>
      <c r="L97" s="407">
        <v>142415758139</v>
      </c>
      <c r="M97" s="403" t="s">
        <v>2194</v>
      </c>
      <c r="N97" s="403" t="s">
        <v>2190</v>
      </c>
      <c r="O97" s="403">
        <v>85442090</v>
      </c>
    </row>
    <row r="98" spans="1:15" hidden="1" x14ac:dyDescent="0.2">
      <c r="A98" s="403">
        <v>185865</v>
      </c>
      <c r="B98" s="403" t="s">
        <v>2173</v>
      </c>
      <c r="C98" s="403" t="s">
        <v>2357</v>
      </c>
      <c r="D98" s="403" t="s">
        <v>2175</v>
      </c>
      <c r="E98" s="403">
        <v>68</v>
      </c>
      <c r="F98" s="403" t="s">
        <v>2358</v>
      </c>
      <c r="G98" s="403" t="s">
        <v>2359</v>
      </c>
      <c r="H98" s="403">
        <v>5</v>
      </c>
      <c r="I98" s="403">
        <v>5.032</v>
      </c>
      <c r="J98" s="406">
        <f t="shared" si="1"/>
        <v>7.3999999999999996E-2</v>
      </c>
      <c r="K98" s="403">
        <v>1.0744E-2</v>
      </c>
      <c r="L98" s="407" t="s">
        <v>2278</v>
      </c>
      <c r="M98" s="403" t="s">
        <v>2178</v>
      </c>
      <c r="N98" s="403" t="s">
        <v>2190</v>
      </c>
      <c r="O98" s="403">
        <v>85366910</v>
      </c>
    </row>
    <row r="99" spans="1:15" hidden="1" x14ac:dyDescent="0.2">
      <c r="A99" s="403">
        <v>418061</v>
      </c>
      <c r="B99" s="403" t="s">
        <v>2173</v>
      </c>
      <c r="C99" s="403" t="s">
        <v>2360</v>
      </c>
      <c r="D99" s="403" t="s">
        <v>2186</v>
      </c>
      <c r="E99" s="405">
        <v>4400</v>
      </c>
      <c r="F99" s="403" t="s">
        <v>2285</v>
      </c>
      <c r="G99" s="403" t="s">
        <v>2291</v>
      </c>
      <c r="H99" s="403">
        <v>165</v>
      </c>
      <c r="I99" s="403">
        <v>165</v>
      </c>
      <c r="J99" s="406">
        <f t="shared" si="1"/>
        <v>3.7499999999999999E-2</v>
      </c>
      <c r="K99" s="403">
        <v>1.0296000000000001</v>
      </c>
      <c r="L99" s="407">
        <v>142415886287</v>
      </c>
      <c r="M99" s="403" t="s">
        <v>2286</v>
      </c>
      <c r="N99" s="403" t="s">
        <v>2190</v>
      </c>
      <c r="O99" s="403">
        <v>85366990</v>
      </c>
    </row>
    <row r="100" spans="1:15" hidden="1" x14ac:dyDescent="0.2">
      <c r="A100" s="403">
        <v>418080</v>
      </c>
      <c r="B100" s="403" t="s">
        <v>2173</v>
      </c>
      <c r="C100" s="403" t="s">
        <v>2361</v>
      </c>
      <c r="D100" s="403" t="s">
        <v>2175</v>
      </c>
      <c r="E100" s="405">
        <v>3400</v>
      </c>
      <c r="F100" s="403" t="s">
        <v>2362</v>
      </c>
      <c r="G100" s="403" t="s">
        <v>2363</v>
      </c>
      <c r="H100" s="403">
        <v>61</v>
      </c>
      <c r="I100" s="403">
        <v>61.2</v>
      </c>
      <c r="J100" s="406">
        <f t="shared" si="1"/>
        <v>1.8000000000000002E-2</v>
      </c>
      <c r="K100" s="403">
        <v>0.83299999999999996</v>
      </c>
      <c r="L100" s="407" t="s">
        <v>2278</v>
      </c>
      <c r="M100" s="403" t="s">
        <v>2286</v>
      </c>
      <c r="N100" s="403" t="s">
        <v>2190</v>
      </c>
      <c r="O100" s="403">
        <v>85369010</v>
      </c>
    </row>
    <row r="101" spans="1:15" hidden="1" x14ac:dyDescent="0.2">
      <c r="A101" s="403">
        <v>190719</v>
      </c>
      <c r="B101" s="403" t="s">
        <v>2173</v>
      </c>
      <c r="C101" s="403" t="s">
        <v>2364</v>
      </c>
      <c r="D101" s="403" t="s">
        <v>2175</v>
      </c>
      <c r="E101" s="405">
        <v>1000</v>
      </c>
      <c r="F101" s="403" t="s">
        <v>2184</v>
      </c>
      <c r="G101" s="403" t="s">
        <v>2177</v>
      </c>
      <c r="H101" s="403">
        <v>104</v>
      </c>
      <c r="I101" s="403">
        <v>104</v>
      </c>
      <c r="J101" s="406">
        <f t="shared" si="1"/>
        <v>0.104</v>
      </c>
      <c r="K101" s="403">
        <v>0.54700000000000004</v>
      </c>
      <c r="L101" s="407">
        <v>142415591190</v>
      </c>
      <c r="M101" s="403" t="s">
        <v>2178</v>
      </c>
      <c r="N101" s="403" t="s">
        <v>2190</v>
      </c>
      <c r="O101" s="403">
        <v>85447000</v>
      </c>
    </row>
    <row r="102" spans="1:15" x14ac:dyDescent="0.2">
      <c r="A102" s="403">
        <v>191454</v>
      </c>
      <c r="B102" s="403" t="s">
        <v>2173</v>
      </c>
      <c r="C102" s="403" t="s">
        <v>2365</v>
      </c>
      <c r="D102" s="403" t="s">
        <v>2175</v>
      </c>
      <c r="E102" s="405">
        <v>12000</v>
      </c>
      <c r="F102" s="403" t="s">
        <v>2181</v>
      </c>
      <c r="G102" s="403" t="s">
        <v>2212</v>
      </c>
      <c r="H102" s="403">
        <v>648</v>
      </c>
      <c r="I102" s="403">
        <v>648</v>
      </c>
      <c r="J102" s="406">
        <f t="shared" si="1"/>
        <v>5.3999999999999999E-2</v>
      </c>
      <c r="K102" s="403">
        <v>1.764</v>
      </c>
      <c r="L102" s="407">
        <v>142415736116</v>
      </c>
      <c r="M102" s="403" t="s">
        <v>2178</v>
      </c>
      <c r="N102" s="403" t="s">
        <v>2190</v>
      </c>
      <c r="O102" s="403">
        <v>85444929</v>
      </c>
    </row>
    <row r="103" spans="1:15" x14ac:dyDescent="0.2">
      <c r="A103" s="403">
        <v>191454</v>
      </c>
      <c r="B103" s="403" t="s">
        <v>2173</v>
      </c>
      <c r="C103" s="403" t="s">
        <v>2366</v>
      </c>
      <c r="D103" s="403" t="s">
        <v>2175</v>
      </c>
      <c r="E103" s="405">
        <v>8500</v>
      </c>
      <c r="F103" s="403" t="s">
        <v>2181</v>
      </c>
      <c r="G103" s="403" t="s">
        <v>2367</v>
      </c>
      <c r="H103" s="403">
        <v>459</v>
      </c>
      <c r="I103" s="403">
        <v>459</v>
      </c>
      <c r="J103" s="406">
        <f t="shared" si="1"/>
        <v>5.3999999999999999E-2</v>
      </c>
      <c r="K103" s="403">
        <v>1.2495000000000001</v>
      </c>
      <c r="L103" s="407">
        <v>142415736116</v>
      </c>
      <c r="M103" s="403" t="s">
        <v>2178</v>
      </c>
      <c r="N103" s="403" t="s">
        <v>2190</v>
      </c>
      <c r="O103" s="403">
        <v>85444929</v>
      </c>
    </row>
    <row r="104" spans="1:15" x14ac:dyDescent="0.2">
      <c r="A104" s="403">
        <v>191454</v>
      </c>
      <c r="B104" s="403" t="s">
        <v>2173</v>
      </c>
      <c r="C104" s="403" t="s">
        <v>2368</v>
      </c>
      <c r="D104" s="403" t="s">
        <v>2175</v>
      </c>
      <c r="E104" s="405">
        <v>10000</v>
      </c>
      <c r="F104" s="403" t="s">
        <v>2181</v>
      </c>
      <c r="G104" s="403" t="s">
        <v>2239</v>
      </c>
      <c r="H104" s="403">
        <v>540</v>
      </c>
      <c r="I104" s="403">
        <v>540</v>
      </c>
      <c r="J104" s="406">
        <f t="shared" si="1"/>
        <v>5.3999999999999999E-2</v>
      </c>
      <c r="K104" s="403">
        <v>1.47</v>
      </c>
      <c r="L104" s="407">
        <v>142415823269</v>
      </c>
      <c r="M104" s="403" t="s">
        <v>2178</v>
      </c>
      <c r="N104" s="403" t="s">
        <v>2190</v>
      </c>
      <c r="O104" s="403">
        <v>85444929</v>
      </c>
    </row>
    <row r="105" spans="1:15" x14ac:dyDescent="0.2">
      <c r="A105" s="403">
        <v>191454</v>
      </c>
      <c r="B105" s="403" t="s">
        <v>2173</v>
      </c>
      <c r="C105" s="403" t="s">
        <v>2369</v>
      </c>
      <c r="D105" s="403" t="s">
        <v>2175</v>
      </c>
      <c r="E105" s="405">
        <v>12000</v>
      </c>
      <c r="F105" s="403" t="s">
        <v>2181</v>
      </c>
      <c r="G105" s="403" t="s">
        <v>2212</v>
      </c>
      <c r="H105" s="403">
        <v>648</v>
      </c>
      <c r="I105" s="403">
        <v>648</v>
      </c>
      <c r="J105" s="406">
        <f t="shared" si="1"/>
        <v>5.3999999999999999E-2</v>
      </c>
      <c r="K105" s="403">
        <v>1.764</v>
      </c>
      <c r="L105" s="407">
        <v>142415823269</v>
      </c>
      <c r="M105" s="403" t="s">
        <v>2178</v>
      </c>
      <c r="N105" s="403" t="s">
        <v>2190</v>
      </c>
      <c r="O105" s="403">
        <v>85444929</v>
      </c>
    </row>
    <row r="106" spans="1:15" hidden="1" x14ac:dyDescent="0.2">
      <c r="A106" s="403">
        <v>4000614</v>
      </c>
      <c r="B106" s="403" t="s">
        <v>2173</v>
      </c>
      <c r="C106" s="403" t="s">
        <v>2370</v>
      </c>
      <c r="D106" s="403" t="s">
        <v>2186</v>
      </c>
      <c r="E106" s="403">
        <v>2</v>
      </c>
      <c r="F106" s="403" t="s">
        <v>2207</v>
      </c>
      <c r="G106" s="403" t="s">
        <v>2337</v>
      </c>
      <c r="H106" s="403">
        <v>56</v>
      </c>
      <c r="I106" s="403">
        <v>56</v>
      </c>
      <c r="J106" s="406">
        <f t="shared" si="1"/>
        <v>28</v>
      </c>
      <c r="K106" s="403">
        <v>0.51559200000000005</v>
      </c>
      <c r="L106" s="407">
        <v>142415761142</v>
      </c>
      <c r="M106" s="403" t="s">
        <v>2194</v>
      </c>
      <c r="N106" s="403" t="s">
        <v>2190</v>
      </c>
      <c r="O106" s="403">
        <v>85371000</v>
      </c>
    </row>
    <row r="107" spans="1:15" hidden="1" x14ac:dyDescent="0.2">
      <c r="A107" s="403">
        <v>653766</v>
      </c>
      <c r="B107" s="403" t="s">
        <v>2173</v>
      </c>
      <c r="C107" s="403" t="s">
        <v>2371</v>
      </c>
      <c r="D107" s="403" t="s">
        <v>2186</v>
      </c>
      <c r="E107" s="405">
        <v>1000</v>
      </c>
      <c r="F107" s="403" t="s">
        <v>2326</v>
      </c>
      <c r="G107" s="403" t="s">
        <v>2372</v>
      </c>
      <c r="H107" s="403">
        <v>220</v>
      </c>
      <c r="I107" s="403">
        <v>220</v>
      </c>
      <c r="J107" s="406">
        <f t="shared" si="1"/>
        <v>0.22</v>
      </c>
      <c r="K107" s="403">
        <v>0.73699999999999999</v>
      </c>
      <c r="L107" s="407">
        <v>142612160043</v>
      </c>
      <c r="M107" s="403" t="s">
        <v>2204</v>
      </c>
      <c r="N107" s="403" t="s">
        <v>2190</v>
      </c>
      <c r="O107" s="403">
        <v>85444210</v>
      </c>
    </row>
    <row r="108" spans="1:15" hidden="1" x14ac:dyDescent="0.2">
      <c r="A108" s="403">
        <v>240562</v>
      </c>
      <c r="B108" s="403" t="s">
        <v>2173</v>
      </c>
      <c r="C108" s="403" t="s">
        <v>2373</v>
      </c>
      <c r="D108" s="403" t="s">
        <v>2175</v>
      </c>
      <c r="E108" s="405">
        <v>9150</v>
      </c>
      <c r="F108" s="403" t="s">
        <v>2224</v>
      </c>
      <c r="G108" s="403" t="s">
        <v>2225</v>
      </c>
      <c r="H108" s="403">
        <v>384</v>
      </c>
      <c r="I108" s="403">
        <v>384.3</v>
      </c>
      <c r="J108" s="406">
        <f t="shared" si="1"/>
        <v>4.2000000000000003E-2</v>
      </c>
      <c r="K108" s="403">
        <v>1.1346000000000001</v>
      </c>
      <c r="L108" s="407">
        <v>142415784924</v>
      </c>
      <c r="M108" s="403" t="s">
        <v>2194</v>
      </c>
      <c r="N108" s="403" t="s">
        <v>2190</v>
      </c>
      <c r="O108" s="403">
        <v>85442090</v>
      </c>
    </row>
    <row r="109" spans="1:15" hidden="1" x14ac:dyDescent="0.2">
      <c r="A109" s="403">
        <v>240562</v>
      </c>
      <c r="B109" s="403" t="s">
        <v>2173</v>
      </c>
      <c r="C109" s="403" t="s">
        <v>2374</v>
      </c>
      <c r="D109" s="403" t="s">
        <v>2175</v>
      </c>
      <c r="E109" s="405">
        <v>9150</v>
      </c>
      <c r="F109" s="403" t="s">
        <v>2224</v>
      </c>
      <c r="G109" s="403" t="s">
        <v>2225</v>
      </c>
      <c r="H109" s="403">
        <v>384</v>
      </c>
      <c r="I109" s="403">
        <v>384.3</v>
      </c>
      <c r="J109" s="406">
        <f t="shared" si="1"/>
        <v>4.2000000000000003E-2</v>
      </c>
      <c r="K109" s="403">
        <v>1.1346000000000001</v>
      </c>
      <c r="L109" s="407">
        <v>142415888640</v>
      </c>
      <c r="M109" s="403" t="s">
        <v>2194</v>
      </c>
      <c r="N109" s="403" t="s">
        <v>2190</v>
      </c>
      <c r="O109" s="403">
        <v>85442090</v>
      </c>
    </row>
    <row r="110" spans="1:15" hidden="1" x14ac:dyDescent="0.2">
      <c r="A110" s="403">
        <v>240136</v>
      </c>
      <c r="B110" s="403" t="s">
        <v>2173</v>
      </c>
      <c r="C110" s="403" t="s">
        <v>2375</v>
      </c>
      <c r="D110" s="403" t="s">
        <v>2175</v>
      </c>
      <c r="E110" s="405">
        <v>9150</v>
      </c>
      <c r="F110" s="403" t="s">
        <v>2224</v>
      </c>
      <c r="G110" s="403" t="s">
        <v>2225</v>
      </c>
      <c r="H110" s="403">
        <v>384</v>
      </c>
      <c r="I110" s="403">
        <v>384.3</v>
      </c>
      <c r="J110" s="406">
        <f t="shared" si="1"/>
        <v>4.2000000000000003E-2</v>
      </c>
      <c r="K110" s="403">
        <v>1.1346000000000001</v>
      </c>
      <c r="L110" s="407">
        <v>142612140693</v>
      </c>
      <c r="M110" s="403" t="s">
        <v>2194</v>
      </c>
      <c r="N110" s="403" t="s">
        <v>2190</v>
      </c>
      <c r="O110" s="403">
        <v>85444290</v>
      </c>
    </row>
    <row r="111" spans="1:15" hidden="1" x14ac:dyDescent="0.2">
      <c r="A111" s="403">
        <v>240562</v>
      </c>
      <c r="B111" s="403" t="s">
        <v>2173</v>
      </c>
      <c r="C111" s="403" t="s">
        <v>2376</v>
      </c>
      <c r="D111" s="403" t="s">
        <v>2175</v>
      </c>
      <c r="E111" s="405">
        <v>9150</v>
      </c>
      <c r="F111" s="403" t="s">
        <v>2224</v>
      </c>
      <c r="G111" s="403" t="s">
        <v>2225</v>
      </c>
      <c r="H111" s="403">
        <v>384</v>
      </c>
      <c r="I111" s="403">
        <v>384.3</v>
      </c>
      <c r="J111" s="406">
        <f t="shared" si="1"/>
        <v>4.2000000000000003E-2</v>
      </c>
      <c r="K111" s="403">
        <v>1.1346000000000001</v>
      </c>
      <c r="L111" s="407">
        <v>142415784924</v>
      </c>
      <c r="M111" s="403" t="s">
        <v>2194</v>
      </c>
      <c r="N111" s="403" t="s">
        <v>2190</v>
      </c>
      <c r="O111" s="403">
        <v>85442090</v>
      </c>
    </row>
    <row r="112" spans="1:15" hidden="1" x14ac:dyDescent="0.2">
      <c r="A112" s="403">
        <v>240562</v>
      </c>
      <c r="B112" s="403" t="s">
        <v>2173</v>
      </c>
      <c r="C112" s="403" t="s">
        <v>2377</v>
      </c>
      <c r="D112" s="403" t="s">
        <v>2175</v>
      </c>
      <c r="E112" s="405">
        <v>9150</v>
      </c>
      <c r="F112" s="403" t="s">
        <v>2224</v>
      </c>
      <c r="G112" s="403" t="s">
        <v>2225</v>
      </c>
      <c r="H112" s="403">
        <v>384</v>
      </c>
      <c r="I112" s="403">
        <v>384.3</v>
      </c>
      <c r="J112" s="406">
        <f t="shared" si="1"/>
        <v>4.2000000000000003E-2</v>
      </c>
      <c r="K112" s="403">
        <v>1.1346000000000001</v>
      </c>
      <c r="L112" s="407">
        <v>142415784924</v>
      </c>
      <c r="M112" s="403" t="s">
        <v>2194</v>
      </c>
      <c r="N112" s="403" t="s">
        <v>2190</v>
      </c>
      <c r="O112" s="403">
        <v>85442090</v>
      </c>
    </row>
    <row r="113" spans="1:15" hidden="1" x14ac:dyDescent="0.2">
      <c r="A113" s="403">
        <v>190077</v>
      </c>
      <c r="B113" s="403" t="s">
        <v>2173</v>
      </c>
      <c r="C113" s="403" t="s">
        <v>2378</v>
      </c>
      <c r="D113" s="403" t="s">
        <v>2175</v>
      </c>
      <c r="E113" s="405">
        <v>2021</v>
      </c>
      <c r="F113" s="403" t="s">
        <v>2184</v>
      </c>
      <c r="G113" s="403" t="s">
        <v>2379</v>
      </c>
      <c r="H113" s="403">
        <v>150</v>
      </c>
      <c r="I113" s="403">
        <v>149.554</v>
      </c>
      <c r="J113" s="406">
        <f t="shared" si="1"/>
        <v>7.3999999999999996E-2</v>
      </c>
      <c r="K113" s="403">
        <v>0.60629999999999995</v>
      </c>
      <c r="L113" s="407">
        <v>142414824879</v>
      </c>
      <c r="M113" s="403" t="s">
        <v>2178</v>
      </c>
      <c r="N113" s="403" t="s">
        <v>2190</v>
      </c>
      <c r="O113" s="403">
        <v>85447000</v>
      </c>
    </row>
    <row r="114" spans="1:15" hidden="1" x14ac:dyDescent="0.2">
      <c r="A114" s="403">
        <v>190112</v>
      </c>
      <c r="B114" s="403" t="s">
        <v>2173</v>
      </c>
      <c r="C114" s="403" t="s">
        <v>2259</v>
      </c>
      <c r="D114" s="403" t="s">
        <v>2175</v>
      </c>
      <c r="E114" s="405">
        <v>1000</v>
      </c>
      <c r="F114" s="403" t="s">
        <v>2184</v>
      </c>
      <c r="G114" s="403" t="s">
        <v>2177</v>
      </c>
      <c r="H114" s="403">
        <v>77</v>
      </c>
      <c r="I114" s="403">
        <v>77</v>
      </c>
      <c r="J114" s="406">
        <f t="shared" si="1"/>
        <v>7.6999999999999999E-2</v>
      </c>
      <c r="K114" s="403">
        <v>0.224</v>
      </c>
      <c r="L114" s="407">
        <v>142415723027</v>
      </c>
      <c r="M114" s="403" t="s">
        <v>2178</v>
      </c>
      <c r="N114" s="403" t="s">
        <v>2190</v>
      </c>
      <c r="O114" s="403">
        <v>85447000</v>
      </c>
    </row>
    <row r="115" spans="1:15" hidden="1" x14ac:dyDescent="0.2">
      <c r="A115" s="403">
        <v>148780</v>
      </c>
      <c r="B115" s="403" t="s">
        <v>2173</v>
      </c>
      <c r="C115" s="403" t="s">
        <v>2380</v>
      </c>
      <c r="D115" s="403" t="s">
        <v>2175</v>
      </c>
      <c r="E115" s="405">
        <v>1000</v>
      </c>
      <c r="F115" s="403" t="s">
        <v>2184</v>
      </c>
      <c r="G115" s="403" t="s">
        <v>2177</v>
      </c>
      <c r="H115" s="403">
        <v>527</v>
      </c>
      <c r="I115" s="403">
        <v>527</v>
      </c>
      <c r="J115" s="406">
        <f t="shared" si="1"/>
        <v>0.52700000000000002</v>
      </c>
      <c r="K115" s="403">
        <v>1.08</v>
      </c>
      <c r="L115" s="407" t="s">
        <v>2278</v>
      </c>
      <c r="M115" s="403" t="s">
        <v>2178</v>
      </c>
      <c r="N115" s="403" t="s">
        <v>2190</v>
      </c>
      <c r="O115" s="403">
        <v>85442090</v>
      </c>
    </row>
    <row r="116" spans="1:15" hidden="1" x14ac:dyDescent="0.2">
      <c r="A116" s="403">
        <v>148780</v>
      </c>
      <c r="B116" s="403" t="s">
        <v>2173</v>
      </c>
      <c r="C116" s="403" t="s">
        <v>2381</v>
      </c>
      <c r="D116" s="403" t="s">
        <v>2175</v>
      </c>
      <c r="E116" s="405">
        <v>1000</v>
      </c>
      <c r="F116" s="403" t="s">
        <v>2184</v>
      </c>
      <c r="G116" s="403" t="s">
        <v>2177</v>
      </c>
      <c r="H116" s="403">
        <v>527</v>
      </c>
      <c r="I116" s="403">
        <v>527</v>
      </c>
      <c r="J116" s="406">
        <f t="shared" si="1"/>
        <v>0.52700000000000002</v>
      </c>
      <c r="K116" s="403">
        <v>1.08</v>
      </c>
      <c r="L116" s="407" t="s">
        <v>2278</v>
      </c>
      <c r="M116" s="403" t="s">
        <v>2178</v>
      </c>
      <c r="N116" s="403" t="s">
        <v>2190</v>
      </c>
      <c r="O116" s="403">
        <v>85442090</v>
      </c>
    </row>
    <row r="117" spans="1:15" hidden="1" x14ac:dyDescent="0.2">
      <c r="A117" s="403">
        <v>190204</v>
      </c>
      <c r="B117" s="403" t="s">
        <v>2173</v>
      </c>
      <c r="C117" s="403" t="s">
        <v>2382</v>
      </c>
      <c r="D117" s="403" t="s">
        <v>2175</v>
      </c>
      <c r="E117" s="405">
        <v>1948</v>
      </c>
      <c r="F117" s="403" t="s">
        <v>2176</v>
      </c>
      <c r="G117" s="403" t="s">
        <v>2383</v>
      </c>
      <c r="H117" s="403">
        <v>164</v>
      </c>
      <c r="I117" s="403">
        <v>163.63200000000001</v>
      </c>
      <c r="J117" s="406">
        <f t="shared" si="1"/>
        <v>8.4000000000000005E-2</v>
      </c>
      <c r="K117" s="403">
        <v>0.45388400000000001</v>
      </c>
      <c r="L117" s="407">
        <v>142415905599</v>
      </c>
      <c r="M117" s="403" t="s">
        <v>2178</v>
      </c>
      <c r="N117" s="403" t="s">
        <v>2190</v>
      </c>
      <c r="O117" s="403">
        <v>85447000</v>
      </c>
    </row>
    <row r="118" spans="1:15" hidden="1" x14ac:dyDescent="0.2">
      <c r="A118" s="403">
        <v>191923</v>
      </c>
      <c r="B118" s="403" t="s">
        <v>2173</v>
      </c>
      <c r="C118" s="403" t="s">
        <v>2384</v>
      </c>
      <c r="D118" s="403" t="s">
        <v>2175</v>
      </c>
      <c r="E118" s="405">
        <v>1500</v>
      </c>
      <c r="F118" s="403" t="s">
        <v>2181</v>
      </c>
      <c r="G118" s="403" t="s">
        <v>2263</v>
      </c>
      <c r="H118" s="403">
        <v>245</v>
      </c>
      <c r="I118" s="403">
        <v>245.4</v>
      </c>
      <c r="J118" s="406">
        <f t="shared" si="1"/>
        <v>0.1636</v>
      </c>
      <c r="K118" s="403">
        <v>0.82950000000000002</v>
      </c>
      <c r="L118" s="407">
        <v>142415716318</v>
      </c>
      <c r="M118" s="403" t="s">
        <v>2178</v>
      </c>
      <c r="N118" s="403" t="s">
        <v>2190</v>
      </c>
      <c r="O118" s="403">
        <v>85444991</v>
      </c>
    </row>
    <row r="119" spans="1:15" hidden="1" x14ac:dyDescent="0.2">
      <c r="A119" s="403">
        <v>309047</v>
      </c>
      <c r="B119" s="403" t="s">
        <v>2173</v>
      </c>
      <c r="C119" s="403" t="s">
        <v>2385</v>
      </c>
      <c r="D119" s="403" t="s">
        <v>2175</v>
      </c>
      <c r="E119" s="403">
        <v>500</v>
      </c>
      <c r="F119" s="403" t="s">
        <v>2181</v>
      </c>
      <c r="G119" s="403" t="s">
        <v>2177</v>
      </c>
      <c r="H119" s="403">
        <v>316</v>
      </c>
      <c r="I119" s="403">
        <v>181</v>
      </c>
      <c r="J119" s="406">
        <f t="shared" si="1"/>
        <v>0.36199999999999999</v>
      </c>
      <c r="K119" s="403">
        <v>0.624</v>
      </c>
      <c r="L119" s="407">
        <v>142415854885</v>
      </c>
      <c r="M119" s="403" t="s">
        <v>2194</v>
      </c>
      <c r="N119" s="403" t="s">
        <v>2190</v>
      </c>
      <c r="O119" s="403">
        <v>85447000</v>
      </c>
    </row>
    <row r="120" spans="1:15" hidden="1" x14ac:dyDescent="0.2">
      <c r="A120" s="403">
        <v>4000682</v>
      </c>
      <c r="B120" s="403" t="s">
        <v>2173</v>
      </c>
      <c r="C120" s="403" t="s">
        <v>2380</v>
      </c>
      <c r="D120" s="403" t="s">
        <v>2206</v>
      </c>
      <c r="E120" s="403">
        <v>2</v>
      </c>
      <c r="F120" s="403" t="s">
        <v>2207</v>
      </c>
      <c r="G120" s="403" t="s">
        <v>2337</v>
      </c>
      <c r="H120" s="403">
        <v>146</v>
      </c>
      <c r="I120" s="403">
        <v>146</v>
      </c>
      <c r="J120" s="406">
        <f t="shared" si="1"/>
        <v>73</v>
      </c>
      <c r="K120" s="403">
        <v>1.301504</v>
      </c>
      <c r="L120" s="407">
        <v>142415761142</v>
      </c>
      <c r="M120" s="403" t="s">
        <v>2194</v>
      </c>
      <c r="N120" s="403" t="s">
        <v>2190</v>
      </c>
      <c r="O120" s="403">
        <v>85371000</v>
      </c>
    </row>
    <row r="121" spans="1:15" hidden="1" x14ac:dyDescent="0.2">
      <c r="A121" s="403" t="s">
        <v>2386</v>
      </c>
      <c r="B121" s="403" t="s">
        <v>2173</v>
      </c>
      <c r="C121" s="403" t="s">
        <v>2293</v>
      </c>
      <c r="D121" s="403" t="s">
        <v>2175</v>
      </c>
      <c r="E121" s="403">
        <v>20</v>
      </c>
      <c r="F121" s="403" t="s">
        <v>2303</v>
      </c>
      <c r="G121" s="403" t="s">
        <v>2177</v>
      </c>
      <c r="H121" s="403">
        <v>6</v>
      </c>
      <c r="I121" s="403">
        <v>5.5</v>
      </c>
      <c r="J121" s="406">
        <f t="shared" si="1"/>
        <v>0.27500000000000002</v>
      </c>
      <c r="K121" s="403">
        <v>0.105</v>
      </c>
      <c r="L121" s="407">
        <v>142415956116</v>
      </c>
      <c r="M121" s="403" t="s">
        <v>2178</v>
      </c>
      <c r="N121" s="403" t="s">
        <v>2295</v>
      </c>
      <c r="O121" s="403">
        <v>85447000</v>
      </c>
    </row>
    <row r="122" spans="1:15" hidden="1" x14ac:dyDescent="0.2">
      <c r="A122" s="403" t="s">
        <v>2387</v>
      </c>
      <c r="B122" s="403" t="s">
        <v>2173</v>
      </c>
      <c r="C122" s="403" t="s">
        <v>2293</v>
      </c>
      <c r="D122" s="403" t="s">
        <v>2175</v>
      </c>
      <c r="E122" s="403">
        <v>20</v>
      </c>
      <c r="F122" s="403" t="s">
        <v>2294</v>
      </c>
      <c r="G122" s="403" t="s">
        <v>2219</v>
      </c>
      <c r="H122" s="403">
        <v>1</v>
      </c>
      <c r="I122" s="403">
        <v>0.85</v>
      </c>
      <c r="J122" s="406">
        <f t="shared" si="1"/>
        <v>4.2499999999999996E-2</v>
      </c>
      <c r="K122" s="403">
        <v>9.4599999999999997E-3</v>
      </c>
      <c r="L122" s="407">
        <v>142415956116</v>
      </c>
      <c r="M122" s="403" t="s">
        <v>2178</v>
      </c>
      <c r="N122" s="403" t="s">
        <v>2295</v>
      </c>
      <c r="O122" s="403">
        <v>85447000</v>
      </c>
    </row>
    <row r="123" spans="1:15" hidden="1" x14ac:dyDescent="0.2">
      <c r="A123" s="403">
        <v>418061</v>
      </c>
      <c r="B123" s="403" t="s">
        <v>2173</v>
      </c>
      <c r="C123" s="403" t="s">
        <v>2388</v>
      </c>
      <c r="D123" s="403" t="s">
        <v>2186</v>
      </c>
      <c r="E123" s="405">
        <v>3000</v>
      </c>
      <c r="F123" s="403" t="s">
        <v>2285</v>
      </c>
      <c r="G123" s="403" t="s">
        <v>2389</v>
      </c>
      <c r="H123" s="403">
        <v>113</v>
      </c>
      <c r="I123" s="403">
        <v>112.5</v>
      </c>
      <c r="J123" s="406">
        <f t="shared" si="1"/>
        <v>3.7499999999999999E-2</v>
      </c>
      <c r="K123" s="403">
        <v>0.70199999999999996</v>
      </c>
      <c r="L123" s="407">
        <v>142415941461</v>
      </c>
      <c r="M123" s="403" t="s">
        <v>2286</v>
      </c>
      <c r="O123" s="403">
        <v>85369010</v>
      </c>
    </row>
    <row r="124" spans="1:15" hidden="1" x14ac:dyDescent="0.2">
      <c r="A124" s="403">
        <v>418019</v>
      </c>
      <c r="B124" s="403" t="s">
        <v>2173</v>
      </c>
      <c r="C124" s="403" t="s">
        <v>2390</v>
      </c>
      <c r="D124" s="403" t="s">
        <v>2186</v>
      </c>
      <c r="E124" s="403">
        <v>150</v>
      </c>
      <c r="F124" s="403" t="s">
        <v>2290</v>
      </c>
      <c r="G124" s="403" t="s">
        <v>2391</v>
      </c>
      <c r="H124" s="403">
        <v>159</v>
      </c>
      <c r="I124" s="403">
        <v>159</v>
      </c>
      <c r="J124" s="406">
        <f t="shared" si="1"/>
        <v>1.06</v>
      </c>
      <c r="K124" s="403">
        <v>1.0296000000000001</v>
      </c>
      <c r="L124" s="407">
        <v>142415941461</v>
      </c>
      <c r="M124" s="403" t="s">
        <v>2286</v>
      </c>
      <c r="O124" s="403">
        <v>85369010</v>
      </c>
    </row>
    <row r="125" spans="1:15" hidden="1" x14ac:dyDescent="0.2">
      <c r="A125" s="403">
        <v>418061</v>
      </c>
      <c r="B125" s="403" t="s">
        <v>2173</v>
      </c>
      <c r="C125" s="403" t="s">
        <v>2392</v>
      </c>
      <c r="D125" s="403" t="s">
        <v>2186</v>
      </c>
      <c r="E125" s="405">
        <v>3200</v>
      </c>
      <c r="F125" s="403" t="s">
        <v>2285</v>
      </c>
      <c r="G125" s="403" t="s">
        <v>2229</v>
      </c>
      <c r="H125" s="403">
        <v>120</v>
      </c>
      <c r="I125" s="403">
        <v>120</v>
      </c>
      <c r="J125" s="406">
        <f t="shared" si="1"/>
        <v>3.7499999999999999E-2</v>
      </c>
      <c r="K125" s="403">
        <v>0.74880000000000002</v>
      </c>
      <c r="L125" s="407">
        <v>142415941461</v>
      </c>
      <c r="M125" s="403" t="s">
        <v>2286</v>
      </c>
      <c r="O125" s="403">
        <v>85369010</v>
      </c>
    </row>
    <row r="126" spans="1:15" hidden="1" x14ac:dyDescent="0.2">
      <c r="A126" s="403">
        <v>190203</v>
      </c>
      <c r="B126" s="403" t="s">
        <v>2173</v>
      </c>
      <c r="C126" s="403" t="s">
        <v>2393</v>
      </c>
      <c r="D126" s="403" t="s">
        <v>2175</v>
      </c>
      <c r="E126" s="405">
        <v>2000</v>
      </c>
      <c r="F126" s="403" t="s">
        <v>2176</v>
      </c>
      <c r="G126" s="403" t="s">
        <v>2177</v>
      </c>
      <c r="H126" s="403">
        <v>208</v>
      </c>
      <c r="I126" s="403">
        <v>208</v>
      </c>
      <c r="J126" s="406">
        <f t="shared" si="1"/>
        <v>0.104</v>
      </c>
      <c r="K126" s="403">
        <v>1.1140000000000001</v>
      </c>
      <c r="L126" s="407">
        <v>142415956116</v>
      </c>
      <c r="M126" s="403" t="s">
        <v>2178</v>
      </c>
      <c r="O126" s="403">
        <v>85447000</v>
      </c>
    </row>
    <row r="127" spans="1:15" hidden="1" x14ac:dyDescent="0.2">
      <c r="A127" s="403">
        <v>191453</v>
      </c>
      <c r="B127" s="403" t="s">
        <v>2173</v>
      </c>
      <c r="C127" s="403" t="s">
        <v>2394</v>
      </c>
      <c r="D127" s="403" t="s">
        <v>2175</v>
      </c>
      <c r="E127" s="405">
        <v>12000</v>
      </c>
      <c r="F127" s="403" t="s">
        <v>2181</v>
      </c>
      <c r="G127" s="403" t="s">
        <v>2212</v>
      </c>
      <c r="H127" s="403">
        <v>648</v>
      </c>
      <c r="I127" s="403">
        <v>648</v>
      </c>
      <c r="J127" s="406">
        <f t="shared" si="1"/>
        <v>5.3999999999999999E-2</v>
      </c>
      <c r="K127" s="403">
        <v>1.764</v>
      </c>
      <c r="L127" s="407">
        <v>142415956116</v>
      </c>
      <c r="M127" s="403" t="s">
        <v>2178</v>
      </c>
      <c r="O127" s="403">
        <v>85444921</v>
      </c>
    </row>
    <row r="128" spans="1:15" hidden="1" x14ac:dyDescent="0.2">
      <c r="A128" s="403">
        <v>191032</v>
      </c>
      <c r="B128" s="403" t="s">
        <v>2173</v>
      </c>
      <c r="C128" s="403" t="s">
        <v>2395</v>
      </c>
      <c r="D128" s="403" t="s">
        <v>2175</v>
      </c>
      <c r="E128" s="405">
        <v>1000</v>
      </c>
      <c r="F128" s="403" t="s">
        <v>2184</v>
      </c>
      <c r="G128" s="403" t="s">
        <v>2177</v>
      </c>
      <c r="H128" s="403">
        <v>405</v>
      </c>
      <c r="I128" s="403">
        <v>405.14</v>
      </c>
      <c r="J128" s="406">
        <f t="shared" si="1"/>
        <v>0.40514</v>
      </c>
      <c r="K128" s="403">
        <v>1.5840000000000001</v>
      </c>
      <c r="L128" s="407">
        <v>142415956116</v>
      </c>
      <c r="M128" s="403" t="s">
        <v>2210</v>
      </c>
      <c r="O128" s="403">
        <v>85444991</v>
      </c>
    </row>
    <row r="129" spans="1:15" hidden="1" x14ac:dyDescent="0.2">
      <c r="A129" s="403">
        <v>191032</v>
      </c>
      <c r="B129" s="403" t="s">
        <v>2173</v>
      </c>
      <c r="C129" s="403" t="s">
        <v>2396</v>
      </c>
      <c r="D129" s="403" t="s">
        <v>2175</v>
      </c>
      <c r="E129" s="405">
        <v>1000</v>
      </c>
      <c r="F129" s="403" t="s">
        <v>2184</v>
      </c>
      <c r="G129" s="403" t="s">
        <v>2177</v>
      </c>
      <c r="H129" s="403">
        <v>405</v>
      </c>
      <c r="I129" s="403">
        <v>405.14</v>
      </c>
      <c r="J129" s="406">
        <f t="shared" si="1"/>
        <v>0.40514</v>
      </c>
      <c r="K129" s="403">
        <v>1.5840000000000001</v>
      </c>
      <c r="L129" s="407">
        <v>142415956116</v>
      </c>
      <c r="M129" s="403" t="s">
        <v>2210</v>
      </c>
      <c r="O129" s="403">
        <v>85444991</v>
      </c>
    </row>
    <row r="130" spans="1:15" hidden="1" x14ac:dyDescent="0.2">
      <c r="A130" s="403" t="s">
        <v>2397</v>
      </c>
      <c r="B130" s="403" t="s">
        <v>2173</v>
      </c>
      <c r="C130" s="403" t="s">
        <v>2373</v>
      </c>
      <c r="D130" s="403" t="s">
        <v>2175</v>
      </c>
      <c r="E130" s="403">
        <v>20</v>
      </c>
      <c r="F130" s="403" t="s">
        <v>2303</v>
      </c>
      <c r="G130" s="403" t="s">
        <v>2177</v>
      </c>
      <c r="H130" s="403">
        <v>67</v>
      </c>
      <c r="I130" s="403">
        <v>67</v>
      </c>
      <c r="J130" s="406">
        <f t="shared" ref="J130:J193" si="2">I130/E130</f>
        <v>3.35</v>
      </c>
      <c r="K130" s="403">
        <v>1.4039999999999999</v>
      </c>
      <c r="L130" s="407">
        <v>142415956116</v>
      </c>
      <c r="M130" s="403" t="s">
        <v>2178</v>
      </c>
      <c r="N130" s="403" t="s">
        <v>2295</v>
      </c>
      <c r="O130" s="403">
        <v>85447000</v>
      </c>
    </row>
    <row r="131" spans="1:15" hidden="1" x14ac:dyDescent="0.2">
      <c r="A131" s="403">
        <v>415210</v>
      </c>
      <c r="B131" s="403" t="s">
        <v>2173</v>
      </c>
      <c r="C131" s="403" t="s">
        <v>2304</v>
      </c>
      <c r="D131" s="403" t="s">
        <v>2186</v>
      </c>
      <c r="E131" s="403">
        <v>16</v>
      </c>
      <c r="F131" s="403" t="s">
        <v>2290</v>
      </c>
      <c r="G131" s="403" t="s">
        <v>2398</v>
      </c>
      <c r="H131" s="403">
        <v>54</v>
      </c>
      <c r="I131" s="403">
        <v>54.4</v>
      </c>
      <c r="J131" s="406">
        <f t="shared" si="2"/>
        <v>3.4</v>
      </c>
      <c r="K131" s="403">
        <v>0.21887999999999999</v>
      </c>
      <c r="L131" s="407">
        <v>142415775185</v>
      </c>
      <c r="N131" s="403" t="s">
        <v>2190</v>
      </c>
      <c r="O131" s="403">
        <v>85369010</v>
      </c>
    </row>
    <row r="132" spans="1:15" hidden="1" x14ac:dyDescent="0.2">
      <c r="A132" s="403">
        <v>309027</v>
      </c>
      <c r="B132" s="403" t="s">
        <v>2173</v>
      </c>
      <c r="C132" s="403" t="s">
        <v>2399</v>
      </c>
      <c r="D132" s="403" t="s">
        <v>2186</v>
      </c>
      <c r="E132" s="403">
        <v>150</v>
      </c>
      <c r="F132" s="403" t="s">
        <v>2326</v>
      </c>
      <c r="G132" s="403" t="s">
        <v>2351</v>
      </c>
      <c r="H132" s="403">
        <v>35</v>
      </c>
      <c r="I132" s="403">
        <v>35.25</v>
      </c>
      <c r="J132" s="406">
        <f t="shared" si="2"/>
        <v>0.23499999999999999</v>
      </c>
      <c r="K132" s="403">
        <v>0.14399999999999999</v>
      </c>
      <c r="L132" s="407">
        <v>142415948345</v>
      </c>
      <c r="M132" s="403" t="s">
        <v>2194</v>
      </c>
      <c r="O132" s="403">
        <v>85444211</v>
      </c>
    </row>
    <row r="133" spans="1:15" hidden="1" x14ac:dyDescent="0.2">
      <c r="A133" s="403">
        <v>309327</v>
      </c>
      <c r="B133" s="403" t="s">
        <v>2173</v>
      </c>
      <c r="C133" s="403" t="s">
        <v>2400</v>
      </c>
      <c r="D133" s="403" t="s">
        <v>2186</v>
      </c>
      <c r="E133" s="403">
        <v>100</v>
      </c>
      <c r="F133" s="403" t="s">
        <v>2326</v>
      </c>
      <c r="G133" s="403" t="s">
        <v>2281</v>
      </c>
      <c r="H133" s="403">
        <v>20</v>
      </c>
      <c r="I133" s="403">
        <v>21</v>
      </c>
      <c r="J133" s="406">
        <f t="shared" si="2"/>
        <v>0.21</v>
      </c>
      <c r="K133" s="403">
        <v>8.8200000000000001E-2</v>
      </c>
      <c r="L133" s="407">
        <v>142415921486</v>
      </c>
      <c r="M133" s="403" t="s">
        <v>2194</v>
      </c>
      <c r="O133" s="403">
        <v>85444921</v>
      </c>
    </row>
    <row r="134" spans="1:15" hidden="1" x14ac:dyDescent="0.2">
      <c r="A134" s="403">
        <v>190077</v>
      </c>
      <c r="B134" s="403" t="s">
        <v>2173</v>
      </c>
      <c r="C134" s="403" t="s">
        <v>2401</v>
      </c>
      <c r="D134" s="403" t="s">
        <v>2175</v>
      </c>
      <c r="E134" s="405">
        <v>2000</v>
      </c>
      <c r="F134" s="403" t="s">
        <v>2176</v>
      </c>
      <c r="G134" s="403" t="s">
        <v>2177</v>
      </c>
      <c r="H134" s="403">
        <v>206</v>
      </c>
      <c r="I134" s="403">
        <v>206</v>
      </c>
      <c r="J134" s="406">
        <f t="shared" si="2"/>
        <v>0.10299999999999999</v>
      </c>
      <c r="K134" s="403">
        <v>1.0940000000000001</v>
      </c>
      <c r="L134" s="407">
        <v>142415920914</v>
      </c>
      <c r="M134" s="403" t="s">
        <v>2178</v>
      </c>
      <c r="O134" s="403">
        <v>85447000</v>
      </c>
    </row>
    <row r="135" spans="1:15" x14ac:dyDescent="0.2">
      <c r="A135" s="403">
        <v>191454</v>
      </c>
      <c r="B135" s="403" t="s">
        <v>2173</v>
      </c>
      <c r="C135" s="403" t="s">
        <v>2402</v>
      </c>
      <c r="D135" s="403" t="s">
        <v>2175</v>
      </c>
      <c r="E135" s="405">
        <v>8000</v>
      </c>
      <c r="F135" s="403" t="s">
        <v>2181</v>
      </c>
      <c r="G135" s="403" t="s">
        <v>2403</v>
      </c>
      <c r="H135" s="403">
        <v>432</v>
      </c>
      <c r="I135" s="403">
        <v>432</v>
      </c>
      <c r="J135" s="406">
        <f t="shared" si="2"/>
        <v>5.3999999999999999E-2</v>
      </c>
      <c r="K135" s="403">
        <v>1.1759999999999999</v>
      </c>
      <c r="L135" s="407">
        <v>142415920914</v>
      </c>
      <c r="M135" s="403" t="s">
        <v>2178</v>
      </c>
      <c r="O135" s="403">
        <v>85444921</v>
      </c>
    </row>
    <row r="136" spans="1:15" hidden="1" x14ac:dyDescent="0.2">
      <c r="A136" s="403">
        <v>1411480</v>
      </c>
      <c r="B136" s="403" t="s">
        <v>2173</v>
      </c>
      <c r="C136" s="403" t="s">
        <v>2185</v>
      </c>
      <c r="D136" s="403" t="s">
        <v>2186</v>
      </c>
      <c r="E136" s="405">
        <v>1321</v>
      </c>
      <c r="F136" s="403" t="s">
        <v>2404</v>
      </c>
      <c r="G136" s="403" t="s">
        <v>2219</v>
      </c>
      <c r="H136" s="403">
        <v>29</v>
      </c>
      <c r="I136" s="403">
        <v>28.666</v>
      </c>
      <c r="J136" s="406">
        <f t="shared" si="2"/>
        <v>2.1700227100681303E-2</v>
      </c>
      <c r="K136" s="403">
        <v>0.229854</v>
      </c>
      <c r="L136" s="407">
        <v>142413932125</v>
      </c>
      <c r="N136" s="403" t="s">
        <v>2190</v>
      </c>
    </row>
    <row r="137" spans="1:15" hidden="1" x14ac:dyDescent="0.2">
      <c r="A137" s="403">
        <v>190071</v>
      </c>
      <c r="B137" s="403" t="s">
        <v>2173</v>
      </c>
      <c r="C137" s="403" t="s">
        <v>2405</v>
      </c>
      <c r="D137" s="403" t="s">
        <v>2175</v>
      </c>
      <c r="E137" s="405">
        <v>2000</v>
      </c>
      <c r="F137" s="403" t="s">
        <v>2184</v>
      </c>
      <c r="G137" s="403" t="s">
        <v>2258</v>
      </c>
      <c r="H137" s="403">
        <v>239</v>
      </c>
      <c r="I137" s="403">
        <v>238.828</v>
      </c>
      <c r="J137" s="406">
        <f t="shared" si="2"/>
        <v>0.11941400000000001</v>
      </c>
      <c r="K137" s="403">
        <v>1.0940000000000001</v>
      </c>
      <c r="L137" s="407">
        <v>142415938312</v>
      </c>
      <c r="M137" s="403" t="s">
        <v>2178</v>
      </c>
      <c r="O137" s="403">
        <v>85447000</v>
      </c>
    </row>
    <row r="138" spans="1:15" hidden="1" x14ac:dyDescent="0.2">
      <c r="A138" s="403">
        <v>240641</v>
      </c>
      <c r="B138" s="403" t="s">
        <v>2173</v>
      </c>
      <c r="C138" s="403" t="s">
        <v>2406</v>
      </c>
      <c r="D138" s="403" t="s">
        <v>2186</v>
      </c>
      <c r="E138" s="405">
        <v>1500</v>
      </c>
      <c r="F138" s="403" t="s">
        <v>2199</v>
      </c>
      <c r="G138" s="403" t="s">
        <v>2341</v>
      </c>
      <c r="H138" s="403">
        <v>102</v>
      </c>
      <c r="I138" s="403">
        <v>102</v>
      </c>
      <c r="J138" s="406">
        <f t="shared" si="2"/>
        <v>6.8000000000000005E-2</v>
      </c>
      <c r="K138" s="403">
        <v>0.78749999999999998</v>
      </c>
      <c r="L138" s="407">
        <v>142415888640</v>
      </c>
      <c r="M138" s="403" t="s">
        <v>2194</v>
      </c>
      <c r="N138" s="403" t="s">
        <v>2190</v>
      </c>
      <c r="O138" s="403">
        <v>39269099</v>
      </c>
    </row>
    <row r="139" spans="1:15" hidden="1" x14ac:dyDescent="0.2">
      <c r="A139" s="403">
        <v>185864</v>
      </c>
      <c r="B139" s="403" t="s">
        <v>2173</v>
      </c>
      <c r="C139" s="403" t="s">
        <v>2329</v>
      </c>
      <c r="D139" s="403" t="s">
        <v>2186</v>
      </c>
      <c r="E139" s="403">
        <v>16</v>
      </c>
      <c r="F139" s="403" t="s">
        <v>2407</v>
      </c>
      <c r="G139" s="403" t="s">
        <v>2408</v>
      </c>
      <c r="H139" s="403">
        <v>1</v>
      </c>
      <c r="I139" s="403">
        <v>0.754</v>
      </c>
      <c r="J139" s="406">
        <f t="shared" si="2"/>
        <v>4.7125E-2</v>
      </c>
      <c r="K139" s="403">
        <v>3.264E-3</v>
      </c>
      <c r="L139" s="407">
        <v>142611828463</v>
      </c>
      <c r="M139" s="403" t="s">
        <v>2194</v>
      </c>
      <c r="N139" s="403" t="s">
        <v>2190</v>
      </c>
      <c r="O139" s="403">
        <v>85389000</v>
      </c>
    </row>
    <row r="140" spans="1:15" hidden="1" x14ac:dyDescent="0.2">
      <c r="A140" s="403">
        <v>191466</v>
      </c>
      <c r="B140" s="403" t="s">
        <v>2173</v>
      </c>
      <c r="C140" s="403" t="s">
        <v>2317</v>
      </c>
      <c r="D140" s="403" t="s">
        <v>2175</v>
      </c>
      <c r="E140" s="403">
        <v>1</v>
      </c>
      <c r="F140" s="403" t="s">
        <v>2318</v>
      </c>
      <c r="G140" s="403" t="s">
        <v>2177</v>
      </c>
      <c r="H140" s="403">
        <v>48</v>
      </c>
      <c r="I140" s="403">
        <v>47.7</v>
      </c>
      <c r="J140" s="406">
        <f t="shared" si="2"/>
        <v>47.7</v>
      </c>
      <c r="K140" s="403">
        <v>0.1075</v>
      </c>
      <c r="L140" s="407">
        <v>191500414668</v>
      </c>
      <c r="M140" s="403" t="s">
        <v>2178</v>
      </c>
      <c r="N140" s="403" t="s">
        <v>2190</v>
      </c>
      <c r="O140" s="403">
        <v>85366990</v>
      </c>
    </row>
    <row r="141" spans="1:15" hidden="1" x14ac:dyDescent="0.2">
      <c r="A141" s="403">
        <v>191800</v>
      </c>
      <c r="B141" s="403" t="s">
        <v>2173</v>
      </c>
      <c r="C141" s="403" t="s">
        <v>2317</v>
      </c>
      <c r="D141" s="403" t="s">
        <v>2175</v>
      </c>
      <c r="E141" s="403">
        <v>1</v>
      </c>
      <c r="F141" s="403" t="s">
        <v>2318</v>
      </c>
      <c r="G141" s="403" t="s">
        <v>2177</v>
      </c>
      <c r="H141" s="403">
        <v>6</v>
      </c>
      <c r="I141" s="403">
        <v>6.36</v>
      </c>
      <c r="J141" s="406">
        <f t="shared" si="2"/>
        <v>6.36</v>
      </c>
      <c r="K141" s="403">
        <v>3.5200000000000002E-2</v>
      </c>
      <c r="L141" s="407">
        <v>191500414668</v>
      </c>
      <c r="M141" s="403" t="s">
        <v>2178</v>
      </c>
      <c r="N141" s="403" t="s">
        <v>2190</v>
      </c>
      <c r="O141" s="403">
        <v>85447000</v>
      </c>
    </row>
    <row r="142" spans="1:15" hidden="1" x14ac:dyDescent="0.2">
      <c r="A142" s="403">
        <v>191453</v>
      </c>
      <c r="B142" s="403" t="s">
        <v>2173</v>
      </c>
      <c r="C142" s="403" t="s">
        <v>2409</v>
      </c>
      <c r="D142" s="403" t="s">
        <v>2175</v>
      </c>
      <c r="E142" s="405">
        <v>10500</v>
      </c>
      <c r="F142" s="403" t="s">
        <v>2181</v>
      </c>
      <c r="G142" s="403" t="s">
        <v>2410</v>
      </c>
      <c r="H142" s="403">
        <v>567</v>
      </c>
      <c r="I142" s="403">
        <v>567</v>
      </c>
      <c r="J142" s="406">
        <f t="shared" si="2"/>
        <v>5.3999999999999999E-2</v>
      </c>
      <c r="K142" s="403">
        <v>1.5435000000000001</v>
      </c>
      <c r="L142" s="407">
        <v>142415938312</v>
      </c>
      <c r="M142" s="403" t="s">
        <v>2178</v>
      </c>
      <c r="O142" s="403">
        <v>85444921</v>
      </c>
    </row>
    <row r="143" spans="1:15" hidden="1" x14ac:dyDescent="0.2">
      <c r="A143" s="403">
        <v>651712</v>
      </c>
      <c r="B143" s="403" t="s">
        <v>2173</v>
      </c>
      <c r="C143" s="403" t="s">
        <v>2220</v>
      </c>
      <c r="D143" s="403" t="s">
        <v>2186</v>
      </c>
      <c r="E143" s="403">
        <v>1</v>
      </c>
      <c r="F143" s="403" t="s">
        <v>2280</v>
      </c>
      <c r="G143" s="403" t="s">
        <v>2219</v>
      </c>
      <c r="H143" s="403">
        <v>0</v>
      </c>
      <c r="I143" s="403">
        <v>0.13</v>
      </c>
      <c r="J143" s="406">
        <f t="shared" si="2"/>
        <v>0.13</v>
      </c>
      <c r="K143" s="403">
        <v>1.083E-3</v>
      </c>
      <c r="L143" s="407">
        <v>142114085324</v>
      </c>
      <c r="M143" s="403" t="s">
        <v>2204</v>
      </c>
      <c r="N143" s="403" t="s">
        <v>2190</v>
      </c>
      <c r="O143" s="403">
        <v>85444210</v>
      </c>
    </row>
    <row r="144" spans="1:15" hidden="1" x14ac:dyDescent="0.2">
      <c r="A144" s="403">
        <v>415222</v>
      </c>
      <c r="B144" s="403" t="s">
        <v>2173</v>
      </c>
      <c r="C144" s="403" t="s">
        <v>2320</v>
      </c>
      <c r="D144" s="403" t="s">
        <v>2186</v>
      </c>
      <c r="E144" s="403">
        <v>2</v>
      </c>
      <c r="F144" s="403" t="s">
        <v>2280</v>
      </c>
      <c r="G144" s="403" t="s">
        <v>2281</v>
      </c>
      <c r="H144" s="403">
        <v>7</v>
      </c>
      <c r="I144" s="403">
        <v>6.7</v>
      </c>
      <c r="J144" s="406">
        <f t="shared" si="2"/>
        <v>3.35</v>
      </c>
      <c r="K144" s="403">
        <v>2.0140000000000002E-2</v>
      </c>
      <c r="L144" s="407">
        <v>142415775185</v>
      </c>
      <c r="M144" s="403" t="s">
        <v>2189</v>
      </c>
      <c r="N144" s="403" t="s">
        <v>2190</v>
      </c>
      <c r="O144" s="403">
        <v>85369010</v>
      </c>
    </row>
    <row r="145" spans="1:15" hidden="1" x14ac:dyDescent="0.2">
      <c r="A145" s="403">
        <v>4000615</v>
      </c>
      <c r="B145" s="403" t="s">
        <v>2173</v>
      </c>
      <c r="C145" s="403" t="s">
        <v>2411</v>
      </c>
      <c r="D145" s="403" t="s">
        <v>2186</v>
      </c>
      <c r="E145" s="403">
        <v>9</v>
      </c>
      <c r="F145" s="403" t="s">
        <v>2412</v>
      </c>
      <c r="G145" s="403" t="s">
        <v>2413</v>
      </c>
      <c r="H145" s="403">
        <v>28</v>
      </c>
      <c r="I145" s="403">
        <v>28.125</v>
      </c>
      <c r="J145" s="406">
        <f t="shared" si="2"/>
        <v>3.125</v>
      </c>
      <c r="K145" s="403">
        <v>2.0452000000000001E-2</v>
      </c>
      <c r="L145" s="407">
        <v>142415898111</v>
      </c>
      <c r="M145" s="403" t="s">
        <v>2194</v>
      </c>
      <c r="N145" s="403" t="s">
        <v>2190</v>
      </c>
      <c r="O145" s="403">
        <v>85447000</v>
      </c>
    </row>
    <row r="146" spans="1:15" hidden="1" x14ac:dyDescent="0.2">
      <c r="A146" s="403">
        <v>4000611</v>
      </c>
      <c r="B146" s="403" t="s">
        <v>2173</v>
      </c>
      <c r="C146" s="403" t="s">
        <v>2414</v>
      </c>
      <c r="D146" s="403" t="s">
        <v>2206</v>
      </c>
      <c r="E146" s="403">
        <v>2</v>
      </c>
      <c r="F146" s="403" t="s">
        <v>2207</v>
      </c>
      <c r="G146" s="403" t="s">
        <v>2337</v>
      </c>
      <c r="H146" s="403">
        <v>260</v>
      </c>
      <c r="I146" s="403">
        <v>260</v>
      </c>
      <c r="J146" s="406">
        <f t="shared" si="2"/>
        <v>130</v>
      </c>
      <c r="K146" s="403">
        <v>2.8520460000000001</v>
      </c>
      <c r="L146" s="407">
        <v>142415880145</v>
      </c>
      <c r="M146" s="403" t="s">
        <v>2194</v>
      </c>
      <c r="N146" s="403" t="s">
        <v>2190</v>
      </c>
      <c r="O146" s="403">
        <v>85371000</v>
      </c>
    </row>
    <row r="147" spans="1:15" hidden="1" x14ac:dyDescent="0.2">
      <c r="A147" s="403">
        <v>418506</v>
      </c>
      <c r="B147" s="403" t="s">
        <v>2173</v>
      </c>
      <c r="C147" s="403" t="s">
        <v>2195</v>
      </c>
      <c r="D147" s="403" t="s">
        <v>2186</v>
      </c>
      <c r="E147" s="405">
        <v>1500</v>
      </c>
      <c r="F147" s="403" t="s">
        <v>2339</v>
      </c>
      <c r="G147" s="403" t="s">
        <v>2281</v>
      </c>
      <c r="H147" s="403">
        <v>9</v>
      </c>
      <c r="I147" s="403">
        <v>9.3989999999999991</v>
      </c>
      <c r="J147" s="406">
        <f t="shared" si="2"/>
        <v>6.265999999999999E-3</v>
      </c>
      <c r="K147" s="403">
        <v>3.3000000000000002E-2</v>
      </c>
      <c r="L147" s="407">
        <v>142415760947</v>
      </c>
      <c r="M147" s="403" t="s">
        <v>2194</v>
      </c>
      <c r="N147" s="403" t="s">
        <v>2190</v>
      </c>
      <c r="O147" s="403">
        <v>85367000</v>
      </c>
    </row>
    <row r="148" spans="1:15" hidden="1" x14ac:dyDescent="0.2">
      <c r="A148" s="403">
        <v>400312</v>
      </c>
      <c r="B148" s="403" t="s">
        <v>2173</v>
      </c>
      <c r="C148" s="403" t="s">
        <v>2329</v>
      </c>
      <c r="D148" s="403" t="s">
        <v>2186</v>
      </c>
      <c r="E148" s="403">
        <v>231</v>
      </c>
      <c r="F148" s="403" t="s">
        <v>2316</v>
      </c>
      <c r="G148" s="403" t="s">
        <v>2415</v>
      </c>
      <c r="H148" s="403">
        <v>0</v>
      </c>
      <c r="I148" s="403">
        <v>0.41599999999999998</v>
      </c>
      <c r="J148" s="406">
        <f t="shared" si="2"/>
        <v>1.8008658008658008E-3</v>
      </c>
      <c r="K148" s="403">
        <v>2.31E-3</v>
      </c>
      <c r="L148" s="407">
        <v>142415841766</v>
      </c>
      <c r="M148" s="403" t="s">
        <v>2189</v>
      </c>
      <c r="N148" s="403" t="s">
        <v>2190</v>
      </c>
      <c r="O148" s="403">
        <v>39269099</v>
      </c>
    </row>
    <row r="149" spans="1:15" hidden="1" x14ac:dyDescent="0.2">
      <c r="A149" s="403">
        <v>4000611</v>
      </c>
      <c r="B149" s="403" t="s">
        <v>2173</v>
      </c>
      <c r="C149" s="403" t="s">
        <v>2416</v>
      </c>
      <c r="D149" s="403" t="s">
        <v>2206</v>
      </c>
      <c r="E149" s="403">
        <v>2</v>
      </c>
      <c r="F149" s="403" t="s">
        <v>2207</v>
      </c>
      <c r="G149" s="403" t="s">
        <v>2337</v>
      </c>
      <c r="H149" s="403">
        <v>260</v>
      </c>
      <c r="I149" s="403">
        <v>260</v>
      </c>
      <c r="J149" s="406">
        <f t="shared" si="2"/>
        <v>130</v>
      </c>
      <c r="K149" s="403">
        <v>2.8520460000000001</v>
      </c>
      <c r="L149" s="407">
        <v>142415880145</v>
      </c>
      <c r="M149" s="403" t="s">
        <v>2194</v>
      </c>
      <c r="N149" s="403" t="s">
        <v>2190</v>
      </c>
      <c r="O149" s="403">
        <v>85371000</v>
      </c>
    </row>
    <row r="150" spans="1:15" hidden="1" x14ac:dyDescent="0.2">
      <c r="A150" s="403">
        <v>148833</v>
      </c>
      <c r="B150" s="403" t="s">
        <v>2173</v>
      </c>
      <c r="C150" s="403" t="s">
        <v>2417</v>
      </c>
      <c r="D150" s="403" t="s">
        <v>2175</v>
      </c>
      <c r="E150" s="405">
        <v>1000</v>
      </c>
      <c r="F150" s="403" t="s">
        <v>2184</v>
      </c>
      <c r="G150" s="403" t="s">
        <v>2177</v>
      </c>
      <c r="H150" s="403">
        <v>608</v>
      </c>
      <c r="I150" s="403">
        <v>607.5</v>
      </c>
      <c r="J150" s="406">
        <f t="shared" si="2"/>
        <v>0.60750000000000004</v>
      </c>
      <c r="K150" s="403">
        <v>1.62</v>
      </c>
      <c r="L150" s="407">
        <v>142415025920</v>
      </c>
      <c r="M150" s="403" t="s">
        <v>2194</v>
      </c>
      <c r="N150" s="403" t="s">
        <v>2190</v>
      </c>
      <c r="O150" s="403">
        <v>85444910</v>
      </c>
    </row>
    <row r="151" spans="1:15" hidden="1" x14ac:dyDescent="0.2">
      <c r="A151" s="403">
        <v>651812</v>
      </c>
      <c r="B151" s="403" t="s">
        <v>2173</v>
      </c>
      <c r="C151" s="403" t="s">
        <v>2220</v>
      </c>
      <c r="D151" s="403" t="s">
        <v>2186</v>
      </c>
      <c r="E151" s="403">
        <v>1</v>
      </c>
      <c r="F151" s="403" t="s">
        <v>2280</v>
      </c>
      <c r="G151" s="403" t="s">
        <v>2219</v>
      </c>
      <c r="H151" s="403">
        <v>0</v>
      </c>
      <c r="I151" s="403">
        <v>0.13</v>
      </c>
      <c r="J151" s="406">
        <f t="shared" si="2"/>
        <v>0.13</v>
      </c>
      <c r="K151" s="403">
        <v>1.083E-3</v>
      </c>
      <c r="L151" s="407">
        <v>142114077954</v>
      </c>
      <c r="M151" s="403" t="s">
        <v>2204</v>
      </c>
      <c r="N151" s="403" t="s">
        <v>2190</v>
      </c>
      <c r="O151" s="403">
        <v>85444210</v>
      </c>
    </row>
    <row r="152" spans="1:15" hidden="1" x14ac:dyDescent="0.2">
      <c r="A152" s="403">
        <v>240563</v>
      </c>
      <c r="B152" s="403" t="s">
        <v>2173</v>
      </c>
      <c r="C152" s="403" t="s">
        <v>2418</v>
      </c>
      <c r="D152" s="403" t="s">
        <v>2175</v>
      </c>
      <c r="E152" s="405">
        <v>9150</v>
      </c>
      <c r="F152" s="403" t="s">
        <v>2224</v>
      </c>
      <c r="G152" s="403" t="s">
        <v>2225</v>
      </c>
      <c r="H152" s="403">
        <v>384</v>
      </c>
      <c r="I152" s="403">
        <v>384.3</v>
      </c>
      <c r="J152" s="406">
        <f t="shared" si="2"/>
        <v>4.2000000000000003E-2</v>
      </c>
      <c r="K152" s="403">
        <v>1.1346000000000001</v>
      </c>
      <c r="L152" s="407">
        <v>142415784924</v>
      </c>
      <c r="M152" s="403" t="s">
        <v>2194</v>
      </c>
      <c r="N152" s="403" t="s">
        <v>2190</v>
      </c>
      <c r="O152" s="403">
        <v>85442090</v>
      </c>
    </row>
    <row r="153" spans="1:15" hidden="1" x14ac:dyDescent="0.2">
      <c r="A153" s="403">
        <v>240563</v>
      </c>
      <c r="B153" s="403" t="s">
        <v>2173</v>
      </c>
      <c r="C153" s="403" t="s">
        <v>2419</v>
      </c>
      <c r="D153" s="403" t="s">
        <v>2175</v>
      </c>
      <c r="E153" s="405">
        <v>9150</v>
      </c>
      <c r="F153" s="403" t="s">
        <v>2224</v>
      </c>
      <c r="G153" s="403" t="s">
        <v>2225</v>
      </c>
      <c r="H153" s="403">
        <v>384</v>
      </c>
      <c r="I153" s="403">
        <v>384.3</v>
      </c>
      <c r="J153" s="406">
        <f t="shared" si="2"/>
        <v>4.2000000000000003E-2</v>
      </c>
      <c r="K153" s="403">
        <v>1.1346000000000001</v>
      </c>
      <c r="L153" s="407">
        <v>142415784924</v>
      </c>
      <c r="M153" s="403" t="s">
        <v>2194</v>
      </c>
      <c r="N153" s="403" t="s">
        <v>2190</v>
      </c>
      <c r="O153" s="403">
        <v>85442090</v>
      </c>
    </row>
    <row r="154" spans="1:15" hidden="1" x14ac:dyDescent="0.2">
      <c r="A154" s="403">
        <v>240563</v>
      </c>
      <c r="B154" s="403" t="s">
        <v>2173</v>
      </c>
      <c r="C154" s="403" t="s">
        <v>2342</v>
      </c>
      <c r="D154" s="403" t="s">
        <v>2175</v>
      </c>
      <c r="E154" s="405">
        <v>6100</v>
      </c>
      <c r="F154" s="403" t="s">
        <v>2224</v>
      </c>
      <c r="G154" s="403" t="s">
        <v>2372</v>
      </c>
      <c r="H154" s="403">
        <v>256</v>
      </c>
      <c r="I154" s="403">
        <v>256.2</v>
      </c>
      <c r="J154" s="406">
        <f t="shared" si="2"/>
        <v>4.1999999999999996E-2</v>
      </c>
      <c r="K154" s="403">
        <v>0.75639999999999996</v>
      </c>
      <c r="L154" s="407">
        <v>142415784924</v>
      </c>
      <c r="M154" s="403" t="s">
        <v>2194</v>
      </c>
      <c r="N154" s="403" t="s">
        <v>2190</v>
      </c>
      <c r="O154" s="403">
        <v>85442090</v>
      </c>
    </row>
    <row r="155" spans="1:15" hidden="1" x14ac:dyDescent="0.2">
      <c r="A155" s="403">
        <v>240563</v>
      </c>
      <c r="B155" s="403" t="s">
        <v>2173</v>
      </c>
      <c r="C155" s="403" t="s">
        <v>2420</v>
      </c>
      <c r="D155" s="403" t="s">
        <v>2175</v>
      </c>
      <c r="E155" s="405">
        <v>9150</v>
      </c>
      <c r="F155" s="403" t="s">
        <v>2224</v>
      </c>
      <c r="G155" s="403" t="s">
        <v>2225</v>
      </c>
      <c r="H155" s="403">
        <v>384</v>
      </c>
      <c r="I155" s="403">
        <v>384.3</v>
      </c>
      <c r="J155" s="406">
        <f t="shared" si="2"/>
        <v>4.2000000000000003E-2</v>
      </c>
      <c r="K155" s="403">
        <v>1.1346000000000001</v>
      </c>
      <c r="L155" s="407">
        <v>142414956340</v>
      </c>
      <c r="M155" s="403" t="s">
        <v>2194</v>
      </c>
      <c r="N155" s="403" t="s">
        <v>2190</v>
      </c>
      <c r="O155" s="403">
        <v>85442090</v>
      </c>
    </row>
    <row r="156" spans="1:15" hidden="1" x14ac:dyDescent="0.2">
      <c r="A156" s="403">
        <v>240563</v>
      </c>
      <c r="B156" s="403" t="s">
        <v>2173</v>
      </c>
      <c r="C156" s="403" t="s">
        <v>2421</v>
      </c>
      <c r="D156" s="403" t="s">
        <v>2175</v>
      </c>
      <c r="E156" s="405">
        <v>9150</v>
      </c>
      <c r="F156" s="403" t="s">
        <v>2224</v>
      </c>
      <c r="G156" s="403" t="s">
        <v>2225</v>
      </c>
      <c r="H156" s="403">
        <v>384</v>
      </c>
      <c r="I156" s="403">
        <v>384.3</v>
      </c>
      <c r="J156" s="406">
        <f t="shared" si="2"/>
        <v>4.2000000000000003E-2</v>
      </c>
      <c r="K156" s="403">
        <v>1.1346000000000001</v>
      </c>
      <c r="L156" s="407">
        <v>142414956340</v>
      </c>
      <c r="M156" s="403" t="s">
        <v>2194</v>
      </c>
      <c r="N156" s="403" t="s">
        <v>2190</v>
      </c>
      <c r="O156" s="403">
        <v>85442090</v>
      </c>
    </row>
    <row r="157" spans="1:15" hidden="1" x14ac:dyDescent="0.2">
      <c r="A157" s="403">
        <v>240563</v>
      </c>
      <c r="B157" s="403" t="s">
        <v>2173</v>
      </c>
      <c r="C157" s="403" t="s">
        <v>2422</v>
      </c>
      <c r="D157" s="403" t="s">
        <v>2175</v>
      </c>
      <c r="E157" s="405">
        <v>9150</v>
      </c>
      <c r="F157" s="403" t="s">
        <v>2224</v>
      </c>
      <c r="G157" s="403" t="s">
        <v>2225</v>
      </c>
      <c r="H157" s="403">
        <v>384</v>
      </c>
      <c r="I157" s="403">
        <v>384.3</v>
      </c>
      <c r="J157" s="406">
        <f t="shared" si="2"/>
        <v>4.2000000000000003E-2</v>
      </c>
      <c r="K157" s="403">
        <v>1.1346000000000001</v>
      </c>
      <c r="L157" s="407">
        <v>142415758139</v>
      </c>
      <c r="M157" s="403" t="s">
        <v>2194</v>
      </c>
      <c r="N157" s="403" t="s">
        <v>2190</v>
      </c>
      <c r="O157" s="403">
        <v>85442090</v>
      </c>
    </row>
    <row r="158" spans="1:15" hidden="1" x14ac:dyDescent="0.2">
      <c r="A158" s="403">
        <v>240563</v>
      </c>
      <c r="B158" s="403" t="s">
        <v>2173</v>
      </c>
      <c r="C158" s="403" t="s">
        <v>2423</v>
      </c>
      <c r="D158" s="403" t="s">
        <v>2175</v>
      </c>
      <c r="E158" s="405">
        <v>9150</v>
      </c>
      <c r="F158" s="403" t="s">
        <v>2224</v>
      </c>
      <c r="G158" s="403" t="s">
        <v>2225</v>
      </c>
      <c r="H158" s="403">
        <v>384</v>
      </c>
      <c r="I158" s="403">
        <v>384.3</v>
      </c>
      <c r="J158" s="406">
        <f t="shared" si="2"/>
        <v>4.2000000000000003E-2</v>
      </c>
      <c r="K158" s="403">
        <v>1.1346000000000001</v>
      </c>
      <c r="L158" s="407">
        <v>142415758139</v>
      </c>
      <c r="M158" s="403" t="s">
        <v>2194</v>
      </c>
      <c r="N158" s="403" t="s">
        <v>2190</v>
      </c>
      <c r="O158" s="403">
        <v>85442090</v>
      </c>
    </row>
    <row r="159" spans="1:15" hidden="1" x14ac:dyDescent="0.2">
      <c r="A159" s="403">
        <v>185863</v>
      </c>
      <c r="B159" s="403" t="s">
        <v>2173</v>
      </c>
      <c r="C159" s="403" t="s">
        <v>2424</v>
      </c>
      <c r="D159" s="403" t="s">
        <v>2186</v>
      </c>
      <c r="E159" s="403">
        <v>350</v>
      </c>
      <c r="F159" s="403" t="s">
        <v>2199</v>
      </c>
      <c r="G159" s="403" t="s">
        <v>2425</v>
      </c>
      <c r="H159" s="403">
        <v>20</v>
      </c>
      <c r="I159" s="403">
        <v>19.774999999999999</v>
      </c>
      <c r="J159" s="406">
        <f t="shared" si="2"/>
        <v>5.6499999999999995E-2</v>
      </c>
      <c r="K159" s="403">
        <v>8.5750000000000007E-2</v>
      </c>
      <c r="L159" s="407" t="s">
        <v>2278</v>
      </c>
      <c r="M159" s="403" t="s">
        <v>2194</v>
      </c>
      <c r="N159" s="403" t="s">
        <v>2190</v>
      </c>
      <c r="O159" s="403">
        <v>85366910</v>
      </c>
    </row>
    <row r="160" spans="1:15" hidden="1" x14ac:dyDescent="0.2">
      <c r="A160" s="403">
        <v>185865</v>
      </c>
      <c r="B160" s="403" t="s">
        <v>2173</v>
      </c>
      <c r="C160" s="403" t="s">
        <v>2357</v>
      </c>
      <c r="D160" s="403" t="s">
        <v>2175</v>
      </c>
      <c r="E160" s="403">
        <v>90</v>
      </c>
      <c r="F160" s="403" t="s">
        <v>2358</v>
      </c>
      <c r="G160" s="403" t="s">
        <v>2426</v>
      </c>
      <c r="H160" s="403">
        <v>7</v>
      </c>
      <c r="I160" s="403">
        <v>6.66</v>
      </c>
      <c r="J160" s="406">
        <f t="shared" si="2"/>
        <v>7.3999999999999996E-2</v>
      </c>
      <c r="K160" s="403">
        <v>1.422E-2</v>
      </c>
      <c r="L160" s="407">
        <v>142612160043</v>
      </c>
      <c r="M160" s="403" t="s">
        <v>2178</v>
      </c>
      <c r="N160" s="403" t="s">
        <v>2190</v>
      </c>
      <c r="O160" s="403">
        <v>85366910</v>
      </c>
    </row>
    <row r="161" spans="1:15" hidden="1" x14ac:dyDescent="0.2">
      <c r="A161" s="403">
        <v>418070</v>
      </c>
      <c r="B161" s="403" t="s">
        <v>2173</v>
      </c>
      <c r="C161" s="403" t="s">
        <v>2427</v>
      </c>
      <c r="D161" s="403" t="s">
        <v>2186</v>
      </c>
      <c r="E161" s="403">
        <v>789</v>
      </c>
      <c r="F161" s="403" t="s">
        <v>2285</v>
      </c>
      <c r="G161" s="403" t="s">
        <v>2428</v>
      </c>
      <c r="H161" s="403">
        <v>17</v>
      </c>
      <c r="I161" s="403">
        <v>16.568999999999999</v>
      </c>
      <c r="J161" s="406">
        <f t="shared" si="2"/>
        <v>2.0999999999999998E-2</v>
      </c>
      <c r="K161" s="403">
        <v>0.18699299999999999</v>
      </c>
      <c r="L161" s="407">
        <v>142415809884</v>
      </c>
      <c r="M161" s="403" t="s">
        <v>2286</v>
      </c>
      <c r="N161" s="403" t="s">
        <v>2190</v>
      </c>
      <c r="O161" s="403">
        <v>85369010</v>
      </c>
    </row>
    <row r="162" spans="1:15" hidden="1" x14ac:dyDescent="0.2">
      <c r="A162" s="403">
        <v>418080</v>
      </c>
      <c r="B162" s="403" t="s">
        <v>2173</v>
      </c>
      <c r="C162" s="403" t="s">
        <v>2429</v>
      </c>
      <c r="D162" s="403" t="s">
        <v>2175</v>
      </c>
      <c r="E162" s="405">
        <v>4800</v>
      </c>
      <c r="F162" s="403" t="s">
        <v>2362</v>
      </c>
      <c r="G162" s="403" t="s">
        <v>2256</v>
      </c>
      <c r="H162" s="403">
        <v>86</v>
      </c>
      <c r="I162" s="403">
        <v>86.4</v>
      </c>
      <c r="J162" s="406">
        <f t="shared" si="2"/>
        <v>1.8000000000000002E-2</v>
      </c>
      <c r="K162" s="403">
        <v>1.1759999999999999</v>
      </c>
      <c r="L162" s="407" t="s">
        <v>2278</v>
      </c>
      <c r="M162" s="403" t="s">
        <v>2286</v>
      </c>
      <c r="N162" s="403" t="s">
        <v>2190</v>
      </c>
      <c r="O162" s="403">
        <v>85369010</v>
      </c>
    </row>
    <row r="163" spans="1:15" hidden="1" x14ac:dyDescent="0.2">
      <c r="A163" s="403">
        <v>4001105</v>
      </c>
      <c r="B163" s="403" t="s">
        <v>2173</v>
      </c>
      <c r="C163" s="403" t="s">
        <v>2271</v>
      </c>
      <c r="D163" s="403" t="s">
        <v>2186</v>
      </c>
      <c r="E163" s="403">
        <v>850</v>
      </c>
      <c r="F163" s="403" t="s">
        <v>2285</v>
      </c>
      <c r="G163" s="403" t="s">
        <v>2430</v>
      </c>
      <c r="H163" s="403">
        <v>16</v>
      </c>
      <c r="I163" s="403">
        <v>19.338000000000001</v>
      </c>
      <c r="J163" s="406">
        <f t="shared" si="2"/>
        <v>2.275058823529412E-2</v>
      </c>
      <c r="K163" s="403">
        <v>0.13514999999999999</v>
      </c>
      <c r="L163" s="407">
        <v>3020430800317</v>
      </c>
      <c r="M163" s="403" t="s">
        <v>2194</v>
      </c>
      <c r="O163" s="403">
        <v>85447000</v>
      </c>
    </row>
    <row r="164" spans="1:15" hidden="1" x14ac:dyDescent="0.2">
      <c r="A164" s="403">
        <v>391362</v>
      </c>
      <c r="B164" s="403" t="s">
        <v>2173</v>
      </c>
      <c r="C164" s="403" t="s">
        <v>2431</v>
      </c>
      <c r="D164" s="403" t="s">
        <v>2175</v>
      </c>
      <c r="E164" s="405">
        <v>4575</v>
      </c>
      <c r="F164" s="403" t="s">
        <v>2276</v>
      </c>
      <c r="G164" s="403" t="s">
        <v>2432</v>
      </c>
      <c r="H164" s="403">
        <v>229</v>
      </c>
      <c r="I164" s="403">
        <v>228.75</v>
      </c>
      <c r="J164" s="406">
        <f t="shared" si="2"/>
        <v>0.05</v>
      </c>
      <c r="K164" s="403">
        <v>0.74572499999999997</v>
      </c>
      <c r="L164" s="407">
        <v>142414730708</v>
      </c>
      <c r="M164" s="403" t="s">
        <v>2194</v>
      </c>
      <c r="N164" s="403" t="s">
        <v>2190</v>
      </c>
      <c r="O164" s="403" t="s">
        <v>2278</v>
      </c>
    </row>
    <row r="165" spans="1:15" x14ac:dyDescent="0.2">
      <c r="A165" s="403">
        <v>191454</v>
      </c>
      <c r="B165" s="403" t="s">
        <v>2173</v>
      </c>
      <c r="C165" s="403" t="s">
        <v>2433</v>
      </c>
      <c r="D165" s="403" t="s">
        <v>2175</v>
      </c>
      <c r="E165" s="405">
        <v>4000</v>
      </c>
      <c r="F165" s="403" t="s">
        <v>2181</v>
      </c>
      <c r="G165" s="403" t="s">
        <v>2434</v>
      </c>
      <c r="H165" s="403">
        <v>216</v>
      </c>
      <c r="I165" s="403">
        <v>216</v>
      </c>
      <c r="J165" s="406">
        <f t="shared" si="2"/>
        <v>5.3999999999999999E-2</v>
      </c>
      <c r="K165" s="403">
        <v>0.58799999999999997</v>
      </c>
      <c r="L165" s="407">
        <v>142415783151</v>
      </c>
      <c r="M165" s="403" t="s">
        <v>2178</v>
      </c>
      <c r="N165" s="403" t="s">
        <v>2190</v>
      </c>
      <c r="O165" s="403">
        <v>85444929</v>
      </c>
    </row>
    <row r="166" spans="1:15" x14ac:dyDescent="0.2">
      <c r="A166" s="403">
        <v>191454</v>
      </c>
      <c r="B166" s="403" t="s">
        <v>2173</v>
      </c>
      <c r="C166" s="403" t="s">
        <v>2433</v>
      </c>
      <c r="D166" s="403" t="s">
        <v>2175</v>
      </c>
      <c r="E166" s="405">
        <v>8000</v>
      </c>
      <c r="F166" s="403" t="s">
        <v>2181</v>
      </c>
      <c r="G166" s="403" t="s">
        <v>2403</v>
      </c>
      <c r="H166" s="403">
        <v>432</v>
      </c>
      <c r="I166" s="403">
        <v>432</v>
      </c>
      <c r="J166" s="406">
        <f t="shared" si="2"/>
        <v>5.3999999999999999E-2</v>
      </c>
      <c r="K166" s="403">
        <v>1.1759999999999999</v>
      </c>
      <c r="L166" s="407">
        <v>142415736116</v>
      </c>
      <c r="M166" s="403" t="s">
        <v>2178</v>
      </c>
      <c r="N166" s="403" t="s">
        <v>2190</v>
      </c>
      <c r="O166" s="403">
        <v>85444929</v>
      </c>
    </row>
    <row r="167" spans="1:15" x14ac:dyDescent="0.2">
      <c r="A167" s="403">
        <v>191454</v>
      </c>
      <c r="B167" s="403" t="s">
        <v>2173</v>
      </c>
      <c r="C167" s="403" t="s">
        <v>2368</v>
      </c>
      <c r="D167" s="403" t="s">
        <v>2175</v>
      </c>
      <c r="E167" s="405">
        <v>2000</v>
      </c>
      <c r="F167" s="403" t="s">
        <v>2181</v>
      </c>
      <c r="G167" s="403" t="s">
        <v>2435</v>
      </c>
      <c r="H167" s="403">
        <v>108</v>
      </c>
      <c r="I167" s="403">
        <v>108</v>
      </c>
      <c r="J167" s="406">
        <f t="shared" si="2"/>
        <v>5.3999999999999999E-2</v>
      </c>
      <c r="K167" s="403">
        <v>0.29399999999999998</v>
      </c>
      <c r="L167" s="407">
        <v>142415736116</v>
      </c>
      <c r="M167" s="403" t="s">
        <v>2178</v>
      </c>
      <c r="N167" s="403" t="s">
        <v>2190</v>
      </c>
      <c r="O167" s="403">
        <v>85444929</v>
      </c>
    </row>
    <row r="168" spans="1:15" hidden="1" x14ac:dyDescent="0.2">
      <c r="A168" s="403">
        <v>4000614</v>
      </c>
      <c r="B168" s="403" t="s">
        <v>2173</v>
      </c>
      <c r="C168" s="403" t="s">
        <v>2436</v>
      </c>
      <c r="D168" s="403" t="s">
        <v>2186</v>
      </c>
      <c r="E168" s="403">
        <v>2</v>
      </c>
      <c r="F168" s="403" t="s">
        <v>2207</v>
      </c>
      <c r="G168" s="403" t="s">
        <v>2337</v>
      </c>
      <c r="H168" s="403">
        <v>56</v>
      </c>
      <c r="I168" s="403">
        <v>56</v>
      </c>
      <c r="J168" s="406">
        <f t="shared" si="2"/>
        <v>28</v>
      </c>
      <c r="K168" s="403">
        <v>0.51559200000000005</v>
      </c>
      <c r="L168" s="407">
        <v>142415761142</v>
      </c>
      <c r="M168" s="403" t="s">
        <v>2194</v>
      </c>
      <c r="N168" s="403" t="s">
        <v>2190</v>
      </c>
      <c r="O168" s="403">
        <v>85371000</v>
      </c>
    </row>
    <row r="169" spans="1:15" x14ac:dyDescent="0.2">
      <c r="A169" s="403">
        <v>191454</v>
      </c>
      <c r="B169" s="403" t="s">
        <v>2173</v>
      </c>
      <c r="C169" s="403" t="s">
        <v>2240</v>
      </c>
      <c r="D169" s="403" t="s">
        <v>2175</v>
      </c>
      <c r="E169" s="403">
        <v>500</v>
      </c>
      <c r="F169" s="403" t="s">
        <v>2437</v>
      </c>
      <c r="G169" s="403" t="s">
        <v>2438</v>
      </c>
      <c r="H169" s="403">
        <v>27</v>
      </c>
      <c r="I169" s="403">
        <v>27</v>
      </c>
      <c r="J169" s="406">
        <f t="shared" si="2"/>
        <v>5.3999999999999999E-2</v>
      </c>
      <c r="K169" s="403">
        <v>7.3499999999999996E-2</v>
      </c>
      <c r="L169" s="407">
        <v>142414887078</v>
      </c>
      <c r="M169" s="403" t="s">
        <v>2194</v>
      </c>
      <c r="N169" s="403" t="s">
        <v>2190</v>
      </c>
      <c r="O169" s="403">
        <v>85444929</v>
      </c>
    </row>
    <row r="170" spans="1:15" hidden="1" x14ac:dyDescent="0.2">
      <c r="A170" s="403">
        <v>240562</v>
      </c>
      <c r="B170" s="403" t="s">
        <v>2173</v>
      </c>
      <c r="C170" s="403" t="s">
        <v>2439</v>
      </c>
      <c r="D170" s="403" t="s">
        <v>2175</v>
      </c>
      <c r="E170" s="405">
        <v>9150</v>
      </c>
      <c r="F170" s="403" t="s">
        <v>2224</v>
      </c>
      <c r="G170" s="403" t="s">
        <v>2225</v>
      </c>
      <c r="H170" s="403">
        <v>384</v>
      </c>
      <c r="I170" s="403">
        <v>384.3</v>
      </c>
      <c r="J170" s="406">
        <f t="shared" si="2"/>
        <v>4.2000000000000003E-2</v>
      </c>
      <c r="K170" s="403">
        <v>1.1346000000000001</v>
      </c>
      <c r="L170" s="407">
        <v>142415784924</v>
      </c>
      <c r="M170" s="403" t="s">
        <v>2194</v>
      </c>
      <c r="N170" s="403" t="s">
        <v>2190</v>
      </c>
      <c r="O170" s="403">
        <v>85442090</v>
      </c>
    </row>
    <row r="171" spans="1:15" hidden="1" x14ac:dyDescent="0.2">
      <c r="A171" s="403" t="s">
        <v>2440</v>
      </c>
      <c r="B171" s="403" t="s">
        <v>2173</v>
      </c>
      <c r="C171" s="403" t="s">
        <v>2441</v>
      </c>
      <c r="D171" s="403" t="s">
        <v>2186</v>
      </c>
      <c r="E171" s="405">
        <v>1438</v>
      </c>
      <c r="F171" s="403" t="s">
        <v>2247</v>
      </c>
      <c r="G171" s="403" t="s">
        <v>2442</v>
      </c>
      <c r="H171" s="403">
        <v>270</v>
      </c>
      <c r="I171" s="403">
        <v>269.625</v>
      </c>
      <c r="J171" s="406">
        <f t="shared" si="2"/>
        <v>0.1875</v>
      </c>
      <c r="K171" s="403">
        <v>1.2194240000000001</v>
      </c>
      <c r="L171" s="407" t="s">
        <v>2278</v>
      </c>
      <c r="M171" s="403" t="s">
        <v>2334</v>
      </c>
      <c r="N171" s="403" t="s">
        <v>2190</v>
      </c>
      <c r="O171" s="403" t="s">
        <v>2278</v>
      </c>
    </row>
    <row r="172" spans="1:15" hidden="1" x14ac:dyDescent="0.2">
      <c r="A172" s="403">
        <v>240562</v>
      </c>
      <c r="B172" s="403" t="s">
        <v>2173</v>
      </c>
      <c r="C172" s="403" t="s">
        <v>2443</v>
      </c>
      <c r="D172" s="403" t="s">
        <v>2175</v>
      </c>
      <c r="E172" s="405">
        <v>9150</v>
      </c>
      <c r="F172" s="403" t="s">
        <v>2224</v>
      </c>
      <c r="G172" s="403" t="s">
        <v>2225</v>
      </c>
      <c r="H172" s="403">
        <v>384</v>
      </c>
      <c r="I172" s="403">
        <v>384.3</v>
      </c>
      <c r="J172" s="406">
        <f t="shared" si="2"/>
        <v>4.2000000000000003E-2</v>
      </c>
      <c r="K172" s="403">
        <v>1.1346000000000001</v>
      </c>
      <c r="L172" s="407">
        <v>142415888640</v>
      </c>
      <c r="M172" s="403" t="s">
        <v>2194</v>
      </c>
      <c r="N172" s="403" t="s">
        <v>2190</v>
      </c>
      <c r="O172" s="403">
        <v>85442090</v>
      </c>
    </row>
    <row r="173" spans="1:15" hidden="1" x14ac:dyDescent="0.2">
      <c r="A173" s="403">
        <v>240562</v>
      </c>
      <c r="B173" s="403" t="s">
        <v>2173</v>
      </c>
      <c r="C173" s="403" t="s">
        <v>2444</v>
      </c>
      <c r="D173" s="403" t="s">
        <v>2175</v>
      </c>
      <c r="E173" s="405">
        <v>9150</v>
      </c>
      <c r="F173" s="403" t="s">
        <v>2224</v>
      </c>
      <c r="G173" s="403" t="s">
        <v>2225</v>
      </c>
      <c r="H173" s="403">
        <v>384</v>
      </c>
      <c r="I173" s="403">
        <v>384.3</v>
      </c>
      <c r="J173" s="406">
        <f t="shared" si="2"/>
        <v>4.2000000000000003E-2</v>
      </c>
      <c r="K173" s="403">
        <v>1.1346000000000001</v>
      </c>
      <c r="L173" s="407">
        <v>142415888640</v>
      </c>
      <c r="M173" s="403" t="s">
        <v>2194</v>
      </c>
      <c r="N173" s="403" t="s">
        <v>2190</v>
      </c>
      <c r="O173" s="403">
        <v>85442090</v>
      </c>
    </row>
    <row r="174" spans="1:15" hidden="1" x14ac:dyDescent="0.2">
      <c r="A174" s="403">
        <v>240136</v>
      </c>
      <c r="B174" s="403" t="s">
        <v>2173</v>
      </c>
      <c r="C174" s="403" t="s">
        <v>2445</v>
      </c>
      <c r="D174" s="403" t="s">
        <v>2175</v>
      </c>
      <c r="E174" s="405">
        <v>9150</v>
      </c>
      <c r="F174" s="403" t="s">
        <v>2224</v>
      </c>
      <c r="G174" s="403" t="s">
        <v>2225</v>
      </c>
      <c r="H174" s="403">
        <v>384</v>
      </c>
      <c r="I174" s="403">
        <v>384.3</v>
      </c>
      <c r="J174" s="406">
        <f t="shared" si="2"/>
        <v>4.2000000000000003E-2</v>
      </c>
      <c r="K174" s="403">
        <v>1.1346000000000001</v>
      </c>
      <c r="L174" s="407">
        <v>142612140693</v>
      </c>
      <c r="M174" s="403" t="s">
        <v>2194</v>
      </c>
      <c r="N174" s="403" t="s">
        <v>2190</v>
      </c>
      <c r="O174" s="403">
        <v>85444290</v>
      </c>
    </row>
    <row r="175" spans="1:15" hidden="1" x14ac:dyDescent="0.2">
      <c r="A175" s="403">
        <v>240562</v>
      </c>
      <c r="B175" s="403" t="s">
        <v>2173</v>
      </c>
      <c r="C175" s="403" t="s">
        <v>2446</v>
      </c>
      <c r="D175" s="403" t="s">
        <v>2175</v>
      </c>
      <c r="E175" s="405">
        <v>9150</v>
      </c>
      <c r="F175" s="403" t="s">
        <v>2224</v>
      </c>
      <c r="G175" s="403" t="s">
        <v>2225</v>
      </c>
      <c r="H175" s="403">
        <v>384</v>
      </c>
      <c r="I175" s="403">
        <v>384.3</v>
      </c>
      <c r="J175" s="406">
        <f t="shared" si="2"/>
        <v>4.2000000000000003E-2</v>
      </c>
      <c r="K175" s="403">
        <v>1.1346000000000001</v>
      </c>
      <c r="L175" s="407">
        <v>142415784924</v>
      </c>
      <c r="M175" s="403" t="s">
        <v>2194</v>
      </c>
      <c r="N175" s="403" t="s">
        <v>2190</v>
      </c>
      <c r="O175" s="403">
        <v>85442090</v>
      </c>
    </row>
    <row r="176" spans="1:15" hidden="1" x14ac:dyDescent="0.2">
      <c r="A176" s="403">
        <v>187209</v>
      </c>
      <c r="B176" s="403" t="s">
        <v>2173</v>
      </c>
      <c r="C176" s="403" t="s">
        <v>2447</v>
      </c>
      <c r="D176" s="403" t="s">
        <v>2175</v>
      </c>
      <c r="E176" s="405">
        <v>2000</v>
      </c>
      <c r="F176" s="403" t="s">
        <v>2181</v>
      </c>
      <c r="G176" s="403" t="s">
        <v>2435</v>
      </c>
      <c r="H176" s="403">
        <v>222</v>
      </c>
      <c r="I176" s="403">
        <v>222</v>
      </c>
      <c r="J176" s="406">
        <f t="shared" si="2"/>
        <v>0.111</v>
      </c>
      <c r="K176" s="403">
        <v>0.58399999999999996</v>
      </c>
      <c r="L176" s="407">
        <v>142415823269</v>
      </c>
      <c r="M176" s="403" t="s">
        <v>2178</v>
      </c>
      <c r="N176" s="403" t="s">
        <v>2190</v>
      </c>
      <c r="O176" s="403">
        <v>85444991</v>
      </c>
    </row>
    <row r="177" spans="1:15" hidden="1" x14ac:dyDescent="0.2">
      <c r="A177" s="403">
        <v>187354</v>
      </c>
      <c r="B177" s="403" t="s">
        <v>2173</v>
      </c>
      <c r="C177" s="403" t="s">
        <v>2448</v>
      </c>
      <c r="D177" s="403" t="s">
        <v>2175</v>
      </c>
      <c r="E177" s="405">
        <v>2000</v>
      </c>
      <c r="F177" s="403" t="s">
        <v>2184</v>
      </c>
      <c r="G177" s="403" t="s">
        <v>2258</v>
      </c>
      <c r="H177" s="403">
        <v>296</v>
      </c>
      <c r="I177" s="403">
        <v>296</v>
      </c>
      <c r="J177" s="406">
        <f t="shared" si="2"/>
        <v>0.14799999999999999</v>
      </c>
      <c r="K177" s="403">
        <v>0.94799999999999995</v>
      </c>
      <c r="L177" s="407">
        <v>142415591190</v>
      </c>
      <c r="M177" s="403" t="s">
        <v>2178</v>
      </c>
      <c r="N177" s="403" t="s">
        <v>2190</v>
      </c>
      <c r="O177" s="403">
        <v>85447000</v>
      </c>
    </row>
    <row r="178" spans="1:15" hidden="1" x14ac:dyDescent="0.2">
      <c r="A178" s="403">
        <v>187354</v>
      </c>
      <c r="B178" s="403" t="s">
        <v>2173</v>
      </c>
      <c r="C178" s="403" t="s">
        <v>2449</v>
      </c>
      <c r="D178" s="403" t="s">
        <v>2175</v>
      </c>
      <c r="E178" s="405">
        <v>2000</v>
      </c>
      <c r="F178" s="403" t="s">
        <v>2176</v>
      </c>
      <c r="G178" s="403" t="s">
        <v>2177</v>
      </c>
      <c r="H178" s="403">
        <v>226</v>
      </c>
      <c r="I178" s="403">
        <v>226</v>
      </c>
      <c r="J178" s="406">
        <f t="shared" si="2"/>
        <v>0.113</v>
      </c>
      <c r="K178" s="403">
        <v>1.0940000000000001</v>
      </c>
      <c r="L178" s="407">
        <v>142415823269</v>
      </c>
      <c r="M178" s="403" t="s">
        <v>2178</v>
      </c>
      <c r="N178" s="403" t="s">
        <v>2190</v>
      </c>
      <c r="O178" s="403">
        <v>85447000</v>
      </c>
    </row>
    <row r="179" spans="1:15" hidden="1" x14ac:dyDescent="0.2">
      <c r="A179" s="403">
        <v>190112</v>
      </c>
      <c r="B179" s="403" t="s">
        <v>2173</v>
      </c>
      <c r="C179" s="403" t="s">
        <v>2450</v>
      </c>
      <c r="D179" s="403" t="s">
        <v>2175</v>
      </c>
      <c r="E179" s="405">
        <v>2000</v>
      </c>
      <c r="F179" s="403" t="s">
        <v>2184</v>
      </c>
      <c r="G179" s="403" t="s">
        <v>2258</v>
      </c>
      <c r="H179" s="403">
        <v>154</v>
      </c>
      <c r="I179" s="403">
        <v>154</v>
      </c>
      <c r="J179" s="406">
        <f t="shared" si="2"/>
        <v>7.6999999999999999E-2</v>
      </c>
      <c r="K179" s="403">
        <v>0.44800000000000001</v>
      </c>
      <c r="L179" s="407">
        <v>142415783151</v>
      </c>
      <c r="M179" s="403" t="s">
        <v>2178</v>
      </c>
      <c r="N179" s="403" t="s">
        <v>2190</v>
      </c>
      <c r="O179" s="403">
        <v>85447000</v>
      </c>
    </row>
    <row r="180" spans="1:15" hidden="1" x14ac:dyDescent="0.2">
      <c r="A180" s="403">
        <v>231000</v>
      </c>
      <c r="B180" s="403" t="s">
        <v>2173</v>
      </c>
      <c r="C180" s="403" t="s">
        <v>2451</v>
      </c>
      <c r="D180" s="403" t="s">
        <v>2175</v>
      </c>
      <c r="E180" s="405">
        <v>54000</v>
      </c>
      <c r="F180" s="403" t="s">
        <v>2184</v>
      </c>
      <c r="G180" s="403" t="s">
        <v>2265</v>
      </c>
      <c r="H180" s="408">
        <v>162572</v>
      </c>
      <c r="I180" s="403">
        <v>571.86</v>
      </c>
      <c r="J180" s="406">
        <f t="shared" si="2"/>
        <v>1.059E-2</v>
      </c>
      <c r="K180" s="403">
        <v>2.052</v>
      </c>
      <c r="L180" s="407">
        <v>142414994614</v>
      </c>
      <c r="M180" s="403" t="s">
        <v>2194</v>
      </c>
      <c r="N180" s="403" t="s">
        <v>2190</v>
      </c>
      <c r="O180" s="403">
        <v>85447000</v>
      </c>
    </row>
    <row r="181" spans="1:15" hidden="1" x14ac:dyDescent="0.2">
      <c r="A181" s="403">
        <v>148780</v>
      </c>
      <c r="B181" s="403" t="s">
        <v>2173</v>
      </c>
      <c r="C181" s="403" t="s">
        <v>2452</v>
      </c>
      <c r="D181" s="403" t="s">
        <v>2175</v>
      </c>
      <c r="E181" s="405">
        <v>1000</v>
      </c>
      <c r="F181" s="403" t="s">
        <v>2184</v>
      </c>
      <c r="G181" s="403" t="s">
        <v>2177</v>
      </c>
      <c r="H181" s="403">
        <v>527</v>
      </c>
      <c r="I181" s="403">
        <v>527</v>
      </c>
      <c r="J181" s="406">
        <f t="shared" si="2"/>
        <v>0.52700000000000002</v>
      </c>
      <c r="K181" s="403">
        <v>1.08</v>
      </c>
      <c r="L181" s="407" t="s">
        <v>2278</v>
      </c>
      <c r="M181" s="403" t="s">
        <v>2178</v>
      </c>
      <c r="N181" s="403" t="s">
        <v>2190</v>
      </c>
      <c r="O181" s="403">
        <v>85442090</v>
      </c>
    </row>
    <row r="182" spans="1:15" hidden="1" x14ac:dyDescent="0.2">
      <c r="A182" s="403">
        <v>148780</v>
      </c>
      <c r="B182" s="403" t="s">
        <v>2173</v>
      </c>
      <c r="C182" s="403" t="s">
        <v>2453</v>
      </c>
      <c r="D182" s="403" t="s">
        <v>2175</v>
      </c>
      <c r="E182" s="405">
        <v>1000</v>
      </c>
      <c r="F182" s="403" t="s">
        <v>2184</v>
      </c>
      <c r="G182" s="403" t="s">
        <v>2177</v>
      </c>
      <c r="H182" s="403">
        <v>527</v>
      </c>
      <c r="I182" s="403">
        <v>527</v>
      </c>
      <c r="J182" s="406">
        <f t="shared" si="2"/>
        <v>0.52700000000000002</v>
      </c>
      <c r="K182" s="403">
        <v>1.08</v>
      </c>
      <c r="L182" s="407" t="s">
        <v>2278</v>
      </c>
      <c r="M182" s="403" t="s">
        <v>2178</v>
      </c>
      <c r="N182" s="403" t="s">
        <v>2190</v>
      </c>
      <c r="O182" s="403">
        <v>85442090</v>
      </c>
    </row>
    <row r="183" spans="1:15" hidden="1" x14ac:dyDescent="0.2">
      <c r="A183" s="403">
        <v>148780</v>
      </c>
      <c r="B183" s="403" t="s">
        <v>2173</v>
      </c>
      <c r="C183" s="403" t="s">
        <v>2454</v>
      </c>
      <c r="D183" s="403" t="s">
        <v>2175</v>
      </c>
      <c r="E183" s="405">
        <v>1000</v>
      </c>
      <c r="F183" s="403" t="s">
        <v>2184</v>
      </c>
      <c r="G183" s="403" t="s">
        <v>2177</v>
      </c>
      <c r="H183" s="403">
        <v>527</v>
      </c>
      <c r="I183" s="403">
        <v>527</v>
      </c>
      <c r="J183" s="406">
        <f t="shared" si="2"/>
        <v>0.52700000000000002</v>
      </c>
      <c r="K183" s="403">
        <v>1.08</v>
      </c>
      <c r="L183" s="407" t="s">
        <v>2278</v>
      </c>
      <c r="M183" s="403" t="s">
        <v>2178</v>
      </c>
      <c r="N183" s="403" t="s">
        <v>2190</v>
      </c>
      <c r="O183" s="403">
        <v>85442090</v>
      </c>
    </row>
    <row r="184" spans="1:15" hidden="1" x14ac:dyDescent="0.2">
      <c r="A184" s="403">
        <v>186350</v>
      </c>
      <c r="B184" s="403" t="s">
        <v>2173</v>
      </c>
      <c r="C184" s="403" t="s">
        <v>2455</v>
      </c>
      <c r="D184" s="403" t="s">
        <v>2175</v>
      </c>
      <c r="E184" s="405">
        <v>2000</v>
      </c>
      <c r="F184" s="403" t="s">
        <v>2184</v>
      </c>
      <c r="G184" s="403" t="s">
        <v>2258</v>
      </c>
      <c r="H184" s="403">
        <v>235</v>
      </c>
      <c r="I184" s="403">
        <v>235.4</v>
      </c>
      <c r="J184" s="406">
        <f t="shared" si="2"/>
        <v>0.1177</v>
      </c>
      <c r="K184" s="403">
        <v>0.48</v>
      </c>
      <c r="L184" s="407">
        <v>142415888640</v>
      </c>
      <c r="M184" s="403" t="s">
        <v>2178</v>
      </c>
      <c r="N184" s="403" t="s">
        <v>2190</v>
      </c>
      <c r="O184" s="403">
        <v>85447000</v>
      </c>
    </row>
    <row r="185" spans="1:15" hidden="1" x14ac:dyDescent="0.2">
      <c r="A185" s="403">
        <v>154675</v>
      </c>
      <c r="B185" s="403" t="s">
        <v>2173</v>
      </c>
      <c r="C185" s="403" t="s">
        <v>2279</v>
      </c>
      <c r="D185" s="403" t="s">
        <v>2175</v>
      </c>
      <c r="E185" s="405">
        <v>6000</v>
      </c>
      <c r="F185" s="403" t="s">
        <v>2181</v>
      </c>
      <c r="G185" s="403" t="s">
        <v>2256</v>
      </c>
      <c r="H185" s="403">
        <v>588</v>
      </c>
      <c r="I185" s="403">
        <v>592.79999999999995</v>
      </c>
      <c r="J185" s="406">
        <f t="shared" si="2"/>
        <v>9.8799999999999999E-2</v>
      </c>
      <c r="K185" s="403">
        <v>1.026</v>
      </c>
      <c r="L185" s="407">
        <v>142415739084</v>
      </c>
      <c r="M185" s="403" t="s">
        <v>2189</v>
      </c>
      <c r="N185" s="403" t="s">
        <v>2190</v>
      </c>
      <c r="O185" s="403">
        <v>85444220</v>
      </c>
    </row>
    <row r="186" spans="1:15" hidden="1" x14ac:dyDescent="0.2">
      <c r="A186" s="403">
        <v>190204</v>
      </c>
      <c r="B186" s="403" t="s">
        <v>2173</v>
      </c>
      <c r="C186" s="403" t="s">
        <v>2456</v>
      </c>
      <c r="D186" s="403" t="s">
        <v>2175</v>
      </c>
      <c r="E186" s="405">
        <v>4000</v>
      </c>
      <c r="F186" s="403" t="s">
        <v>2176</v>
      </c>
      <c r="G186" s="403" t="s">
        <v>2258</v>
      </c>
      <c r="H186" s="403">
        <v>336</v>
      </c>
      <c r="I186" s="403">
        <v>336</v>
      </c>
      <c r="J186" s="406">
        <f t="shared" si="2"/>
        <v>8.4000000000000005E-2</v>
      </c>
      <c r="K186" s="403">
        <v>0.93200000000000005</v>
      </c>
      <c r="L186" s="407">
        <v>142415905599</v>
      </c>
      <c r="M186" s="403" t="s">
        <v>2178</v>
      </c>
      <c r="N186" s="403" t="s">
        <v>2190</v>
      </c>
      <c r="O186" s="403">
        <v>85447000</v>
      </c>
    </row>
    <row r="187" spans="1:15" hidden="1" x14ac:dyDescent="0.2">
      <c r="A187" s="403">
        <v>192360</v>
      </c>
      <c r="B187" s="403" t="s">
        <v>2173</v>
      </c>
      <c r="C187" s="403" t="s">
        <v>2457</v>
      </c>
      <c r="D187" s="403" t="s">
        <v>2175</v>
      </c>
      <c r="E187" s="405">
        <v>1000</v>
      </c>
      <c r="F187" s="403" t="s">
        <v>2184</v>
      </c>
      <c r="G187" s="403" t="s">
        <v>2177</v>
      </c>
      <c r="H187" s="403">
        <v>589</v>
      </c>
      <c r="I187" s="403">
        <v>589</v>
      </c>
      <c r="J187" s="406">
        <f t="shared" si="2"/>
        <v>0.58899999999999997</v>
      </c>
      <c r="K187" s="403">
        <v>1.4</v>
      </c>
      <c r="L187" s="407">
        <v>142415591190</v>
      </c>
      <c r="M187" s="403" t="s">
        <v>2178</v>
      </c>
      <c r="N187" s="403" t="s">
        <v>2190</v>
      </c>
      <c r="O187" s="403">
        <v>85444999</v>
      </c>
    </row>
    <row r="188" spans="1:15" hidden="1" x14ac:dyDescent="0.2">
      <c r="A188" s="403">
        <v>4000621</v>
      </c>
      <c r="B188" s="403" t="s">
        <v>2173</v>
      </c>
      <c r="C188" s="403" t="s">
        <v>2271</v>
      </c>
      <c r="D188" s="403" t="s">
        <v>2186</v>
      </c>
      <c r="E188" s="405">
        <v>1000</v>
      </c>
      <c r="F188" s="403" t="s">
        <v>2285</v>
      </c>
      <c r="G188" s="403" t="s">
        <v>2458</v>
      </c>
      <c r="H188" s="403">
        <v>21</v>
      </c>
      <c r="I188" s="403">
        <v>23</v>
      </c>
      <c r="J188" s="406">
        <f t="shared" si="2"/>
        <v>2.3E-2</v>
      </c>
      <c r="K188" s="403">
        <v>0.158</v>
      </c>
      <c r="L188" s="407">
        <v>3020430800317</v>
      </c>
      <c r="M188" s="403" t="s">
        <v>2194</v>
      </c>
      <c r="O188" s="403">
        <v>85447000</v>
      </c>
    </row>
    <row r="189" spans="1:15" hidden="1" x14ac:dyDescent="0.2">
      <c r="A189" s="403">
        <v>309047</v>
      </c>
      <c r="B189" s="403" t="s">
        <v>2173</v>
      </c>
      <c r="C189" s="403" t="s">
        <v>2459</v>
      </c>
      <c r="D189" s="403" t="s">
        <v>2175</v>
      </c>
      <c r="E189" s="403">
        <v>500</v>
      </c>
      <c r="F189" s="403" t="s">
        <v>2181</v>
      </c>
      <c r="G189" s="403" t="s">
        <v>2177</v>
      </c>
      <c r="H189" s="403">
        <v>316</v>
      </c>
      <c r="I189" s="403">
        <v>181</v>
      </c>
      <c r="J189" s="406">
        <f t="shared" si="2"/>
        <v>0.36199999999999999</v>
      </c>
      <c r="K189" s="403">
        <v>0.624</v>
      </c>
      <c r="L189" s="407" t="s">
        <v>2278</v>
      </c>
      <c r="M189" s="403" t="s">
        <v>2194</v>
      </c>
      <c r="N189" s="403" t="s">
        <v>2190</v>
      </c>
      <c r="O189" s="403">
        <v>85447000</v>
      </c>
    </row>
    <row r="190" spans="1:15" hidden="1" x14ac:dyDescent="0.2">
      <c r="A190" s="403">
        <v>4000612</v>
      </c>
      <c r="B190" s="403" t="s">
        <v>2173</v>
      </c>
      <c r="C190" s="403" t="s">
        <v>2460</v>
      </c>
      <c r="D190" s="403" t="s">
        <v>2206</v>
      </c>
      <c r="E190" s="403">
        <v>2</v>
      </c>
      <c r="F190" s="403" t="s">
        <v>2207</v>
      </c>
      <c r="G190" s="403" t="s">
        <v>2337</v>
      </c>
      <c r="H190" s="403">
        <v>230</v>
      </c>
      <c r="I190" s="403">
        <v>230</v>
      </c>
      <c r="J190" s="406">
        <f t="shared" si="2"/>
        <v>115</v>
      </c>
      <c r="K190" s="403">
        <v>2.6342819999999998</v>
      </c>
      <c r="L190" s="407">
        <v>142414982337</v>
      </c>
      <c r="M190" s="403" t="s">
        <v>2194</v>
      </c>
      <c r="N190" s="403" t="s">
        <v>2190</v>
      </c>
      <c r="O190" s="403">
        <v>85177000</v>
      </c>
    </row>
    <row r="191" spans="1:15" hidden="1" x14ac:dyDescent="0.2">
      <c r="A191" s="403">
        <v>4000612</v>
      </c>
      <c r="B191" s="403" t="s">
        <v>2173</v>
      </c>
      <c r="C191" s="403" t="s">
        <v>2461</v>
      </c>
      <c r="D191" s="403" t="s">
        <v>2206</v>
      </c>
      <c r="E191" s="403">
        <v>2</v>
      </c>
      <c r="F191" s="403" t="s">
        <v>2207</v>
      </c>
      <c r="G191" s="403" t="s">
        <v>2337</v>
      </c>
      <c r="H191" s="403">
        <v>230</v>
      </c>
      <c r="I191" s="403">
        <v>230</v>
      </c>
      <c r="J191" s="406">
        <f t="shared" si="2"/>
        <v>115</v>
      </c>
      <c r="K191" s="403">
        <v>2.6342819999999998</v>
      </c>
      <c r="L191" s="407">
        <v>142414982337</v>
      </c>
      <c r="M191" s="403" t="s">
        <v>2194</v>
      </c>
      <c r="N191" s="403" t="s">
        <v>2190</v>
      </c>
      <c r="O191" s="403">
        <v>85177000</v>
      </c>
    </row>
    <row r="192" spans="1:15" hidden="1" x14ac:dyDescent="0.2">
      <c r="A192" s="403">
        <v>4000682</v>
      </c>
      <c r="B192" s="403" t="s">
        <v>2173</v>
      </c>
      <c r="C192" s="403" t="s">
        <v>2462</v>
      </c>
      <c r="D192" s="403" t="s">
        <v>2206</v>
      </c>
      <c r="E192" s="403">
        <v>2</v>
      </c>
      <c r="F192" s="403" t="s">
        <v>2207</v>
      </c>
      <c r="G192" s="403" t="s">
        <v>2337</v>
      </c>
      <c r="H192" s="403">
        <v>146</v>
      </c>
      <c r="I192" s="403">
        <v>146</v>
      </c>
      <c r="J192" s="406">
        <f t="shared" si="2"/>
        <v>73</v>
      </c>
      <c r="K192" s="403">
        <v>1.301504</v>
      </c>
      <c r="L192" s="407">
        <v>142415761142</v>
      </c>
      <c r="M192" s="403" t="s">
        <v>2194</v>
      </c>
      <c r="N192" s="403" t="s">
        <v>2190</v>
      </c>
      <c r="O192" s="403">
        <v>85371000</v>
      </c>
    </row>
    <row r="193" spans="1:15" hidden="1" x14ac:dyDescent="0.2">
      <c r="A193" s="403" t="s">
        <v>2463</v>
      </c>
      <c r="B193" s="403" t="s">
        <v>2173</v>
      </c>
      <c r="C193" s="403" t="s">
        <v>2443</v>
      </c>
      <c r="D193" s="403" t="s">
        <v>2175</v>
      </c>
      <c r="E193" s="403">
        <v>20</v>
      </c>
      <c r="F193" s="403" t="s">
        <v>2303</v>
      </c>
      <c r="G193" s="403" t="s">
        <v>2177</v>
      </c>
      <c r="H193" s="403">
        <v>67</v>
      </c>
      <c r="I193" s="403">
        <v>67</v>
      </c>
      <c r="J193" s="406">
        <f t="shared" si="2"/>
        <v>3.35</v>
      </c>
      <c r="K193" s="403">
        <v>0.23626</v>
      </c>
      <c r="L193" s="407">
        <v>142415956116</v>
      </c>
      <c r="M193" s="403" t="s">
        <v>2178</v>
      </c>
      <c r="N193" s="403" t="s">
        <v>2295</v>
      </c>
      <c r="O193" s="403">
        <v>85447000</v>
      </c>
    </row>
    <row r="194" spans="1:15" hidden="1" x14ac:dyDescent="0.2">
      <c r="A194" s="403">
        <v>418061</v>
      </c>
      <c r="B194" s="403" t="s">
        <v>2173</v>
      </c>
      <c r="C194" s="403" t="s">
        <v>2464</v>
      </c>
      <c r="D194" s="403" t="s">
        <v>2186</v>
      </c>
      <c r="E194" s="405">
        <v>1800</v>
      </c>
      <c r="F194" s="403" t="s">
        <v>2285</v>
      </c>
      <c r="G194" s="403" t="s">
        <v>2465</v>
      </c>
      <c r="H194" s="403">
        <v>68</v>
      </c>
      <c r="I194" s="403">
        <v>67.5</v>
      </c>
      <c r="J194" s="406">
        <f t="shared" ref="J194:J257" si="3">I194/E194</f>
        <v>3.7499999999999999E-2</v>
      </c>
      <c r="K194" s="403">
        <v>0.42120000000000002</v>
      </c>
      <c r="L194" s="407">
        <v>142415941461</v>
      </c>
      <c r="M194" s="403" t="s">
        <v>2286</v>
      </c>
      <c r="O194" s="403">
        <v>85369010</v>
      </c>
    </row>
    <row r="195" spans="1:15" hidden="1" x14ac:dyDescent="0.2">
      <c r="A195" s="403" t="s">
        <v>2466</v>
      </c>
      <c r="B195" s="403" t="s">
        <v>2173</v>
      </c>
      <c r="C195" s="403" t="s">
        <v>2293</v>
      </c>
      <c r="D195" s="403" t="s">
        <v>2175</v>
      </c>
      <c r="E195" s="403">
        <v>20</v>
      </c>
      <c r="F195" s="403" t="s">
        <v>2294</v>
      </c>
      <c r="G195" s="403" t="s">
        <v>2219</v>
      </c>
      <c r="H195" s="403">
        <v>1</v>
      </c>
      <c r="I195" s="403">
        <v>1.2</v>
      </c>
      <c r="J195" s="406">
        <f t="shared" si="3"/>
        <v>0.06</v>
      </c>
      <c r="K195" s="403">
        <v>2.3279999999999999E-2</v>
      </c>
      <c r="L195" s="407">
        <v>142415956116</v>
      </c>
      <c r="M195" s="403" t="s">
        <v>2178</v>
      </c>
      <c r="N195" s="403" t="s">
        <v>2295</v>
      </c>
      <c r="O195" s="403">
        <v>85444921</v>
      </c>
    </row>
    <row r="196" spans="1:15" hidden="1" x14ac:dyDescent="0.2">
      <c r="A196" s="403" t="s">
        <v>2467</v>
      </c>
      <c r="B196" s="403" t="s">
        <v>2173</v>
      </c>
      <c r="C196" s="403" t="s">
        <v>2293</v>
      </c>
      <c r="D196" s="403" t="s">
        <v>2175</v>
      </c>
      <c r="E196" s="403">
        <v>20</v>
      </c>
      <c r="F196" s="403" t="s">
        <v>2294</v>
      </c>
      <c r="G196" s="403" t="s">
        <v>2219</v>
      </c>
      <c r="H196" s="403">
        <v>1</v>
      </c>
      <c r="I196" s="403">
        <v>1.47</v>
      </c>
      <c r="J196" s="406">
        <f t="shared" si="3"/>
        <v>7.3499999999999996E-2</v>
      </c>
      <c r="K196" s="403">
        <v>7.8399999999999997E-3</v>
      </c>
      <c r="L196" s="407">
        <v>142415956116</v>
      </c>
      <c r="M196" s="403" t="s">
        <v>2178</v>
      </c>
      <c r="N196" s="403" t="s">
        <v>2295</v>
      </c>
      <c r="O196" s="403">
        <v>85444929</v>
      </c>
    </row>
    <row r="197" spans="1:15" hidden="1" x14ac:dyDescent="0.2">
      <c r="A197" s="403">
        <v>191453</v>
      </c>
      <c r="B197" s="403" t="s">
        <v>2173</v>
      </c>
      <c r="C197" s="403" t="s">
        <v>2468</v>
      </c>
      <c r="D197" s="403" t="s">
        <v>2175</v>
      </c>
      <c r="E197" s="405">
        <v>12000</v>
      </c>
      <c r="F197" s="403" t="s">
        <v>2181</v>
      </c>
      <c r="G197" s="403" t="s">
        <v>2212</v>
      </c>
      <c r="H197" s="403">
        <v>648</v>
      </c>
      <c r="I197" s="403">
        <v>648</v>
      </c>
      <c r="J197" s="406">
        <f t="shared" si="3"/>
        <v>5.3999999999999999E-2</v>
      </c>
      <c r="K197" s="403">
        <v>1.764</v>
      </c>
      <c r="L197" s="407">
        <v>142415956116</v>
      </c>
      <c r="M197" s="403" t="s">
        <v>2178</v>
      </c>
      <c r="O197" s="403">
        <v>85444921</v>
      </c>
    </row>
    <row r="198" spans="1:15" hidden="1" x14ac:dyDescent="0.2">
      <c r="A198" s="403" t="s">
        <v>2469</v>
      </c>
      <c r="B198" s="403" t="s">
        <v>2173</v>
      </c>
      <c r="C198" s="403" t="s">
        <v>2293</v>
      </c>
      <c r="D198" s="403" t="s">
        <v>2175</v>
      </c>
      <c r="E198" s="403">
        <v>20</v>
      </c>
      <c r="F198" s="403" t="s">
        <v>2294</v>
      </c>
      <c r="G198" s="403" t="s">
        <v>2219</v>
      </c>
      <c r="H198" s="403">
        <v>3</v>
      </c>
      <c r="I198" s="403">
        <v>2.883</v>
      </c>
      <c r="J198" s="406">
        <f t="shared" si="3"/>
        <v>0.14415</v>
      </c>
      <c r="K198" s="403">
        <v>1.3780000000000001E-2</v>
      </c>
      <c r="L198" s="407">
        <v>142415956116</v>
      </c>
      <c r="M198" s="403" t="s">
        <v>2178</v>
      </c>
      <c r="N198" s="403" t="s">
        <v>2295</v>
      </c>
      <c r="O198" s="403">
        <v>85447000</v>
      </c>
    </row>
    <row r="199" spans="1:15" hidden="1" x14ac:dyDescent="0.2">
      <c r="A199" s="403" t="s">
        <v>2470</v>
      </c>
      <c r="B199" s="403" t="s">
        <v>2173</v>
      </c>
      <c r="C199" s="403" t="s">
        <v>2293</v>
      </c>
      <c r="D199" s="403" t="s">
        <v>2175</v>
      </c>
      <c r="E199" s="403">
        <v>20</v>
      </c>
      <c r="F199" s="403" t="s">
        <v>2294</v>
      </c>
      <c r="G199" s="403" t="s">
        <v>2219</v>
      </c>
      <c r="H199" s="403">
        <v>3</v>
      </c>
      <c r="I199" s="403">
        <v>2.883</v>
      </c>
      <c r="J199" s="406">
        <f t="shared" si="3"/>
        <v>0.14415</v>
      </c>
      <c r="K199" s="403">
        <v>1.3780000000000001E-2</v>
      </c>
      <c r="L199" s="407">
        <v>142415956116</v>
      </c>
      <c r="M199" s="403" t="s">
        <v>2178</v>
      </c>
      <c r="N199" s="403" t="s">
        <v>2295</v>
      </c>
      <c r="O199" s="403">
        <v>85447000</v>
      </c>
    </row>
    <row r="200" spans="1:15" hidden="1" x14ac:dyDescent="0.2">
      <c r="A200" s="403">
        <v>421311</v>
      </c>
      <c r="B200" s="403" t="s">
        <v>2173</v>
      </c>
      <c r="C200" s="403" t="s">
        <v>2304</v>
      </c>
      <c r="D200" s="403" t="s">
        <v>2186</v>
      </c>
      <c r="E200" s="403">
        <v>30</v>
      </c>
      <c r="F200" s="403" t="s">
        <v>2247</v>
      </c>
      <c r="G200" s="403" t="s">
        <v>2471</v>
      </c>
      <c r="H200" s="403">
        <v>3</v>
      </c>
      <c r="I200" s="403">
        <v>3.21</v>
      </c>
      <c r="J200" s="406">
        <f t="shared" si="3"/>
        <v>0.107</v>
      </c>
      <c r="K200" s="403">
        <v>1.941E-2</v>
      </c>
      <c r="L200" s="407">
        <v>142612160043</v>
      </c>
      <c r="M200" s="403" t="s">
        <v>2178</v>
      </c>
      <c r="N200" s="403" t="s">
        <v>2190</v>
      </c>
      <c r="O200" s="403">
        <v>85447000</v>
      </c>
    </row>
    <row r="201" spans="1:15" hidden="1" x14ac:dyDescent="0.2">
      <c r="A201" s="403">
        <v>421313</v>
      </c>
      <c r="B201" s="403" t="s">
        <v>2173</v>
      </c>
      <c r="C201" s="403" t="s">
        <v>2304</v>
      </c>
      <c r="D201" s="403" t="s">
        <v>2186</v>
      </c>
      <c r="E201" s="403">
        <v>268</v>
      </c>
      <c r="F201" s="403" t="s">
        <v>2306</v>
      </c>
      <c r="G201" s="403" t="s">
        <v>2472</v>
      </c>
      <c r="H201" s="403">
        <v>21</v>
      </c>
      <c r="I201" s="403">
        <v>21.494</v>
      </c>
      <c r="J201" s="406">
        <f t="shared" si="3"/>
        <v>8.0201492537313429E-2</v>
      </c>
      <c r="K201" s="403">
        <v>8.2811999999999997E-2</v>
      </c>
      <c r="L201" s="407">
        <v>142414856732</v>
      </c>
      <c r="N201" s="403" t="s">
        <v>2190</v>
      </c>
      <c r="O201" s="403">
        <v>85447000</v>
      </c>
    </row>
    <row r="202" spans="1:15" hidden="1" x14ac:dyDescent="0.2">
      <c r="A202" s="403">
        <v>423332</v>
      </c>
      <c r="B202" s="403" t="s">
        <v>2173</v>
      </c>
      <c r="C202" s="403" t="s">
        <v>2304</v>
      </c>
      <c r="D202" s="403" t="s">
        <v>2186</v>
      </c>
      <c r="E202" s="403">
        <v>20</v>
      </c>
      <c r="F202" s="403" t="s">
        <v>2202</v>
      </c>
      <c r="G202" s="403" t="s">
        <v>2473</v>
      </c>
      <c r="H202" s="403">
        <v>1</v>
      </c>
      <c r="I202" s="403">
        <v>1.26</v>
      </c>
      <c r="J202" s="406">
        <f t="shared" si="3"/>
        <v>6.3E-2</v>
      </c>
      <c r="K202" s="403">
        <v>1.8380000000000001E-2</v>
      </c>
      <c r="L202" s="407">
        <v>142415725482</v>
      </c>
      <c r="M202" s="403" t="s">
        <v>2194</v>
      </c>
      <c r="N202" s="403" t="s">
        <v>2190</v>
      </c>
      <c r="O202" s="403">
        <v>85447000</v>
      </c>
    </row>
    <row r="203" spans="1:15" hidden="1" x14ac:dyDescent="0.2">
      <c r="A203" s="403">
        <v>309325</v>
      </c>
      <c r="B203" s="403" t="s">
        <v>2173</v>
      </c>
      <c r="C203" s="403" t="s">
        <v>2311</v>
      </c>
      <c r="D203" s="403" t="s">
        <v>2186</v>
      </c>
      <c r="E203" s="403">
        <v>500</v>
      </c>
      <c r="F203" s="403" t="s">
        <v>2247</v>
      </c>
      <c r="G203" s="403" t="s">
        <v>2474</v>
      </c>
      <c r="H203" s="403">
        <v>64</v>
      </c>
      <c r="I203" s="403">
        <v>68.75</v>
      </c>
      <c r="J203" s="406">
        <f t="shared" si="3"/>
        <v>0.13750000000000001</v>
      </c>
      <c r="K203" s="403">
        <v>0.27550000000000002</v>
      </c>
      <c r="L203" s="407">
        <v>142415948345</v>
      </c>
      <c r="M203" s="403" t="s">
        <v>2194</v>
      </c>
      <c r="O203" s="403">
        <v>85444921</v>
      </c>
    </row>
    <row r="204" spans="1:15" hidden="1" x14ac:dyDescent="0.2">
      <c r="A204" s="403">
        <v>309025</v>
      </c>
      <c r="B204" s="403" t="s">
        <v>2173</v>
      </c>
      <c r="C204" s="403" t="s">
        <v>2475</v>
      </c>
      <c r="D204" s="403" t="s">
        <v>2186</v>
      </c>
      <c r="E204" s="403">
        <v>380</v>
      </c>
      <c r="F204" s="403" t="s">
        <v>2247</v>
      </c>
      <c r="G204" s="403" t="s">
        <v>2476</v>
      </c>
      <c r="H204" s="403">
        <v>49</v>
      </c>
      <c r="I204" s="403">
        <v>53.674999999999997</v>
      </c>
      <c r="J204" s="406">
        <f t="shared" si="3"/>
        <v>0.14124999999999999</v>
      </c>
      <c r="K204" s="403">
        <v>0.20938000000000001</v>
      </c>
      <c r="L204" s="407">
        <v>142415921486</v>
      </c>
      <c r="M204" s="403" t="s">
        <v>2194</v>
      </c>
      <c r="O204" s="403">
        <v>85444921</v>
      </c>
    </row>
    <row r="205" spans="1:15" hidden="1" x14ac:dyDescent="0.2">
      <c r="A205" s="403">
        <v>309325</v>
      </c>
      <c r="B205" s="403" t="s">
        <v>2173</v>
      </c>
      <c r="C205" s="403" t="s">
        <v>2400</v>
      </c>
      <c r="D205" s="403" t="s">
        <v>2186</v>
      </c>
      <c r="E205" s="403">
        <v>920</v>
      </c>
      <c r="F205" s="403" t="s">
        <v>2247</v>
      </c>
      <c r="G205" s="403" t="s">
        <v>2477</v>
      </c>
      <c r="H205" s="403">
        <v>118</v>
      </c>
      <c r="I205" s="403">
        <v>126.5</v>
      </c>
      <c r="J205" s="406">
        <f t="shared" si="3"/>
        <v>0.13750000000000001</v>
      </c>
      <c r="K205" s="403">
        <v>0.50692000000000004</v>
      </c>
      <c r="L205" s="407">
        <v>142415921486</v>
      </c>
      <c r="M205" s="403" t="s">
        <v>2194</v>
      </c>
      <c r="O205" s="403">
        <v>85444921</v>
      </c>
    </row>
    <row r="206" spans="1:15" hidden="1" x14ac:dyDescent="0.2">
      <c r="A206" s="403">
        <v>309325</v>
      </c>
      <c r="B206" s="403" t="s">
        <v>2173</v>
      </c>
      <c r="C206" s="403" t="s">
        <v>2478</v>
      </c>
      <c r="D206" s="403" t="s">
        <v>2186</v>
      </c>
      <c r="E206" s="403">
        <v>80</v>
      </c>
      <c r="F206" s="403" t="s">
        <v>2247</v>
      </c>
      <c r="G206" s="403" t="s">
        <v>2219</v>
      </c>
      <c r="H206" s="403">
        <v>10</v>
      </c>
      <c r="I206" s="403">
        <v>11</v>
      </c>
      <c r="J206" s="406">
        <f t="shared" si="3"/>
        <v>0.13750000000000001</v>
      </c>
      <c r="K206" s="403">
        <v>4.4080000000000001E-2</v>
      </c>
      <c r="L206" s="407">
        <v>142415921486</v>
      </c>
      <c r="M206" s="403" t="s">
        <v>2194</v>
      </c>
      <c r="O206" s="403">
        <v>85444921</v>
      </c>
    </row>
    <row r="207" spans="1:15" hidden="1" x14ac:dyDescent="0.2">
      <c r="A207" s="403">
        <v>309025</v>
      </c>
      <c r="B207" s="403" t="s">
        <v>2173</v>
      </c>
      <c r="C207" s="403" t="s">
        <v>2400</v>
      </c>
      <c r="D207" s="403" t="s">
        <v>2186</v>
      </c>
      <c r="E207" s="403">
        <v>320</v>
      </c>
      <c r="F207" s="403" t="s">
        <v>2247</v>
      </c>
      <c r="G207" s="403" t="s">
        <v>2479</v>
      </c>
      <c r="H207" s="403">
        <v>41</v>
      </c>
      <c r="I207" s="403">
        <v>45.2</v>
      </c>
      <c r="J207" s="406">
        <f t="shared" si="3"/>
        <v>0.14125000000000001</v>
      </c>
      <c r="K207" s="403">
        <v>0.17632</v>
      </c>
      <c r="L207" s="407">
        <v>142415921486</v>
      </c>
      <c r="M207" s="403" t="s">
        <v>2194</v>
      </c>
      <c r="O207" s="403">
        <v>85444921</v>
      </c>
    </row>
    <row r="208" spans="1:15" hidden="1" x14ac:dyDescent="0.2">
      <c r="A208" s="403">
        <v>193360</v>
      </c>
      <c r="B208" s="403" t="s">
        <v>2173</v>
      </c>
      <c r="C208" s="403" t="s">
        <v>2480</v>
      </c>
      <c r="D208" s="403" t="s">
        <v>2175</v>
      </c>
      <c r="E208" s="405">
        <v>5000</v>
      </c>
      <c r="F208" s="403" t="s">
        <v>2184</v>
      </c>
      <c r="G208" s="403" t="s">
        <v>2260</v>
      </c>
      <c r="H208" s="403">
        <v>390</v>
      </c>
      <c r="I208" s="403">
        <v>390</v>
      </c>
      <c r="J208" s="406">
        <f t="shared" si="3"/>
        <v>7.8E-2</v>
      </c>
      <c r="K208" s="403">
        <v>1.345</v>
      </c>
      <c r="L208" s="407">
        <v>142415920914</v>
      </c>
      <c r="M208" s="403" t="s">
        <v>2178</v>
      </c>
      <c r="O208" s="403">
        <v>85447000</v>
      </c>
    </row>
    <row r="209" spans="1:15" x14ac:dyDescent="0.2">
      <c r="A209" s="403">
        <v>191454</v>
      </c>
      <c r="B209" s="403" t="s">
        <v>2173</v>
      </c>
      <c r="C209" s="403" t="s">
        <v>2481</v>
      </c>
      <c r="D209" s="403" t="s">
        <v>2175</v>
      </c>
      <c r="E209" s="405">
        <v>12000</v>
      </c>
      <c r="F209" s="403" t="s">
        <v>2181</v>
      </c>
      <c r="G209" s="403" t="s">
        <v>2212</v>
      </c>
      <c r="H209" s="403">
        <v>648</v>
      </c>
      <c r="I209" s="403">
        <v>648</v>
      </c>
      <c r="J209" s="406">
        <f t="shared" si="3"/>
        <v>5.3999999999999999E-2</v>
      </c>
      <c r="K209" s="403">
        <v>1.764</v>
      </c>
      <c r="L209" s="407">
        <v>142415920914</v>
      </c>
      <c r="M209" s="403" t="s">
        <v>2178</v>
      </c>
      <c r="O209" s="403">
        <v>85444921</v>
      </c>
    </row>
    <row r="210" spans="1:15" x14ac:dyDescent="0.2">
      <c r="A210" s="403">
        <v>191454</v>
      </c>
      <c r="B210" s="403" t="s">
        <v>2173</v>
      </c>
      <c r="C210" s="403" t="s">
        <v>2482</v>
      </c>
      <c r="D210" s="403" t="s">
        <v>2175</v>
      </c>
      <c r="E210" s="405">
        <v>12000</v>
      </c>
      <c r="F210" s="403" t="s">
        <v>2181</v>
      </c>
      <c r="G210" s="403" t="s">
        <v>2212</v>
      </c>
      <c r="H210" s="403">
        <v>648</v>
      </c>
      <c r="I210" s="403">
        <v>648</v>
      </c>
      <c r="J210" s="406">
        <f t="shared" si="3"/>
        <v>5.3999999999999999E-2</v>
      </c>
      <c r="K210" s="403">
        <v>1.764</v>
      </c>
      <c r="L210" s="407">
        <v>142415920914</v>
      </c>
      <c r="M210" s="403" t="s">
        <v>2178</v>
      </c>
      <c r="O210" s="403">
        <v>85444921</v>
      </c>
    </row>
    <row r="211" spans="1:15" hidden="1" x14ac:dyDescent="0.2">
      <c r="A211" s="403">
        <v>182784</v>
      </c>
      <c r="B211" s="403" t="s">
        <v>2173</v>
      </c>
      <c r="C211" s="403" t="s">
        <v>2317</v>
      </c>
      <c r="D211" s="403" t="s">
        <v>2175</v>
      </c>
      <c r="E211" s="403">
        <v>1</v>
      </c>
      <c r="F211" s="403" t="s">
        <v>2318</v>
      </c>
      <c r="G211" s="403" t="s">
        <v>2177</v>
      </c>
      <c r="H211" s="403">
        <v>9</v>
      </c>
      <c r="I211" s="403">
        <v>8.64</v>
      </c>
      <c r="J211" s="406">
        <f t="shared" si="3"/>
        <v>8.64</v>
      </c>
      <c r="K211" s="403">
        <v>3.3599999999999998E-2</v>
      </c>
      <c r="L211" s="407">
        <v>191500414668</v>
      </c>
      <c r="M211" s="403" t="s">
        <v>2178</v>
      </c>
      <c r="N211" s="403" t="s">
        <v>2190</v>
      </c>
      <c r="O211" s="403">
        <v>85366990</v>
      </c>
    </row>
    <row r="212" spans="1:15" hidden="1" x14ac:dyDescent="0.2">
      <c r="A212" s="403">
        <v>185862</v>
      </c>
      <c r="B212" s="403" t="s">
        <v>2173</v>
      </c>
      <c r="C212" s="403" t="s">
        <v>2198</v>
      </c>
      <c r="D212" s="403" t="s">
        <v>2186</v>
      </c>
      <c r="E212" s="403">
        <v>402</v>
      </c>
      <c r="F212" s="403" t="s">
        <v>2199</v>
      </c>
      <c r="G212" s="403" t="s">
        <v>2483</v>
      </c>
      <c r="H212" s="403">
        <v>21</v>
      </c>
      <c r="I212" s="403">
        <v>21.306000000000001</v>
      </c>
      <c r="J212" s="406">
        <f t="shared" si="3"/>
        <v>5.3000000000000005E-2</v>
      </c>
      <c r="K212" s="403">
        <v>9.8489999999999994E-2</v>
      </c>
      <c r="L212" s="407" t="s">
        <v>2278</v>
      </c>
      <c r="M212" s="403" t="s">
        <v>2178</v>
      </c>
      <c r="N212" s="403" t="s">
        <v>2190</v>
      </c>
      <c r="O212" s="403">
        <v>85444210</v>
      </c>
    </row>
    <row r="213" spans="1:15" hidden="1" x14ac:dyDescent="0.2">
      <c r="A213" s="403">
        <v>182924</v>
      </c>
      <c r="B213" s="403" t="s">
        <v>2173</v>
      </c>
      <c r="C213" s="403" t="s">
        <v>2484</v>
      </c>
      <c r="D213" s="403" t="s">
        <v>2175</v>
      </c>
      <c r="E213" s="405">
        <v>5500</v>
      </c>
      <c r="F213" s="403" t="s">
        <v>2181</v>
      </c>
      <c r="G213" s="403" t="s">
        <v>2485</v>
      </c>
      <c r="H213" s="403">
        <v>330</v>
      </c>
      <c r="I213" s="403">
        <v>330</v>
      </c>
      <c r="J213" s="406">
        <f t="shared" si="3"/>
        <v>0.06</v>
      </c>
      <c r="K213" s="403">
        <v>0.8085</v>
      </c>
      <c r="L213" s="407">
        <v>142415823269</v>
      </c>
      <c r="M213" s="403" t="s">
        <v>2178</v>
      </c>
      <c r="N213" s="403" t="s">
        <v>2190</v>
      </c>
      <c r="O213" s="403">
        <v>85444921</v>
      </c>
    </row>
    <row r="214" spans="1:15" hidden="1" x14ac:dyDescent="0.2">
      <c r="A214" s="403">
        <v>185864</v>
      </c>
      <c r="B214" s="403" t="s">
        <v>2173</v>
      </c>
      <c r="C214" s="403" t="s">
        <v>2329</v>
      </c>
      <c r="D214" s="403" t="s">
        <v>2186</v>
      </c>
      <c r="E214" s="403">
        <v>20</v>
      </c>
      <c r="F214" s="403" t="s">
        <v>2407</v>
      </c>
      <c r="G214" s="403" t="s">
        <v>2473</v>
      </c>
      <c r="H214" s="403">
        <v>1</v>
      </c>
      <c r="I214" s="403">
        <v>0.94199999999999995</v>
      </c>
      <c r="J214" s="406">
        <f t="shared" si="3"/>
        <v>4.7099999999999996E-2</v>
      </c>
      <c r="K214" s="403">
        <v>4.0800000000000003E-3</v>
      </c>
      <c r="L214" s="407" t="s">
        <v>2278</v>
      </c>
      <c r="M214" s="403" t="s">
        <v>2194</v>
      </c>
      <c r="N214" s="403" t="s">
        <v>2190</v>
      </c>
      <c r="O214" s="403">
        <v>85389000</v>
      </c>
    </row>
    <row r="215" spans="1:15" hidden="1" x14ac:dyDescent="0.2">
      <c r="A215" s="403">
        <v>4000611</v>
      </c>
      <c r="B215" s="403" t="s">
        <v>2173</v>
      </c>
      <c r="C215" s="403" t="s">
        <v>2486</v>
      </c>
      <c r="D215" s="403" t="s">
        <v>2206</v>
      </c>
      <c r="E215" s="403">
        <v>1</v>
      </c>
      <c r="F215" s="403" t="s">
        <v>2207</v>
      </c>
      <c r="G215" s="403" t="s">
        <v>2208</v>
      </c>
      <c r="H215" s="403">
        <v>130</v>
      </c>
      <c r="I215" s="403">
        <v>130</v>
      </c>
      <c r="J215" s="406">
        <f t="shared" si="3"/>
        <v>130</v>
      </c>
      <c r="K215" s="403">
        <v>1.426023</v>
      </c>
      <c r="L215" s="407">
        <v>142415880145</v>
      </c>
      <c r="M215" s="403" t="s">
        <v>2194</v>
      </c>
      <c r="N215" s="403" t="s">
        <v>2190</v>
      </c>
      <c r="O215" s="403">
        <v>85371000</v>
      </c>
    </row>
    <row r="216" spans="1:15" hidden="1" x14ac:dyDescent="0.2">
      <c r="A216" s="403">
        <v>309103</v>
      </c>
      <c r="B216" s="403" t="s">
        <v>2173</v>
      </c>
      <c r="C216" s="403" t="s">
        <v>2317</v>
      </c>
      <c r="D216" s="403" t="s">
        <v>2175</v>
      </c>
      <c r="E216" s="403">
        <v>1</v>
      </c>
      <c r="F216" s="403" t="s">
        <v>2318</v>
      </c>
      <c r="G216" s="403" t="s">
        <v>2177</v>
      </c>
      <c r="H216" s="403">
        <v>55</v>
      </c>
      <c r="I216" s="403">
        <v>54.8</v>
      </c>
      <c r="J216" s="406">
        <f t="shared" si="3"/>
        <v>54.8</v>
      </c>
      <c r="K216" s="403">
        <v>0.1225</v>
      </c>
      <c r="L216" s="407">
        <v>191500414668</v>
      </c>
      <c r="M216" s="403" t="s">
        <v>2194</v>
      </c>
      <c r="N216" s="403" t="s">
        <v>2190</v>
      </c>
      <c r="O216" s="403">
        <v>85366990</v>
      </c>
    </row>
    <row r="217" spans="1:15" hidden="1" x14ac:dyDescent="0.2">
      <c r="A217" s="403">
        <v>391361</v>
      </c>
      <c r="B217" s="403" t="s">
        <v>2173</v>
      </c>
      <c r="C217" s="403" t="s">
        <v>2317</v>
      </c>
      <c r="D217" s="403" t="s">
        <v>2186</v>
      </c>
      <c r="E217" s="403">
        <v>2</v>
      </c>
      <c r="F217" s="403" t="s">
        <v>2221</v>
      </c>
      <c r="G217" s="403" t="s">
        <v>2219</v>
      </c>
      <c r="H217" s="403">
        <v>14</v>
      </c>
      <c r="I217" s="403">
        <v>13.9</v>
      </c>
      <c r="J217" s="406">
        <f t="shared" si="3"/>
        <v>6.95</v>
      </c>
      <c r="K217" s="403">
        <v>2.7456000000000001E-2</v>
      </c>
      <c r="L217" s="407">
        <v>191500414668</v>
      </c>
      <c r="M217" s="403" t="s">
        <v>2194</v>
      </c>
      <c r="N217" s="403" t="s">
        <v>2190</v>
      </c>
      <c r="O217" s="403">
        <v>85444290</v>
      </c>
    </row>
    <row r="218" spans="1:15" hidden="1" x14ac:dyDescent="0.2">
      <c r="A218" s="403">
        <v>240605</v>
      </c>
      <c r="B218" s="403" t="s">
        <v>2173</v>
      </c>
      <c r="C218" s="403" t="s">
        <v>2185</v>
      </c>
      <c r="D218" s="403" t="s">
        <v>2186</v>
      </c>
      <c r="E218" s="405">
        <v>1452</v>
      </c>
      <c r="F218" s="403" t="s">
        <v>2213</v>
      </c>
      <c r="G218" s="403" t="s">
        <v>2487</v>
      </c>
      <c r="H218" s="403">
        <v>115</v>
      </c>
      <c r="I218" s="403">
        <v>115.434</v>
      </c>
      <c r="J218" s="406">
        <f t="shared" si="3"/>
        <v>7.9500000000000001E-2</v>
      </c>
      <c r="K218" s="403">
        <v>0.49368000000000001</v>
      </c>
      <c r="L218" s="407">
        <v>142612160043</v>
      </c>
      <c r="M218" s="403" t="s">
        <v>2194</v>
      </c>
      <c r="N218" s="403" t="s">
        <v>2190</v>
      </c>
      <c r="O218" s="403">
        <v>39269099</v>
      </c>
    </row>
    <row r="219" spans="1:15" hidden="1" x14ac:dyDescent="0.2">
      <c r="A219" s="403" t="s">
        <v>2488</v>
      </c>
      <c r="B219" s="403" t="s">
        <v>2173</v>
      </c>
      <c r="C219" s="403" t="s">
        <v>2489</v>
      </c>
      <c r="D219" s="403" t="s">
        <v>2175</v>
      </c>
      <c r="E219" s="403">
        <v>3</v>
      </c>
      <c r="F219" s="403" t="s">
        <v>2224</v>
      </c>
      <c r="G219" s="403" t="s">
        <v>2490</v>
      </c>
      <c r="H219" s="403">
        <v>0</v>
      </c>
      <c r="I219" s="403">
        <v>0.10199999999999999</v>
      </c>
      <c r="J219" s="406">
        <f t="shared" si="3"/>
        <v>3.3999999999999996E-2</v>
      </c>
      <c r="K219" s="403">
        <v>4.1399999999999998E-4</v>
      </c>
      <c r="L219" s="407">
        <v>142414774651</v>
      </c>
      <c r="M219" s="403" t="s">
        <v>2178</v>
      </c>
      <c r="N219" s="403" t="s">
        <v>2190</v>
      </c>
      <c r="O219" s="403">
        <v>85447000</v>
      </c>
    </row>
    <row r="220" spans="1:15" hidden="1" x14ac:dyDescent="0.2">
      <c r="A220" s="403">
        <v>4000611</v>
      </c>
      <c r="B220" s="403" t="s">
        <v>2173</v>
      </c>
      <c r="C220" s="403" t="s">
        <v>2491</v>
      </c>
      <c r="D220" s="403" t="s">
        <v>2206</v>
      </c>
      <c r="E220" s="403">
        <v>2</v>
      </c>
      <c r="F220" s="403" t="s">
        <v>2207</v>
      </c>
      <c r="G220" s="403" t="s">
        <v>2337</v>
      </c>
      <c r="H220" s="403">
        <v>260</v>
      </c>
      <c r="I220" s="403">
        <v>260</v>
      </c>
      <c r="J220" s="406">
        <f t="shared" si="3"/>
        <v>130</v>
      </c>
      <c r="K220" s="403">
        <v>2.8520460000000001</v>
      </c>
      <c r="L220" s="407">
        <v>142415880145</v>
      </c>
      <c r="M220" s="403" t="s">
        <v>2194</v>
      </c>
      <c r="N220" s="403" t="s">
        <v>2190</v>
      </c>
      <c r="O220" s="403">
        <v>85371000</v>
      </c>
    </row>
    <row r="221" spans="1:15" hidden="1" x14ac:dyDescent="0.2">
      <c r="A221" s="403">
        <v>4000787</v>
      </c>
      <c r="B221" s="403" t="s">
        <v>2173</v>
      </c>
      <c r="C221" s="403" t="s">
        <v>2220</v>
      </c>
      <c r="D221" s="403" t="s">
        <v>2186</v>
      </c>
      <c r="E221" s="403">
        <v>2</v>
      </c>
      <c r="F221" s="403" t="s">
        <v>2345</v>
      </c>
      <c r="G221" s="403" t="s">
        <v>2492</v>
      </c>
      <c r="H221" s="403">
        <v>8</v>
      </c>
      <c r="I221" s="403">
        <v>7.54</v>
      </c>
      <c r="J221" s="406">
        <f t="shared" si="3"/>
        <v>3.77</v>
      </c>
      <c r="K221" s="403">
        <v>2.232E-2</v>
      </c>
      <c r="L221" s="407">
        <v>142415745348</v>
      </c>
      <c r="M221" s="403" t="s">
        <v>2194</v>
      </c>
      <c r="N221" s="403" t="s">
        <v>2190</v>
      </c>
      <c r="O221" s="403">
        <v>85371000</v>
      </c>
    </row>
    <row r="222" spans="1:15" hidden="1" x14ac:dyDescent="0.2">
      <c r="A222" s="403">
        <v>400312</v>
      </c>
      <c r="B222" s="403" t="s">
        <v>2173</v>
      </c>
      <c r="C222" s="403" t="s">
        <v>2329</v>
      </c>
      <c r="D222" s="403" t="s">
        <v>2186</v>
      </c>
      <c r="E222" s="405">
        <v>1000</v>
      </c>
      <c r="F222" s="403" t="s">
        <v>2316</v>
      </c>
      <c r="G222" s="403" t="s">
        <v>2219</v>
      </c>
      <c r="H222" s="403">
        <v>2</v>
      </c>
      <c r="I222" s="403">
        <v>1.8</v>
      </c>
      <c r="J222" s="406">
        <f t="shared" si="3"/>
        <v>1.8E-3</v>
      </c>
      <c r="K222" s="403">
        <v>0.01</v>
      </c>
      <c r="L222" s="407">
        <v>142415890509</v>
      </c>
      <c r="M222" s="403" t="s">
        <v>2189</v>
      </c>
      <c r="N222" s="403" t="s">
        <v>2190</v>
      </c>
      <c r="O222" s="403">
        <v>39269099</v>
      </c>
    </row>
    <row r="223" spans="1:15" hidden="1" x14ac:dyDescent="0.2">
      <c r="A223" s="403">
        <v>415234</v>
      </c>
      <c r="B223" s="403" t="s">
        <v>2173</v>
      </c>
      <c r="C223" s="403" t="s">
        <v>2220</v>
      </c>
      <c r="D223" s="403" t="s">
        <v>2186</v>
      </c>
      <c r="E223" s="403">
        <v>2</v>
      </c>
      <c r="F223" s="403" t="s">
        <v>2221</v>
      </c>
      <c r="G223" s="403" t="s">
        <v>2219</v>
      </c>
      <c r="H223" s="403">
        <v>8</v>
      </c>
      <c r="I223" s="403">
        <v>8</v>
      </c>
      <c r="J223" s="406">
        <f t="shared" si="3"/>
        <v>4</v>
      </c>
      <c r="K223" s="403">
        <v>4.8708</v>
      </c>
      <c r="L223" s="407">
        <v>142415110816</v>
      </c>
      <c r="M223" s="403" t="s">
        <v>2189</v>
      </c>
      <c r="N223" s="403" t="s">
        <v>2190</v>
      </c>
      <c r="O223" s="403">
        <v>85369010</v>
      </c>
    </row>
    <row r="224" spans="1:15" hidden="1" x14ac:dyDescent="0.2">
      <c r="A224" s="403">
        <v>416951</v>
      </c>
      <c r="B224" s="403" t="s">
        <v>2173</v>
      </c>
      <c r="C224" s="403" t="s">
        <v>2220</v>
      </c>
      <c r="D224" s="403" t="s">
        <v>2186</v>
      </c>
      <c r="E224" s="403">
        <v>2</v>
      </c>
      <c r="F224" s="403" t="s">
        <v>2280</v>
      </c>
      <c r="G224" s="403" t="s">
        <v>2281</v>
      </c>
      <c r="H224" s="403">
        <v>1</v>
      </c>
      <c r="I224" s="403">
        <v>0.6</v>
      </c>
      <c r="J224" s="406">
        <f t="shared" si="3"/>
        <v>0.3</v>
      </c>
      <c r="K224" s="403">
        <v>1.47E-3</v>
      </c>
      <c r="L224" s="407">
        <v>3020359381216</v>
      </c>
      <c r="M224" s="403" t="s">
        <v>2493</v>
      </c>
      <c r="N224" s="403" t="s">
        <v>2190</v>
      </c>
      <c r="O224" s="403">
        <v>73089098</v>
      </c>
    </row>
    <row r="225" spans="1:15" hidden="1" x14ac:dyDescent="0.2">
      <c r="A225" s="403">
        <v>4000611</v>
      </c>
      <c r="B225" s="403" t="s">
        <v>2173</v>
      </c>
      <c r="C225" s="403" t="s">
        <v>2494</v>
      </c>
      <c r="D225" s="403" t="s">
        <v>2206</v>
      </c>
      <c r="E225" s="403">
        <v>1</v>
      </c>
      <c r="F225" s="403" t="s">
        <v>2207</v>
      </c>
      <c r="G225" s="403" t="s">
        <v>2208</v>
      </c>
      <c r="H225" s="403">
        <v>130</v>
      </c>
      <c r="I225" s="403">
        <v>130</v>
      </c>
      <c r="J225" s="406">
        <f t="shared" si="3"/>
        <v>130</v>
      </c>
      <c r="K225" s="403">
        <v>1.426023</v>
      </c>
      <c r="L225" s="407">
        <v>142415880145</v>
      </c>
      <c r="M225" s="403" t="s">
        <v>2194</v>
      </c>
      <c r="N225" s="403" t="s">
        <v>2190</v>
      </c>
      <c r="O225" s="403">
        <v>85371000</v>
      </c>
    </row>
    <row r="226" spans="1:15" hidden="1" x14ac:dyDescent="0.2">
      <c r="A226" s="403">
        <v>148833</v>
      </c>
      <c r="B226" s="403" t="s">
        <v>2173</v>
      </c>
      <c r="C226" s="403" t="s">
        <v>2495</v>
      </c>
      <c r="D226" s="403" t="s">
        <v>2175</v>
      </c>
      <c r="E226" s="405">
        <v>1000</v>
      </c>
      <c r="F226" s="403" t="s">
        <v>2184</v>
      </c>
      <c r="G226" s="403" t="s">
        <v>2177</v>
      </c>
      <c r="H226" s="403">
        <v>608</v>
      </c>
      <c r="I226" s="403">
        <v>607.5</v>
      </c>
      <c r="J226" s="406">
        <f t="shared" si="3"/>
        <v>0.60750000000000004</v>
      </c>
      <c r="K226" s="403">
        <v>1.62</v>
      </c>
      <c r="L226" s="407">
        <v>142414888910</v>
      </c>
      <c r="M226" s="403" t="s">
        <v>2194</v>
      </c>
      <c r="N226" s="403" t="s">
        <v>2190</v>
      </c>
      <c r="O226" s="403">
        <v>85444910</v>
      </c>
    </row>
    <row r="227" spans="1:15" hidden="1" x14ac:dyDescent="0.2">
      <c r="A227" s="403">
        <v>651810</v>
      </c>
      <c r="B227" s="403" t="s">
        <v>2173</v>
      </c>
      <c r="C227" s="403" t="s">
        <v>2220</v>
      </c>
      <c r="D227" s="403" t="s">
        <v>2186</v>
      </c>
      <c r="E227" s="403">
        <v>2</v>
      </c>
      <c r="F227" s="403" t="s">
        <v>2280</v>
      </c>
      <c r="G227" s="403" t="s">
        <v>2281</v>
      </c>
      <c r="H227" s="403">
        <v>0</v>
      </c>
      <c r="I227" s="403">
        <v>0.26</v>
      </c>
      <c r="J227" s="406">
        <f t="shared" si="3"/>
        <v>0.13</v>
      </c>
      <c r="K227" s="403">
        <v>2.3999999999999998E-3</v>
      </c>
      <c r="L227" s="407">
        <v>142114085324</v>
      </c>
      <c r="M227" s="403" t="s">
        <v>2204</v>
      </c>
      <c r="N227" s="403" t="s">
        <v>2190</v>
      </c>
      <c r="O227" s="403">
        <v>85444210</v>
      </c>
    </row>
    <row r="228" spans="1:15" hidden="1" x14ac:dyDescent="0.2">
      <c r="A228" s="403">
        <v>4001107</v>
      </c>
      <c r="B228" s="403" t="s">
        <v>2173</v>
      </c>
      <c r="C228" s="403" t="s">
        <v>2496</v>
      </c>
      <c r="D228" s="403" t="s">
        <v>2186</v>
      </c>
      <c r="E228" s="403">
        <v>850</v>
      </c>
      <c r="F228" s="403" t="s">
        <v>2497</v>
      </c>
      <c r="G228" s="403" t="s">
        <v>2498</v>
      </c>
      <c r="H228" s="403">
        <v>162</v>
      </c>
      <c r="I228" s="403">
        <v>161.5</v>
      </c>
      <c r="J228" s="406">
        <f t="shared" si="3"/>
        <v>0.19</v>
      </c>
      <c r="K228" s="403">
        <v>0.70889999999999997</v>
      </c>
      <c r="L228" s="407">
        <v>142415936051</v>
      </c>
      <c r="M228" s="403" t="s">
        <v>2194</v>
      </c>
      <c r="O228" s="403">
        <v>85447000</v>
      </c>
    </row>
    <row r="229" spans="1:15" hidden="1" x14ac:dyDescent="0.2">
      <c r="A229" s="403">
        <v>418515</v>
      </c>
      <c r="B229" s="403" t="s">
        <v>2173</v>
      </c>
      <c r="C229" s="403" t="s">
        <v>2344</v>
      </c>
      <c r="D229" s="403" t="s">
        <v>2186</v>
      </c>
      <c r="E229" s="405">
        <v>1200</v>
      </c>
      <c r="F229" s="403" t="s">
        <v>2218</v>
      </c>
      <c r="G229" s="403" t="s">
        <v>2281</v>
      </c>
      <c r="H229" s="403">
        <v>6</v>
      </c>
      <c r="I229" s="403">
        <v>5.76</v>
      </c>
      <c r="J229" s="406">
        <f t="shared" si="3"/>
        <v>4.7999999999999996E-3</v>
      </c>
      <c r="K229" s="403">
        <v>3.3599999999999998E-2</v>
      </c>
      <c r="L229" s="407">
        <v>142415952909</v>
      </c>
      <c r="M229" s="403" t="s">
        <v>2194</v>
      </c>
      <c r="O229" s="403">
        <v>85367000</v>
      </c>
    </row>
    <row r="230" spans="1:15" hidden="1" x14ac:dyDescent="0.2">
      <c r="A230" s="403">
        <v>240563</v>
      </c>
      <c r="B230" s="403" t="s">
        <v>2173</v>
      </c>
      <c r="C230" s="403" t="s">
        <v>2499</v>
      </c>
      <c r="D230" s="403" t="s">
        <v>2175</v>
      </c>
      <c r="E230" s="405">
        <v>9150</v>
      </c>
      <c r="F230" s="403" t="s">
        <v>2224</v>
      </c>
      <c r="G230" s="403" t="s">
        <v>2225</v>
      </c>
      <c r="H230" s="403">
        <v>384</v>
      </c>
      <c r="I230" s="403">
        <v>384.3</v>
      </c>
      <c r="J230" s="406">
        <f t="shared" si="3"/>
        <v>4.2000000000000003E-2</v>
      </c>
      <c r="K230" s="403">
        <v>1.1346000000000001</v>
      </c>
      <c r="L230" s="407">
        <v>142415888640</v>
      </c>
      <c r="M230" s="403" t="s">
        <v>2194</v>
      </c>
      <c r="N230" s="403" t="s">
        <v>2190</v>
      </c>
      <c r="O230" s="403">
        <v>85442090</v>
      </c>
    </row>
    <row r="231" spans="1:15" hidden="1" x14ac:dyDescent="0.2">
      <c r="A231" s="403">
        <v>240563</v>
      </c>
      <c r="B231" s="403" t="s">
        <v>2173</v>
      </c>
      <c r="C231" s="403" t="s">
        <v>2500</v>
      </c>
      <c r="D231" s="403" t="s">
        <v>2175</v>
      </c>
      <c r="E231" s="405">
        <v>3355</v>
      </c>
      <c r="F231" s="403" t="s">
        <v>2224</v>
      </c>
      <c r="G231" s="403" t="s">
        <v>2291</v>
      </c>
      <c r="H231" s="403">
        <v>141</v>
      </c>
      <c r="I231" s="403">
        <v>140.91</v>
      </c>
      <c r="J231" s="406">
        <f t="shared" si="3"/>
        <v>4.1999999999999996E-2</v>
      </c>
      <c r="K231" s="403">
        <v>0.41602</v>
      </c>
      <c r="L231" s="407">
        <v>142415758139</v>
      </c>
      <c r="M231" s="403" t="s">
        <v>2194</v>
      </c>
      <c r="N231" s="403" t="s">
        <v>2190</v>
      </c>
      <c r="O231" s="403">
        <v>85442090</v>
      </c>
    </row>
    <row r="232" spans="1:15" hidden="1" x14ac:dyDescent="0.2">
      <c r="A232" s="403">
        <v>240563</v>
      </c>
      <c r="B232" s="403" t="s">
        <v>2173</v>
      </c>
      <c r="C232" s="403" t="s">
        <v>2501</v>
      </c>
      <c r="D232" s="403" t="s">
        <v>2175</v>
      </c>
      <c r="E232" s="405">
        <v>9150</v>
      </c>
      <c r="F232" s="403" t="s">
        <v>2224</v>
      </c>
      <c r="G232" s="403" t="s">
        <v>2225</v>
      </c>
      <c r="H232" s="403">
        <v>384</v>
      </c>
      <c r="I232" s="403">
        <v>384.3</v>
      </c>
      <c r="J232" s="406">
        <f t="shared" si="3"/>
        <v>4.2000000000000003E-2</v>
      </c>
      <c r="K232" s="403">
        <v>1.1346000000000001</v>
      </c>
      <c r="L232" s="407">
        <v>142415758139</v>
      </c>
      <c r="M232" s="403" t="s">
        <v>2194</v>
      </c>
      <c r="N232" s="403" t="s">
        <v>2190</v>
      </c>
      <c r="O232" s="403">
        <v>85442090</v>
      </c>
    </row>
    <row r="233" spans="1:15" hidden="1" x14ac:dyDescent="0.2">
      <c r="A233" s="403">
        <v>185863</v>
      </c>
      <c r="B233" s="403" t="s">
        <v>2173</v>
      </c>
      <c r="C233" s="403" t="s">
        <v>2502</v>
      </c>
      <c r="D233" s="403" t="s">
        <v>2186</v>
      </c>
      <c r="E233" s="403">
        <v>304</v>
      </c>
      <c r="F233" s="403" t="s">
        <v>2199</v>
      </c>
      <c r="G233" s="403" t="s">
        <v>2503</v>
      </c>
      <c r="H233" s="403">
        <v>17</v>
      </c>
      <c r="I233" s="403">
        <v>17.175999999999998</v>
      </c>
      <c r="J233" s="406">
        <f t="shared" si="3"/>
        <v>5.6499999999999995E-2</v>
      </c>
      <c r="K233" s="403">
        <v>7.4480000000000005E-2</v>
      </c>
      <c r="L233" s="407">
        <v>142612160043</v>
      </c>
      <c r="M233" s="403" t="s">
        <v>2194</v>
      </c>
      <c r="N233" s="403" t="s">
        <v>2190</v>
      </c>
      <c r="O233" s="403">
        <v>85366910</v>
      </c>
    </row>
    <row r="234" spans="1:15" hidden="1" x14ac:dyDescent="0.2">
      <c r="A234" s="403">
        <v>185863</v>
      </c>
      <c r="B234" s="403" t="s">
        <v>2173</v>
      </c>
      <c r="C234" s="403" t="s">
        <v>2502</v>
      </c>
      <c r="D234" s="403" t="s">
        <v>2186</v>
      </c>
      <c r="E234" s="403">
        <v>446</v>
      </c>
      <c r="F234" s="403" t="s">
        <v>2199</v>
      </c>
      <c r="G234" s="403" t="s">
        <v>2504</v>
      </c>
      <c r="H234" s="403">
        <v>25</v>
      </c>
      <c r="I234" s="403">
        <v>25.199000000000002</v>
      </c>
      <c r="J234" s="406">
        <f t="shared" si="3"/>
        <v>5.6500000000000002E-2</v>
      </c>
      <c r="K234" s="403">
        <v>0.10927000000000001</v>
      </c>
      <c r="L234" s="407" t="s">
        <v>2278</v>
      </c>
      <c r="M234" s="403" t="s">
        <v>2194</v>
      </c>
      <c r="N234" s="403" t="s">
        <v>2190</v>
      </c>
      <c r="O234" s="403">
        <v>85366910</v>
      </c>
    </row>
    <row r="235" spans="1:15" hidden="1" x14ac:dyDescent="0.2">
      <c r="A235" s="403">
        <v>191453</v>
      </c>
      <c r="B235" s="403" t="s">
        <v>2173</v>
      </c>
      <c r="C235" s="403" t="s">
        <v>2505</v>
      </c>
      <c r="D235" s="403" t="s">
        <v>2175</v>
      </c>
      <c r="E235" s="405">
        <v>5500</v>
      </c>
      <c r="F235" s="403" t="s">
        <v>2181</v>
      </c>
      <c r="G235" s="403" t="s">
        <v>2485</v>
      </c>
      <c r="H235" s="403">
        <v>297</v>
      </c>
      <c r="I235" s="403">
        <v>297</v>
      </c>
      <c r="J235" s="406">
        <f t="shared" si="3"/>
        <v>5.3999999999999999E-2</v>
      </c>
      <c r="K235" s="403">
        <v>0.8085</v>
      </c>
      <c r="L235" s="407">
        <v>142415905599</v>
      </c>
      <c r="M235" s="403" t="s">
        <v>2178</v>
      </c>
      <c r="N235" s="403" t="s">
        <v>2190</v>
      </c>
      <c r="O235" s="403">
        <v>85444910</v>
      </c>
    </row>
    <row r="236" spans="1:15" hidden="1" x14ac:dyDescent="0.2">
      <c r="A236" s="403">
        <v>4000635</v>
      </c>
      <c r="B236" s="403" t="s">
        <v>2173</v>
      </c>
      <c r="C236" s="403" t="s">
        <v>2506</v>
      </c>
      <c r="D236" s="403" t="s">
        <v>2186</v>
      </c>
      <c r="E236" s="405">
        <v>2846</v>
      </c>
      <c r="F236" s="403" t="s">
        <v>2196</v>
      </c>
      <c r="G236" s="403" t="s">
        <v>2507</v>
      </c>
      <c r="H236" s="403">
        <v>28</v>
      </c>
      <c r="I236" s="403">
        <v>28.46</v>
      </c>
      <c r="J236" s="406">
        <f t="shared" si="3"/>
        <v>0.01</v>
      </c>
      <c r="K236" s="403">
        <v>0.19637399999999999</v>
      </c>
      <c r="L236" s="407">
        <v>142612160043</v>
      </c>
      <c r="M236" s="403" t="s">
        <v>2194</v>
      </c>
      <c r="N236" s="403" t="s">
        <v>2190</v>
      </c>
      <c r="O236" s="403">
        <v>85447000</v>
      </c>
    </row>
    <row r="237" spans="1:15" hidden="1" x14ac:dyDescent="0.2">
      <c r="A237" s="403">
        <v>418070</v>
      </c>
      <c r="B237" s="403" t="s">
        <v>2173</v>
      </c>
      <c r="C237" s="403" t="s">
        <v>2508</v>
      </c>
      <c r="D237" s="403" t="s">
        <v>2186</v>
      </c>
      <c r="E237" s="405">
        <v>2357</v>
      </c>
      <c r="F237" s="403" t="s">
        <v>2285</v>
      </c>
      <c r="G237" s="403" t="s">
        <v>2509</v>
      </c>
      <c r="H237" s="403">
        <v>49</v>
      </c>
      <c r="I237" s="403">
        <v>49.497</v>
      </c>
      <c r="J237" s="406">
        <f t="shared" si="3"/>
        <v>2.1000000000000001E-2</v>
      </c>
      <c r="K237" s="403">
        <v>0.55860900000000002</v>
      </c>
      <c r="L237" s="407">
        <v>142415809884</v>
      </c>
      <c r="M237" s="403" t="s">
        <v>2286</v>
      </c>
      <c r="N237" s="403" t="s">
        <v>2190</v>
      </c>
      <c r="O237" s="403">
        <v>85369010</v>
      </c>
    </row>
    <row r="238" spans="1:15" hidden="1" x14ac:dyDescent="0.2">
      <c r="A238" s="403">
        <v>429921</v>
      </c>
      <c r="B238" s="403" t="s">
        <v>2173</v>
      </c>
      <c r="C238" s="403" t="s">
        <v>2506</v>
      </c>
      <c r="D238" s="403" t="s">
        <v>2186</v>
      </c>
      <c r="E238" s="405">
        <v>3307</v>
      </c>
      <c r="F238" s="403" t="s">
        <v>2196</v>
      </c>
      <c r="G238" s="403" t="s">
        <v>2510</v>
      </c>
      <c r="H238" s="403">
        <v>35</v>
      </c>
      <c r="I238" s="403">
        <v>35.054000000000002</v>
      </c>
      <c r="J238" s="406">
        <f t="shared" si="3"/>
        <v>1.0599939522225583E-2</v>
      </c>
      <c r="K238" s="403">
        <v>0.21495500000000001</v>
      </c>
      <c r="L238" s="407">
        <v>142415745348</v>
      </c>
      <c r="M238" s="403" t="s">
        <v>2194</v>
      </c>
      <c r="N238" s="403" t="s">
        <v>2190</v>
      </c>
      <c r="O238" s="403">
        <v>85447000</v>
      </c>
    </row>
    <row r="239" spans="1:15" hidden="1" x14ac:dyDescent="0.2">
      <c r="A239" s="403">
        <v>188369</v>
      </c>
      <c r="B239" s="403" t="s">
        <v>2173</v>
      </c>
      <c r="C239" s="403" t="s">
        <v>2235</v>
      </c>
      <c r="D239" s="403" t="s">
        <v>2175</v>
      </c>
      <c r="E239" s="403">
        <v>999</v>
      </c>
      <c r="F239" s="403" t="s">
        <v>2184</v>
      </c>
      <c r="G239" s="403" t="s">
        <v>2236</v>
      </c>
      <c r="H239" s="403">
        <v>115</v>
      </c>
      <c r="I239" s="403">
        <v>114.88500000000001</v>
      </c>
      <c r="J239" s="406">
        <f t="shared" si="3"/>
        <v>0.115</v>
      </c>
      <c r="K239" s="403">
        <v>0.34565400000000002</v>
      </c>
      <c r="L239" s="407">
        <v>3020290779515</v>
      </c>
      <c r="M239" s="403" t="s">
        <v>2178</v>
      </c>
      <c r="N239" s="403" t="s">
        <v>2190</v>
      </c>
      <c r="O239" s="403">
        <v>85444990</v>
      </c>
    </row>
    <row r="240" spans="1:15" x14ac:dyDescent="0.2">
      <c r="A240" s="403">
        <v>191454</v>
      </c>
      <c r="B240" s="403" t="s">
        <v>2173</v>
      </c>
      <c r="C240" s="403" t="s">
        <v>2511</v>
      </c>
      <c r="D240" s="403" t="s">
        <v>2175</v>
      </c>
      <c r="E240" s="405">
        <v>12000</v>
      </c>
      <c r="F240" s="403" t="s">
        <v>2181</v>
      </c>
      <c r="G240" s="403" t="s">
        <v>2212</v>
      </c>
      <c r="H240" s="403">
        <v>648</v>
      </c>
      <c r="I240" s="403">
        <v>648</v>
      </c>
      <c r="J240" s="406">
        <f t="shared" si="3"/>
        <v>5.3999999999999999E-2</v>
      </c>
      <c r="K240" s="403">
        <v>1.764</v>
      </c>
      <c r="L240" s="407">
        <v>142415783151</v>
      </c>
      <c r="M240" s="403" t="s">
        <v>2178</v>
      </c>
      <c r="N240" s="403" t="s">
        <v>2190</v>
      </c>
      <c r="O240" s="403">
        <v>85444929</v>
      </c>
    </row>
    <row r="241" spans="1:15" x14ac:dyDescent="0.2">
      <c r="A241" s="403">
        <v>191454</v>
      </c>
      <c r="B241" s="403" t="s">
        <v>2173</v>
      </c>
      <c r="C241" s="403" t="s">
        <v>2512</v>
      </c>
      <c r="D241" s="403" t="s">
        <v>2175</v>
      </c>
      <c r="E241" s="405">
        <v>12000</v>
      </c>
      <c r="F241" s="403" t="s">
        <v>2181</v>
      </c>
      <c r="G241" s="403" t="s">
        <v>2212</v>
      </c>
      <c r="H241" s="403">
        <v>648</v>
      </c>
      <c r="I241" s="403">
        <v>648</v>
      </c>
      <c r="J241" s="406">
        <f t="shared" si="3"/>
        <v>5.3999999999999999E-2</v>
      </c>
      <c r="K241" s="403">
        <v>1.764</v>
      </c>
      <c r="L241" s="407">
        <v>142415736116</v>
      </c>
      <c r="M241" s="403" t="s">
        <v>2178</v>
      </c>
      <c r="N241" s="403" t="s">
        <v>2190</v>
      </c>
      <c r="O241" s="403">
        <v>85444929</v>
      </c>
    </row>
    <row r="242" spans="1:15" x14ac:dyDescent="0.2">
      <c r="A242" s="403">
        <v>191454</v>
      </c>
      <c r="B242" s="403" t="s">
        <v>2173</v>
      </c>
      <c r="C242" s="403" t="s">
        <v>2513</v>
      </c>
      <c r="D242" s="403" t="s">
        <v>2175</v>
      </c>
      <c r="E242" s="405">
        <v>12000</v>
      </c>
      <c r="F242" s="403" t="s">
        <v>2181</v>
      </c>
      <c r="G242" s="403" t="s">
        <v>2212</v>
      </c>
      <c r="H242" s="403">
        <v>648</v>
      </c>
      <c r="I242" s="403">
        <v>648</v>
      </c>
      <c r="J242" s="406">
        <f t="shared" si="3"/>
        <v>5.3999999999999999E-2</v>
      </c>
      <c r="K242" s="403">
        <v>1.764</v>
      </c>
      <c r="L242" s="407">
        <v>142415823269</v>
      </c>
      <c r="M242" s="403" t="s">
        <v>2178</v>
      </c>
      <c r="N242" s="403" t="s">
        <v>2190</v>
      </c>
      <c r="O242" s="403">
        <v>85444929</v>
      </c>
    </row>
    <row r="243" spans="1:15" hidden="1" x14ac:dyDescent="0.2">
      <c r="A243" s="403">
        <v>4000614</v>
      </c>
      <c r="B243" s="403" t="s">
        <v>2173</v>
      </c>
      <c r="C243" s="403" t="s">
        <v>2436</v>
      </c>
      <c r="D243" s="403" t="s">
        <v>2186</v>
      </c>
      <c r="E243" s="403">
        <v>2</v>
      </c>
      <c r="F243" s="403" t="s">
        <v>2207</v>
      </c>
      <c r="G243" s="403" t="s">
        <v>2337</v>
      </c>
      <c r="H243" s="403">
        <v>56</v>
      </c>
      <c r="I243" s="403">
        <v>56</v>
      </c>
      <c r="J243" s="406">
        <f t="shared" si="3"/>
        <v>28</v>
      </c>
      <c r="K243" s="403">
        <v>0.51559200000000005</v>
      </c>
      <c r="L243" s="407">
        <v>142414982337</v>
      </c>
      <c r="M243" s="403" t="s">
        <v>2194</v>
      </c>
      <c r="N243" s="403" t="s">
        <v>2190</v>
      </c>
      <c r="O243" s="403">
        <v>85371000</v>
      </c>
    </row>
    <row r="244" spans="1:15" hidden="1" x14ac:dyDescent="0.2">
      <c r="A244" s="403">
        <v>4000614</v>
      </c>
      <c r="B244" s="403" t="s">
        <v>2173</v>
      </c>
      <c r="C244" s="403" t="s">
        <v>2514</v>
      </c>
      <c r="D244" s="403" t="s">
        <v>2186</v>
      </c>
      <c r="E244" s="403">
        <v>4</v>
      </c>
      <c r="F244" s="403" t="s">
        <v>2207</v>
      </c>
      <c r="G244" s="403" t="s">
        <v>2245</v>
      </c>
      <c r="H244" s="403">
        <v>112</v>
      </c>
      <c r="I244" s="403">
        <v>112</v>
      </c>
      <c r="J244" s="406">
        <f t="shared" si="3"/>
        <v>28</v>
      </c>
      <c r="K244" s="403">
        <v>1.0311840000000001</v>
      </c>
      <c r="L244" s="407">
        <v>142415761142</v>
      </c>
      <c r="M244" s="403" t="s">
        <v>2194</v>
      </c>
      <c r="N244" s="403" t="s">
        <v>2190</v>
      </c>
      <c r="O244" s="403">
        <v>85371000</v>
      </c>
    </row>
    <row r="245" spans="1:15" hidden="1" x14ac:dyDescent="0.2">
      <c r="A245" s="403">
        <v>240562</v>
      </c>
      <c r="B245" s="403" t="s">
        <v>2173</v>
      </c>
      <c r="C245" s="403" t="s">
        <v>2515</v>
      </c>
      <c r="D245" s="403" t="s">
        <v>2175</v>
      </c>
      <c r="E245" s="405">
        <v>9150</v>
      </c>
      <c r="F245" s="403" t="s">
        <v>2224</v>
      </c>
      <c r="G245" s="403" t="s">
        <v>2225</v>
      </c>
      <c r="H245" s="403">
        <v>384</v>
      </c>
      <c r="I245" s="403">
        <v>384.3</v>
      </c>
      <c r="J245" s="406">
        <f t="shared" si="3"/>
        <v>4.2000000000000003E-2</v>
      </c>
      <c r="K245" s="403">
        <v>1.1346000000000001</v>
      </c>
      <c r="L245" s="407">
        <v>142415784924</v>
      </c>
      <c r="M245" s="403" t="s">
        <v>2194</v>
      </c>
      <c r="N245" s="403" t="s">
        <v>2190</v>
      </c>
      <c r="O245" s="403">
        <v>85442090</v>
      </c>
    </row>
    <row r="246" spans="1:15" hidden="1" x14ac:dyDescent="0.2">
      <c r="A246" s="403">
        <v>240562</v>
      </c>
      <c r="B246" s="403" t="s">
        <v>2173</v>
      </c>
      <c r="C246" s="403" t="s">
        <v>2516</v>
      </c>
      <c r="D246" s="403" t="s">
        <v>2175</v>
      </c>
      <c r="E246" s="405">
        <v>9150</v>
      </c>
      <c r="F246" s="403" t="s">
        <v>2224</v>
      </c>
      <c r="G246" s="403" t="s">
        <v>2225</v>
      </c>
      <c r="H246" s="403">
        <v>384</v>
      </c>
      <c r="I246" s="403">
        <v>384.3</v>
      </c>
      <c r="J246" s="406">
        <f t="shared" si="3"/>
        <v>4.2000000000000003E-2</v>
      </c>
      <c r="K246" s="403">
        <v>1.1346000000000001</v>
      </c>
      <c r="L246" s="407">
        <v>142415888640</v>
      </c>
      <c r="M246" s="403" t="s">
        <v>2194</v>
      </c>
      <c r="N246" s="403" t="s">
        <v>2190</v>
      </c>
      <c r="O246" s="403">
        <v>85442090</v>
      </c>
    </row>
    <row r="247" spans="1:15" hidden="1" x14ac:dyDescent="0.2">
      <c r="A247" s="403">
        <v>240562</v>
      </c>
      <c r="B247" s="403" t="s">
        <v>2173</v>
      </c>
      <c r="C247" s="403" t="s">
        <v>2517</v>
      </c>
      <c r="D247" s="403" t="s">
        <v>2175</v>
      </c>
      <c r="E247" s="405">
        <v>9150</v>
      </c>
      <c r="F247" s="403" t="s">
        <v>2224</v>
      </c>
      <c r="G247" s="403" t="s">
        <v>2225</v>
      </c>
      <c r="H247" s="403">
        <v>384</v>
      </c>
      <c r="I247" s="403">
        <v>384.3</v>
      </c>
      <c r="J247" s="406">
        <f t="shared" si="3"/>
        <v>4.2000000000000003E-2</v>
      </c>
      <c r="K247" s="403">
        <v>1.1346000000000001</v>
      </c>
      <c r="L247" s="407">
        <v>142415888640</v>
      </c>
      <c r="M247" s="403" t="s">
        <v>2194</v>
      </c>
      <c r="N247" s="403" t="s">
        <v>2190</v>
      </c>
      <c r="O247" s="403">
        <v>85442090</v>
      </c>
    </row>
    <row r="248" spans="1:15" hidden="1" x14ac:dyDescent="0.2">
      <c r="A248" s="403">
        <v>240562</v>
      </c>
      <c r="B248" s="403" t="s">
        <v>2173</v>
      </c>
      <c r="C248" s="403" t="s">
        <v>2518</v>
      </c>
      <c r="D248" s="403" t="s">
        <v>2175</v>
      </c>
      <c r="E248" s="403">
        <v>610</v>
      </c>
      <c r="F248" s="403" t="s">
        <v>2224</v>
      </c>
      <c r="G248" s="403" t="s">
        <v>2281</v>
      </c>
      <c r="H248" s="403">
        <v>26</v>
      </c>
      <c r="I248" s="403">
        <v>25.62</v>
      </c>
      <c r="J248" s="406">
        <f t="shared" si="3"/>
        <v>4.2000000000000003E-2</v>
      </c>
      <c r="K248" s="403">
        <v>7.5639999999999999E-2</v>
      </c>
      <c r="L248" s="407">
        <v>142415888640</v>
      </c>
      <c r="M248" s="403" t="s">
        <v>2194</v>
      </c>
      <c r="N248" s="403" t="s">
        <v>2190</v>
      </c>
      <c r="O248" s="403">
        <v>85442090</v>
      </c>
    </row>
    <row r="249" spans="1:15" hidden="1" x14ac:dyDescent="0.2">
      <c r="A249" s="403">
        <v>240562</v>
      </c>
      <c r="B249" s="403" t="s">
        <v>2173</v>
      </c>
      <c r="C249" s="403" t="s">
        <v>2519</v>
      </c>
      <c r="D249" s="403" t="s">
        <v>2175</v>
      </c>
      <c r="E249" s="405">
        <v>9150</v>
      </c>
      <c r="F249" s="403" t="s">
        <v>2224</v>
      </c>
      <c r="G249" s="403" t="s">
        <v>2225</v>
      </c>
      <c r="H249" s="403">
        <v>384</v>
      </c>
      <c r="I249" s="403">
        <v>384.3</v>
      </c>
      <c r="J249" s="406">
        <f t="shared" si="3"/>
        <v>4.2000000000000003E-2</v>
      </c>
      <c r="K249" s="403">
        <v>1.1346000000000001</v>
      </c>
      <c r="L249" s="407">
        <v>142415784924</v>
      </c>
      <c r="M249" s="403" t="s">
        <v>2194</v>
      </c>
      <c r="N249" s="403" t="s">
        <v>2190</v>
      </c>
      <c r="O249" s="403">
        <v>85442090</v>
      </c>
    </row>
    <row r="250" spans="1:15" hidden="1" x14ac:dyDescent="0.2">
      <c r="A250" s="403">
        <v>187354</v>
      </c>
      <c r="B250" s="403" t="s">
        <v>2173</v>
      </c>
      <c r="C250" s="403" t="s">
        <v>2520</v>
      </c>
      <c r="D250" s="403" t="s">
        <v>2175</v>
      </c>
      <c r="E250" s="405">
        <v>3000</v>
      </c>
      <c r="F250" s="403" t="s">
        <v>2184</v>
      </c>
      <c r="G250" s="403" t="s">
        <v>2263</v>
      </c>
      <c r="H250" s="403">
        <v>444</v>
      </c>
      <c r="I250" s="403">
        <v>444</v>
      </c>
      <c r="J250" s="406">
        <f t="shared" si="3"/>
        <v>0.14799999999999999</v>
      </c>
      <c r="K250" s="403">
        <v>1.4219999999999999</v>
      </c>
      <c r="L250" s="407">
        <v>142415591190</v>
      </c>
      <c r="M250" s="403" t="s">
        <v>2178</v>
      </c>
      <c r="N250" s="403" t="s">
        <v>2190</v>
      </c>
      <c r="O250" s="403">
        <v>85447000</v>
      </c>
    </row>
    <row r="251" spans="1:15" hidden="1" x14ac:dyDescent="0.2">
      <c r="A251" s="403">
        <v>187354</v>
      </c>
      <c r="B251" s="403" t="s">
        <v>2173</v>
      </c>
      <c r="C251" s="403" t="s">
        <v>2521</v>
      </c>
      <c r="D251" s="403" t="s">
        <v>2175</v>
      </c>
      <c r="E251" s="405">
        <v>2000</v>
      </c>
      <c r="F251" s="403" t="s">
        <v>2176</v>
      </c>
      <c r="G251" s="403" t="s">
        <v>2177</v>
      </c>
      <c r="H251" s="403">
        <v>226</v>
      </c>
      <c r="I251" s="403">
        <v>226</v>
      </c>
      <c r="J251" s="406">
        <f t="shared" si="3"/>
        <v>0.113</v>
      </c>
      <c r="K251" s="403">
        <v>1.0940000000000001</v>
      </c>
      <c r="L251" s="407">
        <v>142415823269</v>
      </c>
      <c r="M251" s="403" t="s">
        <v>2178</v>
      </c>
      <c r="N251" s="403" t="s">
        <v>2190</v>
      </c>
      <c r="O251" s="403">
        <v>85447000</v>
      </c>
    </row>
    <row r="252" spans="1:15" hidden="1" x14ac:dyDescent="0.2">
      <c r="A252" s="403">
        <v>231000</v>
      </c>
      <c r="B252" s="403" t="s">
        <v>2173</v>
      </c>
      <c r="C252" s="403" t="s">
        <v>2522</v>
      </c>
      <c r="D252" s="403" t="s">
        <v>2175</v>
      </c>
      <c r="E252" s="405">
        <v>11000</v>
      </c>
      <c r="F252" s="403" t="s">
        <v>2184</v>
      </c>
      <c r="G252" s="403" t="s">
        <v>2485</v>
      </c>
      <c r="H252" s="408">
        <v>33116</v>
      </c>
      <c r="I252" s="403">
        <v>116.49</v>
      </c>
      <c r="J252" s="406">
        <f t="shared" si="3"/>
        <v>1.0589999999999999E-2</v>
      </c>
      <c r="K252" s="403">
        <v>0.41799999999999998</v>
      </c>
      <c r="L252" s="407">
        <v>142414994614</v>
      </c>
      <c r="M252" s="403" t="s">
        <v>2194</v>
      </c>
      <c r="N252" s="403" t="s">
        <v>2190</v>
      </c>
      <c r="O252" s="403">
        <v>85447000</v>
      </c>
    </row>
    <row r="253" spans="1:15" hidden="1" x14ac:dyDescent="0.2">
      <c r="A253" s="403">
        <v>191923</v>
      </c>
      <c r="B253" s="403" t="s">
        <v>2173</v>
      </c>
      <c r="C253" s="403" t="s">
        <v>2523</v>
      </c>
      <c r="D253" s="403" t="s">
        <v>2175</v>
      </c>
      <c r="E253" s="405">
        <v>1500</v>
      </c>
      <c r="F253" s="403" t="s">
        <v>2181</v>
      </c>
      <c r="G253" s="403" t="s">
        <v>2263</v>
      </c>
      <c r="H253" s="403">
        <v>245</v>
      </c>
      <c r="I253" s="403">
        <v>245.4</v>
      </c>
      <c r="J253" s="406">
        <f t="shared" si="3"/>
        <v>0.1636</v>
      </c>
      <c r="K253" s="403">
        <v>0.82950000000000002</v>
      </c>
      <c r="L253" s="407">
        <v>142415716318</v>
      </c>
      <c r="M253" s="403" t="s">
        <v>2178</v>
      </c>
      <c r="N253" s="403" t="s">
        <v>2190</v>
      </c>
      <c r="O253" s="403">
        <v>85444991</v>
      </c>
    </row>
    <row r="254" spans="1:15" hidden="1" x14ac:dyDescent="0.2">
      <c r="A254" s="403">
        <v>433343</v>
      </c>
      <c r="B254" s="403" t="s">
        <v>2173</v>
      </c>
      <c r="C254" s="403" t="s">
        <v>2271</v>
      </c>
      <c r="D254" s="403" t="s">
        <v>2186</v>
      </c>
      <c r="E254" s="403">
        <v>50</v>
      </c>
      <c r="F254" s="403" t="s">
        <v>2332</v>
      </c>
      <c r="G254" s="403" t="s">
        <v>2273</v>
      </c>
      <c r="H254" s="403">
        <v>3</v>
      </c>
      <c r="I254" s="403">
        <v>3.5</v>
      </c>
      <c r="J254" s="406">
        <f t="shared" si="3"/>
        <v>7.0000000000000007E-2</v>
      </c>
      <c r="K254" s="403">
        <v>3.1699999999999999E-2</v>
      </c>
      <c r="L254" s="407">
        <v>3020430800317</v>
      </c>
      <c r="M254" s="403" t="s">
        <v>2194</v>
      </c>
      <c r="O254" s="403">
        <v>85447000</v>
      </c>
    </row>
    <row r="255" spans="1:15" hidden="1" x14ac:dyDescent="0.2">
      <c r="A255" s="403">
        <v>192360</v>
      </c>
      <c r="B255" s="403" t="s">
        <v>2173</v>
      </c>
      <c r="C255" s="403" t="s">
        <v>2524</v>
      </c>
      <c r="D255" s="403" t="s">
        <v>2175</v>
      </c>
      <c r="E255" s="405">
        <v>1000</v>
      </c>
      <c r="F255" s="403" t="s">
        <v>2184</v>
      </c>
      <c r="G255" s="403" t="s">
        <v>2177</v>
      </c>
      <c r="H255" s="403">
        <v>589</v>
      </c>
      <c r="I255" s="403">
        <v>589</v>
      </c>
      <c r="J255" s="406">
        <f t="shared" si="3"/>
        <v>0.58899999999999997</v>
      </c>
      <c r="K255" s="403">
        <v>1.4</v>
      </c>
      <c r="L255" s="407">
        <v>142415591190</v>
      </c>
      <c r="M255" s="403" t="s">
        <v>2178</v>
      </c>
      <c r="N255" s="403" t="s">
        <v>2190</v>
      </c>
      <c r="O255" s="403">
        <v>85444999</v>
      </c>
    </row>
    <row r="256" spans="1:15" hidden="1" x14ac:dyDescent="0.2">
      <c r="A256" s="403">
        <v>470525</v>
      </c>
      <c r="B256" s="403" t="s">
        <v>2173</v>
      </c>
      <c r="C256" s="403" t="s">
        <v>2279</v>
      </c>
      <c r="D256" s="403" t="s">
        <v>2186</v>
      </c>
      <c r="E256" s="403">
        <v>2</v>
      </c>
      <c r="F256" s="403" t="s">
        <v>2280</v>
      </c>
      <c r="G256" s="403" t="s">
        <v>2281</v>
      </c>
      <c r="H256" s="403">
        <v>3</v>
      </c>
      <c r="I256" s="403">
        <v>3</v>
      </c>
      <c r="J256" s="406">
        <f t="shared" si="3"/>
        <v>1.5</v>
      </c>
      <c r="K256" s="403">
        <v>2.1399999999999999E-2</v>
      </c>
      <c r="L256" s="407">
        <v>3020431584617</v>
      </c>
      <c r="M256" s="403" t="s">
        <v>2194</v>
      </c>
      <c r="O256" s="403">
        <v>85367000</v>
      </c>
    </row>
    <row r="257" spans="1:15" hidden="1" x14ac:dyDescent="0.2">
      <c r="A257" s="403">
        <v>4000610</v>
      </c>
      <c r="B257" s="403" t="s">
        <v>2173</v>
      </c>
      <c r="C257" s="403" t="s">
        <v>2525</v>
      </c>
      <c r="D257" s="403" t="s">
        <v>2206</v>
      </c>
      <c r="E257" s="403">
        <v>1</v>
      </c>
      <c r="F257" s="403" t="s">
        <v>2207</v>
      </c>
      <c r="G257" s="403" t="s">
        <v>2208</v>
      </c>
      <c r="H257" s="403">
        <v>138</v>
      </c>
      <c r="I257" s="403">
        <v>138</v>
      </c>
      <c r="J257" s="406">
        <f t="shared" si="3"/>
        <v>138</v>
      </c>
      <c r="K257" s="403">
        <v>1.7313480000000001</v>
      </c>
      <c r="L257" s="407">
        <v>142414982337</v>
      </c>
      <c r="M257" s="403" t="s">
        <v>2194</v>
      </c>
      <c r="N257" s="403" t="s">
        <v>2190</v>
      </c>
      <c r="O257" s="403">
        <v>85371000</v>
      </c>
    </row>
    <row r="258" spans="1:15" hidden="1" x14ac:dyDescent="0.2">
      <c r="A258" s="403">
        <v>4000612</v>
      </c>
      <c r="B258" s="403" t="s">
        <v>2173</v>
      </c>
      <c r="C258" s="403" t="s">
        <v>2526</v>
      </c>
      <c r="D258" s="403" t="s">
        <v>2206</v>
      </c>
      <c r="E258" s="403">
        <v>1</v>
      </c>
      <c r="F258" s="403" t="s">
        <v>2207</v>
      </c>
      <c r="G258" s="403" t="s">
        <v>2208</v>
      </c>
      <c r="H258" s="403">
        <v>115</v>
      </c>
      <c r="I258" s="403">
        <v>115</v>
      </c>
      <c r="J258" s="406">
        <f t="shared" ref="J258:J321" si="4">I258/E258</f>
        <v>115</v>
      </c>
      <c r="K258" s="403">
        <v>1.3171409999999999</v>
      </c>
      <c r="L258" s="407">
        <v>142414982337</v>
      </c>
      <c r="M258" s="403" t="s">
        <v>2194</v>
      </c>
      <c r="N258" s="403" t="s">
        <v>2190</v>
      </c>
      <c r="O258" s="403">
        <v>85177000</v>
      </c>
    </row>
    <row r="259" spans="1:15" hidden="1" x14ac:dyDescent="0.2">
      <c r="A259" s="403">
        <v>4000682</v>
      </c>
      <c r="B259" s="403" t="s">
        <v>2173</v>
      </c>
      <c r="C259" s="403" t="s">
        <v>2527</v>
      </c>
      <c r="D259" s="403" t="s">
        <v>2206</v>
      </c>
      <c r="E259" s="403">
        <v>2</v>
      </c>
      <c r="F259" s="403" t="s">
        <v>2207</v>
      </c>
      <c r="G259" s="403" t="s">
        <v>2337</v>
      </c>
      <c r="H259" s="403">
        <v>146</v>
      </c>
      <c r="I259" s="403">
        <v>146</v>
      </c>
      <c r="J259" s="406">
        <f t="shared" si="4"/>
        <v>73</v>
      </c>
      <c r="K259" s="403">
        <v>1.301504</v>
      </c>
      <c r="L259" s="407">
        <v>142415761142</v>
      </c>
      <c r="M259" s="403" t="s">
        <v>2194</v>
      </c>
      <c r="N259" s="403" t="s">
        <v>2190</v>
      </c>
      <c r="O259" s="403">
        <v>85371000</v>
      </c>
    </row>
    <row r="260" spans="1:15" hidden="1" x14ac:dyDescent="0.2">
      <c r="A260" s="403">
        <v>418022</v>
      </c>
      <c r="B260" s="403" t="s">
        <v>2173</v>
      </c>
      <c r="C260" s="403" t="s">
        <v>2528</v>
      </c>
      <c r="D260" s="403" t="s">
        <v>2186</v>
      </c>
      <c r="E260" s="403">
        <v>25</v>
      </c>
      <c r="F260" s="403" t="s">
        <v>2233</v>
      </c>
      <c r="G260" s="403" t="s">
        <v>2529</v>
      </c>
      <c r="H260" s="403">
        <v>14</v>
      </c>
      <c r="I260" s="403">
        <v>13.664999999999999</v>
      </c>
      <c r="J260" s="406">
        <f t="shared" si="4"/>
        <v>0.54659999999999997</v>
      </c>
      <c r="K260" s="403">
        <v>8.3199999999999996E-2</v>
      </c>
      <c r="L260" s="407">
        <v>142415941461</v>
      </c>
      <c r="M260" s="403" t="s">
        <v>2286</v>
      </c>
      <c r="O260" s="403">
        <v>85369010</v>
      </c>
    </row>
    <row r="261" spans="1:15" hidden="1" x14ac:dyDescent="0.2">
      <c r="A261" s="403">
        <v>418019</v>
      </c>
      <c r="B261" s="403" t="s">
        <v>2173</v>
      </c>
      <c r="C261" s="403" t="s">
        <v>2530</v>
      </c>
      <c r="D261" s="403" t="s">
        <v>2186</v>
      </c>
      <c r="E261" s="403">
        <v>100</v>
      </c>
      <c r="F261" s="403" t="s">
        <v>2290</v>
      </c>
      <c r="G261" s="403" t="s">
        <v>2343</v>
      </c>
      <c r="H261" s="403">
        <v>106</v>
      </c>
      <c r="I261" s="403">
        <v>106</v>
      </c>
      <c r="J261" s="406">
        <f t="shared" si="4"/>
        <v>1.06</v>
      </c>
      <c r="K261" s="403">
        <v>0.68640000000000001</v>
      </c>
      <c r="L261" s="407">
        <v>142415941461</v>
      </c>
      <c r="M261" s="403" t="s">
        <v>2286</v>
      </c>
      <c r="O261" s="403">
        <v>85369010</v>
      </c>
    </row>
    <row r="262" spans="1:15" hidden="1" x14ac:dyDescent="0.2">
      <c r="A262" s="403">
        <v>418071</v>
      </c>
      <c r="B262" s="403" t="s">
        <v>2173</v>
      </c>
      <c r="C262" s="403" t="s">
        <v>2531</v>
      </c>
      <c r="D262" s="403" t="s">
        <v>2186</v>
      </c>
      <c r="E262" s="405">
        <v>4000</v>
      </c>
      <c r="F262" s="403" t="s">
        <v>2285</v>
      </c>
      <c r="G262" s="403" t="s">
        <v>2343</v>
      </c>
      <c r="H262" s="403">
        <v>84</v>
      </c>
      <c r="I262" s="403">
        <v>84</v>
      </c>
      <c r="J262" s="406">
        <f t="shared" si="4"/>
        <v>2.1000000000000001E-2</v>
      </c>
      <c r="K262" s="403">
        <v>0.94</v>
      </c>
      <c r="L262" s="407">
        <v>142415941461</v>
      </c>
      <c r="M262" s="403" t="s">
        <v>2286</v>
      </c>
      <c r="O262" s="403">
        <v>85369010</v>
      </c>
    </row>
    <row r="263" spans="1:15" hidden="1" x14ac:dyDescent="0.2">
      <c r="A263" s="403" t="s">
        <v>2532</v>
      </c>
      <c r="B263" s="403" t="s">
        <v>2173</v>
      </c>
      <c r="C263" s="403" t="s">
        <v>2293</v>
      </c>
      <c r="D263" s="403" t="s">
        <v>2175</v>
      </c>
      <c r="E263" s="403">
        <v>20</v>
      </c>
      <c r="F263" s="403" t="s">
        <v>2294</v>
      </c>
      <c r="G263" s="403" t="s">
        <v>2219</v>
      </c>
      <c r="H263" s="403">
        <v>1</v>
      </c>
      <c r="I263" s="403">
        <v>1.47</v>
      </c>
      <c r="J263" s="406">
        <f t="shared" si="4"/>
        <v>7.3499999999999996E-2</v>
      </c>
      <c r="K263" s="403">
        <v>7.8399999999999997E-3</v>
      </c>
      <c r="L263" s="407">
        <v>142415956116</v>
      </c>
      <c r="M263" s="403" t="s">
        <v>2178</v>
      </c>
      <c r="N263" s="403" t="s">
        <v>2295</v>
      </c>
      <c r="O263" s="403">
        <v>85444921</v>
      </c>
    </row>
    <row r="264" spans="1:15" hidden="1" x14ac:dyDescent="0.2">
      <c r="A264" s="403" t="s">
        <v>2533</v>
      </c>
      <c r="B264" s="403" t="s">
        <v>2173</v>
      </c>
      <c r="C264" s="403" t="s">
        <v>2293</v>
      </c>
      <c r="D264" s="403" t="s">
        <v>2175</v>
      </c>
      <c r="E264" s="403">
        <v>20</v>
      </c>
      <c r="F264" s="403" t="s">
        <v>2294</v>
      </c>
      <c r="G264" s="403" t="s">
        <v>2219</v>
      </c>
      <c r="H264" s="403">
        <v>1</v>
      </c>
      <c r="I264" s="403">
        <v>1.47</v>
      </c>
      <c r="J264" s="406">
        <f t="shared" si="4"/>
        <v>7.3499999999999996E-2</v>
      </c>
      <c r="K264" s="403">
        <v>7.8399999999999997E-3</v>
      </c>
      <c r="L264" s="407">
        <v>142415956116</v>
      </c>
      <c r="M264" s="403" t="s">
        <v>2178</v>
      </c>
      <c r="N264" s="403" t="s">
        <v>2295</v>
      </c>
      <c r="O264" s="403">
        <v>85444921</v>
      </c>
    </row>
    <row r="265" spans="1:15" hidden="1" x14ac:dyDescent="0.2">
      <c r="A265" s="403">
        <v>460001</v>
      </c>
      <c r="B265" s="403" t="s">
        <v>2173</v>
      </c>
      <c r="C265" s="403" t="s">
        <v>2534</v>
      </c>
      <c r="D265" s="403" t="s">
        <v>2186</v>
      </c>
      <c r="E265" s="403">
        <v>240</v>
      </c>
      <c r="F265" s="403" t="s">
        <v>2297</v>
      </c>
      <c r="G265" s="403" t="s">
        <v>2372</v>
      </c>
      <c r="H265" s="403">
        <v>192</v>
      </c>
      <c r="I265" s="403">
        <v>192</v>
      </c>
      <c r="J265" s="406">
        <f t="shared" si="4"/>
        <v>0.8</v>
      </c>
      <c r="K265" s="403">
        <v>0.96719999999999995</v>
      </c>
      <c r="L265" s="407">
        <v>142415941461</v>
      </c>
      <c r="M265" s="403" t="s">
        <v>2286</v>
      </c>
      <c r="O265" s="403">
        <v>85369010</v>
      </c>
    </row>
    <row r="266" spans="1:15" hidden="1" x14ac:dyDescent="0.2">
      <c r="A266" s="403" t="s">
        <v>2535</v>
      </c>
      <c r="B266" s="403" t="s">
        <v>2173</v>
      </c>
      <c r="C266" s="403" t="s">
        <v>2293</v>
      </c>
      <c r="D266" s="403" t="s">
        <v>2175</v>
      </c>
      <c r="E266" s="403">
        <v>20</v>
      </c>
      <c r="F266" s="403" t="s">
        <v>2294</v>
      </c>
      <c r="G266" s="403" t="s">
        <v>2219</v>
      </c>
      <c r="H266" s="403">
        <v>1</v>
      </c>
      <c r="I266" s="403">
        <v>1.47</v>
      </c>
      <c r="J266" s="406">
        <f t="shared" si="4"/>
        <v>7.3499999999999996E-2</v>
      </c>
      <c r="K266" s="403">
        <v>7.8399999999999997E-3</v>
      </c>
      <c r="L266" s="407">
        <v>142415956116</v>
      </c>
      <c r="M266" s="403" t="s">
        <v>2178</v>
      </c>
      <c r="N266" s="403" t="s">
        <v>2295</v>
      </c>
      <c r="O266" s="403">
        <v>85444921</v>
      </c>
    </row>
    <row r="267" spans="1:15" hidden="1" x14ac:dyDescent="0.2">
      <c r="A267" s="403">
        <v>190203</v>
      </c>
      <c r="B267" s="403" t="s">
        <v>2173</v>
      </c>
      <c r="C267" s="403" t="s">
        <v>2536</v>
      </c>
      <c r="D267" s="403" t="s">
        <v>2175</v>
      </c>
      <c r="E267" s="405">
        <v>2000</v>
      </c>
      <c r="F267" s="403" t="s">
        <v>2176</v>
      </c>
      <c r="G267" s="403" t="s">
        <v>2177</v>
      </c>
      <c r="H267" s="403">
        <v>208</v>
      </c>
      <c r="I267" s="403">
        <v>208</v>
      </c>
      <c r="J267" s="406">
        <f t="shared" si="4"/>
        <v>0.104</v>
      </c>
      <c r="K267" s="403">
        <v>1.1140000000000001</v>
      </c>
      <c r="L267" s="407">
        <v>142415956116</v>
      </c>
      <c r="M267" s="403" t="s">
        <v>2178</v>
      </c>
      <c r="O267" s="403">
        <v>85447000</v>
      </c>
    </row>
    <row r="268" spans="1:15" hidden="1" x14ac:dyDescent="0.2">
      <c r="A268" s="403">
        <v>190203</v>
      </c>
      <c r="B268" s="403" t="s">
        <v>2173</v>
      </c>
      <c r="C268" s="403" t="s">
        <v>2439</v>
      </c>
      <c r="D268" s="403" t="s">
        <v>2175</v>
      </c>
      <c r="E268" s="405">
        <v>2000</v>
      </c>
      <c r="F268" s="403" t="s">
        <v>2176</v>
      </c>
      <c r="G268" s="403" t="s">
        <v>2177</v>
      </c>
      <c r="H268" s="403">
        <v>208</v>
      </c>
      <c r="I268" s="403">
        <v>208</v>
      </c>
      <c r="J268" s="406">
        <f t="shared" si="4"/>
        <v>0.104</v>
      </c>
      <c r="K268" s="403">
        <v>1.1140000000000001</v>
      </c>
      <c r="L268" s="407">
        <v>142415956116</v>
      </c>
      <c r="M268" s="403" t="s">
        <v>2178</v>
      </c>
      <c r="O268" s="403">
        <v>85447000</v>
      </c>
    </row>
    <row r="269" spans="1:15" hidden="1" x14ac:dyDescent="0.2">
      <c r="A269" s="403">
        <v>190077</v>
      </c>
      <c r="B269" s="403" t="s">
        <v>2173</v>
      </c>
      <c r="C269" s="403" t="s">
        <v>2537</v>
      </c>
      <c r="D269" s="403" t="s">
        <v>2175</v>
      </c>
      <c r="E269" s="405">
        <v>4000</v>
      </c>
      <c r="F269" s="403" t="s">
        <v>2176</v>
      </c>
      <c r="G269" s="403" t="s">
        <v>2258</v>
      </c>
      <c r="H269" s="403">
        <v>412</v>
      </c>
      <c r="I269" s="403">
        <v>412</v>
      </c>
      <c r="J269" s="406">
        <f t="shared" si="4"/>
        <v>0.10299999999999999</v>
      </c>
      <c r="K269" s="403">
        <v>2.1880000000000002</v>
      </c>
      <c r="L269" s="407">
        <v>142415956116</v>
      </c>
      <c r="M269" s="403" t="s">
        <v>2178</v>
      </c>
      <c r="O269" s="403">
        <v>85447000</v>
      </c>
    </row>
    <row r="270" spans="1:15" hidden="1" x14ac:dyDescent="0.2">
      <c r="A270" s="403">
        <v>191032</v>
      </c>
      <c r="B270" s="403" t="s">
        <v>2173</v>
      </c>
      <c r="C270" s="403" t="s">
        <v>2538</v>
      </c>
      <c r="D270" s="403" t="s">
        <v>2175</v>
      </c>
      <c r="E270" s="405">
        <v>1000</v>
      </c>
      <c r="F270" s="403" t="s">
        <v>2184</v>
      </c>
      <c r="G270" s="403" t="s">
        <v>2177</v>
      </c>
      <c r="H270" s="403">
        <v>405</v>
      </c>
      <c r="I270" s="403">
        <v>405.14</v>
      </c>
      <c r="J270" s="406">
        <f t="shared" si="4"/>
        <v>0.40514</v>
      </c>
      <c r="K270" s="403">
        <v>1.5840000000000001</v>
      </c>
      <c r="L270" s="407">
        <v>142415956116</v>
      </c>
      <c r="M270" s="403" t="s">
        <v>2210</v>
      </c>
      <c r="O270" s="403">
        <v>85444991</v>
      </c>
    </row>
    <row r="271" spans="1:15" hidden="1" x14ac:dyDescent="0.2">
      <c r="A271" s="403">
        <v>191453</v>
      </c>
      <c r="B271" s="403" t="s">
        <v>2173</v>
      </c>
      <c r="C271" s="403" t="s">
        <v>2539</v>
      </c>
      <c r="D271" s="403" t="s">
        <v>2175</v>
      </c>
      <c r="E271" s="405">
        <v>12000</v>
      </c>
      <c r="F271" s="403" t="s">
        <v>2181</v>
      </c>
      <c r="G271" s="403" t="s">
        <v>2212</v>
      </c>
      <c r="H271" s="403">
        <v>648</v>
      </c>
      <c r="I271" s="403">
        <v>648</v>
      </c>
      <c r="J271" s="406">
        <f t="shared" si="4"/>
        <v>5.3999999999999999E-2</v>
      </c>
      <c r="K271" s="403">
        <v>1.764</v>
      </c>
      <c r="L271" s="407">
        <v>142415956116</v>
      </c>
      <c r="M271" s="403" t="s">
        <v>2178</v>
      </c>
      <c r="O271" s="403">
        <v>85444921</v>
      </c>
    </row>
    <row r="272" spans="1:15" hidden="1" x14ac:dyDescent="0.2">
      <c r="A272" s="403" t="s">
        <v>2540</v>
      </c>
      <c r="B272" s="403" t="s">
        <v>2173</v>
      </c>
      <c r="C272" s="403" t="s">
        <v>2293</v>
      </c>
      <c r="D272" s="403" t="s">
        <v>2175</v>
      </c>
      <c r="E272" s="403">
        <v>20</v>
      </c>
      <c r="F272" s="403" t="s">
        <v>2303</v>
      </c>
      <c r="G272" s="403" t="s">
        <v>2177</v>
      </c>
      <c r="H272" s="403">
        <v>16</v>
      </c>
      <c r="I272" s="403">
        <v>15.5</v>
      </c>
      <c r="J272" s="406">
        <f t="shared" si="4"/>
        <v>0.77500000000000002</v>
      </c>
      <c r="K272" s="403">
        <v>0.23626</v>
      </c>
      <c r="L272" s="407">
        <v>142415956116</v>
      </c>
      <c r="M272" s="403" t="s">
        <v>2178</v>
      </c>
      <c r="N272" s="403" t="s">
        <v>2295</v>
      </c>
      <c r="O272" s="403">
        <v>85447000</v>
      </c>
    </row>
    <row r="273" spans="1:15" hidden="1" x14ac:dyDescent="0.2">
      <c r="A273" s="403" t="s">
        <v>2541</v>
      </c>
      <c r="B273" s="403" t="s">
        <v>2173</v>
      </c>
      <c r="C273" s="403" t="s">
        <v>2293</v>
      </c>
      <c r="D273" s="403" t="s">
        <v>2175</v>
      </c>
      <c r="E273" s="403">
        <v>20</v>
      </c>
      <c r="F273" s="403" t="s">
        <v>2294</v>
      </c>
      <c r="G273" s="403" t="s">
        <v>2219</v>
      </c>
      <c r="H273" s="403">
        <v>3</v>
      </c>
      <c r="I273" s="403">
        <v>2.883</v>
      </c>
      <c r="J273" s="406">
        <f t="shared" si="4"/>
        <v>0.14415</v>
      </c>
      <c r="K273" s="403">
        <v>1.3780000000000001E-2</v>
      </c>
      <c r="L273" s="407">
        <v>142415956116</v>
      </c>
      <c r="M273" s="403" t="s">
        <v>2178</v>
      </c>
      <c r="N273" s="403" t="s">
        <v>2295</v>
      </c>
      <c r="O273" s="403">
        <v>85447000</v>
      </c>
    </row>
    <row r="274" spans="1:15" hidden="1" x14ac:dyDescent="0.2">
      <c r="A274" s="403">
        <v>421311</v>
      </c>
      <c r="B274" s="403" t="s">
        <v>2173</v>
      </c>
      <c r="C274" s="403" t="s">
        <v>2304</v>
      </c>
      <c r="D274" s="403" t="s">
        <v>2186</v>
      </c>
      <c r="E274" s="403">
        <v>120</v>
      </c>
      <c r="F274" s="403" t="s">
        <v>2247</v>
      </c>
      <c r="G274" s="403" t="s">
        <v>2542</v>
      </c>
      <c r="H274" s="403">
        <v>13</v>
      </c>
      <c r="I274" s="403">
        <v>12.84</v>
      </c>
      <c r="J274" s="406">
        <f t="shared" si="4"/>
        <v>0.107</v>
      </c>
      <c r="K274" s="403">
        <v>7.7640000000000001E-2</v>
      </c>
      <c r="L274" s="407">
        <v>142612160043</v>
      </c>
      <c r="M274" s="403" t="s">
        <v>2194</v>
      </c>
      <c r="N274" s="403" t="s">
        <v>2190</v>
      </c>
      <c r="O274" s="403">
        <v>85447000</v>
      </c>
    </row>
    <row r="275" spans="1:15" hidden="1" x14ac:dyDescent="0.2">
      <c r="A275" s="403">
        <v>1401581</v>
      </c>
      <c r="B275" s="403" t="s">
        <v>2173</v>
      </c>
      <c r="C275" s="403" t="s">
        <v>2308</v>
      </c>
      <c r="D275" s="403" t="s">
        <v>2186</v>
      </c>
      <c r="E275" s="403">
        <v>30</v>
      </c>
      <c r="F275" s="403" t="s">
        <v>2543</v>
      </c>
      <c r="G275" s="403" t="s">
        <v>2471</v>
      </c>
      <c r="H275" s="403">
        <v>0</v>
      </c>
      <c r="I275" s="403">
        <v>0.48</v>
      </c>
      <c r="J275" s="406">
        <f t="shared" si="4"/>
        <v>1.6E-2</v>
      </c>
      <c r="K275" s="403">
        <v>1.32E-3</v>
      </c>
      <c r="L275" s="407">
        <v>142415890509</v>
      </c>
      <c r="M275" s="403" t="s">
        <v>2189</v>
      </c>
      <c r="N275" s="403" t="s">
        <v>2190</v>
      </c>
      <c r="O275" s="403">
        <v>85369010</v>
      </c>
    </row>
    <row r="276" spans="1:15" hidden="1" x14ac:dyDescent="0.2">
      <c r="A276" s="403">
        <v>415226</v>
      </c>
      <c r="B276" s="403" t="s">
        <v>2173</v>
      </c>
      <c r="C276" s="403" t="s">
        <v>2304</v>
      </c>
      <c r="D276" s="403" t="s">
        <v>2186</v>
      </c>
      <c r="E276" s="403">
        <v>15</v>
      </c>
      <c r="F276" s="403" t="s">
        <v>2290</v>
      </c>
      <c r="G276" s="403" t="s">
        <v>2544</v>
      </c>
      <c r="H276" s="403">
        <v>51</v>
      </c>
      <c r="I276" s="403">
        <v>51</v>
      </c>
      <c r="J276" s="406">
        <f t="shared" si="4"/>
        <v>3.4</v>
      </c>
      <c r="K276" s="403">
        <v>0.20880000000000001</v>
      </c>
      <c r="L276" s="407">
        <v>142612160043</v>
      </c>
      <c r="M276" s="403" t="s">
        <v>2189</v>
      </c>
      <c r="N276" s="403" t="s">
        <v>2190</v>
      </c>
      <c r="O276" s="403">
        <v>85369010</v>
      </c>
    </row>
    <row r="277" spans="1:15" hidden="1" x14ac:dyDescent="0.2">
      <c r="A277" s="403">
        <v>423332</v>
      </c>
      <c r="B277" s="403" t="s">
        <v>2173</v>
      </c>
      <c r="C277" s="403" t="s">
        <v>2304</v>
      </c>
      <c r="D277" s="403" t="s">
        <v>2186</v>
      </c>
      <c r="E277" s="403">
        <v>50</v>
      </c>
      <c r="F277" s="403" t="s">
        <v>2202</v>
      </c>
      <c r="G277" s="403" t="s">
        <v>2273</v>
      </c>
      <c r="H277" s="403">
        <v>3</v>
      </c>
      <c r="I277" s="403">
        <v>3.15</v>
      </c>
      <c r="J277" s="406">
        <f t="shared" si="4"/>
        <v>6.3E-2</v>
      </c>
      <c r="K277" s="403">
        <v>4.5949999999999998E-2</v>
      </c>
      <c r="L277" s="407">
        <v>142415860849</v>
      </c>
      <c r="M277" s="403" t="s">
        <v>2194</v>
      </c>
      <c r="N277" s="403" t="s">
        <v>2190</v>
      </c>
      <c r="O277" s="403">
        <v>85447000</v>
      </c>
    </row>
    <row r="278" spans="1:15" hidden="1" x14ac:dyDescent="0.2">
      <c r="A278" s="403">
        <v>1401581</v>
      </c>
      <c r="B278" s="403" t="s">
        <v>2173</v>
      </c>
      <c r="C278" s="403" t="s">
        <v>2308</v>
      </c>
      <c r="D278" s="403" t="s">
        <v>2186</v>
      </c>
      <c r="E278" s="403">
        <v>40</v>
      </c>
      <c r="F278" s="403" t="s">
        <v>2543</v>
      </c>
      <c r="G278" s="403" t="s">
        <v>2324</v>
      </c>
      <c r="H278" s="403">
        <v>1</v>
      </c>
      <c r="I278" s="403">
        <v>0.64</v>
      </c>
      <c r="J278" s="406">
        <f t="shared" si="4"/>
        <v>1.6E-2</v>
      </c>
      <c r="K278" s="403">
        <v>1.7600000000000001E-3</v>
      </c>
      <c r="L278" s="407">
        <v>142415841766</v>
      </c>
      <c r="M278" s="403" t="s">
        <v>2189</v>
      </c>
      <c r="N278" s="403" t="s">
        <v>2190</v>
      </c>
      <c r="O278" s="403">
        <v>85369010</v>
      </c>
    </row>
    <row r="279" spans="1:15" hidden="1" x14ac:dyDescent="0.2">
      <c r="A279" s="403">
        <v>417374</v>
      </c>
      <c r="B279" s="403" t="s">
        <v>2173</v>
      </c>
      <c r="C279" s="403" t="s">
        <v>2545</v>
      </c>
      <c r="D279" s="403" t="s">
        <v>2186</v>
      </c>
      <c r="E279" s="403">
        <v>50</v>
      </c>
      <c r="F279" s="403" t="s">
        <v>2326</v>
      </c>
      <c r="G279" s="403" t="s">
        <v>2219</v>
      </c>
      <c r="H279" s="403">
        <v>15</v>
      </c>
      <c r="I279" s="403">
        <v>15</v>
      </c>
      <c r="J279" s="406">
        <f t="shared" si="4"/>
        <v>0.3</v>
      </c>
      <c r="K279" s="403">
        <v>6.8349999999999994E-2</v>
      </c>
      <c r="L279" s="407">
        <v>142415949806</v>
      </c>
      <c r="M279" s="403" t="s">
        <v>2493</v>
      </c>
      <c r="O279" s="403">
        <v>85366910</v>
      </c>
    </row>
    <row r="280" spans="1:15" hidden="1" x14ac:dyDescent="0.2">
      <c r="A280" s="403">
        <v>309025</v>
      </c>
      <c r="B280" s="403" t="s">
        <v>2173</v>
      </c>
      <c r="C280" s="403" t="s">
        <v>2478</v>
      </c>
      <c r="D280" s="403" t="s">
        <v>2186</v>
      </c>
      <c r="E280" s="403">
        <v>120</v>
      </c>
      <c r="F280" s="403" t="s">
        <v>2247</v>
      </c>
      <c r="G280" s="403" t="s">
        <v>2542</v>
      </c>
      <c r="H280" s="403">
        <v>15</v>
      </c>
      <c r="I280" s="403">
        <v>16.95</v>
      </c>
      <c r="J280" s="406">
        <f t="shared" si="4"/>
        <v>0.14124999999999999</v>
      </c>
      <c r="K280" s="403">
        <v>6.6119999999999998E-2</v>
      </c>
      <c r="L280" s="407">
        <v>142415921486</v>
      </c>
      <c r="M280" s="403" t="s">
        <v>2194</v>
      </c>
      <c r="O280" s="403">
        <v>85444921</v>
      </c>
    </row>
    <row r="281" spans="1:15" hidden="1" x14ac:dyDescent="0.2">
      <c r="A281" s="403">
        <v>309025</v>
      </c>
      <c r="B281" s="403" t="s">
        <v>2173</v>
      </c>
      <c r="C281" s="403" t="s">
        <v>2546</v>
      </c>
      <c r="D281" s="403" t="s">
        <v>2186</v>
      </c>
      <c r="E281" s="403">
        <v>180</v>
      </c>
      <c r="F281" s="403" t="s">
        <v>2247</v>
      </c>
      <c r="G281" s="403" t="s">
        <v>2547</v>
      </c>
      <c r="H281" s="403">
        <v>23</v>
      </c>
      <c r="I281" s="403">
        <v>25.425000000000001</v>
      </c>
      <c r="J281" s="406">
        <f t="shared" si="4"/>
        <v>0.14125000000000001</v>
      </c>
      <c r="K281" s="403">
        <v>9.9180000000000004E-2</v>
      </c>
      <c r="L281" s="407">
        <v>142415921486</v>
      </c>
      <c r="M281" s="403" t="s">
        <v>2194</v>
      </c>
      <c r="O281" s="403">
        <v>85444921</v>
      </c>
    </row>
    <row r="282" spans="1:15" hidden="1" x14ac:dyDescent="0.2">
      <c r="A282" s="403">
        <v>1411153</v>
      </c>
      <c r="B282" s="403" t="s">
        <v>2173</v>
      </c>
      <c r="C282" s="403" t="s">
        <v>2185</v>
      </c>
      <c r="D282" s="403" t="s">
        <v>2186</v>
      </c>
      <c r="E282" s="403">
        <v>142</v>
      </c>
      <c r="F282" s="403" t="s">
        <v>2187</v>
      </c>
      <c r="G282" s="403" t="s">
        <v>2548</v>
      </c>
      <c r="H282" s="403">
        <v>0</v>
      </c>
      <c r="I282" s="403">
        <v>0.42599999999999999</v>
      </c>
      <c r="J282" s="406">
        <f t="shared" si="4"/>
        <v>3.0000000000000001E-3</v>
      </c>
      <c r="K282" s="403">
        <v>6.816E-3</v>
      </c>
      <c r="L282" s="407">
        <v>142415327166</v>
      </c>
      <c r="M282" s="403" t="s">
        <v>2189</v>
      </c>
      <c r="N282" s="403" t="s">
        <v>2190</v>
      </c>
      <c r="O282" s="403">
        <v>85369010</v>
      </c>
    </row>
    <row r="283" spans="1:15" hidden="1" x14ac:dyDescent="0.2">
      <c r="A283" s="403">
        <v>190071</v>
      </c>
      <c r="B283" s="403" t="s">
        <v>2173</v>
      </c>
      <c r="C283" s="403" t="s">
        <v>2549</v>
      </c>
      <c r="D283" s="403" t="s">
        <v>2175</v>
      </c>
      <c r="E283" s="405">
        <v>2000</v>
      </c>
      <c r="F283" s="403" t="s">
        <v>2184</v>
      </c>
      <c r="G283" s="403" t="s">
        <v>2258</v>
      </c>
      <c r="H283" s="403">
        <v>239</v>
      </c>
      <c r="I283" s="403">
        <v>238.828</v>
      </c>
      <c r="J283" s="406">
        <f t="shared" si="4"/>
        <v>0.11941400000000001</v>
      </c>
      <c r="K283" s="403">
        <v>1.0940000000000001</v>
      </c>
      <c r="L283" s="407">
        <v>142415938312</v>
      </c>
      <c r="M283" s="403" t="s">
        <v>2178</v>
      </c>
      <c r="O283" s="403">
        <v>85447000</v>
      </c>
    </row>
    <row r="284" spans="1:15" hidden="1" x14ac:dyDescent="0.2">
      <c r="A284" s="403">
        <v>421320</v>
      </c>
      <c r="B284" s="403" t="s">
        <v>2173</v>
      </c>
      <c r="C284" s="403" t="s">
        <v>2220</v>
      </c>
      <c r="D284" s="403" t="s">
        <v>2186</v>
      </c>
      <c r="E284" s="403">
        <v>3</v>
      </c>
      <c r="F284" s="403" t="s">
        <v>2550</v>
      </c>
      <c r="G284" s="403" t="s">
        <v>2219</v>
      </c>
      <c r="H284" s="403">
        <v>1</v>
      </c>
      <c r="I284" s="403">
        <v>0.54</v>
      </c>
      <c r="J284" s="406">
        <f t="shared" si="4"/>
        <v>0.18000000000000002</v>
      </c>
      <c r="K284" s="403">
        <v>2.1419999999999998E-3</v>
      </c>
      <c r="L284" s="407">
        <v>142415725482</v>
      </c>
      <c r="M284" s="403" t="s">
        <v>2194</v>
      </c>
      <c r="N284" s="403" t="s">
        <v>2190</v>
      </c>
      <c r="O284" s="403">
        <v>85447000</v>
      </c>
    </row>
    <row r="285" spans="1:15" hidden="1" x14ac:dyDescent="0.2">
      <c r="A285" s="403">
        <v>427721</v>
      </c>
      <c r="B285" s="403" t="s">
        <v>2173</v>
      </c>
      <c r="C285" s="403" t="s">
        <v>2195</v>
      </c>
      <c r="D285" s="403" t="s">
        <v>2186</v>
      </c>
      <c r="E285" s="405">
        <v>1496</v>
      </c>
      <c r="F285" s="403" t="s">
        <v>2196</v>
      </c>
      <c r="G285" s="403" t="s">
        <v>2551</v>
      </c>
      <c r="H285" s="403">
        <v>20</v>
      </c>
      <c r="I285" s="403">
        <v>19.542000000000002</v>
      </c>
      <c r="J285" s="406">
        <f t="shared" si="4"/>
        <v>1.3062834224598932E-2</v>
      </c>
      <c r="K285" s="403">
        <v>0.103224</v>
      </c>
      <c r="L285" s="407">
        <v>142415760947</v>
      </c>
      <c r="M285" s="403" t="s">
        <v>2194</v>
      </c>
      <c r="N285" s="403" t="s">
        <v>2190</v>
      </c>
      <c r="O285" s="403">
        <v>85447000</v>
      </c>
    </row>
    <row r="286" spans="1:15" hidden="1" x14ac:dyDescent="0.2">
      <c r="A286" s="403">
        <v>651610</v>
      </c>
      <c r="B286" s="403" t="s">
        <v>2173</v>
      </c>
      <c r="C286" s="403" t="s">
        <v>2220</v>
      </c>
      <c r="D286" s="403" t="s">
        <v>2186</v>
      </c>
      <c r="E286" s="403">
        <v>2</v>
      </c>
      <c r="F286" s="403" t="s">
        <v>2221</v>
      </c>
      <c r="G286" s="403" t="s">
        <v>2219</v>
      </c>
      <c r="H286" s="403">
        <v>0</v>
      </c>
      <c r="I286" s="403">
        <v>0.17</v>
      </c>
      <c r="J286" s="406">
        <f t="shared" si="4"/>
        <v>8.5000000000000006E-2</v>
      </c>
      <c r="K286" s="403">
        <v>1.444E-3</v>
      </c>
      <c r="L286" s="407">
        <v>142114077954</v>
      </c>
      <c r="N286" s="403" t="s">
        <v>2190</v>
      </c>
      <c r="O286" s="403">
        <v>85444210</v>
      </c>
    </row>
    <row r="287" spans="1:15" hidden="1" x14ac:dyDescent="0.2">
      <c r="A287" s="403">
        <v>193360</v>
      </c>
      <c r="B287" s="403" t="s">
        <v>2173</v>
      </c>
      <c r="C287" s="403" t="s">
        <v>2552</v>
      </c>
      <c r="D287" s="403" t="s">
        <v>2175</v>
      </c>
      <c r="E287" s="405">
        <v>2000</v>
      </c>
      <c r="F287" s="403" t="s">
        <v>2184</v>
      </c>
      <c r="G287" s="403" t="s">
        <v>2258</v>
      </c>
      <c r="H287" s="403">
        <v>156</v>
      </c>
      <c r="I287" s="403">
        <v>156</v>
      </c>
      <c r="J287" s="406">
        <f t="shared" si="4"/>
        <v>7.8E-2</v>
      </c>
      <c r="K287" s="403">
        <v>0.53800000000000003</v>
      </c>
      <c r="L287" s="407">
        <v>142415823269</v>
      </c>
      <c r="M287" s="403" t="s">
        <v>2178</v>
      </c>
      <c r="N287" s="403" t="s">
        <v>2190</v>
      </c>
      <c r="O287" s="403">
        <v>85447000</v>
      </c>
    </row>
    <row r="288" spans="1:15" hidden="1" x14ac:dyDescent="0.2">
      <c r="A288" s="403">
        <v>240641</v>
      </c>
      <c r="B288" s="403" t="s">
        <v>2173</v>
      </c>
      <c r="C288" s="403" t="s">
        <v>2406</v>
      </c>
      <c r="D288" s="403" t="s">
        <v>2186</v>
      </c>
      <c r="E288" s="403">
        <v>461</v>
      </c>
      <c r="F288" s="403" t="s">
        <v>2199</v>
      </c>
      <c r="G288" s="403" t="s">
        <v>2553</v>
      </c>
      <c r="H288" s="403">
        <v>31</v>
      </c>
      <c r="I288" s="403">
        <v>31.347999999999999</v>
      </c>
      <c r="J288" s="406">
        <f t="shared" si="4"/>
        <v>6.7999999999999991E-2</v>
      </c>
      <c r="K288" s="403">
        <v>0.24202499999999999</v>
      </c>
      <c r="L288" s="407">
        <v>142414908756</v>
      </c>
      <c r="M288" s="403" t="s">
        <v>2194</v>
      </c>
      <c r="N288" s="403" t="s">
        <v>2190</v>
      </c>
      <c r="O288" s="403">
        <v>39269099</v>
      </c>
    </row>
    <row r="289" spans="1:15" hidden="1" x14ac:dyDescent="0.2">
      <c r="A289" s="403">
        <v>240641</v>
      </c>
      <c r="B289" s="403" t="s">
        <v>2173</v>
      </c>
      <c r="C289" s="403" t="s">
        <v>2554</v>
      </c>
      <c r="D289" s="403" t="s">
        <v>2186</v>
      </c>
      <c r="E289" s="405">
        <v>1500</v>
      </c>
      <c r="F289" s="403" t="s">
        <v>2199</v>
      </c>
      <c r="G289" s="403" t="s">
        <v>2341</v>
      </c>
      <c r="H289" s="403">
        <v>102</v>
      </c>
      <c r="I289" s="403">
        <v>102</v>
      </c>
      <c r="J289" s="406">
        <f t="shared" si="4"/>
        <v>6.8000000000000005E-2</v>
      </c>
      <c r="K289" s="403">
        <v>0.78749999999999998</v>
      </c>
      <c r="L289" s="407">
        <v>142414956340</v>
      </c>
      <c r="M289" s="403" t="s">
        <v>2194</v>
      </c>
      <c r="N289" s="403" t="s">
        <v>2190</v>
      </c>
      <c r="O289" s="403">
        <v>39269099</v>
      </c>
    </row>
    <row r="290" spans="1:15" hidden="1" x14ac:dyDescent="0.2">
      <c r="A290" s="403">
        <v>185864</v>
      </c>
      <c r="B290" s="403" t="s">
        <v>2173</v>
      </c>
      <c r="C290" s="403" t="s">
        <v>2320</v>
      </c>
      <c r="D290" s="403" t="s">
        <v>2186</v>
      </c>
      <c r="E290" s="403">
        <v>15</v>
      </c>
      <c r="F290" s="403" t="s">
        <v>2407</v>
      </c>
      <c r="G290" s="403" t="s">
        <v>2555</v>
      </c>
      <c r="H290" s="403">
        <v>1</v>
      </c>
      <c r="I290" s="403">
        <v>0.70699999999999996</v>
      </c>
      <c r="J290" s="406">
        <f t="shared" si="4"/>
        <v>4.7133333333333333E-2</v>
      </c>
      <c r="K290" s="403">
        <v>3.0599999999999998E-3</v>
      </c>
      <c r="L290" s="407">
        <v>142611774361</v>
      </c>
      <c r="M290" s="403" t="s">
        <v>2194</v>
      </c>
      <c r="N290" s="403" t="s">
        <v>2190</v>
      </c>
      <c r="O290" s="403">
        <v>85389000</v>
      </c>
    </row>
    <row r="291" spans="1:15" hidden="1" x14ac:dyDescent="0.2">
      <c r="A291" s="403">
        <v>187689</v>
      </c>
      <c r="B291" s="403" t="s">
        <v>2173</v>
      </c>
      <c r="C291" s="403" t="s">
        <v>2317</v>
      </c>
      <c r="D291" s="403" t="s">
        <v>2175</v>
      </c>
      <c r="E291" s="403">
        <v>2</v>
      </c>
      <c r="F291" s="403" t="s">
        <v>2318</v>
      </c>
      <c r="G291" s="403" t="s">
        <v>2258</v>
      </c>
      <c r="H291" s="403">
        <v>35</v>
      </c>
      <c r="I291" s="403">
        <v>34.799999999999997</v>
      </c>
      <c r="J291" s="406">
        <f t="shared" si="4"/>
        <v>17.399999999999999</v>
      </c>
      <c r="K291" s="403">
        <v>0.22</v>
      </c>
      <c r="L291" s="407">
        <v>191500414668</v>
      </c>
      <c r="M291" s="403" t="s">
        <v>2178</v>
      </c>
      <c r="N291" s="403" t="s">
        <v>2190</v>
      </c>
      <c r="O291" s="403">
        <v>85444910</v>
      </c>
    </row>
    <row r="292" spans="1:15" hidden="1" x14ac:dyDescent="0.2">
      <c r="A292" s="403">
        <v>653512</v>
      </c>
      <c r="B292" s="403" t="s">
        <v>2173</v>
      </c>
      <c r="C292" s="403" t="s">
        <v>2201</v>
      </c>
      <c r="D292" s="403" t="s">
        <v>2186</v>
      </c>
      <c r="E292" s="405">
        <v>1477</v>
      </c>
      <c r="F292" s="403" t="s">
        <v>2202</v>
      </c>
      <c r="G292" s="403" t="s">
        <v>2556</v>
      </c>
      <c r="H292" s="403">
        <v>207</v>
      </c>
      <c r="I292" s="403">
        <v>206.78</v>
      </c>
      <c r="J292" s="406">
        <f t="shared" si="4"/>
        <v>0.14000000000000001</v>
      </c>
      <c r="K292" s="403">
        <v>0.77985599999999999</v>
      </c>
      <c r="L292" s="407">
        <v>142415907728</v>
      </c>
      <c r="M292" s="403" t="s">
        <v>2204</v>
      </c>
      <c r="N292" s="403" t="s">
        <v>2190</v>
      </c>
      <c r="O292" s="403">
        <v>85444211</v>
      </c>
    </row>
    <row r="293" spans="1:15" hidden="1" x14ac:dyDescent="0.2">
      <c r="A293" s="403">
        <v>190204</v>
      </c>
      <c r="B293" s="403" t="s">
        <v>2173</v>
      </c>
      <c r="C293" s="403" t="s">
        <v>2557</v>
      </c>
      <c r="D293" s="403" t="s">
        <v>2175</v>
      </c>
      <c r="E293" s="405">
        <v>3000</v>
      </c>
      <c r="F293" s="403" t="s">
        <v>2184</v>
      </c>
      <c r="G293" s="403" t="s">
        <v>2263</v>
      </c>
      <c r="H293" s="403">
        <v>269</v>
      </c>
      <c r="I293" s="403">
        <v>268.54199999999997</v>
      </c>
      <c r="J293" s="406">
        <f t="shared" si="4"/>
        <v>8.9513999999999996E-2</v>
      </c>
      <c r="K293" s="403">
        <v>1.641</v>
      </c>
      <c r="L293" s="407">
        <v>142415938312</v>
      </c>
      <c r="M293" s="403" t="s">
        <v>2178</v>
      </c>
      <c r="O293" s="403">
        <v>85447000</v>
      </c>
    </row>
    <row r="294" spans="1:15" hidden="1" x14ac:dyDescent="0.2">
      <c r="A294" s="403">
        <v>191453</v>
      </c>
      <c r="B294" s="403" t="s">
        <v>2173</v>
      </c>
      <c r="C294" s="403" t="s">
        <v>2558</v>
      </c>
      <c r="D294" s="403" t="s">
        <v>2175</v>
      </c>
      <c r="E294" s="405">
        <v>12000</v>
      </c>
      <c r="F294" s="403" t="s">
        <v>2181</v>
      </c>
      <c r="G294" s="403" t="s">
        <v>2212</v>
      </c>
      <c r="H294" s="403">
        <v>648</v>
      </c>
      <c r="I294" s="403">
        <v>648</v>
      </c>
      <c r="J294" s="406">
        <f t="shared" si="4"/>
        <v>5.3999999999999999E-2</v>
      </c>
      <c r="K294" s="403">
        <v>1.764</v>
      </c>
      <c r="L294" s="407">
        <v>142415938312</v>
      </c>
      <c r="M294" s="403" t="s">
        <v>2178</v>
      </c>
      <c r="O294" s="403">
        <v>85444921</v>
      </c>
    </row>
    <row r="295" spans="1:15" hidden="1" x14ac:dyDescent="0.2">
      <c r="A295" s="403">
        <v>191453</v>
      </c>
      <c r="B295" s="403" t="s">
        <v>2173</v>
      </c>
      <c r="C295" s="403" t="s">
        <v>2559</v>
      </c>
      <c r="D295" s="403" t="s">
        <v>2175</v>
      </c>
      <c r="E295" s="405">
        <v>12000</v>
      </c>
      <c r="F295" s="403" t="s">
        <v>2181</v>
      </c>
      <c r="G295" s="403" t="s">
        <v>2212</v>
      </c>
      <c r="H295" s="403">
        <v>648</v>
      </c>
      <c r="I295" s="403">
        <v>648</v>
      </c>
      <c r="J295" s="406">
        <f t="shared" si="4"/>
        <v>5.3999999999999999E-2</v>
      </c>
      <c r="K295" s="403">
        <v>1.764</v>
      </c>
      <c r="L295" s="407">
        <v>142415938312</v>
      </c>
      <c r="M295" s="403" t="s">
        <v>2178</v>
      </c>
      <c r="O295" s="403">
        <v>85444921</v>
      </c>
    </row>
    <row r="296" spans="1:15" hidden="1" x14ac:dyDescent="0.2">
      <c r="A296" s="403">
        <v>651662</v>
      </c>
      <c r="B296" s="403" t="s">
        <v>2173</v>
      </c>
      <c r="C296" s="403" t="s">
        <v>2220</v>
      </c>
      <c r="D296" s="403" t="s">
        <v>2186</v>
      </c>
      <c r="E296" s="403">
        <v>2</v>
      </c>
      <c r="F296" s="403" t="s">
        <v>2221</v>
      </c>
      <c r="G296" s="403" t="s">
        <v>2219</v>
      </c>
      <c r="H296" s="403">
        <v>0</v>
      </c>
      <c r="I296" s="403">
        <v>0.35</v>
      </c>
      <c r="J296" s="406">
        <f t="shared" si="4"/>
        <v>0.17499999999999999</v>
      </c>
      <c r="K296" s="403">
        <v>5.176E-3</v>
      </c>
      <c r="L296" s="407">
        <v>142114085324</v>
      </c>
      <c r="M296" s="403" t="s">
        <v>2204</v>
      </c>
      <c r="N296" s="403" t="s">
        <v>2190</v>
      </c>
    </row>
    <row r="297" spans="1:15" hidden="1" x14ac:dyDescent="0.2">
      <c r="A297" s="403">
        <v>440005</v>
      </c>
      <c r="B297" s="403" t="s">
        <v>2173</v>
      </c>
      <c r="C297" s="403" t="s">
        <v>2320</v>
      </c>
      <c r="D297" s="403" t="s">
        <v>2186</v>
      </c>
      <c r="E297" s="405">
        <v>1500</v>
      </c>
      <c r="F297" s="403" t="s">
        <v>2560</v>
      </c>
      <c r="G297" s="403" t="s">
        <v>2351</v>
      </c>
      <c r="H297" s="403">
        <v>58</v>
      </c>
      <c r="I297" s="403">
        <v>57.6</v>
      </c>
      <c r="J297" s="406">
        <f t="shared" si="4"/>
        <v>3.8400000000000004E-2</v>
      </c>
      <c r="K297" s="403">
        <v>0.17699999999999999</v>
      </c>
      <c r="L297" s="407">
        <v>142415890509</v>
      </c>
      <c r="M297" s="403" t="s">
        <v>2189</v>
      </c>
      <c r="N297" s="403" t="s">
        <v>2190</v>
      </c>
      <c r="O297" s="403">
        <v>85366990</v>
      </c>
    </row>
    <row r="298" spans="1:15" hidden="1" x14ac:dyDescent="0.2">
      <c r="A298" s="403">
        <v>240642</v>
      </c>
      <c r="B298" s="403" t="s">
        <v>2173</v>
      </c>
      <c r="C298" s="403" t="s">
        <v>2561</v>
      </c>
      <c r="D298" s="403" t="s">
        <v>2186</v>
      </c>
      <c r="E298" s="403">
        <v>477</v>
      </c>
      <c r="F298" s="403" t="s">
        <v>2199</v>
      </c>
      <c r="G298" s="403" t="s">
        <v>2562</v>
      </c>
      <c r="H298" s="403">
        <v>32</v>
      </c>
      <c r="I298" s="403">
        <v>32.436</v>
      </c>
      <c r="J298" s="406">
        <f t="shared" si="4"/>
        <v>6.8000000000000005E-2</v>
      </c>
      <c r="K298" s="403">
        <v>0.25042500000000001</v>
      </c>
      <c r="L298" s="407">
        <v>142414908756</v>
      </c>
      <c r="M298" s="403" t="s">
        <v>2194</v>
      </c>
      <c r="N298" s="403" t="s">
        <v>2190</v>
      </c>
      <c r="O298" s="403">
        <v>39269099</v>
      </c>
    </row>
    <row r="299" spans="1:15" hidden="1" x14ac:dyDescent="0.2">
      <c r="A299" s="403">
        <v>415227</v>
      </c>
      <c r="B299" s="403" t="s">
        <v>2173</v>
      </c>
      <c r="C299" s="403" t="s">
        <v>2220</v>
      </c>
      <c r="D299" s="403" t="s">
        <v>2186</v>
      </c>
      <c r="E299" s="403">
        <v>2</v>
      </c>
      <c r="F299" s="403" t="s">
        <v>2221</v>
      </c>
      <c r="G299" s="403" t="s">
        <v>2219</v>
      </c>
      <c r="H299" s="403">
        <v>8</v>
      </c>
      <c r="I299" s="403">
        <v>8.1999999999999993</v>
      </c>
      <c r="J299" s="406">
        <f t="shared" si="4"/>
        <v>4.0999999999999996</v>
      </c>
      <c r="K299" s="403">
        <v>8.1180000000000002E-2</v>
      </c>
      <c r="L299" s="407">
        <v>142415110816</v>
      </c>
      <c r="M299" s="403" t="s">
        <v>2189</v>
      </c>
      <c r="N299" s="403" t="s">
        <v>2190</v>
      </c>
      <c r="O299" s="403">
        <v>85369010</v>
      </c>
    </row>
    <row r="300" spans="1:15" hidden="1" x14ac:dyDescent="0.2">
      <c r="A300" s="403">
        <v>4000611</v>
      </c>
      <c r="B300" s="403" t="s">
        <v>2173</v>
      </c>
      <c r="C300" s="403" t="s">
        <v>2563</v>
      </c>
      <c r="D300" s="403" t="s">
        <v>2206</v>
      </c>
      <c r="E300" s="403">
        <v>2</v>
      </c>
      <c r="F300" s="403" t="s">
        <v>2207</v>
      </c>
      <c r="G300" s="403" t="s">
        <v>2337</v>
      </c>
      <c r="H300" s="403">
        <v>260</v>
      </c>
      <c r="I300" s="403">
        <v>260</v>
      </c>
      <c r="J300" s="406">
        <f t="shared" si="4"/>
        <v>130</v>
      </c>
      <c r="K300" s="403">
        <v>2.8520460000000001</v>
      </c>
      <c r="L300" s="407">
        <v>142415880145</v>
      </c>
      <c r="M300" s="403" t="s">
        <v>2194</v>
      </c>
      <c r="N300" s="403" t="s">
        <v>2190</v>
      </c>
      <c r="O300" s="403">
        <v>85371000</v>
      </c>
    </row>
    <row r="301" spans="1:15" hidden="1" x14ac:dyDescent="0.2">
      <c r="A301" s="403">
        <v>651860</v>
      </c>
      <c r="B301" s="403" t="s">
        <v>2173</v>
      </c>
      <c r="C301" s="403" t="s">
        <v>2220</v>
      </c>
      <c r="D301" s="403" t="s">
        <v>2186</v>
      </c>
      <c r="E301" s="403">
        <v>1</v>
      </c>
      <c r="F301" s="403" t="s">
        <v>2280</v>
      </c>
      <c r="G301" s="403" t="s">
        <v>2219</v>
      </c>
      <c r="H301" s="403">
        <v>0</v>
      </c>
      <c r="I301" s="403">
        <v>0.1</v>
      </c>
      <c r="J301" s="406">
        <f t="shared" si="4"/>
        <v>0.1</v>
      </c>
      <c r="K301" s="403">
        <v>1.1999999999999999E-3</v>
      </c>
      <c r="L301" s="407">
        <v>142114077954</v>
      </c>
      <c r="M301" s="403" t="s">
        <v>2204</v>
      </c>
      <c r="N301" s="403" t="s">
        <v>2190</v>
      </c>
      <c r="O301" s="403">
        <v>85444210</v>
      </c>
    </row>
    <row r="302" spans="1:15" hidden="1" x14ac:dyDescent="0.2">
      <c r="A302" s="403">
        <v>240563</v>
      </c>
      <c r="B302" s="403" t="s">
        <v>2173</v>
      </c>
      <c r="C302" s="403" t="s">
        <v>2564</v>
      </c>
      <c r="D302" s="403" t="s">
        <v>2175</v>
      </c>
      <c r="E302" s="405">
        <v>9150</v>
      </c>
      <c r="F302" s="403" t="s">
        <v>2224</v>
      </c>
      <c r="G302" s="403" t="s">
        <v>2225</v>
      </c>
      <c r="H302" s="403">
        <v>384</v>
      </c>
      <c r="I302" s="403">
        <v>384.3</v>
      </c>
      <c r="J302" s="406">
        <f t="shared" si="4"/>
        <v>4.2000000000000003E-2</v>
      </c>
      <c r="K302" s="403">
        <v>1.1346000000000001</v>
      </c>
      <c r="L302" s="407">
        <v>142415888640</v>
      </c>
      <c r="M302" s="403" t="s">
        <v>2194</v>
      </c>
      <c r="N302" s="403" t="s">
        <v>2190</v>
      </c>
      <c r="O302" s="403">
        <v>85442090</v>
      </c>
    </row>
    <row r="303" spans="1:15" hidden="1" x14ac:dyDescent="0.2">
      <c r="A303" s="403">
        <v>240563</v>
      </c>
      <c r="B303" s="403" t="s">
        <v>2173</v>
      </c>
      <c r="C303" s="403" t="s">
        <v>2565</v>
      </c>
      <c r="D303" s="403" t="s">
        <v>2175</v>
      </c>
      <c r="E303" s="405">
        <v>9150</v>
      </c>
      <c r="F303" s="403" t="s">
        <v>2224</v>
      </c>
      <c r="G303" s="403" t="s">
        <v>2225</v>
      </c>
      <c r="H303" s="403">
        <v>384</v>
      </c>
      <c r="I303" s="403">
        <v>384.3</v>
      </c>
      <c r="J303" s="406">
        <f t="shared" si="4"/>
        <v>4.2000000000000003E-2</v>
      </c>
      <c r="K303" s="403">
        <v>1.1346000000000001</v>
      </c>
      <c r="L303" s="407">
        <v>142415888640</v>
      </c>
      <c r="M303" s="403" t="s">
        <v>2194</v>
      </c>
      <c r="N303" s="403" t="s">
        <v>2190</v>
      </c>
      <c r="O303" s="403">
        <v>85442090</v>
      </c>
    </row>
    <row r="304" spans="1:15" hidden="1" x14ac:dyDescent="0.2">
      <c r="A304" s="403">
        <v>240563</v>
      </c>
      <c r="B304" s="403" t="s">
        <v>2173</v>
      </c>
      <c r="C304" s="403" t="s">
        <v>2228</v>
      </c>
      <c r="D304" s="403" t="s">
        <v>2175</v>
      </c>
      <c r="E304" s="405">
        <v>6710</v>
      </c>
      <c r="F304" s="403" t="s">
        <v>2224</v>
      </c>
      <c r="G304" s="403" t="s">
        <v>2566</v>
      </c>
      <c r="H304" s="403">
        <v>282</v>
      </c>
      <c r="I304" s="403">
        <v>281.82</v>
      </c>
      <c r="J304" s="406">
        <f t="shared" si="4"/>
        <v>4.1999999999999996E-2</v>
      </c>
      <c r="K304" s="403">
        <v>0.83204</v>
      </c>
      <c r="L304" s="407">
        <v>142415784924</v>
      </c>
      <c r="M304" s="403" t="s">
        <v>2194</v>
      </c>
      <c r="N304" s="403" t="s">
        <v>2190</v>
      </c>
      <c r="O304" s="403">
        <v>85442090</v>
      </c>
    </row>
    <row r="305" spans="1:15" hidden="1" x14ac:dyDescent="0.2">
      <c r="A305" s="403">
        <v>240563</v>
      </c>
      <c r="B305" s="403" t="s">
        <v>2173</v>
      </c>
      <c r="C305" s="403" t="s">
        <v>2567</v>
      </c>
      <c r="D305" s="403" t="s">
        <v>2175</v>
      </c>
      <c r="E305" s="405">
        <v>9150</v>
      </c>
      <c r="F305" s="403" t="s">
        <v>2224</v>
      </c>
      <c r="G305" s="403" t="s">
        <v>2225</v>
      </c>
      <c r="H305" s="403">
        <v>384</v>
      </c>
      <c r="I305" s="403">
        <v>384.3</v>
      </c>
      <c r="J305" s="406">
        <f t="shared" si="4"/>
        <v>4.2000000000000003E-2</v>
      </c>
      <c r="K305" s="403">
        <v>1.1346000000000001</v>
      </c>
      <c r="L305" s="407">
        <v>142415758139</v>
      </c>
      <c r="M305" s="403" t="s">
        <v>2194</v>
      </c>
      <c r="N305" s="403" t="s">
        <v>2190</v>
      </c>
      <c r="O305" s="403">
        <v>85442090</v>
      </c>
    </row>
    <row r="306" spans="1:15" hidden="1" x14ac:dyDescent="0.2">
      <c r="A306" s="403">
        <v>418070</v>
      </c>
      <c r="B306" s="403" t="s">
        <v>2173</v>
      </c>
      <c r="C306" s="403" t="s">
        <v>2568</v>
      </c>
      <c r="D306" s="403" t="s">
        <v>2186</v>
      </c>
      <c r="E306" s="405">
        <v>3529</v>
      </c>
      <c r="F306" s="403" t="s">
        <v>2285</v>
      </c>
      <c r="G306" s="403" t="s">
        <v>2569</v>
      </c>
      <c r="H306" s="403">
        <v>74</v>
      </c>
      <c r="I306" s="403">
        <v>74.108999999999995</v>
      </c>
      <c r="J306" s="406">
        <f t="shared" si="4"/>
        <v>2.0999999999999998E-2</v>
      </c>
      <c r="K306" s="403">
        <v>0.83637300000000003</v>
      </c>
      <c r="L306" s="407">
        <v>142415809884</v>
      </c>
      <c r="M306" s="403" t="s">
        <v>2286</v>
      </c>
      <c r="N306" s="403" t="s">
        <v>2190</v>
      </c>
      <c r="O306" s="403">
        <v>85369010</v>
      </c>
    </row>
    <row r="307" spans="1:15" hidden="1" x14ac:dyDescent="0.2">
      <c r="A307" s="403">
        <v>418070</v>
      </c>
      <c r="B307" s="403" t="s">
        <v>2173</v>
      </c>
      <c r="C307" s="403" t="s">
        <v>2427</v>
      </c>
      <c r="D307" s="403" t="s">
        <v>2186</v>
      </c>
      <c r="E307" s="405">
        <v>2500</v>
      </c>
      <c r="F307" s="403" t="s">
        <v>2285</v>
      </c>
      <c r="G307" s="403" t="s">
        <v>2313</v>
      </c>
      <c r="H307" s="403">
        <v>53</v>
      </c>
      <c r="I307" s="403">
        <v>52.5</v>
      </c>
      <c r="J307" s="406">
        <f t="shared" si="4"/>
        <v>2.1000000000000001E-2</v>
      </c>
      <c r="K307" s="403">
        <v>0.59250000000000003</v>
      </c>
      <c r="L307" s="407">
        <v>142415886287</v>
      </c>
      <c r="M307" s="403" t="s">
        <v>2286</v>
      </c>
      <c r="N307" s="403" t="s">
        <v>2190</v>
      </c>
      <c r="O307" s="403">
        <v>85369010</v>
      </c>
    </row>
    <row r="308" spans="1:15" hidden="1" x14ac:dyDescent="0.2">
      <c r="A308" s="403">
        <v>4001106</v>
      </c>
      <c r="B308" s="403" t="s">
        <v>2173</v>
      </c>
      <c r="C308" s="403" t="s">
        <v>2271</v>
      </c>
      <c r="D308" s="403" t="s">
        <v>2186</v>
      </c>
      <c r="E308" s="403">
        <v>550</v>
      </c>
      <c r="F308" s="403" t="s">
        <v>2407</v>
      </c>
      <c r="G308" s="403" t="s">
        <v>2570</v>
      </c>
      <c r="H308" s="403">
        <v>15</v>
      </c>
      <c r="I308" s="403">
        <v>17.187999999999999</v>
      </c>
      <c r="J308" s="406">
        <f t="shared" si="4"/>
        <v>3.1250909090909086E-2</v>
      </c>
      <c r="K308" s="403">
        <v>0.15015000000000001</v>
      </c>
      <c r="L308" s="407">
        <v>3020430800317</v>
      </c>
      <c r="M308" s="403" t="s">
        <v>2194</v>
      </c>
      <c r="O308" s="403">
        <v>85447000</v>
      </c>
    </row>
    <row r="309" spans="1:15" x14ac:dyDescent="0.2">
      <c r="A309" s="403">
        <v>191454</v>
      </c>
      <c r="B309" s="403" t="s">
        <v>2173</v>
      </c>
      <c r="C309" s="403" t="s">
        <v>2571</v>
      </c>
      <c r="D309" s="403" t="s">
        <v>2175</v>
      </c>
      <c r="E309" s="405">
        <v>12000</v>
      </c>
      <c r="F309" s="403" t="s">
        <v>2181</v>
      </c>
      <c r="G309" s="403" t="s">
        <v>2212</v>
      </c>
      <c r="H309" s="403">
        <v>648</v>
      </c>
      <c r="I309" s="403">
        <v>648</v>
      </c>
      <c r="J309" s="406">
        <f t="shared" si="4"/>
        <v>5.3999999999999999E-2</v>
      </c>
      <c r="K309" s="403">
        <v>1.764</v>
      </c>
      <c r="L309" s="407">
        <v>142415736116</v>
      </c>
      <c r="M309" s="403" t="s">
        <v>2178</v>
      </c>
      <c r="N309" s="403" t="s">
        <v>2190</v>
      </c>
      <c r="O309" s="403">
        <v>85444929</v>
      </c>
    </row>
    <row r="310" spans="1:15" hidden="1" x14ac:dyDescent="0.2">
      <c r="A310" s="403">
        <v>4000614</v>
      </c>
      <c r="B310" s="403" t="s">
        <v>2173</v>
      </c>
      <c r="C310" s="403" t="s">
        <v>2572</v>
      </c>
      <c r="D310" s="403" t="s">
        <v>2186</v>
      </c>
      <c r="E310" s="403">
        <v>4</v>
      </c>
      <c r="F310" s="403" t="s">
        <v>2207</v>
      </c>
      <c r="G310" s="403" t="s">
        <v>2245</v>
      </c>
      <c r="H310" s="403">
        <v>112</v>
      </c>
      <c r="I310" s="403">
        <v>112</v>
      </c>
      <c r="J310" s="406">
        <f t="shared" si="4"/>
        <v>28</v>
      </c>
      <c r="K310" s="403">
        <v>1.0311840000000001</v>
      </c>
      <c r="L310" s="407">
        <v>142415761142</v>
      </c>
      <c r="M310" s="403" t="s">
        <v>2194</v>
      </c>
      <c r="N310" s="403" t="s">
        <v>2190</v>
      </c>
      <c r="O310" s="403">
        <v>85371000</v>
      </c>
    </row>
    <row r="311" spans="1:15" hidden="1" x14ac:dyDescent="0.2">
      <c r="A311" s="403">
        <v>4000614</v>
      </c>
      <c r="B311" s="403" t="s">
        <v>2173</v>
      </c>
      <c r="C311" s="403" t="s">
        <v>2573</v>
      </c>
      <c r="D311" s="403" t="s">
        <v>2186</v>
      </c>
      <c r="E311" s="403">
        <v>4</v>
      </c>
      <c r="F311" s="403" t="s">
        <v>2207</v>
      </c>
      <c r="G311" s="403" t="s">
        <v>2245</v>
      </c>
      <c r="H311" s="403">
        <v>112</v>
      </c>
      <c r="I311" s="403">
        <v>112</v>
      </c>
      <c r="J311" s="406">
        <f t="shared" si="4"/>
        <v>28</v>
      </c>
      <c r="K311" s="403">
        <v>1.0311840000000001</v>
      </c>
      <c r="L311" s="407">
        <v>142415761142</v>
      </c>
      <c r="M311" s="403" t="s">
        <v>2194</v>
      </c>
      <c r="N311" s="403" t="s">
        <v>2190</v>
      </c>
      <c r="O311" s="403">
        <v>85371000</v>
      </c>
    </row>
    <row r="312" spans="1:15" hidden="1" x14ac:dyDescent="0.2">
      <c r="A312" s="403">
        <v>653510</v>
      </c>
      <c r="B312" s="403" t="s">
        <v>2173</v>
      </c>
      <c r="C312" s="403" t="s">
        <v>2574</v>
      </c>
      <c r="D312" s="403" t="s">
        <v>2186</v>
      </c>
      <c r="E312" s="403">
        <v>186</v>
      </c>
      <c r="F312" s="403" t="s">
        <v>2497</v>
      </c>
      <c r="G312" s="403" t="s">
        <v>2575</v>
      </c>
      <c r="H312" s="403">
        <v>19</v>
      </c>
      <c r="I312" s="403">
        <v>18.972000000000001</v>
      </c>
      <c r="J312" s="406">
        <f t="shared" si="4"/>
        <v>0.10200000000000001</v>
      </c>
      <c r="K312" s="403">
        <v>7.7004000000000003E-2</v>
      </c>
      <c r="L312" s="407">
        <v>142415252420</v>
      </c>
      <c r="M312" s="403" t="s">
        <v>2204</v>
      </c>
      <c r="N312" s="403" t="s">
        <v>2190</v>
      </c>
      <c r="O312" s="403">
        <v>85444210</v>
      </c>
    </row>
    <row r="313" spans="1:15" hidden="1" x14ac:dyDescent="0.2">
      <c r="A313" s="403">
        <v>240562</v>
      </c>
      <c r="B313" s="403" t="s">
        <v>2173</v>
      </c>
      <c r="C313" s="403" t="s">
        <v>2576</v>
      </c>
      <c r="D313" s="403" t="s">
        <v>2175</v>
      </c>
      <c r="E313" s="405">
        <v>9150</v>
      </c>
      <c r="F313" s="403" t="s">
        <v>2224</v>
      </c>
      <c r="G313" s="403" t="s">
        <v>2225</v>
      </c>
      <c r="H313" s="403">
        <v>384</v>
      </c>
      <c r="I313" s="403">
        <v>384.3</v>
      </c>
      <c r="J313" s="406">
        <f t="shared" si="4"/>
        <v>4.2000000000000003E-2</v>
      </c>
      <c r="K313" s="403">
        <v>1.1346000000000001</v>
      </c>
      <c r="L313" s="407">
        <v>142415784924</v>
      </c>
      <c r="M313" s="403" t="s">
        <v>2194</v>
      </c>
      <c r="N313" s="403" t="s">
        <v>2190</v>
      </c>
      <c r="O313" s="403">
        <v>85442090</v>
      </c>
    </row>
    <row r="314" spans="1:15" hidden="1" x14ac:dyDescent="0.2">
      <c r="A314" s="403">
        <v>240562</v>
      </c>
      <c r="B314" s="403" t="s">
        <v>2173</v>
      </c>
      <c r="C314" s="403" t="s">
        <v>2577</v>
      </c>
      <c r="D314" s="403" t="s">
        <v>2175</v>
      </c>
      <c r="E314" s="405">
        <v>9150</v>
      </c>
      <c r="F314" s="403" t="s">
        <v>2224</v>
      </c>
      <c r="G314" s="403" t="s">
        <v>2225</v>
      </c>
      <c r="H314" s="403">
        <v>384</v>
      </c>
      <c r="I314" s="403">
        <v>384.3</v>
      </c>
      <c r="J314" s="406">
        <f t="shared" si="4"/>
        <v>4.2000000000000003E-2</v>
      </c>
      <c r="K314" s="403">
        <v>1.1346000000000001</v>
      </c>
      <c r="L314" s="407">
        <v>142415784924</v>
      </c>
      <c r="M314" s="403" t="s">
        <v>2194</v>
      </c>
      <c r="N314" s="403" t="s">
        <v>2190</v>
      </c>
      <c r="O314" s="403">
        <v>85442090</v>
      </c>
    </row>
    <row r="315" spans="1:15" hidden="1" x14ac:dyDescent="0.2">
      <c r="A315" s="403">
        <v>240562</v>
      </c>
      <c r="B315" s="403" t="s">
        <v>2173</v>
      </c>
      <c r="C315" s="403" t="s">
        <v>2293</v>
      </c>
      <c r="D315" s="403" t="s">
        <v>2175</v>
      </c>
      <c r="E315" s="405">
        <v>9150</v>
      </c>
      <c r="F315" s="403" t="s">
        <v>2224</v>
      </c>
      <c r="G315" s="403" t="s">
        <v>2225</v>
      </c>
      <c r="H315" s="403">
        <v>384</v>
      </c>
      <c r="I315" s="403">
        <v>384.3</v>
      </c>
      <c r="J315" s="406">
        <f t="shared" si="4"/>
        <v>4.2000000000000003E-2</v>
      </c>
      <c r="K315" s="403">
        <v>1.1346000000000001</v>
      </c>
      <c r="L315" s="407">
        <v>142415888640</v>
      </c>
      <c r="M315" s="403" t="s">
        <v>2194</v>
      </c>
      <c r="N315" s="403" t="s">
        <v>2190</v>
      </c>
      <c r="O315" s="403">
        <v>85442090</v>
      </c>
    </row>
    <row r="316" spans="1:15" hidden="1" x14ac:dyDescent="0.2">
      <c r="A316" s="403">
        <v>240562</v>
      </c>
      <c r="B316" s="403" t="s">
        <v>2173</v>
      </c>
      <c r="C316" s="403" t="s">
        <v>2393</v>
      </c>
      <c r="D316" s="403" t="s">
        <v>2175</v>
      </c>
      <c r="E316" s="405">
        <v>3050</v>
      </c>
      <c r="F316" s="403" t="s">
        <v>2224</v>
      </c>
      <c r="G316" s="403" t="s">
        <v>2343</v>
      </c>
      <c r="H316" s="403">
        <v>128</v>
      </c>
      <c r="I316" s="403">
        <v>128.1</v>
      </c>
      <c r="J316" s="406">
        <f t="shared" si="4"/>
        <v>4.1999999999999996E-2</v>
      </c>
      <c r="K316" s="403">
        <v>0.37819999999999998</v>
      </c>
      <c r="L316" s="407">
        <v>142415888640</v>
      </c>
      <c r="M316" s="403" t="s">
        <v>2194</v>
      </c>
      <c r="N316" s="403" t="s">
        <v>2190</v>
      </c>
      <c r="O316" s="403">
        <v>85442090</v>
      </c>
    </row>
    <row r="317" spans="1:15" hidden="1" x14ac:dyDescent="0.2">
      <c r="A317" s="403">
        <v>240562</v>
      </c>
      <c r="B317" s="403" t="s">
        <v>2173</v>
      </c>
      <c r="C317" s="403" t="s">
        <v>2578</v>
      </c>
      <c r="D317" s="403" t="s">
        <v>2175</v>
      </c>
      <c r="E317" s="405">
        <v>9150</v>
      </c>
      <c r="F317" s="403" t="s">
        <v>2224</v>
      </c>
      <c r="G317" s="403" t="s">
        <v>2225</v>
      </c>
      <c r="H317" s="403">
        <v>384</v>
      </c>
      <c r="I317" s="403">
        <v>384.3</v>
      </c>
      <c r="J317" s="406">
        <f t="shared" si="4"/>
        <v>4.2000000000000003E-2</v>
      </c>
      <c r="K317" s="403">
        <v>1.1346000000000001</v>
      </c>
      <c r="L317" s="407">
        <v>142415888640</v>
      </c>
      <c r="M317" s="403" t="s">
        <v>2194</v>
      </c>
      <c r="N317" s="403" t="s">
        <v>2190</v>
      </c>
      <c r="O317" s="403">
        <v>85442090</v>
      </c>
    </row>
    <row r="318" spans="1:15" hidden="1" x14ac:dyDescent="0.2">
      <c r="A318" s="403">
        <v>240562</v>
      </c>
      <c r="B318" s="403" t="s">
        <v>2173</v>
      </c>
      <c r="C318" s="403" t="s">
        <v>2579</v>
      </c>
      <c r="D318" s="403" t="s">
        <v>2175</v>
      </c>
      <c r="E318" s="405">
        <v>9150</v>
      </c>
      <c r="F318" s="403" t="s">
        <v>2224</v>
      </c>
      <c r="G318" s="403" t="s">
        <v>2225</v>
      </c>
      <c r="H318" s="403">
        <v>384</v>
      </c>
      <c r="I318" s="403">
        <v>384.3</v>
      </c>
      <c r="J318" s="406">
        <f t="shared" si="4"/>
        <v>4.2000000000000003E-2</v>
      </c>
      <c r="K318" s="403">
        <v>1.1346000000000001</v>
      </c>
      <c r="L318" s="407">
        <v>142415888640</v>
      </c>
      <c r="M318" s="403" t="s">
        <v>2194</v>
      </c>
      <c r="N318" s="403" t="s">
        <v>2190</v>
      </c>
      <c r="O318" s="403">
        <v>85442090</v>
      </c>
    </row>
    <row r="319" spans="1:15" hidden="1" x14ac:dyDescent="0.2">
      <c r="A319" s="403">
        <v>240562</v>
      </c>
      <c r="B319" s="403" t="s">
        <v>2173</v>
      </c>
      <c r="C319" s="403" t="s">
        <v>2580</v>
      </c>
      <c r="D319" s="403" t="s">
        <v>2175</v>
      </c>
      <c r="E319" s="405">
        <v>9760</v>
      </c>
      <c r="F319" s="403" t="s">
        <v>2224</v>
      </c>
      <c r="G319" s="403" t="s">
        <v>2581</v>
      </c>
      <c r="H319" s="403">
        <v>410</v>
      </c>
      <c r="I319" s="403">
        <v>409.92</v>
      </c>
      <c r="J319" s="406">
        <f t="shared" si="4"/>
        <v>4.2000000000000003E-2</v>
      </c>
      <c r="K319" s="403">
        <v>1.21024</v>
      </c>
      <c r="L319" s="407">
        <v>142415888640</v>
      </c>
      <c r="M319" s="403" t="s">
        <v>2194</v>
      </c>
      <c r="N319" s="403" t="s">
        <v>2190</v>
      </c>
      <c r="O319" s="403">
        <v>85442090</v>
      </c>
    </row>
    <row r="320" spans="1:15" hidden="1" x14ac:dyDescent="0.2">
      <c r="A320" s="403">
        <v>240562</v>
      </c>
      <c r="B320" s="403" t="s">
        <v>2173</v>
      </c>
      <c r="C320" s="403" t="s">
        <v>2582</v>
      </c>
      <c r="D320" s="403" t="s">
        <v>2175</v>
      </c>
      <c r="E320" s="405">
        <v>9150</v>
      </c>
      <c r="F320" s="403" t="s">
        <v>2224</v>
      </c>
      <c r="G320" s="403" t="s">
        <v>2225</v>
      </c>
      <c r="H320" s="403">
        <v>384</v>
      </c>
      <c r="I320" s="403">
        <v>384.3</v>
      </c>
      <c r="J320" s="406">
        <f t="shared" si="4"/>
        <v>4.2000000000000003E-2</v>
      </c>
      <c r="K320" s="403">
        <v>1.1346000000000001</v>
      </c>
      <c r="L320" s="407">
        <v>142415784924</v>
      </c>
      <c r="M320" s="403" t="s">
        <v>2194</v>
      </c>
      <c r="N320" s="403" t="s">
        <v>2190</v>
      </c>
      <c r="O320" s="403">
        <v>85442090</v>
      </c>
    </row>
    <row r="321" spans="1:15" hidden="1" x14ac:dyDescent="0.2">
      <c r="A321" s="403">
        <v>240562</v>
      </c>
      <c r="B321" s="403" t="s">
        <v>2173</v>
      </c>
      <c r="C321" s="403" t="s">
        <v>2583</v>
      </c>
      <c r="D321" s="403" t="s">
        <v>2175</v>
      </c>
      <c r="E321" s="405">
        <v>9150</v>
      </c>
      <c r="F321" s="403" t="s">
        <v>2224</v>
      </c>
      <c r="G321" s="403" t="s">
        <v>2225</v>
      </c>
      <c r="H321" s="403">
        <v>384</v>
      </c>
      <c r="I321" s="403">
        <v>384.3</v>
      </c>
      <c r="J321" s="406">
        <f t="shared" si="4"/>
        <v>4.2000000000000003E-2</v>
      </c>
      <c r="K321" s="403">
        <v>1.1346000000000001</v>
      </c>
      <c r="L321" s="407">
        <v>142415784924</v>
      </c>
      <c r="M321" s="403" t="s">
        <v>2194</v>
      </c>
      <c r="N321" s="403" t="s">
        <v>2190</v>
      </c>
      <c r="O321" s="403">
        <v>85442090</v>
      </c>
    </row>
    <row r="322" spans="1:15" hidden="1" x14ac:dyDescent="0.2">
      <c r="A322" s="403">
        <v>240562</v>
      </c>
      <c r="B322" s="403" t="s">
        <v>2173</v>
      </c>
      <c r="C322" s="403" t="s">
        <v>2584</v>
      </c>
      <c r="D322" s="403" t="s">
        <v>2175</v>
      </c>
      <c r="E322" s="405">
        <v>9150</v>
      </c>
      <c r="F322" s="403" t="s">
        <v>2224</v>
      </c>
      <c r="G322" s="403" t="s">
        <v>2225</v>
      </c>
      <c r="H322" s="403">
        <v>384</v>
      </c>
      <c r="I322" s="403">
        <v>384.3</v>
      </c>
      <c r="J322" s="406">
        <f t="shared" ref="J322:J385" si="5">I322/E322</f>
        <v>4.2000000000000003E-2</v>
      </c>
      <c r="K322" s="403">
        <v>1.1346000000000001</v>
      </c>
      <c r="L322" s="407">
        <v>142415784924</v>
      </c>
      <c r="M322" s="403" t="s">
        <v>2194</v>
      </c>
      <c r="N322" s="403" t="s">
        <v>2190</v>
      </c>
      <c r="O322" s="403">
        <v>85442090</v>
      </c>
    </row>
    <row r="323" spans="1:15" hidden="1" x14ac:dyDescent="0.2">
      <c r="A323" s="403">
        <v>240640</v>
      </c>
      <c r="B323" s="403" t="s">
        <v>2173</v>
      </c>
      <c r="C323" s="403" t="s">
        <v>2252</v>
      </c>
      <c r="D323" s="403" t="s">
        <v>2186</v>
      </c>
      <c r="E323" s="405">
        <v>1356</v>
      </c>
      <c r="F323" s="403" t="s">
        <v>2233</v>
      </c>
      <c r="G323" s="403" t="s">
        <v>2585</v>
      </c>
      <c r="H323" s="403">
        <v>75</v>
      </c>
      <c r="I323" s="403">
        <v>74.58</v>
      </c>
      <c r="J323" s="406">
        <f t="shared" si="5"/>
        <v>5.5E-2</v>
      </c>
      <c r="K323" s="403">
        <v>0.27526800000000001</v>
      </c>
      <c r="L323" s="407">
        <v>142414956340</v>
      </c>
      <c r="M323" s="403" t="s">
        <v>2194</v>
      </c>
      <c r="N323" s="403" t="s">
        <v>2190</v>
      </c>
      <c r="O323" s="403">
        <v>39269099</v>
      </c>
    </row>
    <row r="324" spans="1:15" hidden="1" x14ac:dyDescent="0.2">
      <c r="A324" s="403">
        <v>187209</v>
      </c>
      <c r="B324" s="403" t="s">
        <v>2173</v>
      </c>
      <c r="C324" s="403" t="s">
        <v>2586</v>
      </c>
      <c r="D324" s="403" t="s">
        <v>2175</v>
      </c>
      <c r="E324" s="405">
        <v>6000</v>
      </c>
      <c r="F324" s="403" t="s">
        <v>2181</v>
      </c>
      <c r="G324" s="403" t="s">
        <v>2256</v>
      </c>
      <c r="H324" s="403">
        <v>666</v>
      </c>
      <c r="I324" s="403">
        <v>666</v>
      </c>
      <c r="J324" s="406">
        <f t="shared" si="5"/>
        <v>0.111</v>
      </c>
      <c r="K324" s="403">
        <v>1.752</v>
      </c>
      <c r="L324" s="407">
        <v>142415823269</v>
      </c>
      <c r="M324" s="403" t="s">
        <v>2178</v>
      </c>
      <c r="N324" s="403" t="s">
        <v>2190</v>
      </c>
      <c r="O324" s="403">
        <v>85444991</v>
      </c>
    </row>
    <row r="325" spans="1:15" hidden="1" x14ac:dyDescent="0.2">
      <c r="A325" s="403">
        <v>190112</v>
      </c>
      <c r="B325" s="403" t="s">
        <v>2173</v>
      </c>
      <c r="C325" s="403" t="s">
        <v>2587</v>
      </c>
      <c r="D325" s="403" t="s">
        <v>2175</v>
      </c>
      <c r="E325" s="405">
        <v>2000</v>
      </c>
      <c r="F325" s="403" t="s">
        <v>2184</v>
      </c>
      <c r="G325" s="403" t="s">
        <v>2258</v>
      </c>
      <c r="H325" s="403">
        <v>154</v>
      </c>
      <c r="I325" s="403">
        <v>154</v>
      </c>
      <c r="J325" s="406">
        <f t="shared" si="5"/>
        <v>7.6999999999999999E-2</v>
      </c>
      <c r="K325" s="403">
        <v>0.44800000000000001</v>
      </c>
      <c r="L325" s="407">
        <v>142415783151</v>
      </c>
      <c r="M325" s="403" t="s">
        <v>2178</v>
      </c>
      <c r="N325" s="403" t="s">
        <v>2190</v>
      </c>
      <c r="O325" s="403">
        <v>85447000</v>
      </c>
    </row>
    <row r="326" spans="1:15" hidden="1" x14ac:dyDescent="0.2">
      <c r="A326" s="403">
        <v>190112</v>
      </c>
      <c r="B326" s="403" t="s">
        <v>2173</v>
      </c>
      <c r="C326" s="403" t="s">
        <v>2588</v>
      </c>
      <c r="D326" s="403" t="s">
        <v>2175</v>
      </c>
      <c r="E326" s="405">
        <v>2000</v>
      </c>
      <c r="F326" s="403" t="s">
        <v>2184</v>
      </c>
      <c r="G326" s="403" t="s">
        <v>2258</v>
      </c>
      <c r="H326" s="403">
        <v>154</v>
      </c>
      <c r="I326" s="403">
        <v>154</v>
      </c>
      <c r="J326" s="406">
        <f t="shared" si="5"/>
        <v>7.6999999999999999E-2</v>
      </c>
      <c r="K326" s="403">
        <v>0.44800000000000001</v>
      </c>
      <c r="L326" s="407">
        <v>142415888640</v>
      </c>
      <c r="M326" s="403" t="s">
        <v>2178</v>
      </c>
      <c r="N326" s="403" t="s">
        <v>2190</v>
      </c>
      <c r="O326" s="403">
        <v>85447000</v>
      </c>
    </row>
    <row r="327" spans="1:15" hidden="1" x14ac:dyDescent="0.2">
      <c r="A327" s="403">
        <v>231002</v>
      </c>
      <c r="B327" s="403" t="s">
        <v>2173</v>
      </c>
      <c r="C327" s="403" t="s">
        <v>2589</v>
      </c>
      <c r="D327" s="403" t="s">
        <v>2175</v>
      </c>
      <c r="E327" s="405">
        <v>39000</v>
      </c>
      <c r="F327" s="403" t="s">
        <v>2184</v>
      </c>
      <c r="G327" s="403" t="s">
        <v>2590</v>
      </c>
      <c r="H327" s="403">
        <v>385</v>
      </c>
      <c r="I327" s="403">
        <v>384.93</v>
      </c>
      <c r="J327" s="406">
        <f t="shared" si="5"/>
        <v>9.8700000000000003E-3</v>
      </c>
      <c r="K327" s="403">
        <v>1.482</v>
      </c>
      <c r="L327" s="407">
        <v>142415888640</v>
      </c>
      <c r="M327" s="403" t="s">
        <v>2194</v>
      </c>
      <c r="N327" s="403" t="s">
        <v>2190</v>
      </c>
      <c r="O327" s="403">
        <v>85444910</v>
      </c>
    </row>
    <row r="328" spans="1:15" hidden="1" x14ac:dyDescent="0.2">
      <c r="A328" s="403">
        <v>148780</v>
      </c>
      <c r="B328" s="403" t="s">
        <v>2173</v>
      </c>
      <c r="C328" s="403" t="s">
        <v>2591</v>
      </c>
      <c r="D328" s="403" t="s">
        <v>2175</v>
      </c>
      <c r="E328" s="403">
        <v>999</v>
      </c>
      <c r="F328" s="403" t="s">
        <v>2184</v>
      </c>
      <c r="G328" s="403" t="s">
        <v>2236</v>
      </c>
      <c r="H328" s="403">
        <v>526</v>
      </c>
      <c r="I328" s="403">
        <v>526.47299999999996</v>
      </c>
      <c r="J328" s="406">
        <f t="shared" si="5"/>
        <v>0.52699999999999991</v>
      </c>
      <c r="K328" s="403">
        <v>1.0789200000000001</v>
      </c>
      <c r="L328" s="407" t="s">
        <v>2278</v>
      </c>
      <c r="M328" s="403" t="s">
        <v>2178</v>
      </c>
      <c r="N328" s="403" t="s">
        <v>2190</v>
      </c>
      <c r="O328" s="403">
        <v>85442090</v>
      </c>
    </row>
    <row r="329" spans="1:15" hidden="1" x14ac:dyDescent="0.2">
      <c r="A329" s="403">
        <v>148780</v>
      </c>
      <c r="B329" s="403" t="s">
        <v>2173</v>
      </c>
      <c r="C329" s="403" t="s">
        <v>2592</v>
      </c>
      <c r="D329" s="403" t="s">
        <v>2175</v>
      </c>
      <c r="E329" s="405">
        <v>1000</v>
      </c>
      <c r="F329" s="403" t="s">
        <v>2184</v>
      </c>
      <c r="G329" s="403" t="s">
        <v>2177</v>
      </c>
      <c r="H329" s="403">
        <v>527</v>
      </c>
      <c r="I329" s="403">
        <v>527</v>
      </c>
      <c r="J329" s="406">
        <f t="shared" si="5"/>
        <v>0.52700000000000002</v>
      </c>
      <c r="K329" s="403">
        <v>1.08</v>
      </c>
      <c r="L329" s="407" t="s">
        <v>2278</v>
      </c>
      <c r="M329" s="403" t="s">
        <v>2178</v>
      </c>
      <c r="N329" s="403" t="s">
        <v>2190</v>
      </c>
      <c r="O329" s="403">
        <v>85442090</v>
      </c>
    </row>
    <row r="330" spans="1:15" hidden="1" x14ac:dyDescent="0.2">
      <c r="A330" s="403">
        <v>148780</v>
      </c>
      <c r="B330" s="403" t="s">
        <v>2173</v>
      </c>
      <c r="C330" s="403" t="s">
        <v>2593</v>
      </c>
      <c r="D330" s="403" t="s">
        <v>2175</v>
      </c>
      <c r="E330" s="405">
        <v>1000</v>
      </c>
      <c r="F330" s="403" t="s">
        <v>2184</v>
      </c>
      <c r="G330" s="403" t="s">
        <v>2177</v>
      </c>
      <c r="H330" s="403">
        <v>527</v>
      </c>
      <c r="I330" s="403">
        <v>527</v>
      </c>
      <c r="J330" s="406">
        <f t="shared" si="5"/>
        <v>0.52700000000000002</v>
      </c>
      <c r="K330" s="403">
        <v>1.08</v>
      </c>
      <c r="L330" s="407" t="s">
        <v>2278</v>
      </c>
      <c r="M330" s="403" t="s">
        <v>2178</v>
      </c>
      <c r="N330" s="403" t="s">
        <v>2190</v>
      </c>
      <c r="O330" s="403">
        <v>85442090</v>
      </c>
    </row>
    <row r="331" spans="1:15" hidden="1" x14ac:dyDescent="0.2">
      <c r="A331" s="403">
        <v>191923</v>
      </c>
      <c r="B331" s="403" t="s">
        <v>2173</v>
      </c>
      <c r="C331" s="403" t="s">
        <v>2270</v>
      </c>
      <c r="D331" s="403" t="s">
        <v>2175</v>
      </c>
      <c r="E331" s="405">
        <v>1000</v>
      </c>
      <c r="F331" s="403" t="s">
        <v>2181</v>
      </c>
      <c r="G331" s="403" t="s">
        <v>2258</v>
      </c>
      <c r="H331" s="403">
        <v>164</v>
      </c>
      <c r="I331" s="403">
        <v>163.6</v>
      </c>
      <c r="J331" s="406">
        <f t="shared" si="5"/>
        <v>0.1636</v>
      </c>
      <c r="K331" s="403">
        <v>0.55300000000000005</v>
      </c>
      <c r="L331" s="407">
        <v>142415716318</v>
      </c>
      <c r="M331" s="403" t="s">
        <v>2178</v>
      </c>
      <c r="N331" s="403" t="s">
        <v>2190</v>
      </c>
      <c r="O331" s="403">
        <v>85444991</v>
      </c>
    </row>
    <row r="332" spans="1:15" hidden="1" x14ac:dyDescent="0.2">
      <c r="A332" s="403">
        <v>433342</v>
      </c>
      <c r="B332" s="403" t="s">
        <v>2173</v>
      </c>
      <c r="C332" s="403" t="s">
        <v>2271</v>
      </c>
      <c r="D332" s="403" t="s">
        <v>2186</v>
      </c>
      <c r="E332" s="403">
        <v>50</v>
      </c>
      <c r="F332" s="403" t="s">
        <v>2332</v>
      </c>
      <c r="G332" s="403" t="s">
        <v>2273</v>
      </c>
      <c r="H332" s="403">
        <v>3</v>
      </c>
      <c r="I332" s="403">
        <v>3.5</v>
      </c>
      <c r="J332" s="406">
        <f t="shared" si="5"/>
        <v>7.0000000000000007E-2</v>
      </c>
      <c r="K332" s="403">
        <v>3.1699999999999999E-2</v>
      </c>
      <c r="L332" s="407">
        <v>3020430800317</v>
      </c>
      <c r="M332" s="403" t="s">
        <v>2194</v>
      </c>
      <c r="O332" s="403">
        <v>85447000</v>
      </c>
    </row>
    <row r="333" spans="1:15" hidden="1" x14ac:dyDescent="0.2">
      <c r="A333" s="403">
        <v>192360</v>
      </c>
      <c r="B333" s="403" t="s">
        <v>2173</v>
      </c>
      <c r="C333" s="403" t="s">
        <v>2594</v>
      </c>
      <c r="D333" s="403" t="s">
        <v>2175</v>
      </c>
      <c r="E333" s="405">
        <v>1000</v>
      </c>
      <c r="F333" s="403" t="s">
        <v>2184</v>
      </c>
      <c r="G333" s="403" t="s">
        <v>2177</v>
      </c>
      <c r="H333" s="403">
        <v>589</v>
      </c>
      <c r="I333" s="403">
        <v>589</v>
      </c>
      <c r="J333" s="406">
        <f t="shared" si="5"/>
        <v>0.58899999999999997</v>
      </c>
      <c r="K333" s="403">
        <v>1.4</v>
      </c>
      <c r="L333" s="407">
        <v>142415591190</v>
      </c>
      <c r="M333" s="403" t="s">
        <v>2178</v>
      </c>
      <c r="N333" s="403" t="s">
        <v>2190</v>
      </c>
      <c r="O333" s="403">
        <v>85444999</v>
      </c>
    </row>
    <row r="334" spans="1:15" hidden="1" x14ac:dyDescent="0.2">
      <c r="A334" s="403">
        <v>470521</v>
      </c>
      <c r="B334" s="403" t="s">
        <v>2173</v>
      </c>
      <c r="C334" s="403" t="s">
        <v>2279</v>
      </c>
      <c r="D334" s="403" t="s">
        <v>2186</v>
      </c>
      <c r="E334" s="403">
        <v>1</v>
      </c>
      <c r="F334" s="403" t="s">
        <v>2280</v>
      </c>
      <c r="G334" s="403" t="s">
        <v>2219</v>
      </c>
      <c r="H334" s="403">
        <v>2</v>
      </c>
      <c r="I334" s="403">
        <v>2</v>
      </c>
      <c r="J334" s="406">
        <f t="shared" si="5"/>
        <v>2</v>
      </c>
      <c r="K334" s="403">
        <v>1.0699999999999999E-2</v>
      </c>
      <c r="L334" s="407">
        <v>3020431584617</v>
      </c>
      <c r="M334" s="403" t="s">
        <v>2194</v>
      </c>
      <c r="O334" s="403">
        <v>85367000</v>
      </c>
    </row>
    <row r="335" spans="1:15" hidden="1" x14ac:dyDescent="0.2">
      <c r="A335" s="403">
        <v>4000610</v>
      </c>
      <c r="B335" s="403" t="s">
        <v>2173</v>
      </c>
      <c r="C335" s="403" t="s">
        <v>2595</v>
      </c>
      <c r="D335" s="403" t="s">
        <v>2206</v>
      </c>
      <c r="E335" s="403">
        <v>2</v>
      </c>
      <c r="F335" s="403" t="s">
        <v>2207</v>
      </c>
      <c r="G335" s="403" t="s">
        <v>2337</v>
      </c>
      <c r="H335" s="403">
        <v>276</v>
      </c>
      <c r="I335" s="403">
        <v>276</v>
      </c>
      <c r="J335" s="406">
        <f t="shared" si="5"/>
        <v>138</v>
      </c>
      <c r="K335" s="403">
        <v>3.4626960000000002</v>
      </c>
      <c r="L335" s="407">
        <v>142415880145</v>
      </c>
      <c r="M335" s="403" t="s">
        <v>2194</v>
      </c>
      <c r="N335" s="403" t="s">
        <v>2190</v>
      </c>
      <c r="O335" s="403">
        <v>85371000</v>
      </c>
    </row>
    <row r="336" spans="1:15" hidden="1" x14ac:dyDescent="0.2">
      <c r="A336" s="403">
        <v>4000612</v>
      </c>
      <c r="B336" s="403" t="s">
        <v>2173</v>
      </c>
      <c r="C336" s="403" t="s">
        <v>2596</v>
      </c>
      <c r="D336" s="403" t="s">
        <v>2206</v>
      </c>
      <c r="E336" s="403">
        <v>1</v>
      </c>
      <c r="F336" s="403" t="s">
        <v>2207</v>
      </c>
      <c r="G336" s="403" t="s">
        <v>2208</v>
      </c>
      <c r="H336" s="403">
        <v>115</v>
      </c>
      <c r="I336" s="403">
        <v>115</v>
      </c>
      <c r="J336" s="406">
        <f t="shared" si="5"/>
        <v>115</v>
      </c>
      <c r="K336" s="403">
        <v>1.3171409999999999</v>
      </c>
      <c r="L336" s="407">
        <v>142414982337</v>
      </c>
      <c r="M336" s="403" t="s">
        <v>2194</v>
      </c>
      <c r="N336" s="403" t="s">
        <v>2190</v>
      </c>
      <c r="O336" s="403">
        <v>85177000</v>
      </c>
    </row>
    <row r="337" spans="1:15" hidden="1" x14ac:dyDescent="0.2">
      <c r="A337" s="403">
        <v>418071</v>
      </c>
      <c r="B337" s="403" t="s">
        <v>2173</v>
      </c>
      <c r="C337" s="403" t="s">
        <v>2597</v>
      </c>
      <c r="D337" s="403" t="s">
        <v>2186</v>
      </c>
      <c r="E337" s="405">
        <v>2800</v>
      </c>
      <c r="F337" s="403" t="s">
        <v>2285</v>
      </c>
      <c r="G337" s="403" t="s">
        <v>2598</v>
      </c>
      <c r="H337" s="403">
        <v>59</v>
      </c>
      <c r="I337" s="403">
        <v>58.8</v>
      </c>
      <c r="J337" s="406">
        <f t="shared" si="5"/>
        <v>2.0999999999999998E-2</v>
      </c>
      <c r="K337" s="403">
        <v>0.65800000000000003</v>
      </c>
      <c r="L337" s="407">
        <v>142415941461</v>
      </c>
      <c r="M337" s="403" t="s">
        <v>2286</v>
      </c>
      <c r="O337" s="403">
        <v>85369010</v>
      </c>
    </row>
    <row r="338" spans="1:15" hidden="1" x14ac:dyDescent="0.2">
      <c r="A338" s="403">
        <v>418061</v>
      </c>
      <c r="B338" s="403" t="s">
        <v>2173</v>
      </c>
      <c r="C338" s="403" t="s">
        <v>2464</v>
      </c>
      <c r="D338" s="403" t="s">
        <v>2186</v>
      </c>
      <c r="E338" s="405">
        <v>1400</v>
      </c>
      <c r="F338" s="403" t="s">
        <v>2285</v>
      </c>
      <c r="G338" s="403" t="s">
        <v>2599</v>
      </c>
      <c r="H338" s="403">
        <v>53</v>
      </c>
      <c r="I338" s="403">
        <v>52.5</v>
      </c>
      <c r="J338" s="406">
        <f t="shared" si="5"/>
        <v>3.7499999999999999E-2</v>
      </c>
      <c r="K338" s="403">
        <v>0.3276</v>
      </c>
      <c r="L338" s="407">
        <v>142415941461</v>
      </c>
      <c r="M338" s="403" t="s">
        <v>2286</v>
      </c>
      <c r="O338" s="403">
        <v>85369010</v>
      </c>
    </row>
    <row r="339" spans="1:15" hidden="1" x14ac:dyDescent="0.2">
      <c r="A339" s="403">
        <v>4000099</v>
      </c>
      <c r="B339" s="403" t="s">
        <v>2173</v>
      </c>
      <c r="C339" s="403" t="s">
        <v>2600</v>
      </c>
      <c r="D339" s="403" t="s">
        <v>2186</v>
      </c>
      <c r="E339" s="403">
        <v>30</v>
      </c>
      <c r="F339" s="403" t="s">
        <v>2290</v>
      </c>
      <c r="G339" s="403" t="s">
        <v>2351</v>
      </c>
      <c r="H339" s="403">
        <v>33</v>
      </c>
      <c r="I339" s="403">
        <v>33</v>
      </c>
      <c r="J339" s="406">
        <f t="shared" si="5"/>
        <v>1.1000000000000001</v>
      </c>
      <c r="K339" s="403">
        <v>0.20580000000000001</v>
      </c>
      <c r="L339" s="407">
        <v>142415941461</v>
      </c>
      <c r="M339" s="403" t="s">
        <v>2286</v>
      </c>
      <c r="O339" s="403">
        <v>85369010</v>
      </c>
    </row>
    <row r="340" spans="1:15" hidden="1" x14ac:dyDescent="0.2">
      <c r="A340" s="403">
        <v>191755</v>
      </c>
      <c r="B340" s="403" t="s">
        <v>2173</v>
      </c>
      <c r="C340" s="403" t="s">
        <v>2348</v>
      </c>
      <c r="D340" s="403" t="s">
        <v>2175</v>
      </c>
      <c r="E340" s="405">
        <v>2000</v>
      </c>
      <c r="F340" s="403" t="s">
        <v>2184</v>
      </c>
      <c r="G340" s="403" t="s">
        <v>2258</v>
      </c>
      <c r="H340" s="403">
        <v>192</v>
      </c>
      <c r="I340" s="403">
        <v>192</v>
      </c>
      <c r="J340" s="406">
        <f t="shared" si="5"/>
        <v>9.6000000000000002E-2</v>
      </c>
      <c r="K340" s="403">
        <v>0.96</v>
      </c>
      <c r="L340" s="407">
        <v>142415956116</v>
      </c>
      <c r="M340" s="403" t="s">
        <v>2178</v>
      </c>
      <c r="O340" s="403">
        <v>85447000</v>
      </c>
    </row>
    <row r="341" spans="1:15" hidden="1" x14ac:dyDescent="0.2">
      <c r="A341" s="403">
        <v>191755</v>
      </c>
      <c r="B341" s="403" t="s">
        <v>2173</v>
      </c>
      <c r="C341" s="403" t="s">
        <v>2601</v>
      </c>
      <c r="D341" s="403" t="s">
        <v>2175</v>
      </c>
      <c r="E341" s="405">
        <v>2000</v>
      </c>
      <c r="F341" s="403" t="s">
        <v>2184</v>
      </c>
      <c r="G341" s="403" t="s">
        <v>2258</v>
      </c>
      <c r="H341" s="403">
        <v>192</v>
      </c>
      <c r="I341" s="403">
        <v>192</v>
      </c>
      <c r="J341" s="406">
        <f t="shared" si="5"/>
        <v>9.6000000000000002E-2</v>
      </c>
      <c r="K341" s="403">
        <v>0.96</v>
      </c>
      <c r="L341" s="407">
        <v>142415956116</v>
      </c>
      <c r="M341" s="403" t="s">
        <v>2178</v>
      </c>
      <c r="O341" s="403">
        <v>85447000</v>
      </c>
    </row>
    <row r="342" spans="1:15" hidden="1" x14ac:dyDescent="0.2">
      <c r="A342" s="403" t="s">
        <v>2602</v>
      </c>
      <c r="B342" s="403" t="s">
        <v>2173</v>
      </c>
      <c r="C342" s="403" t="s">
        <v>2293</v>
      </c>
      <c r="D342" s="403" t="s">
        <v>2175</v>
      </c>
      <c r="E342" s="403">
        <v>20</v>
      </c>
      <c r="F342" s="403" t="s">
        <v>2294</v>
      </c>
      <c r="G342" s="403" t="s">
        <v>2219</v>
      </c>
      <c r="H342" s="403">
        <v>3</v>
      </c>
      <c r="I342" s="403">
        <v>2.883</v>
      </c>
      <c r="J342" s="406">
        <f t="shared" si="5"/>
        <v>0.14415</v>
      </c>
      <c r="K342" s="403">
        <v>1.3780000000000001E-2</v>
      </c>
      <c r="L342" s="407">
        <v>142415956116</v>
      </c>
      <c r="M342" s="403" t="s">
        <v>2178</v>
      </c>
      <c r="N342" s="403" t="s">
        <v>2295</v>
      </c>
      <c r="O342" s="403">
        <v>85447000</v>
      </c>
    </row>
    <row r="343" spans="1:15" hidden="1" x14ac:dyDescent="0.2">
      <c r="A343" s="403">
        <v>4000699</v>
      </c>
      <c r="B343" s="403" t="s">
        <v>2173</v>
      </c>
      <c r="C343" s="403" t="s">
        <v>2603</v>
      </c>
      <c r="D343" s="403" t="s">
        <v>2186</v>
      </c>
      <c r="E343" s="403">
        <v>553</v>
      </c>
      <c r="F343" s="403" t="s">
        <v>2604</v>
      </c>
      <c r="G343" s="403" t="s">
        <v>2605</v>
      </c>
      <c r="H343" s="403">
        <v>398</v>
      </c>
      <c r="I343" s="403">
        <v>398.16</v>
      </c>
      <c r="J343" s="406">
        <f t="shared" si="5"/>
        <v>0.72000000000000008</v>
      </c>
      <c r="K343" s="403">
        <v>1.232084</v>
      </c>
      <c r="L343" s="407">
        <v>142415839792</v>
      </c>
      <c r="M343" s="403" t="s">
        <v>2194</v>
      </c>
      <c r="N343" s="403" t="s">
        <v>2190</v>
      </c>
      <c r="O343" s="403">
        <v>85369010</v>
      </c>
    </row>
    <row r="344" spans="1:15" hidden="1" x14ac:dyDescent="0.2">
      <c r="A344" s="403">
        <v>309021</v>
      </c>
      <c r="B344" s="403" t="s">
        <v>2173</v>
      </c>
      <c r="C344" s="403" t="s">
        <v>2475</v>
      </c>
      <c r="D344" s="403" t="s">
        <v>2186</v>
      </c>
      <c r="E344" s="403">
        <v>741</v>
      </c>
      <c r="F344" s="403" t="s">
        <v>2312</v>
      </c>
      <c r="G344" s="403" t="s">
        <v>2606</v>
      </c>
      <c r="H344" s="403">
        <v>40</v>
      </c>
      <c r="I344" s="403">
        <v>45.274999999999999</v>
      </c>
      <c r="J344" s="406">
        <f t="shared" si="5"/>
        <v>6.1099865047233463E-2</v>
      </c>
      <c r="K344" s="403">
        <v>0.17043</v>
      </c>
      <c r="L344" s="407">
        <v>142415921486</v>
      </c>
      <c r="M344" s="403" t="s">
        <v>2194</v>
      </c>
      <c r="O344" s="403">
        <v>85444921</v>
      </c>
    </row>
    <row r="345" spans="1:15" hidden="1" x14ac:dyDescent="0.2">
      <c r="A345" s="403">
        <v>309321</v>
      </c>
      <c r="B345" s="403" t="s">
        <v>2173</v>
      </c>
      <c r="C345" s="403" t="s">
        <v>2546</v>
      </c>
      <c r="D345" s="403" t="s">
        <v>2186</v>
      </c>
      <c r="E345" s="403">
        <v>450</v>
      </c>
      <c r="F345" s="403" t="s">
        <v>2312</v>
      </c>
      <c r="G345" s="403" t="s">
        <v>2351</v>
      </c>
      <c r="H345" s="403">
        <v>24</v>
      </c>
      <c r="I345" s="403">
        <v>26.37</v>
      </c>
      <c r="J345" s="406">
        <f t="shared" si="5"/>
        <v>5.8599999999999999E-2</v>
      </c>
      <c r="K345" s="403">
        <v>0.1323</v>
      </c>
      <c r="L345" s="407">
        <v>142415921486</v>
      </c>
      <c r="M345" s="403" t="s">
        <v>2194</v>
      </c>
      <c r="O345" s="403">
        <v>85444921</v>
      </c>
    </row>
    <row r="346" spans="1:15" x14ac:dyDescent="0.2">
      <c r="A346" s="403">
        <v>191454</v>
      </c>
      <c r="B346" s="403" t="s">
        <v>2173</v>
      </c>
      <c r="C346" s="403" t="s">
        <v>2607</v>
      </c>
      <c r="D346" s="403" t="s">
        <v>2175</v>
      </c>
      <c r="E346" s="405">
        <v>12000</v>
      </c>
      <c r="F346" s="403" t="s">
        <v>2181</v>
      </c>
      <c r="G346" s="403" t="s">
        <v>2212</v>
      </c>
      <c r="H346" s="403">
        <v>648</v>
      </c>
      <c r="I346" s="403">
        <v>648</v>
      </c>
      <c r="J346" s="406">
        <f t="shared" si="5"/>
        <v>5.3999999999999999E-2</v>
      </c>
      <c r="K346" s="403">
        <v>1.764</v>
      </c>
      <c r="L346" s="407">
        <v>142415920914</v>
      </c>
      <c r="M346" s="403" t="s">
        <v>2178</v>
      </c>
      <c r="O346" s="403">
        <v>85444921</v>
      </c>
    </row>
    <row r="347" spans="1:15" hidden="1" x14ac:dyDescent="0.2">
      <c r="A347" s="403">
        <v>186459</v>
      </c>
      <c r="B347" s="403" t="s">
        <v>2173</v>
      </c>
      <c r="C347" s="403" t="s">
        <v>2608</v>
      </c>
      <c r="D347" s="403" t="s">
        <v>2175</v>
      </c>
      <c r="E347" s="405">
        <v>2000</v>
      </c>
      <c r="F347" s="403" t="s">
        <v>2176</v>
      </c>
      <c r="G347" s="403" t="s">
        <v>2177</v>
      </c>
      <c r="H347" s="403">
        <v>195</v>
      </c>
      <c r="I347" s="403">
        <v>195</v>
      </c>
      <c r="J347" s="406">
        <f t="shared" si="5"/>
        <v>9.7500000000000003E-2</v>
      </c>
      <c r="K347" s="403">
        <v>1.0940000000000001</v>
      </c>
      <c r="L347" s="407" t="s">
        <v>2278</v>
      </c>
      <c r="N347" s="403" t="s">
        <v>2190</v>
      </c>
      <c r="O347" s="403">
        <v>85447000</v>
      </c>
    </row>
    <row r="348" spans="1:15" hidden="1" x14ac:dyDescent="0.2">
      <c r="A348" s="403">
        <v>651560</v>
      </c>
      <c r="B348" s="403" t="s">
        <v>2173</v>
      </c>
      <c r="C348" s="403" t="s">
        <v>2220</v>
      </c>
      <c r="D348" s="403" t="s">
        <v>2186</v>
      </c>
      <c r="E348" s="403">
        <v>2</v>
      </c>
      <c r="F348" s="403" t="s">
        <v>2221</v>
      </c>
      <c r="G348" s="403" t="s">
        <v>2219</v>
      </c>
      <c r="H348" s="403">
        <v>0</v>
      </c>
      <c r="I348" s="403">
        <v>0.3</v>
      </c>
      <c r="J348" s="406">
        <f t="shared" si="5"/>
        <v>0.15</v>
      </c>
      <c r="K348" s="403">
        <v>5.5199999999999997E-3</v>
      </c>
      <c r="L348" s="407">
        <v>142415723628</v>
      </c>
      <c r="N348" s="403" t="s">
        <v>2190</v>
      </c>
      <c r="O348" s="403">
        <v>85444210</v>
      </c>
    </row>
    <row r="349" spans="1:15" hidden="1" x14ac:dyDescent="0.2">
      <c r="A349" s="403">
        <v>651612</v>
      </c>
      <c r="B349" s="403" t="s">
        <v>2173</v>
      </c>
      <c r="C349" s="403" t="s">
        <v>2220</v>
      </c>
      <c r="D349" s="403" t="s">
        <v>2186</v>
      </c>
      <c r="E349" s="403">
        <v>1</v>
      </c>
      <c r="F349" s="403" t="s">
        <v>2280</v>
      </c>
      <c r="G349" s="403" t="s">
        <v>2219</v>
      </c>
      <c r="H349" s="403">
        <v>0</v>
      </c>
      <c r="I349" s="403">
        <v>0.13</v>
      </c>
      <c r="J349" s="406">
        <f t="shared" si="5"/>
        <v>0.13</v>
      </c>
      <c r="K349" s="403">
        <v>1.1999999999999999E-3</v>
      </c>
      <c r="L349" s="407">
        <v>142114077954</v>
      </c>
      <c r="M349" s="403" t="s">
        <v>2204</v>
      </c>
      <c r="N349" s="403" t="s">
        <v>2190</v>
      </c>
      <c r="O349" s="403">
        <v>85444210</v>
      </c>
    </row>
    <row r="350" spans="1:15" hidden="1" x14ac:dyDescent="0.2">
      <c r="A350" s="403">
        <v>240642</v>
      </c>
      <c r="B350" s="403" t="s">
        <v>2173</v>
      </c>
      <c r="C350" s="403" t="s">
        <v>2561</v>
      </c>
      <c r="D350" s="403" t="s">
        <v>2186</v>
      </c>
      <c r="E350" s="405">
        <v>2000</v>
      </c>
      <c r="F350" s="403" t="s">
        <v>2199</v>
      </c>
      <c r="G350" s="403" t="s">
        <v>2343</v>
      </c>
      <c r="H350" s="403">
        <v>136</v>
      </c>
      <c r="I350" s="403">
        <v>136</v>
      </c>
      <c r="J350" s="406">
        <f t="shared" si="5"/>
        <v>6.8000000000000005E-2</v>
      </c>
      <c r="K350" s="403">
        <v>1.05</v>
      </c>
      <c r="L350" s="407">
        <v>142415888640</v>
      </c>
      <c r="M350" s="403" t="s">
        <v>2194</v>
      </c>
      <c r="N350" s="403" t="s">
        <v>2190</v>
      </c>
      <c r="O350" s="403">
        <v>39269099</v>
      </c>
    </row>
    <row r="351" spans="1:15" hidden="1" x14ac:dyDescent="0.2">
      <c r="A351" s="403">
        <v>188512</v>
      </c>
      <c r="B351" s="403" t="s">
        <v>2173</v>
      </c>
      <c r="C351" s="403" t="s">
        <v>2317</v>
      </c>
      <c r="D351" s="403" t="s">
        <v>2175</v>
      </c>
      <c r="E351" s="403">
        <v>1</v>
      </c>
      <c r="F351" s="403" t="s">
        <v>2318</v>
      </c>
      <c r="G351" s="403" t="s">
        <v>2177</v>
      </c>
      <c r="H351" s="403">
        <v>1</v>
      </c>
      <c r="I351" s="403">
        <v>1</v>
      </c>
      <c r="J351" s="406">
        <f t="shared" si="5"/>
        <v>1</v>
      </c>
      <c r="K351" s="403">
        <v>0.1</v>
      </c>
      <c r="L351" s="407">
        <v>191500414668</v>
      </c>
      <c r="M351" s="403" t="s">
        <v>2178</v>
      </c>
      <c r="N351" s="403" t="s">
        <v>2190</v>
      </c>
      <c r="O351" s="403">
        <v>85444910</v>
      </c>
    </row>
    <row r="352" spans="1:15" hidden="1" x14ac:dyDescent="0.2">
      <c r="A352" s="403">
        <v>190071</v>
      </c>
      <c r="B352" s="403" t="s">
        <v>2173</v>
      </c>
      <c r="C352" s="403" t="s">
        <v>2609</v>
      </c>
      <c r="D352" s="403" t="s">
        <v>2175</v>
      </c>
      <c r="E352" s="405">
        <v>1000</v>
      </c>
      <c r="F352" s="403" t="s">
        <v>2184</v>
      </c>
      <c r="G352" s="403" t="s">
        <v>2177</v>
      </c>
      <c r="H352" s="403">
        <v>119</v>
      </c>
      <c r="I352" s="403">
        <v>119.414</v>
      </c>
      <c r="J352" s="406">
        <f t="shared" si="5"/>
        <v>0.11941400000000001</v>
      </c>
      <c r="K352" s="403">
        <v>0.54700000000000004</v>
      </c>
      <c r="L352" s="407">
        <v>142415888640</v>
      </c>
      <c r="M352" s="403" t="s">
        <v>2178</v>
      </c>
      <c r="N352" s="403" t="s">
        <v>2190</v>
      </c>
      <c r="O352" s="403">
        <v>85447000</v>
      </c>
    </row>
    <row r="353" spans="1:15" hidden="1" x14ac:dyDescent="0.2">
      <c r="A353" s="403">
        <v>4000611</v>
      </c>
      <c r="B353" s="403" t="s">
        <v>2173</v>
      </c>
      <c r="C353" s="403" t="s">
        <v>2610</v>
      </c>
      <c r="D353" s="403" t="s">
        <v>2206</v>
      </c>
      <c r="E353" s="403">
        <v>2</v>
      </c>
      <c r="F353" s="403" t="s">
        <v>2207</v>
      </c>
      <c r="G353" s="403" t="s">
        <v>2337</v>
      </c>
      <c r="H353" s="403">
        <v>260</v>
      </c>
      <c r="I353" s="403">
        <v>260</v>
      </c>
      <c r="J353" s="406">
        <f t="shared" si="5"/>
        <v>130</v>
      </c>
      <c r="K353" s="403">
        <v>2.8520460000000001</v>
      </c>
      <c r="L353" s="407">
        <v>142415880145</v>
      </c>
      <c r="M353" s="403" t="s">
        <v>2194</v>
      </c>
      <c r="N353" s="403" t="s">
        <v>2190</v>
      </c>
      <c r="O353" s="403">
        <v>85371000</v>
      </c>
    </row>
    <row r="354" spans="1:15" hidden="1" x14ac:dyDescent="0.2">
      <c r="A354" s="403">
        <v>190204</v>
      </c>
      <c r="B354" s="403" t="s">
        <v>2173</v>
      </c>
      <c r="C354" s="403" t="s">
        <v>2611</v>
      </c>
      <c r="D354" s="403" t="s">
        <v>2175</v>
      </c>
      <c r="E354" s="405">
        <v>2000</v>
      </c>
      <c r="F354" s="403" t="s">
        <v>2184</v>
      </c>
      <c r="G354" s="403" t="s">
        <v>2258</v>
      </c>
      <c r="H354" s="403">
        <v>179</v>
      </c>
      <c r="I354" s="403">
        <v>179.02799999999999</v>
      </c>
      <c r="J354" s="406">
        <f t="shared" si="5"/>
        <v>8.9513999999999996E-2</v>
      </c>
      <c r="K354" s="403">
        <v>1.0940000000000001</v>
      </c>
      <c r="L354" s="407">
        <v>142415938312</v>
      </c>
      <c r="M354" s="403" t="s">
        <v>2178</v>
      </c>
      <c r="O354" s="403">
        <v>85447000</v>
      </c>
    </row>
    <row r="355" spans="1:15" hidden="1" x14ac:dyDescent="0.2">
      <c r="A355" s="403">
        <v>190355</v>
      </c>
      <c r="B355" s="403" t="s">
        <v>2173</v>
      </c>
      <c r="C355" s="403" t="s">
        <v>2612</v>
      </c>
      <c r="D355" s="403" t="s">
        <v>2175</v>
      </c>
      <c r="E355" s="405">
        <v>3000</v>
      </c>
      <c r="F355" s="403" t="s">
        <v>2184</v>
      </c>
      <c r="G355" s="403" t="s">
        <v>2263</v>
      </c>
      <c r="H355" s="403">
        <v>243</v>
      </c>
      <c r="I355" s="403">
        <v>243</v>
      </c>
      <c r="J355" s="406">
        <f t="shared" si="5"/>
        <v>8.1000000000000003E-2</v>
      </c>
      <c r="K355" s="403">
        <v>1.41</v>
      </c>
      <c r="L355" s="407">
        <v>142415938312</v>
      </c>
      <c r="M355" s="403" t="s">
        <v>2178</v>
      </c>
      <c r="O355" s="403">
        <v>85447000</v>
      </c>
    </row>
    <row r="356" spans="1:15" hidden="1" x14ac:dyDescent="0.2">
      <c r="A356" s="403">
        <v>191032</v>
      </c>
      <c r="B356" s="403" t="s">
        <v>2173</v>
      </c>
      <c r="C356" s="403" t="s">
        <v>2613</v>
      </c>
      <c r="D356" s="403" t="s">
        <v>2175</v>
      </c>
      <c r="E356" s="405">
        <v>1000</v>
      </c>
      <c r="F356" s="403" t="s">
        <v>2184</v>
      </c>
      <c r="G356" s="403" t="s">
        <v>2177</v>
      </c>
      <c r="H356" s="403">
        <v>405</v>
      </c>
      <c r="I356" s="403">
        <v>405.14</v>
      </c>
      <c r="J356" s="406">
        <f t="shared" si="5"/>
        <v>0.40514</v>
      </c>
      <c r="K356" s="403">
        <v>1.5840000000000001</v>
      </c>
      <c r="L356" s="407">
        <v>142415938312</v>
      </c>
      <c r="M356" s="403" t="s">
        <v>2210</v>
      </c>
      <c r="O356" s="403">
        <v>85444991</v>
      </c>
    </row>
    <row r="357" spans="1:15" hidden="1" x14ac:dyDescent="0.2">
      <c r="A357" s="403">
        <v>191453</v>
      </c>
      <c r="B357" s="403" t="s">
        <v>2173</v>
      </c>
      <c r="C357" s="403" t="s">
        <v>2614</v>
      </c>
      <c r="D357" s="403" t="s">
        <v>2175</v>
      </c>
      <c r="E357" s="405">
        <v>10500</v>
      </c>
      <c r="F357" s="403" t="s">
        <v>2181</v>
      </c>
      <c r="G357" s="403" t="s">
        <v>2410</v>
      </c>
      <c r="H357" s="403">
        <v>567</v>
      </c>
      <c r="I357" s="403">
        <v>567</v>
      </c>
      <c r="J357" s="406">
        <f t="shared" si="5"/>
        <v>5.3999999999999999E-2</v>
      </c>
      <c r="K357" s="403">
        <v>1.5435000000000001</v>
      </c>
      <c r="L357" s="407">
        <v>142415938312</v>
      </c>
      <c r="M357" s="403" t="s">
        <v>2178</v>
      </c>
      <c r="O357" s="403">
        <v>85444921</v>
      </c>
    </row>
    <row r="358" spans="1:15" hidden="1" x14ac:dyDescent="0.2">
      <c r="A358" s="403">
        <v>651762</v>
      </c>
      <c r="B358" s="403" t="s">
        <v>2173</v>
      </c>
      <c r="C358" s="403" t="s">
        <v>2220</v>
      </c>
      <c r="D358" s="403" t="s">
        <v>2186</v>
      </c>
      <c r="E358" s="403">
        <v>1</v>
      </c>
      <c r="F358" s="403" t="s">
        <v>2280</v>
      </c>
      <c r="G358" s="403" t="s">
        <v>2219</v>
      </c>
      <c r="H358" s="403">
        <v>0</v>
      </c>
      <c r="I358" s="403">
        <v>0.13</v>
      </c>
      <c r="J358" s="406">
        <f t="shared" si="5"/>
        <v>0.13</v>
      </c>
      <c r="K358" s="403">
        <v>1.1999999999999999E-3</v>
      </c>
      <c r="L358" s="407">
        <v>142114085324</v>
      </c>
      <c r="M358" s="403" t="s">
        <v>2204</v>
      </c>
      <c r="N358" s="403" t="s">
        <v>2190</v>
      </c>
      <c r="O358" s="403">
        <v>85444210</v>
      </c>
    </row>
    <row r="359" spans="1:15" hidden="1" x14ac:dyDescent="0.2">
      <c r="A359" s="403">
        <v>309025</v>
      </c>
      <c r="B359" s="403" t="s">
        <v>2173</v>
      </c>
      <c r="C359" s="403" t="s">
        <v>2615</v>
      </c>
      <c r="D359" s="403" t="s">
        <v>2186</v>
      </c>
      <c r="E359" s="405">
        <v>1440</v>
      </c>
      <c r="F359" s="403" t="s">
        <v>2247</v>
      </c>
      <c r="G359" s="403" t="s">
        <v>2353</v>
      </c>
      <c r="H359" s="403">
        <v>184</v>
      </c>
      <c r="I359" s="403">
        <v>203.4</v>
      </c>
      <c r="J359" s="406">
        <f t="shared" si="5"/>
        <v>0.14125000000000001</v>
      </c>
      <c r="K359" s="403">
        <v>0.79344000000000003</v>
      </c>
      <c r="L359" s="407">
        <v>142415818961</v>
      </c>
      <c r="M359" s="403" t="s">
        <v>2194</v>
      </c>
      <c r="N359" s="403" t="s">
        <v>2190</v>
      </c>
      <c r="O359" s="403">
        <v>85444921</v>
      </c>
    </row>
    <row r="360" spans="1:15" hidden="1" x14ac:dyDescent="0.2">
      <c r="A360" s="403">
        <v>309262</v>
      </c>
      <c r="B360" s="403" t="s">
        <v>2173</v>
      </c>
      <c r="C360" s="403" t="s">
        <v>2616</v>
      </c>
      <c r="D360" s="403" t="s">
        <v>2175</v>
      </c>
      <c r="E360" s="405">
        <v>2000</v>
      </c>
      <c r="F360" s="403" t="s">
        <v>2176</v>
      </c>
      <c r="G360" s="403" t="s">
        <v>2177</v>
      </c>
      <c r="H360" s="403">
        <v>141</v>
      </c>
      <c r="I360" s="403">
        <v>141</v>
      </c>
      <c r="J360" s="406">
        <f t="shared" si="5"/>
        <v>7.0499999999999993E-2</v>
      </c>
      <c r="K360" s="403">
        <v>0.64800000000000002</v>
      </c>
      <c r="L360" s="407">
        <v>142612160043</v>
      </c>
      <c r="M360" s="403" t="s">
        <v>2194</v>
      </c>
      <c r="N360" s="403" t="s">
        <v>2190</v>
      </c>
      <c r="O360" s="403">
        <v>85447000</v>
      </c>
    </row>
    <row r="361" spans="1:15" hidden="1" x14ac:dyDescent="0.2">
      <c r="A361" s="403">
        <v>4000639</v>
      </c>
      <c r="B361" s="403" t="s">
        <v>2173</v>
      </c>
      <c r="C361" s="403" t="s">
        <v>2617</v>
      </c>
      <c r="D361" s="403" t="s">
        <v>2186</v>
      </c>
      <c r="E361" s="405">
        <v>1601</v>
      </c>
      <c r="F361" s="403" t="s">
        <v>2332</v>
      </c>
      <c r="G361" s="403" t="s">
        <v>2618</v>
      </c>
      <c r="H361" s="403">
        <v>181</v>
      </c>
      <c r="I361" s="403">
        <v>180.91300000000001</v>
      </c>
      <c r="J361" s="406">
        <f t="shared" si="5"/>
        <v>0.113</v>
      </c>
      <c r="K361" s="403">
        <v>1.0294430000000001</v>
      </c>
      <c r="L361" s="407">
        <v>142415805816</v>
      </c>
      <c r="M361" s="403" t="s">
        <v>2334</v>
      </c>
      <c r="N361" s="403" t="s">
        <v>2190</v>
      </c>
      <c r="O361" s="403">
        <v>85367000</v>
      </c>
    </row>
    <row r="362" spans="1:15" hidden="1" x14ac:dyDescent="0.2">
      <c r="A362" s="403">
        <v>240604</v>
      </c>
      <c r="B362" s="403" t="s">
        <v>2173</v>
      </c>
      <c r="C362" s="403" t="s">
        <v>2195</v>
      </c>
      <c r="D362" s="403" t="s">
        <v>2186</v>
      </c>
      <c r="E362" s="405">
        <v>1169</v>
      </c>
      <c r="F362" s="403" t="s">
        <v>2213</v>
      </c>
      <c r="G362" s="403" t="s">
        <v>2619</v>
      </c>
      <c r="H362" s="403">
        <v>73</v>
      </c>
      <c r="I362" s="403">
        <v>73.063000000000002</v>
      </c>
      <c r="J362" s="406">
        <f t="shared" si="5"/>
        <v>6.2500427715996579E-2</v>
      </c>
      <c r="K362" s="403">
        <v>0.41148800000000002</v>
      </c>
      <c r="L362" s="407">
        <v>142612160043</v>
      </c>
      <c r="M362" s="403" t="s">
        <v>2194</v>
      </c>
      <c r="N362" s="403" t="s">
        <v>2190</v>
      </c>
      <c r="O362" s="403">
        <v>39269099</v>
      </c>
    </row>
    <row r="363" spans="1:15" hidden="1" x14ac:dyDescent="0.2">
      <c r="A363" s="403">
        <v>240642</v>
      </c>
      <c r="B363" s="403" t="s">
        <v>2173</v>
      </c>
      <c r="C363" s="403" t="s">
        <v>2215</v>
      </c>
      <c r="D363" s="403" t="s">
        <v>2186</v>
      </c>
      <c r="E363" s="405">
        <v>1500</v>
      </c>
      <c r="F363" s="403" t="s">
        <v>2199</v>
      </c>
      <c r="G363" s="403" t="s">
        <v>2341</v>
      </c>
      <c r="H363" s="403">
        <v>102</v>
      </c>
      <c r="I363" s="403">
        <v>102</v>
      </c>
      <c r="J363" s="406">
        <f t="shared" si="5"/>
        <v>6.8000000000000005E-2</v>
      </c>
      <c r="K363" s="403">
        <v>0.78749999999999998</v>
      </c>
      <c r="L363" s="407">
        <v>142414956340</v>
      </c>
      <c r="M363" s="403" t="s">
        <v>2194</v>
      </c>
      <c r="N363" s="403" t="s">
        <v>2190</v>
      </c>
      <c r="O363" s="403">
        <v>39269099</v>
      </c>
    </row>
    <row r="364" spans="1:15" hidden="1" x14ac:dyDescent="0.2">
      <c r="A364" s="403" t="s">
        <v>2488</v>
      </c>
      <c r="B364" s="403" t="s">
        <v>2173</v>
      </c>
      <c r="C364" s="403" t="s">
        <v>2489</v>
      </c>
      <c r="D364" s="403" t="s">
        <v>2175</v>
      </c>
      <c r="E364" s="405">
        <v>1827</v>
      </c>
      <c r="F364" s="403" t="s">
        <v>2224</v>
      </c>
      <c r="G364" s="403" t="s">
        <v>2620</v>
      </c>
      <c r="H364" s="403">
        <v>62</v>
      </c>
      <c r="I364" s="403">
        <v>62.118000000000002</v>
      </c>
      <c r="J364" s="406">
        <f t="shared" si="5"/>
        <v>3.4000000000000002E-2</v>
      </c>
      <c r="K364" s="403">
        <v>0.25212600000000002</v>
      </c>
      <c r="L364" s="407">
        <v>191500414668</v>
      </c>
      <c r="M364" s="403" t="s">
        <v>2178</v>
      </c>
      <c r="N364" s="403" t="s">
        <v>2190</v>
      </c>
      <c r="O364" s="403">
        <v>85447000</v>
      </c>
    </row>
    <row r="365" spans="1:15" hidden="1" x14ac:dyDescent="0.2">
      <c r="A365" s="403">
        <v>4000611</v>
      </c>
      <c r="B365" s="403" t="s">
        <v>2173</v>
      </c>
      <c r="C365" s="403" t="s">
        <v>2621</v>
      </c>
      <c r="D365" s="403" t="s">
        <v>2206</v>
      </c>
      <c r="E365" s="403">
        <v>1</v>
      </c>
      <c r="F365" s="403" t="s">
        <v>2207</v>
      </c>
      <c r="G365" s="403" t="s">
        <v>2208</v>
      </c>
      <c r="H365" s="403">
        <v>130</v>
      </c>
      <c r="I365" s="403">
        <v>130</v>
      </c>
      <c r="J365" s="406">
        <f t="shared" si="5"/>
        <v>130</v>
      </c>
      <c r="K365" s="403">
        <v>1.426023</v>
      </c>
      <c r="L365" s="407">
        <v>142415880145</v>
      </c>
      <c r="M365" s="403" t="s">
        <v>2194</v>
      </c>
      <c r="N365" s="403" t="s">
        <v>2190</v>
      </c>
      <c r="O365" s="403">
        <v>85371000</v>
      </c>
    </row>
    <row r="366" spans="1:15" hidden="1" x14ac:dyDescent="0.2">
      <c r="A366" s="403">
        <v>4000639</v>
      </c>
      <c r="B366" s="403" t="s">
        <v>2173</v>
      </c>
      <c r="C366" s="403" t="s">
        <v>2617</v>
      </c>
      <c r="D366" s="403" t="s">
        <v>2186</v>
      </c>
      <c r="E366" s="403">
        <v>399</v>
      </c>
      <c r="F366" s="403" t="s">
        <v>2332</v>
      </c>
      <c r="G366" s="403" t="s">
        <v>2335</v>
      </c>
      <c r="H366" s="403">
        <v>45</v>
      </c>
      <c r="I366" s="403">
        <v>45.087000000000003</v>
      </c>
      <c r="J366" s="406">
        <f t="shared" si="5"/>
        <v>0.113</v>
      </c>
      <c r="K366" s="403">
        <v>0.25655699999999998</v>
      </c>
      <c r="L366" s="407">
        <v>142415758627</v>
      </c>
      <c r="M366" s="403" t="s">
        <v>2334</v>
      </c>
      <c r="N366" s="403" t="s">
        <v>2190</v>
      </c>
      <c r="O366" s="403">
        <v>85367000</v>
      </c>
    </row>
    <row r="367" spans="1:15" hidden="1" x14ac:dyDescent="0.2">
      <c r="A367" s="403">
        <v>415231</v>
      </c>
      <c r="B367" s="403" t="s">
        <v>2173</v>
      </c>
      <c r="C367" s="403" t="s">
        <v>2220</v>
      </c>
      <c r="D367" s="403" t="s">
        <v>2186</v>
      </c>
      <c r="E367" s="403">
        <v>2</v>
      </c>
      <c r="F367" s="403" t="s">
        <v>2221</v>
      </c>
      <c r="G367" s="403" t="s">
        <v>2219</v>
      </c>
      <c r="H367" s="403">
        <v>9</v>
      </c>
      <c r="I367" s="403">
        <v>8.6999999999999993</v>
      </c>
      <c r="J367" s="406">
        <f t="shared" si="5"/>
        <v>4.3499999999999996</v>
      </c>
      <c r="K367" s="403">
        <v>4.8708</v>
      </c>
      <c r="L367" s="407">
        <v>142415110816</v>
      </c>
      <c r="M367" s="403" t="s">
        <v>2189</v>
      </c>
      <c r="N367" s="403" t="s">
        <v>2190</v>
      </c>
      <c r="O367" s="403">
        <v>85369010</v>
      </c>
    </row>
    <row r="368" spans="1:15" hidden="1" x14ac:dyDescent="0.2">
      <c r="A368" s="403">
        <v>651862</v>
      </c>
      <c r="B368" s="403" t="s">
        <v>2173</v>
      </c>
      <c r="C368" s="403" t="s">
        <v>2220</v>
      </c>
      <c r="D368" s="403" t="s">
        <v>2186</v>
      </c>
      <c r="E368" s="403">
        <v>1</v>
      </c>
      <c r="F368" s="403" t="s">
        <v>2280</v>
      </c>
      <c r="G368" s="403" t="s">
        <v>2219</v>
      </c>
      <c r="H368" s="403">
        <v>0</v>
      </c>
      <c r="I368" s="403">
        <v>0.13</v>
      </c>
      <c r="J368" s="406">
        <f t="shared" si="5"/>
        <v>0.13</v>
      </c>
      <c r="K368" s="403">
        <v>1.1999999999999999E-3</v>
      </c>
      <c r="L368" s="407">
        <v>142114077954</v>
      </c>
      <c r="M368" s="403" t="s">
        <v>2204</v>
      </c>
      <c r="N368" s="403" t="s">
        <v>2190</v>
      </c>
      <c r="O368" s="403">
        <v>85444210</v>
      </c>
    </row>
    <row r="369" spans="1:15" hidden="1" x14ac:dyDescent="0.2">
      <c r="A369" s="403">
        <v>418506</v>
      </c>
      <c r="B369" s="403" t="s">
        <v>2173</v>
      </c>
      <c r="C369" s="403" t="s">
        <v>2344</v>
      </c>
      <c r="D369" s="403" t="s">
        <v>2186</v>
      </c>
      <c r="E369" s="405">
        <v>1500</v>
      </c>
      <c r="F369" s="403" t="s">
        <v>2339</v>
      </c>
      <c r="G369" s="403" t="s">
        <v>2281</v>
      </c>
      <c r="H369" s="403">
        <v>9</v>
      </c>
      <c r="I369" s="403">
        <v>9.3989999999999991</v>
      </c>
      <c r="J369" s="406">
        <f t="shared" si="5"/>
        <v>6.265999999999999E-3</v>
      </c>
      <c r="K369" s="403">
        <v>3.3000000000000002E-2</v>
      </c>
      <c r="L369" s="407">
        <v>142415952909</v>
      </c>
      <c r="M369" s="403" t="s">
        <v>2194</v>
      </c>
      <c r="O369" s="403">
        <v>85367000</v>
      </c>
    </row>
    <row r="370" spans="1:15" hidden="1" x14ac:dyDescent="0.2">
      <c r="A370" s="403">
        <v>427721</v>
      </c>
      <c r="B370" s="403" t="s">
        <v>2173</v>
      </c>
      <c r="C370" s="403" t="s">
        <v>2344</v>
      </c>
      <c r="D370" s="403" t="s">
        <v>2186</v>
      </c>
      <c r="E370" s="405">
        <v>1500</v>
      </c>
      <c r="F370" s="403" t="s">
        <v>2196</v>
      </c>
      <c r="G370" s="403" t="s">
        <v>2622</v>
      </c>
      <c r="H370" s="403">
        <v>20</v>
      </c>
      <c r="I370" s="403">
        <v>19.594000000000001</v>
      </c>
      <c r="J370" s="406">
        <f t="shared" si="5"/>
        <v>1.3062666666666667E-2</v>
      </c>
      <c r="K370" s="403">
        <v>0.10349999999999999</v>
      </c>
      <c r="L370" s="407">
        <v>142415952909</v>
      </c>
      <c r="M370" s="403" t="s">
        <v>2194</v>
      </c>
      <c r="O370" s="403">
        <v>85447000</v>
      </c>
    </row>
    <row r="371" spans="1:15" hidden="1" x14ac:dyDescent="0.2">
      <c r="A371" s="403">
        <v>240563</v>
      </c>
      <c r="B371" s="403" t="s">
        <v>2173</v>
      </c>
      <c r="C371" s="403" t="s">
        <v>2623</v>
      </c>
      <c r="D371" s="403" t="s">
        <v>2175</v>
      </c>
      <c r="E371" s="405">
        <v>9150</v>
      </c>
      <c r="F371" s="403" t="s">
        <v>2224</v>
      </c>
      <c r="G371" s="403" t="s">
        <v>2225</v>
      </c>
      <c r="H371" s="403">
        <v>384</v>
      </c>
      <c r="I371" s="403">
        <v>384.3</v>
      </c>
      <c r="J371" s="406">
        <f t="shared" si="5"/>
        <v>4.2000000000000003E-2</v>
      </c>
      <c r="K371" s="403">
        <v>1.1346000000000001</v>
      </c>
      <c r="L371" s="407">
        <v>142415784924</v>
      </c>
      <c r="M371" s="403" t="s">
        <v>2194</v>
      </c>
      <c r="N371" s="403" t="s">
        <v>2190</v>
      </c>
      <c r="O371" s="403">
        <v>85442090</v>
      </c>
    </row>
    <row r="372" spans="1:15" hidden="1" x14ac:dyDescent="0.2">
      <c r="A372" s="403">
        <v>240563</v>
      </c>
      <c r="B372" s="403" t="s">
        <v>2173</v>
      </c>
      <c r="C372" s="403" t="s">
        <v>2350</v>
      </c>
      <c r="D372" s="403" t="s">
        <v>2175</v>
      </c>
      <c r="E372" s="405">
        <v>8235</v>
      </c>
      <c r="F372" s="403" t="s">
        <v>2224</v>
      </c>
      <c r="G372" s="403" t="s">
        <v>2624</v>
      </c>
      <c r="H372" s="403">
        <v>346</v>
      </c>
      <c r="I372" s="403">
        <v>345.87</v>
      </c>
      <c r="J372" s="406">
        <f t="shared" si="5"/>
        <v>4.2000000000000003E-2</v>
      </c>
      <c r="K372" s="403">
        <v>1.0211399999999999</v>
      </c>
      <c r="L372" s="407">
        <v>142414956340</v>
      </c>
      <c r="M372" s="403" t="s">
        <v>2194</v>
      </c>
      <c r="N372" s="403" t="s">
        <v>2190</v>
      </c>
      <c r="O372" s="403">
        <v>85442090</v>
      </c>
    </row>
    <row r="373" spans="1:15" hidden="1" x14ac:dyDescent="0.2">
      <c r="A373" s="403">
        <v>240563</v>
      </c>
      <c r="B373" s="403" t="s">
        <v>2173</v>
      </c>
      <c r="C373" s="403" t="s">
        <v>2625</v>
      </c>
      <c r="D373" s="403" t="s">
        <v>2175</v>
      </c>
      <c r="E373" s="405">
        <v>9150</v>
      </c>
      <c r="F373" s="403" t="s">
        <v>2224</v>
      </c>
      <c r="G373" s="403" t="s">
        <v>2225</v>
      </c>
      <c r="H373" s="403">
        <v>384</v>
      </c>
      <c r="I373" s="403">
        <v>384.3</v>
      </c>
      <c r="J373" s="406">
        <f t="shared" si="5"/>
        <v>4.2000000000000003E-2</v>
      </c>
      <c r="K373" s="403">
        <v>1.1346000000000001</v>
      </c>
      <c r="L373" s="407">
        <v>142415758139</v>
      </c>
      <c r="M373" s="403" t="s">
        <v>2194</v>
      </c>
      <c r="N373" s="403" t="s">
        <v>2190</v>
      </c>
      <c r="O373" s="403">
        <v>85442090</v>
      </c>
    </row>
    <row r="374" spans="1:15" hidden="1" x14ac:dyDescent="0.2">
      <c r="A374" s="403">
        <v>240563</v>
      </c>
      <c r="B374" s="403" t="s">
        <v>2173</v>
      </c>
      <c r="C374" s="403" t="s">
        <v>2626</v>
      </c>
      <c r="D374" s="403" t="s">
        <v>2175</v>
      </c>
      <c r="E374" s="405">
        <v>9150</v>
      </c>
      <c r="F374" s="403" t="s">
        <v>2224</v>
      </c>
      <c r="G374" s="403" t="s">
        <v>2225</v>
      </c>
      <c r="H374" s="403">
        <v>384</v>
      </c>
      <c r="I374" s="403">
        <v>384.3</v>
      </c>
      <c r="J374" s="406">
        <f t="shared" si="5"/>
        <v>4.2000000000000003E-2</v>
      </c>
      <c r="K374" s="403">
        <v>1.1346000000000001</v>
      </c>
      <c r="L374" s="407">
        <v>142415758139</v>
      </c>
      <c r="M374" s="403" t="s">
        <v>2194</v>
      </c>
      <c r="N374" s="403" t="s">
        <v>2190</v>
      </c>
      <c r="O374" s="403">
        <v>85442090</v>
      </c>
    </row>
    <row r="375" spans="1:15" hidden="1" x14ac:dyDescent="0.2">
      <c r="A375" s="403">
        <v>185865</v>
      </c>
      <c r="B375" s="403" t="s">
        <v>2173</v>
      </c>
      <c r="C375" s="403" t="s">
        <v>2357</v>
      </c>
      <c r="D375" s="403" t="s">
        <v>2175</v>
      </c>
      <c r="E375" s="405">
        <v>3839</v>
      </c>
      <c r="F375" s="403" t="s">
        <v>2358</v>
      </c>
      <c r="G375" s="403" t="s">
        <v>2627</v>
      </c>
      <c r="H375" s="403">
        <v>284</v>
      </c>
      <c r="I375" s="403">
        <v>284.08600000000001</v>
      </c>
      <c r="J375" s="406">
        <f t="shared" si="5"/>
        <v>7.400000000000001E-2</v>
      </c>
      <c r="K375" s="403">
        <v>0.60656200000000005</v>
      </c>
      <c r="L375" s="407">
        <v>142611774361</v>
      </c>
      <c r="M375" s="403" t="s">
        <v>2178</v>
      </c>
      <c r="N375" s="403" t="s">
        <v>2190</v>
      </c>
      <c r="O375" s="403">
        <v>85366910</v>
      </c>
    </row>
    <row r="376" spans="1:15" hidden="1" x14ac:dyDescent="0.2">
      <c r="A376" s="403">
        <v>191453</v>
      </c>
      <c r="B376" s="403" t="s">
        <v>2173</v>
      </c>
      <c r="C376" s="403" t="s">
        <v>2505</v>
      </c>
      <c r="D376" s="403" t="s">
        <v>2175</v>
      </c>
      <c r="E376" s="403">
        <v>960</v>
      </c>
      <c r="F376" s="403" t="s">
        <v>2181</v>
      </c>
      <c r="G376" s="403" t="s">
        <v>2628</v>
      </c>
      <c r="H376" s="403">
        <v>52</v>
      </c>
      <c r="I376" s="403">
        <v>51.84</v>
      </c>
      <c r="J376" s="406">
        <f t="shared" si="5"/>
        <v>5.4000000000000006E-2</v>
      </c>
      <c r="K376" s="403">
        <v>0.14112</v>
      </c>
      <c r="L376" s="407">
        <v>142415591190</v>
      </c>
      <c r="M376" s="403" t="s">
        <v>2178</v>
      </c>
      <c r="N376" s="403" t="s">
        <v>2190</v>
      </c>
      <c r="O376" s="403">
        <v>85444910</v>
      </c>
    </row>
    <row r="377" spans="1:15" hidden="1" x14ac:dyDescent="0.2">
      <c r="A377" s="403">
        <v>240600</v>
      </c>
      <c r="B377" s="403" t="s">
        <v>2173</v>
      </c>
      <c r="C377" s="403" t="s">
        <v>2232</v>
      </c>
      <c r="D377" s="403" t="s">
        <v>2186</v>
      </c>
      <c r="E377" s="405">
        <v>1407</v>
      </c>
      <c r="F377" s="403" t="s">
        <v>2233</v>
      </c>
      <c r="G377" s="403" t="s">
        <v>2629</v>
      </c>
      <c r="H377" s="403">
        <v>70</v>
      </c>
      <c r="I377" s="403">
        <v>70.349999999999994</v>
      </c>
      <c r="J377" s="406">
        <f t="shared" si="5"/>
        <v>4.9999999999999996E-2</v>
      </c>
      <c r="K377" s="403">
        <v>0.25748100000000002</v>
      </c>
      <c r="L377" s="407">
        <v>142612160043</v>
      </c>
      <c r="M377" s="403" t="s">
        <v>2194</v>
      </c>
      <c r="N377" s="403" t="s">
        <v>2190</v>
      </c>
      <c r="O377" s="403">
        <v>39269099</v>
      </c>
    </row>
    <row r="378" spans="1:15" hidden="1" x14ac:dyDescent="0.2">
      <c r="A378" s="403">
        <v>190355</v>
      </c>
      <c r="B378" s="403" t="s">
        <v>2173</v>
      </c>
      <c r="C378" s="403" t="s">
        <v>2630</v>
      </c>
      <c r="D378" s="403" t="s">
        <v>2175</v>
      </c>
      <c r="E378" s="405">
        <v>4000</v>
      </c>
      <c r="F378" s="403" t="s">
        <v>2176</v>
      </c>
      <c r="G378" s="403" t="s">
        <v>2258</v>
      </c>
      <c r="H378" s="403">
        <v>388</v>
      </c>
      <c r="I378" s="403">
        <v>388</v>
      </c>
      <c r="J378" s="406">
        <f t="shared" si="5"/>
        <v>9.7000000000000003E-2</v>
      </c>
      <c r="K378" s="403">
        <v>1.1120000000000001</v>
      </c>
      <c r="L378" s="407">
        <v>142415639339</v>
      </c>
      <c r="M378" s="403" t="s">
        <v>2178</v>
      </c>
      <c r="N378" s="403" t="s">
        <v>2190</v>
      </c>
      <c r="O378" s="403">
        <v>85447000</v>
      </c>
    </row>
    <row r="379" spans="1:15" hidden="1" x14ac:dyDescent="0.2">
      <c r="A379" s="403">
        <v>4000625</v>
      </c>
      <c r="B379" s="403" t="s">
        <v>2173</v>
      </c>
      <c r="C379" s="403" t="s">
        <v>2271</v>
      </c>
      <c r="D379" s="403" t="s">
        <v>2186</v>
      </c>
      <c r="E379" s="403">
        <v>550</v>
      </c>
      <c r="F379" s="403" t="s">
        <v>2407</v>
      </c>
      <c r="G379" s="403" t="s">
        <v>2570</v>
      </c>
      <c r="H379" s="403">
        <v>17</v>
      </c>
      <c r="I379" s="403">
        <v>17.875</v>
      </c>
      <c r="J379" s="406">
        <f t="shared" si="5"/>
        <v>3.2500000000000001E-2</v>
      </c>
      <c r="K379" s="403">
        <v>0.15015000000000001</v>
      </c>
      <c r="L379" s="407">
        <v>3020430800317</v>
      </c>
      <c r="M379" s="403" t="s">
        <v>2194</v>
      </c>
      <c r="O379" s="403">
        <v>85447000</v>
      </c>
    </row>
    <row r="380" spans="1:15" x14ac:dyDescent="0.2">
      <c r="A380" s="403">
        <v>191454</v>
      </c>
      <c r="B380" s="403" t="s">
        <v>2173</v>
      </c>
      <c r="C380" s="403" t="s">
        <v>2631</v>
      </c>
      <c r="D380" s="403" t="s">
        <v>2175</v>
      </c>
      <c r="E380" s="405">
        <v>12000</v>
      </c>
      <c r="F380" s="403" t="s">
        <v>2181</v>
      </c>
      <c r="G380" s="403" t="s">
        <v>2212</v>
      </c>
      <c r="H380" s="403">
        <v>648</v>
      </c>
      <c r="I380" s="403">
        <v>648</v>
      </c>
      <c r="J380" s="406">
        <f t="shared" si="5"/>
        <v>5.3999999999999999E-2</v>
      </c>
      <c r="K380" s="403">
        <v>1.764</v>
      </c>
      <c r="L380" s="407">
        <v>142415783151</v>
      </c>
      <c r="M380" s="403" t="s">
        <v>2178</v>
      </c>
      <c r="N380" s="403" t="s">
        <v>2190</v>
      </c>
      <c r="O380" s="403">
        <v>85444929</v>
      </c>
    </row>
    <row r="381" spans="1:15" hidden="1" x14ac:dyDescent="0.2">
      <c r="A381" s="403">
        <v>4000614</v>
      </c>
      <c r="B381" s="403" t="s">
        <v>2173</v>
      </c>
      <c r="C381" s="403" t="s">
        <v>2632</v>
      </c>
      <c r="D381" s="403" t="s">
        <v>2186</v>
      </c>
      <c r="E381" s="403">
        <v>4</v>
      </c>
      <c r="F381" s="403" t="s">
        <v>2207</v>
      </c>
      <c r="G381" s="403" t="s">
        <v>2245</v>
      </c>
      <c r="H381" s="403">
        <v>112</v>
      </c>
      <c r="I381" s="403">
        <v>112</v>
      </c>
      <c r="J381" s="406">
        <f t="shared" si="5"/>
        <v>28</v>
      </c>
      <c r="K381" s="403">
        <v>1.0311840000000001</v>
      </c>
      <c r="L381" s="407">
        <v>142415761142</v>
      </c>
      <c r="M381" s="403" t="s">
        <v>2194</v>
      </c>
      <c r="N381" s="403" t="s">
        <v>2190</v>
      </c>
      <c r="O381" s="403">
        <v>85371000</v>
      </c>
    </row>
    <row r="382" spans="1:15" hidden="1" x14ac:dyDescent="0.2">
      <c r="A382" s="403">
        <v>4000614</v>
      </c>
      <c r="B382" s="403" t="s">
        <v>2173</v>
      </c>
      <c r="C382" s="403" t="s">
        <v>2633</v>
      </c>
      <c r="D382" s="403" t="s">
        <v>2186</v>
      </c>
      <c r="E382" s="403">
        <v>4</v>
      </c>
      <c r="F382" s="403" t="s">
        <v>2207</v>
      </c>
      <c r="G382" s="403" t="s">
        <v>2245</v>
      </c>
      <c r="H382" s="403">
        <v>112</v>
      </c>
      <c r="I382" s="403">
        <v>112</v>
      </c>
      <c r="J382" s="406">
        <f t="shared" si="5"/>
        <v>28</v>
      </c>
      <c r="K382" s="403">
        <v>1.0311840000000001</v>
      </c>
      <c r="L382" s="407">
        <v>142415761142</v>
      </c>
      <c r="M382" s="403" t="s">
        <v>2194</v>
      </c>
      <c r="N382" s="403" t="s">
        <v>2190</v>
      </c>
      <c r="O382" s="403">
        <v>85371000</v>
      </c>
    </row>
    <row r="383" spans="1:15" hidden="1" x14ac:dyDescent="0.2">
      <c r="A383" s="403">
        <v>240562</v>
      </c>
      <c r="B383" s="403" t="s">
        <v>2173</v>
      </c>
      <c r="C383" s="403" t="s">
        <v>2393</v>
      </c>
      <c r="D383" s="403" t="s">
        <v>2175</v>
      </c>
      <c r="E383" s="405">
        <v>6100</v>
      </c>
      <c r="F383" s="403" t="s">
        <v>2224</v>
      </c>
      <c r="G383" s="403" t="s">
        <v>2372</v>
      </c>
      <c r="H383" s="403">
        <v>256</v>
      </c>
      <c r="I383" s="403">
        <v>256.2</v>
      </c>
      <c r="J383" s="406">
        <f t="shared" si="5"/>
        <v>4.1999999999999996E-2</v>
      </c>
      <c r="K383" s="403">
        <v>0.75639999999999996</v>
      </c>
      <c r="L383" s="407">
        <v>142415784924</v>
      </c>
      <c r="M383" s="403" t="s">
        <v>2194</v>
      </c>
      <c r="N383" s="403" t="s">
        <v>2190</v>
      </c>
      <c r="O383" s="403">
        <v>85442090</v>
      </c>
    </row>
    <row r="384" spans="1:15" hidden="1" x14ac:dyDescent="0.2">
      <c r="A384" s="403">
        <v>240562</v>
      </c>
      <c r="B384" s="403" t="s">
        <v>2173</v>
      </c>
      <c r="C384" s="403" t="s">
        <v>2317</v>
      </c>
      <c r="D384" s="403" t="s">
        <v>2175</v>
      </c>
      <c r="E384" s="405">
        <v>9150</v>
      </c>
      <c r="F384" s="403" t="s">
        <v>2224</v>
      </c>
      <c r="G384" s="403" t="s">
        <v>2225</v>
      </c>
      <c r="H384" s="403">
        <v>384</v>
      </c>
      <c r="I384" s="403">
        <v>384.3</v>
      </c>
      <c r="J384" s="406">
        <f t="shared" si="5"/>
        <v>4.2000000000000003E-2</v>
      </c>
      <c r="K384" s="403">
        <v>1.1346000000000001</v>
      </c>
      <c r="L384" s="407">
        <v>142415888640</v>
      </c>
      <c r="M384" s="403" t="s">
        <v>2194</v>
      </c>
      <c r="N384" s="403" t="s">
        <v>2190</v>
      </c>
      <c r="O384" s="403">
        <v>85442090</v>
      </c>
    </row>
    <row r="385" spans="1:15" hidden="1" x14ac:dyDescent="0.2">
      <c r="A385" s="403">
        <v>240562</v>
      </c>
      <c r="B385" s="403" t="s">
        <v>2173</v>
      </c>
      <c r="C385" s="403" t="s">
        <v>2634</v>
      </c>
      <c r="D385" s="403" t="s">
        <v>2175</v>
      </c>
      <c r="E385" s="405">
        <v>9150</v>
      </c>
      <c r="F385" s="403" t="s">
        <v>2224</v>
      </c>
      <c r="G385" s="403" t="s">
        <v>2225</v>
      </c>
      <c r="H385" s="403">
        <v>384</v>
      </c>
      <c r="I385" s="403">
        <v>384.3</v>
      </c>
      <c r="J385" s="406">
        <f t="shared" si="5"/>
        <v>4.2000000000000003E-2</v>
      </c>
      <c r="K385" s="403">
        <v>1.1346000000000001</v>
      </c>
      <c r="L385" s="407">
        <v>142415888640</v>
      </c>
      <c r="M385" s="403" t="s">
        <v>2194</v>
      </c>
      <c r="N385" s="403" t="s">
        <v>2190</v>
      </c>
      <c r="O385" s="403">
        <v>85442090</v>
      </c>
    </row>
    <row r="386" spans="1:15" hidden="1" x14ac:dyDescent="0.2">
      <c r="A386" s="403">
        <v>240136</v>
      </c>
      <c r="B386" s="403" t="s">
        <v>2173</v>
      </c>
      <c r="C386" s="403" t="s">
        <v>2635</v>
      </c>
      <c r="D386" s="403" t="s">
        <v>2175</v>
      </c>
      <c r="E386" s="405">
        <v>6710</v>
      </c>
      <c r="F386" s="403" t="s">
        <v>2224</v>
      </c>
      <c r="G386" s="403" t="s">
        <v>2566</v>
      </c>
      <c r="H386" s="403">
        <v>282</v>
      </c>
      <c r="I386" s="403">
        <v>281.82</v>
      </c>
      <c r="J386" s="406">
        <f t="shared" ref="J386:J449" si="6">I386/E386</f>
        <v>4.1999999999999996E-2</v>
      </c>
      <c r="K386" s="403">
        <v>0.83204</v>
      </c>
      <c r="L386" s="407">
        <v>142612140693</v>
      </c>
      <c r="M386" s="403" t="s">
        <v>2194</v>
      </c>
      <c r="N386" s="403" t="s">
        <v>2190</v>
      </c>
      <c r="O386" s="403">
        <v>85444290</v>
      </c>
    </row>
    <row r="387" spans="1:15" hidden="1" x14ac:dyDescent="0.2">
      <c r="A387" s="403">
        <v>240562</v>
      </c>
      <c r="B387" s="403" t="s">
        <v>2173</v>
      </c>
      <c r="C387" s="403" t="s">
        <v>2636</v>
      </c>
      <c r="D387" s="403" t="s">
        <v>2175</v>
      </c>
      <c r="E387" s="405">
        <v>9150</v>
      </c>
      <c r="F387" s="403" t="s">
        <v>2224</v>
      </c>
      <c r="G387" s="403" t="s">
        <v>2225</v>
      </c>
      <c r="H387" s="403">
        <v>384</v>
      </c>
      <c r="I387" s="403">
        <v>384.3</v>
      </c>
      <c r="J387" s="406">
        <f t="shared" si="6"/>
        <v>4.2000000000000003E-2</v>
      </c>
      <c r="K387" s="403">
        <v>1.1346000000000001</v>
      </c>
      <c r="L387" s="407">
        <v>142415784924</v>
      </c>
      <c r="M387" s="403" t="s">
        <v>2194</v>
      </c>
      <c r="N387" s="403" t="s">
        <v>2190</v>
      </c>
      <c r="O387" s="403">
        <v>85442090</v>
      </c>
    </row>
    <row r="388" spans="1:15" hidden="1" x14ac:dyDescent="0.2">
      <c r="A388" s="403">
        <v>190077</v>
      </c>
      <c r="B388" s="403" t="s">
        <v>2173</v>
      </c>
      <c r="C388" s="403" t="s">
        <v>2378</v>
      </c>
      <c r="D388" s="403" t="s">
        <v>2175</v>
      </c>
      <c r="E388" s="405">
        <v>1000</v>
      </c>
      <c r="F388" s="403" t="s">
        <v>2184</v>
      </c>
      <c r="G388" s="403" t="s">
        <v>2177</v>
      </c>
      <c r="H388" s="403">
        <v>74</v>
      </c>
      <c r="I388" s="403">
        <v>74</v>
      </c>
      <c r="J388" s="406">
        <f t="shared" si="6"/>
        <v>7.3999999999999996E-2</v>
      </c>
      <c r="K388" s="403">
        <v>0.3</v>
      </c>
      <c r="L388" s="407">
        <v>142414889028</v>
      </c>
      <c r="M388" s="403" t="s">
        <v>2178</v>
      </c>
      <c r="N388" s="403" t="s">
        <v>2190</v>
      </c>
      <c r="O388" s="403">
        <v>85447000</v>
      </c>
    </row>
    <row r="389" spans="1:15" hidden="1" x14ac:dyDescent="0.2">
      <c r="A389" s="403">
        <v>187209</v>
      </c>
      <c r="B389" s="403" t="s">
        <v>2173</v>
      </c>
      <c r="C389" s="403" t="s">
        <v>2637</v>
      </c>
      <c r="D389" s="403" t="s">
        <v>2175</v>
      </c>
      <c r="E389" s="405">
        <v>6000</v>
      </c>
      <c r="F389" s="403" t="s">
        <v>2181</v>
      </c>
      <c r="G389" s="403" t="s">
        <v>2256</v>
      </c>
      <c r="H389" s="403">
        <v>666</v>
      </c>
      <c r="I389" s="403">
        <v>666</v>
      </c>
      <c r="J389" s="406">
        <f t="shared" si="6"/>
        <v>0.111</v>
      </c>
      <c r="K389" s="403">
        <v>1.752</v>
      </c>
      <c r="L389" s="407">
        <v>142415823269</v>
      </c>
      <c r="M389" s="403" t="s">
        <v>2178</v>
      </c>
      <c r="N389" s="403" t="s">
        <v>2190</v>
      </c>
      <c r="O389" s="403">
        <v>85444991</v>
      </c>
    </row>
    <row r="390" spans="1:15" hidden="1" x14ac:dyDescent="0.2">
      <c r="A390" s="403">
        <v>190112</v>
      </c>
      <c r="B390" s="403" t="s">
        <v>2173</v>
      </c>
      <c r="C390" s="403" t="s">
        <v>2588</v>
      </c>
      <c r="D390" s="403" t="s">
        <v>2175</v>
      </c>
      <c r="E390" s="405">
        <v>4000</v>
      </c>
      <c r="F390" s="403" t="s">
        <v>2184</v>
      </c>
      <c r="G390" s="403" t="s">
        <v>2435</v>
      </c>
      <c r="H390" s="403">
        <v>308</v>
      </c>
      <c r="I390" s="403">
        <v>308</v>
      </c>
      <c r="J390" s="406">
        <f t="shared" si="6"/>
        <v>7.6999999999999999E-2</v>
      </c>
      <c r="K390" s="403">
        <v>0.89600000000000002</v>
      </c>
      <c r="L390" s="407">
        <v>142415783151</v>
      </c>
      <c r="M390" s="403" t="s">
        <v>2178</v>
      </c>
      <c r="N390" s="403" t="s">
        <v>2190</v>
      </c>
      <c r="O390" s="403">
        <v>85447000</v>
      </c>
    </row>
    <row r="391" spans="1:15" hidden="1" x14ac:dyDescent="0.2">
      <c r="A391" s="403">
        <v>187354</v>
      </c>
      <c r="B391" s="403" t="s">
        <v>2173</v>
      </c>
      <c r="C391" s="403" t="s">
        <v>2638</v>
      </c>
      <c r="D391" s="403" t="s">
        <v>2175</v>
      </c>
      <c r="E391" s="405">
        <v>2000</v>
      </c>
      <c r="F391" s="403" t="s">
        <v>2176</v>
      </c>
      <c r="G391" s="403" t="s">
        <v>2177</v>
      </c>
      <c r="H391" s="403">
        <v>226</v>
      </c>
      <c r="I391" s="403">
        <v>226</v>
      </c>
      <c r="J391" s="406">
        <f t="shared" si="6"/>
        <v>0.113</v>
      </c>
      <c r="K391" s="403">
        <v>1.0940000000000001</v>
      </c>
      <c r="L391" s="407">
        <v>142415823269</v>
      </c>
      <c r="M391" s="403" t="s">
        <v>2178</v>
      </c>
      <c r="N391" s="403" t="s">
        <v>2190</v>
      </c>
      <c r="O391" s="403">
        <v>85447000</v>
      </c>
    </row>
    <row r="392" spans="1:15" hidden="1" x14ac:dyDescent="0.2">
      <c r="A392" s="403">
        <v>148780</v>
      </c>
      <c r="B392" s="403" t="s">
        <v>2173</v>
      </c>
      <c r="C392" s="403" t="s">
        <v>2639</v>
      </c>
      <c r="D392" s="403" t="s">
        <v>2175</v>
      </c>
      <c r="E392" s="405">
        <v>1000</v>
      </c>
      <c r="F392" s="403" t="s">
        <v>2184</v>
      </c>
      <c r="G392" s="403" t="s">
        <v>2177</v>
      </c>
      <c r="H392" s="403">
        <v>527</v>
      </c>
      <c r="I392" s="403">
        <v>527</v>
      </c>
      <c r="J392" s="406">
        <f t="shared" si="6"/>
        <v>0.52700000000000002</v>
      </c>
      <c r="K392" s="403">
        <v>1.08</v>
      </c>
      <c r="L392" s="407" t="s">
        <v>2278</v>
      </c>
      <c r="M392" s="403" t="s">
        <v>2178</v>
      </c>
      <c r="N392" s="403" t="s">
        <v>2190</v>
      </c>
      <c r="O392" s="403">
        <v>85442090</v>
      </c>
    </row>
    <row r="393" spans="1:15" hidden="1" x14ac:dyDescent="0.2">
      <c r="A393" s="403">
        <v>148780</v>
      </c>
      <c r="B393" s="403" t="s">
        <v>2173</v>
      </c>
      <c r="C393" s="403" t="s">
        <v>2640</v>
      </c>
      <c r="D393" s="403" t="s">
        <v>2175</v>
      </c>
      <c r="E393" s="405">
        <v>1000</v>
      </c>
      <c r="F393" s="403" t="s">
        <v>2184</v>
      </c>
      <c r="G393" s="403" t="s">
        <v>2177</v>
      </c>
      <c r="H393" s="403">
        <v>527</v>
      </c>
      <c r="I393" s="403">
        <v>527</v>
      </c>
      <c r="J393" s="406">
        <f t="shared" si="6"/>
        <v>0.52700000000000002</v>
      </c>
      <c r="K393" s="403">
        <v>1.08</v>
      </c>
      <c r="L393" s="407" t="s">
        <v>2278</v>
      </c>
      <c r="M393" s="403" t="s">
        <v>2178</v>
      </c>
      <c r="N393" s="403" t="s">
        <v>2190</v>
      </c>
      <c r="O393" s="403">
        <v>85442090</v>
      </c>
    </row>
    <row r="394" spans="1:15" hidden="1" x14ac:dyDescent="0.2">
      <c r="A394" s="403">
        <v>148780</v>
      </c>
      <c r="B394" s="403" t="s">
        <v>2173</v>
      </c>
      <c r="C394" s="403" t="s">
        <v>2209</v>
      </c>
      <c r="D394" s="403" t="s">
        <v>2175</v>
      </c>
      <c r="E394" s="405">
        <v>1000</v>
      </c>
      <c r="F394" s="403" t="s">
        <v>2184</v>
      </c>
      <c r="G394" s="403" t="s">
        <v>2177</v>
      </c>
      <c r="H394" s="403">
        <v>527</v>
      </c>
      <c r="I394" s="403">
        <v>527</v>
      </c>
      <c r="J394" s="406">
        <f t="shared" si="6"/>
        <v>0.52700000000000002</v>
      </c>
      <c r="K394" s="403">
        <v>1.08</v>
      </c>
      <c r="L394" s="407" t="s">
        <v>2278</v>
      </c>
      <c r="M394" s="403" t="s">
        <v>2178</v>
      </c>
      <c r="N394" s="403" t="s">
        <v>2190</v>
      </c>
      <c r="O394" s="403">
        <v>85442090</v>
      </c>
    </row>
    <row r="395" spans="1:15" hidden="1" x14ac:dyDescent="0.2">
      <c r="A395" s="403">
        <v>186350</v>
      </c>
      <c r="B395" s="403" t="s">
        <v>2173</v>
      </c>
      <c r="C395" s="403" t="s">
        <v>2641</v>
      </c>
      <c r="D395" s="403" t="s">
        <v>2175</v>
      </c>
      <c r="E395" s="405">
        <v>1000</v>
      </c>
      <c r="F395" s="403" t="s">
        <v>2184</v>
      </c>
      <c r="G395" s="403" t="s">
        <v>2177</v>
      </c>
      <c r="H395" s="403">
        <v>118</v>
      </c>
      <c r="I395" s="403">
        <v>117.7</v>
      </c>
      <c r="J395" s="406">
        <f t="shared" si="6"/>
        <v>0.1177</v>
      </c>
      <c r="K395" s="403">
        <v>0.24</v>
      </c>
      <c r="L395" s="407">
        <v>142415905599</v>
      </c>
      <c r="M395" s="403" t="s">
        <v>2178</v>
      </c>
      <c r="N395" s="403" t="s">
        <v>2190</v>
      </c>
      <c r="O395" s="403">
        <v>85447000</v>
      </c>
    </row>
    <row r="396" spans="1:15" hidden="1" x14ac:dyDescent="0.2">
      <c r="A396" s="403">
        <v>154675</v>
      </c>
      <c r="B396" s="403" t="s">
        <v>2173</v>
      </c>
      <c r="C396" s="403" t="s">
        <v>2642</v>
      </c>
      <c r="D396" s="403" t="s">
        <v>2175</v>
      </c>
      <c r="E396" s="405">
        <v>6000</v>
      </c>
      <c r="F396" s="403" t="s">
        <v>2181</v>
      </c>
      <c r="G396" s="403" t="s">
        <v>2256</v>
      </c>
      <c r="H396" s="403">
        <v>588</v>
      </c>
      <c r="I396" s="403">
        <v>592.79999999999995</v>
      </c>
      <c r="J396" s="406">
        <f t="shared" si="6"/>
        <v>9.8799999999999999E-2</v>
      </c>
      <c r="K396" s="403">
        <v>1.026</v>
      </c>
      <c r="L396" s="407">
        <v>142415739084</v>
      </c>
      <c r="M396" s="403" t="s">
        <v>2189</v>
      </c>
      <c r="N396" s="403" t="s">
        <v>2190</v>
      </c>
      <c r="O396" s="403">
        <v>85444220</v>
      </c>
    </row>
    <row r="397" spans="1:15" hidden="1" x14ac:dyDescent="0.2">
      <c r="A397" s="403">
        <v>423333</v>
      </c>
      <c r="B397" s="403" t="s">
        <v>2173</v>
      </c>
      <c r="C397" s="403" t="s">
        <v>2271</v>
      </c>
      <c r="D397" s="403" t="s">
        <v>2186</v>
      </c>
      <c r="E397" s="403">
        <v>50</v>
      </c>
      <c r="F397" s="403" t="s">
        <v>2326</v>
      </c>
      <c r="G397" s="403" t="s">
        <v>2219</v>
      </c>
      <c r="H397" s="403">
        <v>3</v>
      </c>
      <c r="I397" s="403">
        <v>4.3</v>
      </c>
      <c r="J397" s="406">
        <f t="shared" si="6"/>
        <v>8.5999999999999993E-2</v>
      </c>
      <c r="K397" s="403">
        <v>4.6249999999999999E-2</v>
      </c>
      <c r="L397" s="407">
        <v>3020430800317</v>
      </c>
      <c r="M397" s="403" t="s">
        <v>2194</v>
      </c>
      <c r="O397" s="403">
        <v>85447000</v>
      </c>
    </row>
    <row r="398" spans="1:15" hidden="1" x14ac:dyDescent="0.2">
      <c r="A398" s="403">
        <v>231003</v>
      </c>
      <c r="B398" s="403" t="s">
        <v>2173</v>
      </c>
      <c r="C398" s="403" t="s">
        <v>2643</v>
      </c>
      <c r="D398" s="403" t="s">
        <v>2175</v>
      </c>
      <c r="E398" s="405">
        <v>10000</v>
      </c>
      <c r="F398" s="403" t="s">
        <v>2184</v>
      </c>
      <c r="G398" s="403" t="s">
        <v>2192</v>
      </c>
      <c r="H398" s="403">
        <v>108</v>
      </c>
      <c r="I398" s="403">
        <v>108</v>
      </c>
      <c r="J398" s="406">
        <f t="shared" si="6"/>
        <v>1.0800000000000001E-2</v>
      </c>
      <c r="K398" s="403">
        <v>0.77</v>
      </c>
      <c r="L398" s="407">
        <v>142415888640</v>
      </c>
      <c r="M398" s="403" t="s">
        <v>2194</v>
      </c>
      <c r="N398" s="403" t="s">
        <v>2190</v>
      </c>
      <c r="O398" s="403">
        <v>85447000</v>
      </c>
    </row>
    <row r="399" spans="1:15" hidden="1" x14ac:dyDescent="0.2">
      <c r="A399" s="403">
        <v>470520</v>
      </c>
      <c r="B399" s="403" t="s">
        <v>2173</v>
      </c>
      <c r="C399" s="403" t="s">
        <v>2279</v>
      </c>
      <c r="D399" s="403" t="s">
        <v>2186</v>
      </c>
      <c r="E399" s="403">
        <v>2</v>
      </c>
      <c r="F399" s="403" t="s">
        <v>2280</v>
      </c>
      <c r="G399" s="403" t="s">
        <v>2281</v>
      </c>
      <c r="H399" s="403">
        <v>8</v>
      </c>
      <c r="I399" s="403">
        <v>7.8</v>
      </c>
      <c r="J399" s="406">
        <f t="shared" si="6"/>
        <v>3.9</v>
      </c>
      <c r="K399" s="403">
        <v>2.1399999999999999E-2</v>
      </c>
      <c r="L399" s="407">
        <v>3020431584617</v>
      </c>
      <c r="M399" s="403" t="s">
        <v>2194</v>
      </c>
      <c r="O399" s="403">
        <v>85367000</v>
      </c>
    </row>
    <row r="400" spans="1:15" hidden="1" x14ac:dyDescent="0.2">
      <c r="A400" s="403">
        <v>309047</v>
      </c>
      <c r="B400" s="403" t="s">
        <v>2173</v>
      </c>
      <c r="C400" s="403" t="s">
        <v>2644</v>
      </c>
      <c r="D400" s="403" t="s">
        <v>2175</v>
      </c>
      <c r="E400" s="403">
        <v>499</v>
      </c>
      <c r="F400" s="403" t="s">
        <v>2181</v>
      </c>
      <c r="G400" s="403" t="s">
        <v>2645</v>
      </c>
      <c r="H400" s="403">
        <v>315</v>
      </c>
      <c r="I400" s="403">
        <v>180.63800000000001</v>
      </c>
      <c r="J400" s="406">
        <f t="shared" si="6"/>
        <v>0.36199999999999999</v>
      </c>
      <c r="K400" s="403">
        <v>0.62275199999999997</v>
      </c>
      <c r="L400" s="407">
        <v>142612160043</v>
      </c>
      <c r="M400" s="403" t="s">
        <v>2194</v>
      </c>
      <c r="N400" s="403" t="s">
        <v>2190</v>
      </c>
      <c r="O400" s="403">
        <v>85447000</v>
      </c>
    </row>
    <row r="401" spans="1:15" hidden="1" x14ac:dyDescent="0.2">
      <c r="A401" s="403" t="s">
        <v>2646</v>
      </c>
      <c r="B401" s="403" t="s">
        <v>2173</v>
      </c>
      <c r="C401" s="403" t="s">
        <v>2293</v>
      </c>
      <c r="D401" s="403" t="s">
        <v>2175</v>
      </c>
      <c r="E401" s="403">
        <v>20</v>
      </c>
      <c r="F401" s="403" t="s">
        <v>2303</v>
      </c>
      <c r="G401" s="403" t="s">
        <v>2177</v>
      </c>
      <c r="H401" s="403">
        <v>10</v>
      </c>
      <c r="I401" s="403">
        <v>10.4</v>
      </c>
      <c r="J401" s="406">
        <f t="shared" si="6"/>
        <v>0.52</v>
      </c>
      <c r="K401" s="403">
        <v>0.23626</v>
      </c>
      <c r="L401" s="407">
        <v>142415956116</v>
      </c>
      <c r="M401" s="403" t="s">
        <v>2178</v>
      </c>
      <c r="N401" s="403" t="s">
        <v>2295</v>
      </c>
      <c r="O401" s="403">
        <v>85447000</v>
      </c>
    </row>
    <row r="402" spans="1:15" hidden="1" x14ac:dyDescent="0.2">
      <c r="A402" s="403">
        <v>418019</v>
      </c>
      <c r="B402" s="403" t="s">
        <v>2173</v>
      </c>
      <c r="C402" s="403" t="s">
        <v>2647</v>
      </c>
      <c r="D402" s="403" t="s">
        <v>2186</v>
      </c>
      <c r="E402" s="403">
        <v>50</v>
      </c>
      <c r="F402" s="403" t="s">
        <v>2290</v>
      </c>
      <c r="G402" s="403" t="s">
        <v>2438</v>
      </c>
      <c r="H402" s="403">
        <v>53</v>
      </c>
      <c r="I402" s="403">
        <v>53</v>
      </c>
      <c r="J402" s="406">
        <f t="shared" si="6"/>
        <v>1.06</v>
      </c>
      <c r="K402" s="403">
        <v>0.34320000000000001</v>
      </c>
      <c r="L402" s="407">
        <v>142415941461</v>
      </c>
      <c r="M402" s="403" t="s">
        <v>2286</v>
      </c>
      <c r="O402" s="403">
        <v>85369010</v>
      </c>
    </row>
    <row r="403" spans="1:15" hidden="1" x14ac:dyDescent="0.2">
      <c r="A403" s="403" t="s">
        <v>2648</v>
      </c>
      <c r="B403" s="403" t="s">
        <v>2173</v>
      </c>
      <c r="C403" s="403" t="s">
        <v>2293</v>
      </c>
      <c r="D403" s="403" t="s">
        <v>2175</v>
      </c>
      <c r="E403" s="403">
        <v>20</v>
      </c>
      <c r="F403" s="403" t="s">
        <v>2294</v>
      </c>
      <c r="G403" s="403" t="s">
        <v>2219</v>
      </c>
      <c r="H403" s="403">
        <v>1</v>
      </c>
      <c r="I403" s="403">
        <v>1.47</v>
      </c>
      <c r="J403" s="406">
        <f t="shared" si="6"/>
        <v>7.3499999999999996E-2</v>
      </c>
      <c r="K403" s="403">
        <v>7.8399999999999997E-3</v>
      </c>
      <c r="L403" s="407">
        <v>142415956116</v>
      </c>
      <c r="M403" s="403" t="s">
        <v>2178</v>
      </c>
      <c r="N403" s="403" t="s">
        <v>2295</v>
      </c>
      <c r="O403" s="403">
        <v>85444921</v>
      </c>
    </row>
    <row r="404" spans="1:15" hidden="1" x14ac:dyDescent="0.2">
      <c r="A404" s="403" t="s">
        <v>2649</v>
      </c>
      <c r="B404" s="403" t="s">
        <v>2173</v>
      </c>
      <c r="C404" s="403" t="s">
        <v>2293</v>
      </c>
      <c r="D404" s="403" t="s">
        <v>2175</v>
      </c>
      <c r="E404" s="403">
        <v>20</v>
      </c>
      <c r="F404" s="403" t="s">
        <v>2294</v>
      </c>
      <c r="G404" s="403" t="s">
        <v>2219</v>
      </c>
      <c r="H404" s="403">
        <v>1</v>
      </c>
      <c r="I404" s="403">
        <v>1.47</v>
      </c>
      <c r="J404" s="406">
        <f t="shared" si="6"/>
        <v>7.3499999999999996E-2</v>
      </c>
      <c r="K404" s="403">
        <v>7.8399999999999997E-3</v>
      </c>
      <c r="L404" s="407">
        <v>142415956116</v>
      </c>
      <c r="M404" s="403" t="s">
        <v>2178</v>
      </c>
      <c r="N404" s="403" t="s">
        <v>2295</v>
      </c>
      <c r="O404" s="403">
        <v>85444921</v>
      </c>
    </row>
    <row r="405" spans="1:15" hidden="1" x14ac:dyDescent="0.2">
      <c r="A405" s="403" t="s">
        <v>2650</v>
      </c>
      <c r="B405" s="403" t="s">
        <v>2173</v>
      </c>
      <c r="C405" s="403" t="s">
        <v>2293</v>
      </c>
      <c r="D405" s="403" t="s">
        <v>2175</v>
      </c>
      <c r="E405" s="403">
        <v>20</v>
      </c>
      <c r="F405" s="403" t="s">
        <v>2294</v>
      </c>
      <c r="G405" s="403" t="s">
        <v>2219</v>
      </c>
      <c r="H405" s="403">
        <v>1</v>
      </c>
      <c r="I405" s="403">
        <v>1.47</v>
      </c>
      <c r="J405" s="406">
        <f t="shared" si="6"/>
        <v>7.3499999999999996E-2</v>
      </c>
      <c r="K405" s="403">
        <v>7.8399999999999997E-3</v>
      </c>
      <c r="L405" s="407">
        <v>142415956116</v>
      </c>
      <c r="M405" s="403" t="s">
        <v>2178</v>
      </c>
      <c r="N405" s="403" t="s">
        <v>2295</v>
      </c>
      <c r="O405" s="403">
        <v>85444921</v>
      </c>
    </row>
    <row r="406" spans="1:15" hidden="1" x14ac:dyDescent="0.2">
      <c r="A406" s="403" t="s">
        <v>2651</v>
      </c>
      <c r="B406" s="403" t="s">
        <v>2173</v>
      </c>
      <c r="C406" s="403" t="s">
        <v>2293</v>
      </c>
      <c r="D406" s="403" t="s">
        <v>2175</v>
      </c>
      <c r="E406" s="403">
        <v>20</v>
      </c>
      <c r="F406" s="403" t="s">
        <v>2294</v>
      </c>
      <c r="G406" s="403" t="s">
        <v>2219</v>
      </c>
      <c r="H406" s="403">
        <v>1</v>
      </c>
      <c r="I406" s="403">
        <v>1.47</v>
      </c>
      <c r="J406" s="406">
        <f t="shared" si="6"/>
        <v>7.3499999999999996E-2</v>
      </c>
      <c r="K406" s="403">
        <v>7.8399999999999997E-3</v>
      </c>
      <c r="L406" s="407">
        <v>142415956116</v>
      </c>
      <c r="M406" s="403" t="s">
        <v>2178</v>
      </c>
      <c r="N406" s="403" t="s">
        <v>2295</v>
      </c>
      <c r="O406" s="403">
        <v>85444921</v>
      </c>
    </row>
    <row r="407" spans="1:15" hidden="1" x14ac:dyDescent="0.2">
      <c r="A407" s="403" t="s">
        <v>2652</v>
      </c>
      <c r="B407" s="403" t="s">
        <v>2173</v>
      </c>
      <c r="C407" s="403" t="s">
        <v>2293</v>
      </c>
      <c r="D407" s="403" t="s">
        <v>2175</v>
      </c>
      <c r="E407" s="403">
        <v>20</v>
      </c>
      <c r="F407" s="403" t="s">
        <v>2294</v>
      </c>
      <c r="G407" s="403" t="s">
        <v>2219</v>
      </c>
      <c r="H407" s="403">
        <v>1</v>
      </c>
      <c r="I407" s="403">
        <v>1.47</v>
      </c>
      <c r="J407" s="406">
        <f t="shared" si="6"/>
        <v>7.3499999999999996E-2</v>
      </c>
      <c r="K407" s="403">
        <v>7.8399999999999997E-3</v>
      </c>
      <c r="L407" s="407">
        <v>142415956116</v>
      </c>
      <c r="M407" s="403" t="s">
        <v>2178</v>
      </c>
      <c r="N407" s="403" t="s">
        <v>2295</v>
      </c>
      <c r="O407" s="403">
        <v>85444921</v>
      </c>
    </row>
    <row r="408" spans="1:15" hidden="1" x14ac:dyDescent="0.2">
      <c r="A408" s="403">
        <v>185989</v>
      </c>
      <c r="B408" s="403" t="s">
        <v>2173</v>
      </c>
      <c r="C408" s="403" t="s">
        <v>2653</v>
      </c>
      <c r="D408" s="403" t="s">
        <v>2175</v>
      </c>
      <c r="E408" s="405">
        <v>4000</v>
      </c>
      <c r="F408" s="403" t="s">
        <v>2184</v>
      </c>
      <c r="G408" s="403" t="s">
        <v>2435</v>
      </c>
      <c r="H408" s="403">
        <v>312</v>
      </c>
      <c r="I408" s="403">
        <v>312</v>
      </c>
      <c r="J408" s="406">
        <f t="shared" si="6"/>
        <v>7.8E-2</v>
      </c>
      <c r="K408" s="403">
        <v>0.91600000000000004</v>
      </c>
      <c r="L408" s="407">
        <v>142415956116</v>
      </c>
      <c r="M408" s="403" t="s">
        <v>2178</v>
      </c>
      <c r="O408" s="403">
        <v>85447000</v>
      </c>
    </row>
    <row r="409" spans="1:15" hidden="1" x14ac:dyDescent="0.2">
      <c r="A409" s="403">
        <v>191032</v>
      </c>
      <c r="B409" s="403" t="s">
        <v>2173</v>
      </c>
      <c r="C409" s="403" t="s">
        <v>2654</v>
      </c>
      <c r="D409" s="403" t="s">
        <v>2175</v>
      </c>
      <c r="E409" s="405">
        <v>1000</v>
      </c>
      <c r="F409" s="403" t="s">
        <v>2184</v>
      </c>
      <c r="G409" s="403" t="s">
        <v>2177</v>
      </c>
      <c r="H409" s="403">
        <v>405</v>
      </c>
      <c r="I409" s="403">
        <v>405.14</v>
      </c>
      <c r="J409" s="406">
        <f t="shared" si="6"/>
        <v>0.40514</v>
      </c>
      <c r="K409" s="403">
        <v>1.5840000000000001</v>
      </c>
      <c r="L409" s="407">
        <v>142415956116</v>
      </c>
      <c r="M409" s="403" t="s">
        <v>2210</v>
      </c>
      <c r="O409" s="403">
        <v>85444991</v>
      </c>
    </row>
    <row r="410" spans="1:15" hidden="1" x14ac:dyDescent="0.2">
      <c r="A410" s="403">
        <v>191032</v>
      </c>
      <c r="B410" s="403" t="s">
        <v>2173</v>
      </c>
      <c r="C410" s="403" t="s">
        <v>2655</v>
      </c>
      <c r="D410" s="403" t="s">
        <v>2175</v>
      </c>
      <c r="E410" s="405">
        <v>1000</v>
      </c>
      <c r="F410" s="403" t="s">
        <v>2184</v>
      </c>
      <c r="G410" s="403" t="s">
        <v>2177</v>
      </c>
      <c r="H410" s="403">
        <v>405</v>
      </c>
      <c r="I410" s="403">
        <v>405.14</v>
      </c>
      <c r="J410" s="406">
        <f t="shared" si="6"/>
        <v>0.40514</v>
      </c>
      <c r="K410" s="403">
        <v>1.5840000000000001</v>
      </c>
      <c r="L410" s="407">
        <v>142415956116</v>
      </c>
      <c r="M410" s="403" t="s">
        <v>2210</v>
      </c>
      <c r="O410" s="403">
        <v>85444991</v>
      </c>
    </row>
    <row r="411" spans="1:15" hidden="1" x14ac:dyDescent="0.2">
      <c r="A411" s="403" t="s">
        <v>2656</v>
      </c>
      <c r="B411" s="403" t="s">
        <v>2173</v>
      </c>
      <c r="C411" s="403" t="s">
        <v>2293</v>
      </c>
      <c r="D411" s="403" t="s">
        <v>2175</v>
      </c>
      <c r="E411" s="403">
        <v>20</v>
      </c>
      <c r="F411" s="403" t="s">
        <v>2294</v>
      </c>
      <c r="G411" s="403" t="s">
        <v>2219</v>
      </c>
      <c r="H411" s="403">
        <v>1</v>
      </c>
      <c r="I411" s="403">
        <v>0.85</v>
      </c>
      <c r="J411" s="406">
        <f t="shared" si="6"/>
        <v>4.2499999999999996E-2</v>
      </c>
      <c r="K411" s="403">
        <v>9.4599999999999997E-3</v>
      </c>
      <c r="L411" s="407">
        <v>142415956116</v>
      </c>
      <c r="M411" s="403" t="s">
        <v>2178</v>
      </c>
      <c r="N411" s="403" t="s">
        <v>2295</v>
      </c>
      <c r="O411" s="403">
        <v>85447000</v>
      </c>
    </row>
    <row r="412" spans="1:15" hidden="1" x14ac:dyDescent="0.2">
      <c r="A412" s="403" t="s">
        <v>2657</v>
      </c>
      <c r="B412" s="403" t="s">
        <v>2173</v>
      </c>
      <c r="C412" s="403" t="s">
        <v>2293</v>
      </c>
      <c r="D412" s="403" t="s">
        <v>2175</v>
      </c>
      <c r="E412" s="403">
        <v>20</v>
      </c>
      <c r="F412" s="403" t="s">
        <v>2294</v>
      </c>
      <c r="G412" s="403" t="s">
        <v>2219</v>
      </c>
      <c r="H412" s="403">
        <v>1</v>
      </c>
      <c r="I412" s="403">
        <v>1.47</v>
      </c>
      <c r="J412" s="406">
        <f t="shared" si="6"/>
        <v>7.3499999999999996E-2</v>
      </c>
      <c r="K412" s="403">
        <v>7.8399999999999997E-3</v>
      </c>
      <c r="L412" s="407">
        <v>142415956116</v>
      </c>
      <c r="M412" s="403" t="s">
        <v>2178</v>
      </c>
      <c r="N412" s="403" t="s">
        <v>2295</v>
      </c>
      <c r="O412" s="403">
        <v>85447000</v>
      </c>
    </row>
    <row r="413" spans="1:15" hidden="1" x14ac:dyDescent="0.2">
      <c r="A413" s="403" t="s">
        <v>2658</v>
      </c>
      <c r="B413" s="403" t="s">
        <v>2173</v>
      </c>
      <c r="C413" s="403" t="s">
        <v>2293</v>
      </c>
      <c r="D413" s="403" t="s">
        <v>2175</v>
      </c>
      <c r="E413" s="403">
        <v>20</v>
      </c>
      <c r="F413" s="403" t="s">
        <v>2294</v>
      </c>
      <c r="G413" s="403" t="s">
        <v>2219</v>
      </c>
      <c r="H413" s="403">
        <v>3</v>
      </c>
      <c r="I413" s="403">
        <v>2.883</v>
      </c>
      <c r="J413" s="406">
        <f t="shared" si="6"/>
        <v>0.14415</v>
      </c>
      <c r="K413" s="403">
        <v>1.3780000000000001E-2</v>
      </c>
      <c r="L413" s="407">
        <v>142415956116</v>
      </c>
      <c r="M413" s="403" t="s">
        <v>2178</v>
      </c>
      <c r="N413" s="403" t="s">
        <v>2295</v>
      </c>
      <c r="O413" s="403">
        <v>85447000</v>
      </c>
    </row>
    <row r="414" spans="1:15" hidden="1" x14ac:dyDescent="0.2">
      <c r="A414" s="403" t="s">
        <v>2659</v>
      </c>
      <c r="B414" s="403" t="s">
        <v>2173</v>
      </c>
      <c r="C414" s="403" t="s">
        <v>2293</v>
      </c>
      <c r="D414" s="403" t="s">
        <v>2175</v>
      </c>
      <c r="E414" s="403">
        <v>20</v>
      </c>
      <c r="F414" s="403" t="s">
        <v>2294</v>
      </c>
      <c r="G414" s="403" t="s">
        <v>2219</v>
      </c>
      <c r="H414" s="403">
        <v>1</v>
      </c>
      <c r="I414" s="403">
        <v>0.85</v>
      </c>
      <c r="J414" s="406">
        <f t="shared" si="6"/>
        <v>4.2499999999999996E-2</v>
      </c>
      <c r="K414" s="403">
        <v>9.4599999999999997E-3</v>
      </c>
      <c r="L414" s="407">
        <v>142415956116</v>
      </c>
      <c r="M414" s="403" t="s">
        <v>2178</v>
      </c>
      <c r="N414" s="403" t="s">
        <v>2295</v>
      </c>
      <c r="O414" s="403">
        <v>85447000</v>
      </c>
    </row>
    <row r="415" spans="1:15" hidden="1" x14ac:dyDescent="0.2">
      <c r="A415" s="403">
        <v>421311</v>
      </c>
      <c r="B415" s="403" t="s">
        <v>2173</v>
      </c>
      <c r="C415" s="403" t="s">
        <v>2304</v>
      </c>
      <c r="D415" s="403" t="s">
        <v>2186</v>
      </c>
      <c r="E415" s="403">
        <v>100</v>
      </c>
      <c r="F415" s="403" t="s">
        <v>2247</v>
      </c>
      <c r="G415" s="403" t="s">
        <v>2660</v>
      </c>
      <c r="H415" s="403">
        <v>11</v>
      </c>
      <c r="I415" s="403">
        <v>10.7</v>
      </c>
      <c r="J415" s="406">
        <f t="shared" si="6"/>
        <v>0.107</v>
      </c>
      <c r="K415" s="403">
        <v>6.4699999999999994E-2</v>
      </c>
      <c r="L415" s="407">
        <v>142415797709</v>
      </c>
      <c r="M415" s="403" t="s">
        <v>2194</v>
      </c>
      <c r="N415" s="403" t="s">
        <v>2190</v>
      </c>
      <c r="O415" s="403">
        <v>85447000</v>
      </c>
    </row>
    <row r="416" spans="1:15" hidden="1" x14ac:dyDescent="0.2">
      <c r="A416" s="403">
        <v>415226</v>
      </c>
      <c r="B416" s="403" t="s">
        <v>2173</v>
      </c>
      <c r="C416" s="403" t="s">
        <v>2304</v>
      </c>
      <c r="D416" s="403" t="s">
        <v>2186</v>
      </c>
      <c r="E416" s="403">
        <v>15</v>
      </c>
      <c r="F416" s="403" t="s">
        <v>2290</v>
      </c>
      <c r="G416" s="403" t="s">
        <v>2544</v>
      </c>
      <c r="H416" s="403">
        <v>51</v>
      </c>
      <c r="I416" s="403">
        <v>51</v>
      </c>
      <c r="J416" s="406">
        <f t="shared" si="6"/>
        <v>3.4</v>
      </c>
      <c r="K416" s="403">
        <v>0.20880000000000001</v>
      </c>
      <c r="L416" s="407">
        <v>142414843838</v>
      </c>
      <c r="M416" s="403" t="s">
        <v>2189</v>
      </c>
      <c r="N416" s="403" t="s">
        <v>2190</v>
      </c>
      <c r="O416" s="403">
        <v>85369010</v>
      </c>
    </row>
    <row r="417" spans="1:15" hidden="1" x14ac:dyDescent="0.2">
      <c r="A417" s="403">
        <v>423315</v>
      </c>
      <c r="B417" s="403" t="s">
        <v>2173</v>
      </c>
      <c r="C417" s="403" t="s">
        <v>2304</v>
      </c>
      <c r="D417" s="403" t="s">
        <v>2186</v>
      </c>
      <c r="E417" s="403">
        <v>30</v>
      </c>
      <c r="F417" s="403" t="s">
        <v>2661</v>
      </c>
      <c r="G417" s="403" t="s">
        <v>2219</v>
      </c>
      <c r="H417" s="403">
        <v>3</v>
      </c>
      <c r="I417" s="403">
        <v>3.21</v>
      </c>
      <c r="J417" s="406">
        <f t="shared" si="6"/>
        <v>0.107</v>
      </c>
      <c r="K417" s="403">
        <v>4.0230000000000002E-2</v>
      </c>
      <c r="L417" s="407">
        <v>142612140693</v>
      </c>
      <c r="M417" s="403" t="s">
        <v>2194</v>
      </c>
      <c r="N417" s="403" t="s">
        <v>2190</v>
      </c>
      <c r="O417" s="403">
        <v>85447000</v>
      </c>
    </row>
    <row r="418" spans="1:15" hidden="1" x14ac:dyDescent="0.2">
      <c r="A418" s="403">
        <v>423335</v>
      </c>
      <c r="B418" s="403" t="s">
        <v>2173</v>
      </c>
      <c r="C418" s="403" t="s">
        <v>2304</v>
      </c>
      <c r="D418" s="403" t="s">
        <v>2186</v>
      </c>
      <c r="E418" s="403">
        <v>10</v>
      </c>
      <c r="F418" s="403" t="s">
        <v>2290</v>
      </c>
      <c r="G418" s="403" t="s">
        <v>2219</v>
      </c>
      <c r="H418" s="403">
        <v>1</v>
      </c>
      <c r="I418" s="403">
        <v>1.1599999999999999</v>
      </c>
      <c r="J418" s="406">
        <f t="shared" si="6"/>
        <v>0.11599999999999999</v>
      </c>
      <c r="K418" s="403">
        <v>1.8769999999999998E-2</v>
      </c>
      <c r="L418" s="407">
        <v>142415860849</v>
      </c>
      <c r="M418" s="403" t="s">
        <v>2194</v>
      </c>
      <c r="N418" s="403" t="s">
        <v>2190</v>
      </c>
      <c r="O418" s="403">
        <v>85447000</v>
      </c>
    </row>
    <row r="419" spans="1:15" hidden="1" x14ac:dyDescent="0.2">
      <c r="A419" s="403">
        <v>415212</v>
      </c>
      <c r="B419" s="403" t="s">
        <v>2173</v>
      </c>
      <c r="C419" s="403" t="s">
        <v>2308</v>
      </c>
      <c r="D419" s="403" t="s">
        <v>2186</v>
      </c>
      <c r="E419" s="403">
        <v>16</v>
      </c>
      <c r="F419" s="403" t="s">
        <v>2202</v>
      </c>
      <c r="G419" s="403" t="s">
        <v>2408</v>
      </c>
      <c r="H419" s="403">
        <v>8</v>
      </c>
      <c r="I419" s="403">
        <v>8</v>
      </c>
      <c r="J419" s="406">
        <f t="shared" si="6"/>
        <v>0.5</v>
      </c>
      <c r="K419" s="403">
        <v>3.2351999999999999E-2</v>
      </c>
      <c r="L419" s="407">
        <v>142415775185</v>
      </c>
      <c r="M419" s="403" t="s">
        <v>2189</v>
      </c>
      <c r="N419" s="403" t="s">
        <v>2190</v>
      </c>
      <c r="O419" s="403">
        <v>85369010</v>
      </c>
    </row>
    <row r="420" spans="1:15" hidden="1" x14ac:dyDescent="0.2">
      <c r="A420" s="403">
        <v>415203</v>
      </c>
      <c r="B420" s="403" t="s">
        <v>2173</v>
      </c>
      <c r="C420" s="403" t="s">
        <v>2545</v>
      </c>
      <c r="D420" s="403" t="s">
        <v>2186</v>
      </c>
      <c r="E420" s="403">
        <v>30</v>
      </c>
      <c r="F420" s="403" t="s">
        <v>2290</v>
      </c>
      <c r="G420" s="403" t="s">
        <v>2351</v>
      </c>
      <c r="H420" s="403">
        <v>114</v>
      </c>
      <c r="I420" s="403">
        <v>114</v>
      </c>
      <c r="J420" s="406">
        <f t="shared" si="6"/>
        <v>3.8</v>
      </c>
      <c r="K420" s="403">
        <v>0.75839999999999996</v>
      </c>
      <c r="L420" s="407">
        <v>142415949806</v>
      </c>
      <c r="M420" s="403" t="s">
        <v>2189</v>
      </c>
      <c r="O420" s="403">
        <v>73063000</v>
      </c>
    </row>
    <row r="421" spans="1:15" hidden="1" x14ac:dyDescent="0.2">
      <c r="A421" s="403">
        <v>4000753</v>
      </c>
      <c r="B421" s="403" t="s">
        <v>2173</v>
      </c>
      <c r="C421" s="403" t="s">
        <v>2399</v>
      </c>
      <c r="D421" s="403" t="s">
        <v>2186</v>
      </c>
      <c r="E421" s="405">
        <v>1500</v>
      </c>
      <c r="F421" s="403" t="s">
        <v>2662</v>
      </c>
      <c r="G421" s="403" t="s">
        <v>2663</v>
      </c>
      <c r="H421" s="403">
        <v>53</v>
      </c>
      <c r="I421" s="403">
        <v>52.5</v>
      </c>
      <c r="J421" s="406">
        <f t="shared" si="6"/>
        <v>3.5000000000000003E-2</v>
      </c>
      <c r="K421" s="403">
        <v>0.29099999999999998</v>
      </c>
      <c r="L421" s="407">
        <v>142415948345</v>
      </c>
      <c r="M421" s="403" t="s">
        <v>2194</v>
      </c>
      <c r="O421" s="403">
        <v>85444211</v>
      </c>
    </row>
    <row r="422" spans="1:15" hidden="1" x14ac:dyDescent="0.2">
      <c r="A422" s="403">
        <v>309321</v>
      </c>
      <c r="B422" s="403" t="s">
        <v>2173</v>
      </c>
      <c r="C422" s="403" t="s">
        <v>2478</v>
      </c>
      <c r="D422" s="403" t="s">
        <v>2186</v>
      </c>
      <c r="E422" s="405">
        <v>1500</v>
      </c>
      <c r="F422" s="403" t="s">
        <v>2312</v>
      </c>
      <c r="G422" s="403" t="s">
        <v>2343</v>
      </c>
      <c r="H422" s="403">
        <v>80</v>
      </c>
      <c r="I422" s="403">
        <v>87.9</v>
      </c>
      <c r="J422" s="406">
        <f t="shared" si="6"/>
        <v>5.8600000000000006E-2</v>
      </c>
      <c r="K422" s="403">
        <v>0.441</v>
      </c>
      <c r="L422" s="407">
        <v>142415921486</v>
      </c>
      <c r="M422" s="403" t="s">
        <v>2194</v>
      </c>
      <c r="O422" s="403">
        <v>85444921</v>
      </c>
    </row>
    <row r="423" spans="1:15" x14ac:dyDescent="0.2">
      <c r="A423" s="403">
        <v>191454</v>
      </c>
      <c r="B423" s="403" t="s">
        <v>2173</v>
      </c>
      <c r="C423" s="403" t="s">
        <v>2664</v>
      </c>
      <c r="D423" s="403" t="s">
        <v>2175</v>
      </c>
      <c r="E423" s="405">
        <v>12000</v>
      </c>
      <c r="F423" s="403" t="s">
        <v>2181</v>
      </c>
      <c r="G423" s="403" t="s">
        <v>2212</v>
      </c>
      <c r="H423" s="403">
        <v>648</v>
      </c>
      <c r="I423" s="403">
        <v>648</v>
      </c>
      <c r="J423" s="406">
        <f t="shared" si="6"/>
        <v>5.3999999999999999E-2</v>
      </c>
      <c r="K423" s="403">
        <v>1.764</v>
      </c>
      <c r="L423" s="407">
        <v>142415920914</v>
      </c>
      <c r="M423" s="403" t="s">
        <v>2178</v>
      </c>
      <c r="O423" s="403">
        <v>85444921</v>
      </c>
    </row>
    <row r="424" spans="1:15" x14ac:dyDescent="0.2">
      <c r="A424" s="403">
        <v>191454</v>
      </c>
      <c r="B424" s="403" t="s">
        <v>2173</v>
      </c>
      <c r="C424" s="403" t="s">
        <v>2665</v>
      </c>
      <c r="D424" s="403" t="s">
        <v>2175</v>
      </c>
      <c r="E424" s="405">
        <v>12000</v>
      </c>
      <c r="F424" s="403" t="s">
        <v>2181</v>
      </c>
      <c r="G424" s="403" t="s">
        <v>2212</v>
      </c>
      <c r="H424" s="403">
        <v>648</v>
      </c>
      <c r="I424" s="403">
        <v>648</v>
      </c>
      <c r="J424" s="406">
        <f t="shared" si="6"/>
        <v>5.3999999999999999E-2</v>
      </c>
      <c r="K424" s="403">
        <v>1.764</v>
      </c>
      <c r="L424" s="407">
        <v>142415920914</v>
      </c>
      <c r="M424" s="403" t="s">
        <v>2178</v>
      </c>
      <c r="O424" s="403">
        <v>85444921</v>
      </c>
    </row>
    <row r="425" spans="1:15" x14ac:dyDescent="0.2">
      <c r="A425" s="403">
        <v>191454</v>
      </c>
      <c r="B425" s="403" t="s">
        <v>2173</v>
      </c>
      <c r="C425" s="403" t="s">
        <v>2666</v>
      </c>
      <c r="D425" s="403" t="s">
        <v>2175</v>
      </c>
      <c r="E425" s="405">
        <v>12000</v>
      </c>
      <c r="F425" s="403" t="s">
        <v>2181</v>
      </c>
      <c r="G425" s="403" t="s">
        <v>2212</v>
      </c>
      <c r="H425" s="403">
        <v>648</v>
      </c>
      <c r="I425" s="403">
        <v>648</v>
      </c>
      <c r="J425" s="406">
        <f t="shared" si="6"/>
        <v>5.3999999999999999E-2</v>
      </c>
      <c r="K425" s="403">
        <v>1.764</v>
      </c>
      <c r="L425" s="407">
        <v>142415920914</v>
      </c>
      <c r="M425" s="403" t="s">
        <v>2178</v>
      </c>
      <c r="O425" s="403">
        <v>85444921</v>
      </c>
    </row>
    <row r="426" spans="1:15" hidden="1" x14ac:dyDescent="0.2">
      <c r="A426" s="403">
        <v>182924</v>
      </c>
      <c r="B426" s="403" t="s">
        <v>2173</v>
      </c>
      <c r="C426" s="403" t="s">
        <v>2667</v>
      </c>
      <c r="D426" s="403" t="s">
        <v>2175</v>
      </c>
      <c r="E426" s="405">
        <v>7000</v>
      </c>
      <c r="F426" s="403" t="s">
        <v>2181</v>
      </c>
      <c r="G426" s="403" t="s">
        <v>2182</v>
      </c>
      <c r="H426" s="403">
        <v>420</v>
      </c>
      <c r="I426" s="403">
        <v>420</v>
      </c>
      <c r="J426" s="406">
        <f t="shared" si="6"/>
        <v>0.06</v>
      </c>
      <c r="K426" s="403">
        <v>1.0289999999999999</v>
      </c>
      <c r="L426" s="407">
        <v>142415920914</v>
      </c>
      <c r="M426" s="403" t="s">
        <v>2178</v>
      </c>
      <c r="O426" s="403">
        <v>85444921</v>
      </c>
    </row>
    <row r="427" spans="1:15" hidden="1" x14ac:dyDescent="0.2">
      <c r="A427" s="403">
        <v>190355</v>
      </c>
      <c r="B427" s="403" t="s">
        <v>2173</v>
      </c>
      <c r="C427" s="403" t="s">
        <v>2668</v>
      </c>
      <c r="D427" s="403" t="s">
        <v>2175</v>
      </c>
      <c r="E427" s="405">
        <v>2000</v>
      </c>
      <c r="F427" s="403" t="s">
        <v>2184</v>
      </c>
      <c r="G427" s="403" t="s">
        <v>2258</v>
      </c>
      <c r="H427" s="403">
        <v>162</v>
      </c>
      <c r="I427" s="403">
        <v>162</v>
      </c>
      <c r="J427" s="406">
        <f t="shared" si="6"/>
        <v>8.1000000000000003E-2</v>
      </c>
      <c r="K427" s="403">
        <v>0.94</v>
      </c>
      <c r="L427" s="407">
        <v>142415920914</v>
      </c>
      <c r="M427" s="403" t="s">
        <v>2178</v>
      </c>
      <c r="O427" s="403">
        <v>85447000</v>
      </c>
    </row>
    <row r="428" spans="1:15" hidden="1" x14ac:dyDescent="0.2">
      <c r="A428" s="403">
        <v>1407680</v>
      </c>
      <c r="B428" s="403" t="s">
        <v>2173</v>
      </c>
      <c r="C428" s="403" t="s">
        <v>2220</v>
      </c>
      <c r="D428" s="403" t="s">
        <v>2186</v>
      </c>
      <c r="E428" s="403">
        <v>1</v>
      </c>
      <c r="F428" s="403" t="s">
        <v>2280</v>
      </c>
      <c r="G428" s="403" t="s">
        <v>2219</v>
      </c>
      <c r="H428" s="403">
        <v>0</v>
      </c>
      <c r="I428" s="403">
        <v>0.05</v>
      </c>
      <c r="J428" s="406">
        <f t="shared" si="6"/>
        <v>0.05</v>
      </c>
      <c r="K428" s="403">
        <v>2.4500000000000001E-2</v>
      </c>
      <c r="L428" s="407">
        <v>142611828463</v>
      </c>
      <c r="N428" s="403" t="s">
        <v>2190</v>
      </c>
      <c r="O428" s="403">
        <v>85381000</v>
      </c>
    </row>
    <row r="429" spans="1:15" hidden="1" x14ac:dyDescent="0.2">
      <c r="A429" s="403">
        <v>185862</v>
      </c>
      <c r="B429" s="403" t="s">
        <v>2173</v>
      </c>
      <c r="C429" s="403" t="s">
        <v>2198</v>
      </c>
      <c r="D429" s="403" t="s">
        <v>2186</v>
      </c>
      <c r="E429" s="405">
        <v>1594</v>
      </c>
      <c r="F429" s="403" t="s">
        <v>2199</v>
      </c>
      <c r="G429" s="403" t="s">
        <v>2669</v>
      </c>
      <c r="H429" s="403">
        <v>84</v>
      </c>
      <c r="I429" s="403">
        <v>84.481999999999999</v>
      </c>
      <c r="J429" s="406">
        <f t="shared" si="6"/>
        <v>5.2999999999999999E-2</v>
      </c>
      <c r="K429" s="403">
        <v>0.39052999999999999</v>
      </c>
      <c r="L429" s="407">
        <v>142611774361</v>
      </c>
      <c r="M429" s="403" t="s">
        <v>2178</v>
      </c>
      <c r="N429" s="403" t="s">
        <v>2190</v>
      </c>
      <c r="O429" s="403">
        <v>85444210</v>
      </c>
    </row>
    <row r="430" spans="1:15" hidden="1" x14ac:dyDescent="0.2">
      <c r="A430" s="403">
        <v>185989</v>
      </c>
      <c r="B430" s="403" t="s">
        <v>2173</v>
      </c>
      <c r="C430" s="403" t="s">
        <v>2670</v>
      </c>
      <c r="D430" s="403" t="s">
        <v>2175</v>
      </c>
      <c r="E430" s="405">
        <v>6000</v>
      </c>
      <c r="F430" s="403" t="s">
        <v>2184</v>
      </c>
      <c r="G430" s="403" t="s">
        <v>2241</v>
      </c>
      <c r="H430" s="403">
        <v>468</v>
      </c>
      <c r="I430" s="403">
        <v>468</v>
      </c>
      <c r="J430" s="406">
        <f t="shared" si="6"/>
        <v>7.8E-2</v>
      </c>
      <c r="K430" s="403">
        <v>1.3740000000000001</v>
      </c>
      <c r="L430" s="407">
        <v>142415723027</v>
      </c>
      <c r="M430" s="403" t="s">
        <v>2178</v>
      </c>
      <c r="N430" s="403" t="s">
        <v>2190</v>
      </c>
      <c r="O430" s="403">
        <v>85447000</v>
      </c>
    </row>
    <row r="431" spans="1:15" hidden="1" x14ac:dyDescent="0.2">
      <c r="A431" s="403">
        <v>193360</v>
      </c>
      <c r="B431" s="403" t="s">
        <v>2173</v>
      </c>
      <c r="C431" s="403" t="s">
        <v>2671</v>
      </c>
      <c r="D431" s="403" t="s">
        <v>2175</v>
      </c>
      <c r="E431" s="405">
        <v>2000</v>
      </c>
      <c r="F431" s="403" t="s">
        <v>2184</v>
      </c>
      <c r="G431" s="403" t="s">
        <v>2258</v>
      </c>
      <c r="H431" s="403">
        <v>156</v>
      </c>
      <c r="I431" s="403">
        <v>156</v>
      </c>
      <c r="J431" s="406">
        <f t="shared" si="6"/>
        <v>7.8E-2</v>
      </c>
      <c r="K431" s="403">
        <v>0.53800000000000003</v>
      </c>
      <c r="L431" s="407">
        <v>142415591190</v>
      </c>
      <c r="M431" s="403" t="s">
        <v>2178</v>
      </c>
      <c r="N431" s="403" t="s">
        <v>2190</v>
      </c>
      <c r="O431" s="403">
        <v>85447000</v>
      </c>
    </row>
    <row r="432" spans="1:15" hidden="1" x14ac:dyDescent="0.2">
      <c r="A432" s="403">
        <v>194215</v>
      </c>
      <c r="B432" s="403" t="s">
        <v>2173</v>
      </c>
      <c r="C432" s="403" t="s">
        <v>2672</v>
      </c>
      <c r="D432" s="403" t="s">
        <v>2175</v>
      </c>
      <c r="E432" s="405">
        <v>5000</v>
      </c>
      <c r="F432" s="403" t="s">
        <v>2181</v>
      </c>
      <c r="G432" s="403" t="s">
        <v>2192</v>
      </c>
      <c r="H432" s="403">
        <v>314</v>
      </c>
      <c r="I432" s="403">
        <v>314</v>
      </c>
      <c r="J432" s="406">
        <f t="shared" si="6"/>
        <v>6.2799999999999995E-2</v>
      </c>
      <c r="K432" s="403">
        <v>0.98499999999999999</v>
      </c>
      <c r="L432" s="407">
        <v>142415783151</v>
      </c>
      <c r="M432" s="403" t="s">
        <v>2178</v>
      </c>
      <c r="N432" s="403" t="s">
        <v>2190</v>
      </c>
      <c r="O432" s="403">
        <v>85444929</v>
      </c>
    </row>
    <row r="433" spans="1:15" hidden="1" x14ac:dyDescent="0.2">
      <c r="A433" s="403">
        <v>240601</v>
      </c>
      <c r="B433" s="403" t="s">
        <v>2173</v>
      </c>
      <c r="C433" s="403" t="s">
        <v>2673</v>
      </c>
      <c r="D433" s="403" t="s">
        <v>2186</v>
      </c>
      <c r="E433" s="405">
        <v>2764</v>
      </c>
      <c r="F433" s="403" t="s">
        <v>2233</v>
      </c>
      <c r="G433" s="403" t="s">
        <v>2674</v>
      </c>
      <c r="H433" s="403">
        <v>152</v>
      </c>
      <c r="I433" s="403">
        <v>152.02000000000001</v>
      </c>
      <c r="J433" s="406">
        <f t="shared" si="6"/>
        <v>5.5E-2</v>
      </c>
      <c r="K433" s="403">
        <v>0.50581200000000004</v>
      </c>
      <c r="L433" s="407">
        <v>142612160043</v>
      </c>
      <c r="M433" s="403" t="s">
        <v>2194</v>
      </c>
      <c r="N433" s="403" t="s">
        <v>2190</v>
      </c>
      <c r="O433" s="403">
        <v>39269099</v>
      </c>
    </row>
    <row r="434" spans="1:15" hidden="1" x14ac:dyDescent="0.2">
      <c r="A434" s="403">
        <v>653516</v>
      </c>
      <c r="B434" s="403" t="s">
        <v>2173</v>
      </c>
      <c r="C434" s="403" t="s">
        <v>2325</v>
      </c>
      <c r="D434" s="403" t="s">
        <v>2186</v>
      </c>
      <c r="E434" s="403">
        <v>100</v>
      </c>
      <c r="F434" s="403" t="s">
        <v>2326</v>
      </c>
      <c r="G434" s="403" t="s">
        <v>2281</v>
      </c>
      <c r="H434" s="403">
        <v>22</v>
      </c>
      <c r="I434" s="403">
        <v>21.5</v>
      </c>
      <c r="J434" s="406">
        <f t="shared" si="6"/>
        <v>0.215</v>
      </c>
      <c r="K434" s="403">
        <v>7.0999999999999994E-2</v>
      </c>
      <c r="L434" s="407">
        <v>142415293695</v>
      </c>
      <c r="M434" s="403" t="s">
        <v>2204</v>
      </c>
      <c r="N434" s="403" t="s">
        <v>2190</v>
      </c>
      <c r="O434" s="403">
        <v>85444210</v>
      </c>
    </row>
    <row r="435" spans="1:15" hidden="1" x14ac:dyDescent="0.2">
      <c r="A435" s="403">
        <v>191453</v>
      </c>
      <c r="B435" s="403" t="s">
        <v>2173</v>
      </c>
      <c r="C435" s="403" t="s">
        <v>2675</v>
      </c>
      <c r="D435" s="403" t="s">
        <v>2175</v>
      </c>
      <c r="E435" s="405">
        <v>12000</v>
      </c>
      <c r="F435" s="403" t="s">
        <v>2181</v>
      </c>
      <c r="G435" s="403" t="s">
        <v>2212</v>
      </c>
      <c r="H435" s="403">
        <v>648</v>
      </c>
      <c r="I435" s="403">
        <v>648</v>
      </c>
      <c r="J435" s="406">
        <f t="shared" si="6"/>
        <v>5.3999999999999999E-2</v>
      </c>
      <c r="K435" s="403">
        <v>1.764</v>
      </c>
      <c r="L435" s="407">
        <v>142415938312</v>
      </c>
      <c r="M435" s="403" t="s">
        <v>2178</v>
      </c>
      <c r="O435" s="403">
        <v>85444921</v>
      </c>
    </row>
    <row r="436" spans="1:15" hidden="1" x14ac:dyDescent="0.2">
      <c r="A436" s="403">
        <v>4000611</v>
      </c>
      <c r="B436" s="403" t="s">
        <v>2173</v>
      </c>
      <c r="C436" s="403" t="s">
        <v>2676</v>
      </c>
      <c r="D436" s="403" t="s">
        <v>2206</v>
      </c>
      <c r="E436" s="403">
        <v>1</v>
      </c>
      <c r="F436" s="403" t="s">
        <v>2207</v>
      </c>
      <c r="G436" s="403" t="s">
        <v>2208</v>
      </c>
      <c r="H436" s="403">
        <v>130</v>
      </c>
      <c r="I436" s="403">
        <v>130</v>
      </c>
      <c r="J436" s="406">
        <f t="shared" si="6"/>
        <v>130</v>
      </c>
      <c r="K436" s="403">
        <v>1.426023</v>
      </c>
      <c r="L436" s="407">
        <v>142415880145</v>
      </c>
      <c r="M436" s="403" t="s">
        <v>2194</v>
      </c>
      <c r="N436" s="403" t="s">
        <v>2190</v>
      </c>
      <c r="O436" s="403">
        <v>85371000</v>
      </c>
    </row>
    <row r="437" spans="1:15" hidden="1" x14ac:dyDescent="0.2">
      <c r="A437" s="403">
        <v>4000788</v>
      </c>
      <c r="B437" s="403" t="s">
        <v>2173</v>
      </c>
      <c r="C437" s="403" t="s">
        <v>2677</v>
      </c>
      <c r="D437" s="403" t="s">
        <v>2186</v>
      </c>
      <c r="E437" s="403">
        <v>100</v>
      </c>
      <c r="F437" s="403" t="s">
        <v>2345</v>
      </c>
      <c r="G437" s="403" t="s">
        <v>2372</v>
      </c>
      <c r="H437" s="403">
        <v>311</v>
      </c>
      <c r="I437" s="403">
        <v>311</v>
      </c>
      <c r="J437" s="406">
        <f t="shared" si="6"/>
        <v>3.11</v>
      </c>
      <c r="K437" s="403">
        <v>1.1160000000000001</v>
      </c>
      <c r="L437" s="407">
        <v>142415952909</v>
      </c>
      <c r="M437" s="403" t="s">
        <v>2194</v>
      </c>
      <c r="O437" s="403">
        <v>85371000</v>
      </c>
    </row>
    <row r="438" spans="1:15" hidden="1" x14ac:dyDescent="0.2">
      <c r="A438" s="403">
        <v>240563</v>
      </c>
      <c r="B438" s="403" t="s">
        <v>2173</v>
      </c>
      <c r="C438" s="403" t="s">
        <v>2678</v>
      </c>
      <c r="D438" s="403" t="s">
        <v>2175</v>
      </c>
      <c r="E438" s="405">
        <v>9150</v>
      </c>
      <c r="F438" s="403" t="s">
        <v>2224</v>
      </c>
      <c r="G438" s="403" t="s">
        <v>2225</v>
      </c>
      <c r="H438" s="403">
        <v>384</v>
      </c>
      <c r="I438" s="403">
        <v>384.3</v>
      </c>
      <c r="J438" s="406">
        <f t="shared" si="6"/>
        <v>4.2000000000000003E-2</v>
      </c>
      <c r="K438" s="403">
        <v>1.1346000000000001</v>
      </c>
      <c r="L438" s="407">
        <v>142415784924</v>
      </c>
      <c r="M438" s="403" t="s">
        <v>2194</v>
      </c>
      <c r="N438" s="403" t="s">
        <v>2190</v>
      </c>
      <c r="O438" s="403">
        <v>85442090</v>
      </c>
    </row>
    <row r="439" spans="1:15" hidden="1" x14ac:dyDescent="0.2">
      <c r="A439" s="403">
        <v>240563</v>
      </c>
      <c r="B439" s="403" t="s">
        <v>2173</v>
      </c>
      <c r="C439" s="403" t="s">
        <v>2679</v>
      </c>
      <c r="D439" s="403" t="s">
        <v>2175</v>
      </c>
      <c r="E439" s="405">
        <v>9150</v>
      </c>
      <c r="F439" s="403" t="s">
        <v>2224</v>
      </c>
      <c r="G439" s="403" t="s">
        <v>2225</v>
      </c>
      <c r="H439" s="403">
        <v>384</v>
      </c>
      <c r="I439" s="403">
        <v>384.3</v>
      </c>
      <c r="J439" s="406">
        <f t="shared" si="6"/>
        <v>4.2000000000000003E-2</v>
      </c>
      <c r="K439" s="403">
        <v>1.1346000000000001</v>
      </c>
      <c r="L439" s="407">
        <v>142415784924</v>
      </c>
      <c r="M439" s="403" t="s">
        <v>2194</v>
      </c>
      <c r="N439" s="403" t="s">
        <v>2190</v>
      </c>
      <c r="O439" s="403">
        <v>85442090</v>
      </c>
    </row>
    <row r="440" spans="1:15" hidden="1" x14ac:dyDescent="0.2">
      <c r="A440" s="403">
        <v>240563</v>
      </c>
      <c r="B440" s="403" t="s">
        <v>2173</v>
      </c>
      <c r="C440" s="403" t="s">
        <v>2680</v>
      </c>
      <c r="D440" s="403" t="s">
        <v>2175</v>
      </c>
      <c r="E440" s="405">
        <v>9150</v>
      </c>
      <c r="F440" s="403" t="s">
        <v>2224</v>
      </c>
      <c r="G440" s="403" t="s">
        <v>2225</v>
      </c>
      <c r="H440" s="403">
        <v>384</v>
      </c>
      <c r="I440" s="403">
        <v>384.3</v>
      </c>
      <c r="J440" s="406">
        <f t="shared" si="6"/>
        <v>4.2000000000000003E-2</v>
      </c>
      <c r="K440" s="403">
        <v>1.1346000000000001</v>
      </c>
      <c r="L440" s="407">
        <v>142415758139</v>
      </c>
      <c r="M440" s="403" t="s">
        <v>2194</v>
      </c>
      <c r="N440" s="403" t="s">
        <v>2190</v>
      </c>
      <c r="O440" s="403">
        <v>85442090</v>
      </c>
    </row>
    <row r="441" spans="1:15" hidden="1" x14ac:dyDescent="0.2">
      <c r="A441" s="403">
        <v>240563</v>
      </c>
      <c r="B441" s="403" t="s">
        <v>2173</v>
      </c>
      <c r="C441" s="403" t="s">
        <v>2681</v>
      </c>
      <c r="D441" s="403" t="s">
        <v>2175</v>
      </c>
      <c r="E441" s="405">
        <v>9150</v>
      </c>
      <c r="F441" s="403" t="s">
        <v>2224</v>
      </c>
      <c r="G441" s="403" t="s">
        <v>2225</v>
      </c>
      <c r="H441" s="403">
        <v>384</v>
      </c>
      <c r="I441" s="403">
        <v>384.3</v>
      </c>
      <c r="J441" s="406">
        <f t="shared" si="6"/>
        <v>4.2000000000000003E-2</v>
      </c>
      <c r="K441" s="403">
        <v>1.1346000000000001</v>
      </c>
      <c r="L441" s="407">
        <v>142415758139</v>
      </c>
      <c r="M441" s="403" t="s">
        <v>2194</v>
      </c>
      <c r="N441" s="403" t="s">
        <v>2190</v>
      </c>
      <c r="O441" s="403">
        <v>85442090</v>
      </c>
    </row>
    <row r="442" spans="1:15" hidden="1" x14ac:dyDescent="0.2">
      <c r="A442" s="403">
        <v>185863</v>
      </c>
      <c r="B442" s="403" t="s">
        <v>2173</v>
      </c>
      <c r="C442" s="403" t="s">
        <v>2502</v>
      </c>
      <c r="D442" s="403" t="s">
        <v>2186</v>
      </c>
      <c r="E442" s="403">
        <v>710</v>
      </c>
      <c r="F442" s="403" t="s">
        <v>2199</v>
      </c>
      <c r="G442" s="403" t="s">
        <v>2682</v>
      </c>
      <c r="H442" s="403">
        <v>40</v>
      </c>
      <c r="I442" s="403">
        <v>40.115000000000002</v>
      </c>
      <c r="J442" s="406">
        <f t="shared" si="6"/>
        <v>5.6500000000000002E-2</v>
      </c>
      <c r="K442" s="403">
        <v>0.17394999999999999</v>
      </c>
      <c r="L442" s="407">
        <v>142611774361</v>
      </c>
      <c r="M442" s="403" t="s">
        <v>2194</v>
      </c>
      <c r="N442" s="403" t="s">
        <v>2190</v>
      </c>
      <c r="O442" s="403">
        <v>85366910</v>
      </c>
    </row>
    <row r="443" spans="1:15" hidden="1" x14ac:dyDescent="0.2">
      <c r="A443" s="403">
        <v>185863</v>
      </c>
      <c r="B443" s="403" t="s">
        <v>2173</v>
      </c>
      <c r="C443" s="403" t="s">
        <v>2502</v>
      </c>
      <c r="D443" s="403" t="s">
        <v>2186</v>
      </c>
      <c r="E443" s="405">
        <v>1200</v>
      </c>
      <c r="F443" s="403" t="s">
        <v>2199</v>
      </c>
      <c r="G443" s="403" t="s">
        <v>2663</v>
      </c>
      <c r="H443" s="403">
        <v>68</v>
      </c>
      <c r="I443" s="403">
        <v>67.8</v>
      </c>
      <c r="J443" s="406">
        <f t="shared" si="6"/>
        <v>5.6499999999999995E-2</v>
      </c>
      <c r="K443" s="403">
        <v>0.29399999999999998</v>
      </c>
      <c r="L443" s="407">
        <v>142611828463</v>
      </c>
      <c r="M443" s="403" t="s">
        <v>2194</v>
      </c>
      <c r="N443" s="403" t="s">
        <v>2190</v>
      </c>
      <c r="O443" s="403">
        <v>85366910</v>
      </c>
    </row>
    <row r="444" spans="1:15" hidden="1" x14ac:dyDescent="0.2">
      <c r="A444" s="403">
        <v>185863</v>
      </c>
      <c r="B444" s="403" t="s">
        <v>2173</v>
      </c>
      <c r="C444" s="403" t="s">
        <v>2424</v>
      </c>
      <c r="D444" s="403" t="s">
        <v>2186</v>
      </c>
      <c r="E444" s="405">
        <v>2306</v>
      </c>
      <c r="F444" s="403" t="s">
        <v>2199</v>
      </c>
      <c r="G444" s="403" t="s">
        <v>2683</v>
      </c>
      <c r="H444" s="403">
        <v>130</v>
      </c>
      <c r="I444" s="403">
        <v>130.28899999999999</v>
      </c>
      <c r="J444" s="406">
        <f t="shared" si="6"/>
        <v>5.6499999999999995E-2</v>
      </c>
      <c r="K444" s="403">
        <v>0.56496999999999997</v>
      </c>
      <c r="L444" s="407">
        <v>142414725779</v>
      </c>
      <c r="M444" s="403" t="s">
        <v>2194</v>
      </c>
      <c r="N444" s="403" t="s">
        <v>2190</v>
      </c>
      <c r="O444" s="403">
        <v>85366910</v>
      </c>
    </row>
    <row r="445" spans="1:15" hidden="1" x14ac:dyDescent="0.2">
      <c r="A445" s="403">
        <v>4000635</v>
      </c>
      <c r="B445" s="403" t="s">
        <v>2173</v>
      </c>
      <c r="C445" s="403" t="s">
        <v>2506</v>
      </c>
      <c r="D445" s="403" t="s">
        <v>2186</v>
      </c>
      <c r="E445" s="405">
        <v>3196</v>
      </c>
      <c r="F445" s="403" t="s">
        <v>2196</v>
      </c>
      <c r="G445" s="403" t="s">
        <v>2684</v>
      </c>
      <c r="H445" s="403">
        <v>32</v>
      </c>
      <c r="I445" s="403">
        <v>31.96</v>
      </c>
      <c r="J445" s="406">
        <f t="shared" si="6"/>
        <v>0.01</v>
      </c>
      <c r="K445" s="403">
        <v>0.220524</v>
      </c>
      <c r="L445" s="407">
        <v>142415760947</v>
      </c>
      <c r="M445" s="403" t="s">
        <v>2194</v>
      </c>
      <c r="N445" s="403" t="s">
        <v>2190</v>
      </c>
      <c r="O445" s="403">
        <v>85447000</v>
      </c>
    </row>
    <row r="446" spans="1:15" hidden="1" x14ac:dyDescent="0.2">
      <c r="A446" s="403">
        <v>418070</v>
      </c>
      <c r="B446" s="403" t="s">
        <v>2173</v>
      </c>
      <c r="C446" s="403" t="s">
        <v>2685</v>
      </c>
      <c r="D446" s="403" t="s">
        <v>2186</v>
      </c>
      <c r="E446" s="405">
        <v>1000</v>
      </c>
      <c r="F446" s="403" t="s">
        <v>2285</v>
      </c>
      <c r="G446" s="403" t="s">
        <v>2458</v>
      </c>
      <c r="H446" s="403">
        <v>21</v>
      </c>
      <c r="I446" s="403">
        <v>21</v>
      </c>
      <c r="J446" s="406">
        <f t="shared" si="6"/>
        <v>2.1000000000000001E-2</v>
      </c>
      <c r="K446" s="403">
        <v>0.23699999999999999</v>
      </c>
      <c r="L446" s="407">
        <v>142415809884</v>
      </c>
      <c r="M446" s="403" t="s">
        <v>2286</v>
      </c>
      <c r="N446" s="403" t="s">
        <v>2190</v>
      </c>
      <c r="O446" s="403">
        <v>85369010</v>
      </c>
    </row>
    <row r="447" spans="1:15" hidden="1" x14ac:dyDescent="0.2">
      <c r="A447" s="403">
        <v>429921</v>
      </c>
      <c r="B447" s="403" t="s">
        <v>2173</v>
      </c>
      <c r="C447" s="403" t="s">
        <v>2506</v>
      </c>
      <c r="D447" s="403" t="s">
        <v>2186</v>
      </c>
      <c r="E447" s="405">
        <v>1000</v>
      </c>
      <c r="F447" s="403" t="s">
        <v>2196</v>
      </c>
      <c r="G447" s="403" t="s">
        <v>2686</v>
      </c>
      <c r="H447" s="403">
        <v>11</v>
      </c>
      <c r="I447" s="403">
        <v>10.6</v>
      </c>
      <c r="J447" s="406">
        <f t="shared" si="6"/>
        <v>1.06E-2</v>
      </c>
      <c r="K447" s="403">
        <v>6.5000000000000002E-2</v>
      </c>
      <c r="L447" s="407">
        <v>142415898111</v>
      </c>
      <c r="M447" s="403" t="s">
        <v>2194</v>
      </c>
      <c r="N447" s="403" t="s">
        <v>2190</v>
      </c>
      <c r="O447" s="403">
        <v>85447000</v>
      </c>
    </row>
    <row r="448" spans="1:15" hidden="1" x14ac:dyDescent="0.2">
      <c r="A448" s="403">
        <v>182943</v>
      </c>
      <c r="B448" s="403" t="s">
        <v>2173</v>
      </c>
      <c r="C448" s="403" t="s">
        <v>2687</v>
      </c>
      <c r="D448" s="403" t="s">
        <v>2175</v>
      </c>
      <c r="E448" s="403">
        <v>485</v>
      </c>
      <c r="F448" s="403" t="s">
        <v>2181</v>
      </c>
      <c r="G448" s="403" t="s">
        <v>2688</v>
      </c>
      <c r="H448" s="403">
        <v>36</v>
      </c>
      <c r="I448" s="403">
        <v>35.89</v>
      </c>
      <c r="J448" s="406">
        <f t="shared" si="6"/>
        <v>7.3999999999999996E-2</v>
      </c>
      <c r="K448" s="403">
        <v>0.24298500000000001</v>
      </c>
      <c r="L448" s="407">
        <v>1140303509714</v>
      </c>
      <c r="M448" s="403" t="s">
        <v>2178</v>
      </c>
      <c r="N448" s="403" t="s">
        <v>2190</v>
      </c>
      <c r="O448" s="403">
        <v>85444910</v>
      </c>
    </row>
    <row r="449" spans="1:15" x14ac:dyDescent="0.2">
      <c r="A449" s="403">
        <v>191454</v>
      </c>
      <c r="B449" s="403" t="s">
        <v>2173</v>
      </c>
      <c r="C449" s="403" t="s">
        <v>2689</v>
      </c>
      <c r="D449" s="403" t="s">
        <v>2175</v>
      </c>
      <c r="E449" s="405">
        <v>12000</v>
      </c>
      <c r="F449" s="403" t="s">
        <v>2181</v>
      </c>
      <c r="G449" s="403" t="s">
        <v>2212</v>
      </c>
      <c r="H449" s="403">
        <v>648</v>
      </c>
      <c r="I449" s="403">
        <v>648</v>
      </c>
      <c r="J449" s="406">
        <f t="shared" si="6"/>
        <v>5.3999999999999999E-2</v>
      </c>
      <c r="K449" s="403">
        <v>1.764</v>
      </c>
      <c r="L449" s="407">
        <v>142415736116</v>
      </c>
      <c r="M449" s="403" t="s">
        <v>2178</v>
      </c>
      <c r="N449" s="403" t="s">
        <v>2190</v>
      </c>
      <c r="O449" s="403">
        <v>85444929</v>
      </c>
    </row>
    <row r="450" spans="1:15" hidden="1" x14ac:dyDescent="0.2">
      <c r="A450" s="403" t="s">
        <v>2690</v>
      </c>
      <c r="B450" s="403" t="s">
        <v>2173</v>
      </c>
      <c r="C450" s="403" t="s">
        <v>2522</v>
      </c>
      <c r="D450" s="403" t="s">
        <v>2175</v>
      </c>
      <c r="E450" s="403">
        <v>305</v>
      </c>
      <c r="F450" s="403" t="s">
        <v>2224</v>
      </c>
      <c r="G450" s="403" t="s">
        <v>2219</v>
      </c>
      <c r="H450" s="403">
        <v>20</v>
      </c>
      <c r="I450" s="403">
        <v>19.978000000000002</v>
      </c>
      <c r="J450" s="406">
        <f t="shared" ref="J450:J513" si="7">I450/E450</f>
        <v>6.55016393442623E-2</v>
      </c>
      <c r="K450" s="403">
        <v>4.7274999999999998E-2</v>
      </c>
      <c r="L450" s="407">
        <v>142114077954</v>
      </c>
      <c r="M450" s="403" t="s">
        <v>2194</v>
      </c>
      <c r="N450" s="403" t="s">
        <v>2190</v>
      </c>
      <c r="O450" s="403">
        <v>85444929</v>
      </c>
    </row>
    <row r="451" spans="1:15" hidden="1" x14ac:dyDescent="0.2">
      <c r="A451" s="403">
        <v>4000614</v>
      </c>
      <c r="B451" s="403" t="s">
        <v>2173</v>
      </c>
      <c r="C451" s="403" t="s">
        <v>2691</v>
      </c>
      <c r="D451" s="403" t="s">
        <v>2186</v>
      </c>
      <c r="E451" s="403">
        <v>4</v>
      </c>
      <c r="F451" s="403" t="s">
        <v>2207</v>
      </c>
      <c r="G451" s="403" t="s">
        <v>2245</v>
      </c>
      <c r="H451" s="403">
        <v>112</v>
      </c>
      <c r="I451" s="403">
        <v>112</v>
      </c>
      <c r="J451" s="406">
        <f t="shared" si="7"/>
        <v>28</v>
      </c>
      <c r="K451" s="403">
        <v>1.0311840000000001</v>
      </c>
      <c r="L451" s="407">
        <v>142415761142</v>
      </c>
      <c r="M451" s="403" t="s">
        <v>2194</v>
      </c>
      <c r="N451" s="403" t="s">
        <v>2190</v>
      </c>
      <c r="O451" s="403">
        <v>85371000</v>
      </c>
    </row>
    <row r="452" spans="1:15" hidden="1" x14ac:dyDescent="0.2">
      <c r="A452" s="403">
        <v>4000614</v>
      </c>
      <c r="B452" s="403" t="s">
        <v>2173</v>
      </c>
      <c r="C452" s="403" t="s">
        <v>2692</v>
      </c>
      <c r="D452" s="403" t="s">
        <v>2186</v>
      </c>
      <c r="E452" s="403">
        <v>4</v>
      </c>
      <c r="F452" s="403" t="s">
        <v>2207</v>
      </c>
      <c r="G452" s="403" t="s">
        <v>2245</v>
      </c>
      <c r="H452" s="403">
        <v>112</v>
      </c>
      <c r="I452" s="403">
        <v>112</v>
      </c>
      <c r="J452" s="406">
        <f t="shared" si="7"/>
        <v>28</v>
      </c>
      <c r="K452" s="403">
        <v>1.0311840000000001</v>
      </c>
      <c r="L452" s="407">
        <v>142415761142</v>
      </c>
      <c r="M452" s="403" t="s">
        <v>2194</v>
      </c>
      <c r="N452" s="403" t="s">
        <v>2190</v>
      </c>
      <c r="O452" s="403">
        <v>85371000</v>
      </c>
    </row>
    <row r="453" spans="1:15" hidden="1" x14ac:dyDescent="0.2">
      <c r="A453" s="403">
        <v>4000614</v>
      </c>
      <c r="B453" s="403" t="s">
        <v>2173</v>
      </c>
      <c r="C453" s="403" t="s">
        <v>2693</v>
      </c>
      <c r="D453" s="403" t="s">
        <v>2186</v>
      </c>
      <c r="E453" s="403">
        <v>4</v>
      </c>
      <c r="F453" s="403" t="s">
        <v>2207</v>
      </c>
      <c r="G453" s="403" t="s">
        <v>2245</v>
      </c>
      <c r="H453" s="403">
        <v>112</v>
      </c>
      <c r="I453" s="403">
        <v>112</v>
      </c>
      <c r="J453" s="406">
        <f t="shared" si="7"/>
        <v>28</v>
      </c>
      <c r="K453" s="403">
        <v>1.0311840000000001</v>
      </c>
      <c r="L453" s="407">
        <v>142415761142</v>
      </c>
      <c r="M453" s="403" t="s">
        <v>2194</v>
      </c>
      <c r="N453" s="403" t="s">
        <v>2190</v>
      </c>
      <c r="O453" s="403">
        <v>85371000</v>
      </c>
    </row>
    <row r="454" spans="1:15" hidden="1" x14ac:dyDescent="0.2">
      <c r="A454" s="403">
        <v>653510</v>
      </c>
      <c r="B454" s="403" t="s">
        <v>2173</v>
      </c>
      <c r="C454" s="403" t="s">
        <v>2574</v>
      </c>
      <c r="D454" s="403" t="s">
        <v>2186</v>
      </c>
      <c r="E454" s="405">
        <v>1274</v>
      </c>
      <c r="F454" s="403" t="s">
        <v>2497</v>
      </c>
      <c r="G454" s="403" t="s">
        <v>2694</v>
      </c>
      <c r="H454" s="403">
        <v>130</v>
      </c>
      <c r="I454" s="403">
        <v>129.94800000000001</v>
      </c>
      <c r="J454" s="406">
        <f t="shared" si="7"/>
        <v>0.10200000000000001</v>
      </c>
      <c r="K454" s="403">
        <v>0.52743600000000002</v>
      </c>
      <c r="L454" s="407">
        <v>142415907728</v>
      </c>
      <c r="M454" s="403" t="s">
        <v>2204</v>
      </c>
      <c r="N454" s="403" t="s">
        <v>2190</v>
      </c>
      <c r="O454" s="403">
        <v>85444210</v>
      </c>
    </row>
    <row r="455" spans="1:15" hidden="1" x14ac:dyDescent="0.2">
      <c r="A455" s="403">
        <v>240562</v>
      </c>
      <c r="B455" s="403" t="s">
        <v>2173</v>
      </c>
      <c r="C455" s="403" t="s">
        <v>2695</v>
      </c>
      <c r="D455" s="403" t="s">
        <v>2175</v>
      </c>
      <c r="E455" s="405">
        <v>18300</v>
      </c>
      <c r="F455" s="403" t="s">
        <v>2224</v>
      </c>
      <c r="G455" s="403" t="s">
        <v>2696</v>
      </c>
      <c r="H455" s="403">
        <v>769</v>
      </c>
      <c r="I455" s="403">
        <v>768.6</v>
      </c>
      <c r="J455" s="406">
        <f t="shared" si="7"/>
        <v>4.2000000000000003E-2</v>
      </c>
      <c r="K455" s="403">
        <v>2.2692000000000001</v>
      </c>
      <c r="L455" s="407">
        <v>142415888640</v>
      </c>
      <c r="M455" s="403" t="s">
        <v>2194</v>
      </c>
      <c r="N455" s="403" t="s">
        <v>2190</v>
      </c>
      <c r="O455" s="403">
        <v>85442090</v>
      </c>
    </row>
    <row r="456" spans="1:15" hidden="1" x14ac:dyDescent="0.2">
      <c r="A456" s="403">
        <v>240562</v>
      </c>
      <c r="B456" s="403" t="s">
        <v>2173</v>
      </c>
      <c r="C456" s="403" t="s">
        <v>2518</v>
      </c>
      <c r="D456" s="403" t="s">
        <v>2175</v>
      </c>
      <c r="E456" s="405">
        <v>6100</v>
      </c>
      <c r="F456" s="403" t="s">
        <v>2224</v>
      </c>
      <c r="G456" s="403" t="s">
        <v>2372</v>
      </c>
      <c r="H456" s="403">
        <v>256</v>
      </c>
      <c r="I456" s="403">
        <v>256.2</v>
      </c>
      <c r="J456" s="406">
        <f t="shared" si="7"/>
        <v>4.1999999999999996E-2</v>
      </c>
      <c r="K456" s="403">
        <v>0.75639999999999996</v>
      </c>
      <c r="L456" s="407">
        <v>142415559094</v>
      </c>
      <c r="M456" s="403" t="s">
        <v>2194</v>
      </c>
      <c r="N456" s="403" t="s">
        <v>2190</v>
      </c>
      <c r="O456" s="403">
        <v>85442090</v>
      </c>
    </row>
    <row r="457" spans="1:15" hidden="1" x14ac:dyDescent="0.2">
      <c r="A457" s="403">
        <v>240562</v>
      </c>
      <c r="B457" s="403" t="s">
        <v>2173</v>
      </c>
      <c r="C457" s="403" t="s">
        <v>2518</v>
      </c>
      <c r="D457" s="403" t="s">
        <v>2175</v>
      </c>
      <c r="E457" s="405">
        <v>2440</v>
      </c>
      <c r="F457" s="403" t="s">
        <v>2224</v>
      </c>
      <c r="G457" s="403" t="s">
        <v>2229</v>
      </c>
      <c r="H457" s="403">
        <v>102</v>
      </c>
      <c r="I457" s="403">
        <v>102.48</v>
      </c>
      <c r="J457" s="406">
        <f t="shared" si="7"/>
        <v>4.2000000000000003E-2</v>
      </c>
      <c r="K457" s="403">
        <v>0.30256</v>
      </c>
      <c r="L457" s="407">
        <v>142415784924</v>
      </c>
      <c r="M457" s="403" t="s">
        <v>2194</v>
      </c>
      <c r="N457" s="403" t="s">
        <v>2190</v>
      </c>
      <c r="O457" s="403">
        <v>85442090</v>
      </c>
    </row>
    <row r="458" spans="1:15" hidden="1" x14ac:dyDescent="0.2">
      <c r="A458" s="403">
        <v>240640</v>
      </c>
      <c r="B458" s="403" t="s">
        <v>2173</v>
      </c>
      <c r="C458" s="403" t="s">
        <v>2697</v>
      </c>
      <c r="D458" s="403" t="s">
        <v>2186</v>
      </c>
      <c r="E458" s="405">
        <v>3644</v>
      </c>
      <c r="F458" s="403" t="s">
        <v>2233</v>
      </c>
      <c r="G458" s="403" t="s">
        <v>2253</v>
      </c>
      <c r="H458" s="403">
        <v>200</v>
      </c>
      <c r="I458" s="403">
        <v>200.42</v>
      </c>
      <c r="J458" s="406">
        <f t="shared" si="7"/>
        <v>5.4999999999999993E-2</v>
      </c>
      <c r="K458" s="403">
        <v>0.73973199999999995</v>
      </c>
      <c r="L458" s="407">
        <v>142414956340</v>
      </c>
      <c r="M458" s="403" t="s">
        <v>2194</v>
      </c>
      <c r="N458" s="403" t="s">
        <v>2190</v>
      </c>
      <c r="O458" s="403">
        <v>39269099</v>
      </c>
    </row>
    <row r="459" spans="1:15" hidden="1" x14ac:dyDescent="0.2">
      <c r="A459" s="403">
        <v>186350</v>
      </c>
      <c r="B459" s="403" t="s">
        <v>2173</v>
      </c>
      <c r="C459" s="403" t="s">
        <v>2698</v>
      </c>
      <c r="D459" s="403" t="s">
        <v>2175</v>
      </c>
      <c r="E459" s="405">
        <v>3000</v>
      </c>
      <c r="F459" s="403" t="s">
        <v>2184</v>
      </c>
      <c r="G459" s="403" t="s">
        <v>2263</v>
      </c>
      <c r="H459" s="403">
        <v>353</v>
      </c>
      <c r="I459" s="403">
        <v>353.1</v>
      </c>
      <c r="J459" s="406">
        <f t="shared" si="7"/>
        <v>0.11770000000000001</v>
      </c>
      <c r="K459" s="403">
        <v>0.72</v>
      </c>
      <c r="L459" s="407">
        <v>142415823269</v>
      </c>
      <c r="M459" s="403" t="s">
        <v>2178</v>
      </c>
      <c r="N459" s="403" t="s">
        <v>2190</v>
      </c>
      <c r="O459" s="403">
        <v>85447000</v>
      </c>
    </row>
    <row r="460" spans="1:15" hidden="1" x14ac:dyDescent="0.2">
      <c r="A460" s="403">
        <v>186350</v>
      </c>
      <c r="B460" s="403" t="s">
        <v>2173</v>
      </c>
      <c r="C460" s="403" t="s">
        <v>2699</v>
      </c>
      <c r="D460" s="403" t="s">
        <v>2175</v>
      </c>
      <c r="E460" s="405">
        <v>6000</v>
      </c>
      <c r="F460" s="403" t="s">
        <v>2184</v>
      </c>
      <c r="G460" s="403" t="s">
        <v>2241</v>
      </c>
      <c r="H460" s="403">
        <v>706</v>
      </c>
      <c r="I460" s="403">
        <v>706.2</v>
      </c>
      <c r="J460" s="406">
        <f t="shared" si="7"/>
        <v>0.11770000000000001</v>
      </c>
      <c r="K460" s="403">
        <v>1.44</v>
      </c>
      <c r="L460" s="407">
        <v>142415905599</v>
      </c>
      <c r="M460" s="403" t="s">
        <v>2178</v>
      </c>
      <c r="N460" s="403" t="s">
        <v>2190</v>
      </c>
      <c r="O460" s="403">
        <v>85447000</v>
      </c>
    </row>
    <row r="461" spans="1:15" hidden="1" x14ac:dyDescent="0.2">
      <c r="A461" s="403">
        <v>192360</v>
      </c>
      <c r="B461" s="403" t="s">
        <v>2173</v>
      </c>
      <c r="C461" s="403" t="s">
        <v>2700</v>
      </c>
      <c r="D461" s="403" t="s">
        <v>2175</v>
      </c>
      <c r="E461" s="405">
        <v>1000</v>
      </c>
      <c r="F461" s="403" t="s">
        <v>2184</v>
      </c>
      <c r="G461" s="403" t="s">
        <v>2177</v>
      </c>
      <c r="H461" s="403">
        <v>589</v>
      </c>
      <c r="I461" s="403">
        <v>589</v>
      </c>
      <c r="J461" s="406">
        <f t="shared" si="7"/>
        <v>0.58899999999999997</v>
      </c>
      <c r="K461" s="403">
        <v>1.4</v>
      </c>
      <c r="L461" s="407">
        <v>142415591190</v>
      </c>
      <c r="M461" s="403" t="s">
        <v>2178</v>
      </c>
      <c r="N461" s="403" t="s">
        <v>2190</v>
      </c>
      <c r="O461" s="403">
        <v>85444999</v>
      </c>
    </row>
    <row r="462" spans="1:15" hidden="1" x14ac:dyDescent="0.2">
      <c r="A462" s="403">
        <v>192360</v>
      </c>
      <c r="B462" s="403" t="s">
        <v>2173</v>
      </c>
      <c r="C462" s="403" t="s">
        <v>2701</v>
      </c>
      <c r="D462" s="403" t="s">
        <v>2175</v>
      </c>
      <c r="E462" s="405">
        <v>1000</v>
      </c>
      <c r="F462" s="403" t="s">
        <v>2184</v>
      </c>
      <c r="G462" s="403" t="s">
        <v>2177</v>
      </c>
      <c r="H462" s="403">
        <v>589</v>
      </c>
      <c r="I462" s="403">
        <v>589</v>
      </c>
      <c r="J462" s="406">
        <f t="shared" si="7"/>
        <v>0.58899999999999997</v>
      </c>
      <c r="K462" s="403">
        <v>1.4</v>
      </c>
      <c r="L462" s="407">
        <v>142415591190</v>
      </c>
      <c r="M462" s="403" t="s">
        <v>2178</v>
      </c>
      <c r="N462" s="403" t="s">
        <v>2190</v>
      </c>
      <c r="O462" s="403">
        <v>85444999</v>
      </c>
    </row>
    <row r="463" spans="1:15" hidden="1" x14ac:dyDescent="0.2">
      <c r="A463" s="403">
        <v>192360</v>
      </c>
      <c r="B463" s="403" t="s">
        <v>2173</v>
      </c>
      <c r="C463" s="403" t="s">
        <v>2702</v>
      </c>
      <c r="D463" s="403" t="s">
        <v>2175</v>
      </c>
      <c r="E463" s="405">
        <v>1000</v>
      </c>
      <c r="F463" s="403" t="s">
        <v>2184</v>
      </c>
      <c r="G463" s="403" t="s">
        <v>2177</v>
      </c>
      <c r="H463" s="403">
        <v>589</v>
      </c>
      <c r="I463" s="403">
        <v>589</v>
      </c>
      <c r="J463" s="406">
        <f t="shared" si="7"/>
        <v>0.58899999999999997</v>
      </c>
      <c r="K463" s="403">
        <v>1.4</v>
      </c>
      <c r="L463" s="407">
        <v>142415591190</v>
      </c>
      <c r="M463" s="403" t="s">
        <v>2178</v>
      </c>
      <c r="N463" s="403" t="s">
        <v>2190</v>
      </c>
      <c r="O463" s="403">
        <v>85444999</v>
      </c>
    </row>
    <row r="464" spans="1:15" hidden="1" x14ac:dyDescent="0.2">
      <c r="A464" s="403">
        <v>4000610</v>
      </c>
      <c r="B464" s="403" t="s">
        <v>2173</v>
      </c>
      <c r="C464" s="403" t="s">
        <v>2703</v>
      </c>
      <c r="D464" s="403" t="s">
        <v>2206</v>
      </c>
      <c r="E464" s="403">
        <v>1</v>
      </c>
      <c r="F464" s="403" t="s">
        <v>2207</v>
      </c>
      <c r="G464" s="403" t="s">
        <v>2208</v>
      </c>
      <c r="H464" s="403">
        <v>138</v>
      </c>
      <c r="I464" s="403">
        <v>138</v>
      </c>
      <c r="J464" s="406">
        <f t="shared" si="7"/>
        <v>138</v>
      </c>
      <c r="K464" s="403">
        <v>1.7313480000000001</v>
      </c>
      <c r="L464" s="407">
        <v>142415880145</v>
      </c>
      <c r="M464" s="403" t="s">
        <v>2194</v>
      </c>
      <c r="N464" s="403" t="s">
        <v>2190</v>
      </c>
      <c r="O464" s="403">
        <v>85371000</v>
      </c>
    </row>
    <row r="465" spans="1:15" hidden="1" x14ac:dyDescent="0.2">
      <c r="A465" s="403">
        <v>4000610</v>
      </c>
      <c r="B465" s="403" t="s">
        <v>2173</v>
      </c>
      <c r="C465" s="403" t="s">
        <v>2282</v>
      </c>
      <c r="D465" s="403" t="s">
        <v>2206</v>
      </c>
      <c r="E465" s="403">
        <v>1</v>
      </c>
      <c r="F465" s="403" t="s">
        <v>2207</v>
      </c>
      <c r="G465" s="403" t="s">
        <v>2208</v>
      </c>
      <c r="H465" s="403">
        <v>138</v>
      </c>
      <c r="I465" s="403">
        <v>138</v>
      </c>
      <c r="J465" s="406">
        <f t="shared" si="7"/>
        <v>138</v>
      </c>
      <c r="K465" s="403">
        <v>1.7313480000000001</v>
      </c>
      <c r="L465" s="407">
        <v>142414982337</v>
      </c>
      <c r="M465" s="403" t="s">
        <v>2194</v>
      </c>
      <c r="N465" s="403" t="s">
        <v>2190</v>
      </c>
      <c r="O465" s="403">
        <v>85371000</v>
      </c>
    </row>
    <row r="466" spans="1:15" hidden="1" x14ac:dyDescent="0.2">
      <c r="A466" s="403">
        <v>4000682</v>
      </c>
      <c r="B466" s="403" t="s">
        <v>2173</v>
      </c>
      <c r="C466" s="403" t="s">
        <v>2704</v>
      </c>
      <c r="D466" s="403" t="s">
        <v>2206</v>
      </c>
      <c r="E466" s="403">
        <v>2</v>
      </c>
      <c r="F466" s="403" t="s">
        <v>2207</v>
      </c>
      <c r="G466" s="403" t="s">
        <v>2337</v>
      </c>
      <c r="H466" s="403">
        <v>146</v>
      </c>
      <c r="I466" s="403">
        <v>146</v>
      </c>
      <c r="J466" s="406">
        <f t="shared" si="7"/>
        <v>73</v>
      </c>
      <c r="K466" s="403">
        <v>1.301504</v>
      </c>
      <c r="L466" s="407">
        <v>142415761142</v>
      </c>
      <c r="M466" s="403" t="s">
        <v>2194</v>
      </c>
      <c r="N466" s="403" t="s">
        <v>2190</v>
      </c>
      <c r="O466" s="403">
        <v>85371000</v>
      </c>
    </row>
    <row r="467" spans="1:15" hidden="1" x14ac:dyDescent="0.2">
      <c r="A467" s="403">
        <v>418019</v>
      </c>
      <c r="B467" s="403" t="s">
        <v>2173</v>
      </c>
      <c r="C467" s="403" t="s">
        <v>2647</v>
      </c>
      <c r="D467" s="403" t="s">
        <v>2186</v>
      </c>
      <c r="E467" s="403">
        <v>90</v>
      </c>
      <c r="F467" s="403" t="s">
        <v>2290</v>
      </c>
      <c r="G467" s="403" t="s">
        <v>2705</v>
      </c>
      <c r="H467" s="403">
        <v>95</v>
      </c>
      <c r="I467" s="403">
        <v>95.4</v>
      </c>
      <c r="J467" s="406">
        <f t="shared" si="7"/>
        <v>1.06</v>
      </c>
      <c r="K467" s="403">
        <v>0.61775999999999998</v>
      </c>
      <c r="L467" s="407">
        <v>142415941461</v>
      </c>
      <c r="M467" s="403" t="s">
        <v>2286</v>
      </c>
      <c r="O467" s="403">
        <v>85369010</v>
      </c>
    </row>
    <row r="468" spans="1:15" hidden="1" x14ac:dyDescent="0.2">
      <c r="A468" s="403">
        <v>418071</v>
      </c>
      <c r="B468" s="403" t="s">
        <v>2173</v>
      </c>
      <c r="C468" s="403" t="s">
        <v>2597</v>
      </c>
      <c r="D468" s="403" t="s">
        <v>2186</v>
      </c>
      <c r="E468" s="405">
        <v>1000</v>
      </c>
      <c r="F468" s="403" t="s">
        <v>2285</v>
      </c>
      <c r="G468" s="403" t="s">
        <v>2458</v>
      </c>
      <c r="H468" s="403">
        <v>21</v>
      </c>
      <c r="I468" s="403">
        <v>21</v>
      </c>
      <c r="J468" s="406">
        <f t="shared" si="7"/>
        <v>2.1000000000000001E-2</v>
      </c>
      <c r="K468" s="403">
        <v>0.23499999999999999</v>
      </c>
      <c r="L468" s="407">
        <v>142415941461</v>
      </c>
      <c r="M468" s="403" t="s">
        <v>2286</v>
      </c>
      <c r="O468" s="403">
        <v>85369010</v>
      </c>
    </row>
    <row r="469" spans="1:15" hidden="1" x14ac:dyDescent="0.2">
      <c r="A469" s="403" t="s">
        <v>2706</v>
      </c>
      <c r="B469" s="403" t="s">
        <v>2173</v>
      </c>
      <c r="C469" s="403" t="s">
        <v>2516</v>
      </c>
      <c r="D469" s="403" t="s">
        <v>2175</v>
      </c>
      <c r="E469" s="403">
        <v>20</v>
      </c>
      <c r="F469" s="403" t="s">
        <v>2303</v>
      </c>
      <c r="G469" s="403" t="s">
        <v>2177</v>
      </c>
      <c r="H469" s="403">
        <v>67</v>
      </c>
      <c r="I469" s="403">
        <v>67</v>
      </c>
      <c r="J469" s="406">
        <f t="shared" si="7"/>
        <v>3.35</v>
      </c>
      <c r="K469" s="403">
        <v>0.85199999999999998</v>
      </c>
      <c r="L469" s="407">
        <v>142415956116</v>
      </c>
      <c r="M469" s="403" t="s">
        <v>2178</v>
      </c>
      <c r="N469" s="403" t="s">
        <v>2295</v>
      </c>
      <c r="O469" s="403">
        <v>85447000</v>
      </c>
    </row>
    <row r="470" spans="1:15" hidden="1" x14ac:dyDescent="0.2">
      <c r="A470" s="403" t="s">
        <v>2707</v>
      </c>
      <c r="B470" s="403" t="s">
        <v>2173</v>
      </c>
      <c r="C470" s="403" t="s">
        <v>2293</v>
      </c>
      <c r="D470" s="403" t="s">
        <v>2175</v>
      </c>
      <c r="E470" s="403">
        <v>20</v>
      </c>
      <c r="F470" s="403" t="s">
        <v>2294</v>
      </c>
      <c r="G470" s="403" t="s">
        <v>2219</v>
      </c>
      <c r="H470" s="403">
        <v>1</v>
      </c>
      <c r="I470" s="403">
        <v>1.47</v>
      </c>
      <c r="J470" s="406">
        <f t="shared" si="7"/>
        <v>7.3499999999999996E-2</v>
      </c>
      <c r="K470" s="403">
        <v>7.8399999999999997E-3</v>
      </c>
      <c r="L470" s="407">
        <v>142415956116</v>
      </c>
      <c r="M470" s="403" t="s">
        <v>2178</v>
      </c>
      <c r="N470" s="403" t="s">
        <v>2295</v>
      </c>
      <c r="O470" s="403">
        <v>85444921</v>
      </c>
    </row>
    <row r="471" spans="1:15" hidden="1" x14ac:dyDescent="0.2">
      <c r="A471" s="403">
        <v>460001</v>
      </c>
      <c r="B471" s="403" t="s">
        <v>2173</v>
      </c>
      <c r="C471" s="403" t="s">
        <v>2708</v>
      </c>
      <c r="D471" s="403" t="s">
        <v>2186</v>
      </c>
      <c r="E471" s="403">
        <v>160</v>
      </c>
      <c r="F471" s="403" t="s">
        <v>2297</v>
      </c>
      <c r="G471" s="403" t="s">
        <v>2709</v>
      </c>
      <c r="H471" s="403">
        <v>128</v>
      </c>
      <c r="I471" s="403">
        <v>128</v>
      </c>
      <c r="J471" s="406">
        <f t="shared" si="7"/>
        <v>0.8</v>
      </c>
      <c r="K471" s="403">
        <v>0.64480000000000004</v>
      </c>
      <c r="L471" s="407">
        <v>142415941461</v>
      </c>
      <c r="M471" s="403" t="s">
        <v>2286</v>
      </c>
      <c r="O471" s="403">
        <v>85369010</v>
      </c>
    </row>
    <row r="472" spans="1:15" hidden="1" x14ac:dyDescent="0.2">
      <c r="A472" s="403" t="s">
        <v>2710</v>
      </c>
      <c r="B472" s="403" t="s">
        <v>2173</v>
      </c>
      <c r="C472" s="403" t="s">
        <v>2293</v>
      </c>
      <c r="D472" s="403" t="s">
        <v>2175</v>
      </c>
      <c r="E472" s="403">
        <v>20</v>
      </c>
      <c r="F472" s="403" t="s">
        <v>2294</v>
      </c>
      <c r="G472" s="403" t="s">
        <v>2219</v>
      </c>
      <c r="H472" s="403">
        <v>1</v>
      </c>
      <c r="I472" s="403">
        <v>1.47</v>
      </c>
      <c r="J472" s="406">
        <f t="shared" si="7"/>
        <v>7.3499999999999996E-2</v>
      </c>
      <c r="K472" s="403">
        <v>7.8399999999999997E-3</v>
      </c>
      <c r="L472" s="407">
        <v>142415956116</v>
      </c>
      <c r="M472" s="403" t="s">
        <v>2178</v>
      </c>
      <c r="N472" s="403" t="s">
        <v>2295</v>
      </c>
      <c r="O472" s="403">
        <v>85444921</v>
      </c>
    </row>
    <row r="473" spans="1:15" hidden="1" x14ac:dyDescent="0.2">
      <c r="A473" s="403">
        <v>190203</v>
      </c>
      <c r="B473" s="403" t="s">
        <v>2173</v>
      </c>
      <c r="C473" s="403" t="s">
        <v>2515</v>
      </c>
      <c r="D473" s="403" t="s">
        <v>2175</v>
      </c>
      <c r="E473" s="405">
        <v>2000</v>
      </c>
      <c r="F473" s="403" t="s">
        <v>2176</v>
      </c>
      <c r="G473" s="403" t="s">
        <v>2177</v>
      </c>
      <c r="H473" s="403">
        <v>208</v>
      </c>
      <c r="I473" s="403">
        <v>208</v>
      </c>
      <c r="J473" s="406">
        <f t="shared" si="7"/>
        <v>0.104</v>
      </c>
      <c r="K473" s="403">
        <v>1.1140000000000001</v>
      </c>
      <c r="L473" s="407">
        <v>142415956116</v>
      </c>
      <c r="M473" s="403" t="s">
        <v>2178</v>
      </c>
      <c r="O473" s="403">
        <v>85447000</v>
      </c>
    </row>
    <row r="474" spans="1:15" hidden="1" x14ac:dyDescent="0.2">
      <c r="A474" s="403">
        <v>190205</v>
      </c>
      <c r="B474" s="403" t="s">
        <v>2173</v>
      </c>
      <c r="C474" s="403" t="s">
        <v>2576</v>
      </c>
      <c r="D474" s="403" t="s">
        <v>2175</v>
      </c>
      <c r="E474" s="405">
        <v>2000</v>
      </c>
      <c r="F474" s="403" t="s">
        <v>2176</v>
      </c>
      <c r="G474" s="403" t="s">
        <v>2177</v>
      </c>
      <c r="H474" s="403">
        <v>208</v>
      </c>
      <c r="I474" s="403">
        <v>208</v>
      </c>
      <c r="J474" s="406">
        <f t="shared" si="7"/>
        <v>0.104</v>
      </c>
      <c r="K474" s="403">
        <v>1.1140000000000001</v>
      </c>
      <c r="L474" s="407">
        <v>142415956116</v>
      </c>
      <c r="M474" s="403" t="s">
        <v>2178</v>
      </c>
      <c r="O474" s="403">
        <v>85447000</v>
      </c>
    </row>
    <row r="475" spans="1:15" hidden="1" x14ac:dyDescent="0.2">
      <c r="A475" s="403" t="s">
        <v>2711</v>
      </c>
      <c r="B475" s="403" t="s">
        <v>2173</v>
      </c>
      <c r="C475" s="403" t="s">
        <v>2293</v>
      </c>
      <c r="D475" s="403" t="s">
        <v>2175</v>
      </c>
      <c r="E475" s="403">
        <v>20</v>
      </c>
      <c r="F475" s="403" t="s">
        <v>2294</v>
      </c>
      <c r="G475" s="403" t="s">
        <v>2219</v>
      </c>
      <c r="H475" s="403">
        <v>1</v>
      </c>
      <c r="I475" s="403">
        <v>0.85</v>
      </c>
      <c r="J475" s="406">
        <f t="shared" si="7"/>
        <v>4.2499999999999996E-2</v>
      </c>
      <c r="K475" s="403">
        <v>9.4599999999999997E-3</v>
      </c>
      <c r="L475" s="407">
        <v>142415956116</v>
      </c>
      <c r="M475" s="403" t="s">
        <v>2178</v>
      </c>
      <c r="N475" s="403" t="s">
        <v>2295</v>
      </c>
      <c r="O475" s="403">
        <v>85447000</v>
      </c>
    </row>
    <row r="476" spans="1:15" hidden="1" x14ac:dyDescent="0.2">
      <c r="A476" s="403">
        <v>1401581</v>
      </c>
      <c r="B476" s="403" t="s">
        <v>2173</v>
      </c>
      <c r="C476" s="403" t="s">
        <v>2308</v>
      </c>
      <c r="D476" s="403" t="s">
        <v>2186</v>
      </c>
      <c r="E476" s="403">
        <v>5</v>
      </c>
      <c r="F476" s="403" t="s">
        <v>2543</v>
      </c>
      <c r="G476" s="403" t="s">
        <v>2712</v>
      </c>
      <c r="H476" s="403">
        <v>0</v>
      </c>
      <c r="I476" s="403">
        <v>0.08</v>
      </c>
      <c r="J476" s="406">
        <f t="shared" si="7"/>
        <v>1.6E-2</v>
      </c>
      <c r="K476" s="403">
        <v>2.2000000000000001E-4</v>
      </c>
      <c r="L476" s="407">
        <v>142415888640</v>
      </c>
      <c r="M476" s="403" t="s">
        <v>2189</v>
      </c>
      <c r="N476" s="403" t="s">
        <v>2190</v>
      </c>
      <c r="O476" s="403">
        <v>85369010</v>
      </c>
    </row>
    <row r="477" spans="1:15" hidden="1" x14ac:dyDescent="0.2">
      <c r="A477" s="403">
        <v>417379</v>
      </c>
      <c r="B477" s="403" t="s">
        <v>2173</v>
      </c>
      <c r="C477" s="403" t="s">
        <v>2545</v>
      </c>
      <c r="D477" s="403" t="s">
        <v>2186</v>
      </c>
      <c r="E477" s="403">
        <v>28</v>
      </c>
      <c r="F477" s="403" t="s">
        <v>2713</v>
      </c>
      <c r="G477" s="403" t="s">
        <v>2219</v>
      </c>
      <c r="H477" s="403">
        <v>8</v>
      </c>
      <c r="I477" s="403">
        <v>8.0079999999999991</v>
      </c>
      <c r="J477" s="406">
        <f t="shared" si="7"/>
        <v>0.28599999999999998</v>
      </c>
      <c r="K477" s="403">
        <v>4.3203999999999999E-2</v>
      </c>
      <c r="L477" s="407">
        <v>142415949806</v>
      </c>
      <c r="M477" s="403" t="s">
        <v>2189</v>
      </c>
      <c r="O477" s="403">
        <v>85366910</v>
      </c>
    </row>
    <row r="478" spans="1:15" x14ac:dyDescent="0.2">
      <c r="A478" s="403">
        <v>191454</v>
      </c>
      <c r="B478" s="403" t="s">
        <v>2173</v>
      </c>
      <c r="C478" s="403" t="s">
        <v>2714</v>
      </c>
      <c r="D478" s="403" t="s">
        <v>2175</v>
      </c>
      <c r="E478" s="405">
        <v>12000</v>
      </c>
      <c r="F478" s="403" t="s">
        <v>2181</v>
      </c>
      <c r="G478" s="403" t="s">
        <v>2212</v>
      </c>
      <c r="H478" s="403">
        <v>648</v>
      </c>
      <c r="I478" s="403">
        <v>648</v>
      </c>
      <c r="J478" s="406">
        <f t="shared" si="7"/>
        <v>5.3999999999999999E-2</v>
      </c>
      <c r="K478" s="403">
        <v>1.764</v>
      </c>
      <c r="L478" s="407">
        <v>142415920914</v>
      </c>
      <c r="M478" s="403" t="s">
        <v>2178</v>
      </c>
      <c r="O478" s="403">
        <v>85444921</v>
      </c>
    </row>
    <row r="479" spans="1:15" hidden="1" x14ac:dyDescent="0.2">
      <c r="A479" s="403">
        <v>186760</v>
      </c>
      <c r="B479" s="403" t="s">
        <v>2173</v>
      </c>
      <c r="C479" s="403" t="s">
        <v>2715</v>
      </c>
      <c r="D479" s="403" t="s">
        <v>2175</v>
      </c>
      <c r="E479" s="405">
        <v>2100</v>
      </c>
      <c r="F479" s="403" t="s">
        <v>2716</v>
      </c>
      <c r="G479" s="403" t="s">
        <v>2177</v>
      </c>
      <c r="H479" s="403">
        <v>451</v>
      </c>
      <c r="I479" s="403">
        <v>450.87</v>
      </c>
      <c r="J479" s="406">
        <f t="shared" si="7"/>
        <v>0.2147</v>
      </c>
      <c r="K479" s="403">
        <v>1.3817999999999999</v>
      </c>
      <c r="L479" s="407">
        <v>142415773612</v>
      </c>
      <c r="M479" s="403" t="s">
        <v>2178</v>
      </c>
      <c r="N479" s="403" t="s">
        <v>2190</v>
      </c>
      <c r="O479" s="403">
        <v>85447000</v>
      </c>
    </row>
    <row r="480" spans="1:15" hidden="1" x14ac:dyDescent="0.2">
      <c r="A480" s="403">
        <v>193360</v>
      </c>
      <c r="B480" s="403" t="s">
        <v>2173</v>
      </c>
      <c r="C480" s="403" t="s">
        <v>2717</v>
      </c>
      <c r="D480" s="403" t="s">
        <v>2175</v>
      </c>
      <c r="E480" s="405">
        <v>2000</v>
      </c>
      <c r="F480" s="403" t="s">
        <v>2184</v>
      </c>
      <c r="G480" s="403" t="s">
        <v>2258</v>
      </c>
      <c r="H480" s="403">
        <v>156</v>
      </c>
      <c r="I480" s="403">
        <v>156</v>
      </c>
      <c r="J480" s="406">
        <f t="shared" si="7"/>
        <v>7.8E-2</v>
      </c>
      <c r="K480" s="403">
        <v>0.53800000000000003</v>
      </c>
      <c r="L480" s="407">
        <v>142415387375</v>
      </c>
      <c r="M480" s="403" t="s">
        <v>2178</v>
      </c>
      <c r="N480" s="403" t="s">
        <v>2190</v>
      </c>
      <c r="O480" s="403">
        <v>85447000</v>
      </c>
    </row>
    <row r="481" spans="1:15" hidden="1" x14ac:dyDescent="0.2">
      <c r="A481" s="403">
        <v>418515</v>
      </c>
      <c r="B481" s="403" t="s">
        <v>2173</v>
      </c>
      <c r="C481" s="403" t="s">
        <v>2195</v>
      </c>
      <c r="D481" s="403" t="s">
        <v>2186</v>
      </c>
      <c r="E481" s="405">
        <v>1637</v>
      </c>
      <c r="F481" s="403" t="s">
        <v>2218</v>
      </c>
      <c r="G481" s="403" t="s">
        <v>2718</v>
      </c>
      <c r="H481" s="403">
        <v>8</v>
      </c>
      <c r="I481" s="403">
        <v>7.8579999999999997</v>
      </c>
      <c r="J481" s="406">
        <f t="shared" si="7"/>
        <v>4.8002443494196698E-3</v>
      </c>
      <c r="K481" s="403">
        <v>4.5836000000000002E-2</v>
      </c>
      <c r="L481" s="407">
        <v>142415760947</v>
      </c>
      <c r="M481" s="403" t="s">
        <v>2194</v>
      </c>
      <c r="N481" s="403" t="s">
        <v>2190</v>
      </c>
      <c r="O481" s="403">
        <v>85367000</v>
      </c>
    </row>
    <row r="482" spans="1:15" hidden="1" x14ac:dyDescent="0.2">
      <c r="A482" s="403">
        <v>240641</v>
      </c>
      <c r="B482" s="403" t="s">
        <v>2173</v>
      </c>
      <c r="C482" s="403" t="s">
        <v>2406</v>
      </c>
      <c r="D482" s="403" t="s">
        <v>2186</v>
      </c>
      <c r="E482" s="403">
        <v>500</v>
      </c>
      <c r="F482" s="403" t="s">
        <v>2199</v>
      </c>
      <c r="G482" s="403" t="s">
        <v>2216</v>
      </c>
      <c r="H482" s="403">
        <v>34</v>
      </c>
      <c r="I482" s="403">
        <v>34</v>
      </c>
      <c r="J482" s="406">
        <f t="shared" si="7"/>
        <v>6.8000000000000005E-2</v>
      </c>
      <c r="K482" s="403">
        <v>0.26250000000000001</v>
      </c>
      <c r="L482" s="407">
        <v>142414956340</v>
      </c>
      <c r="M482" s="403" t="s">
        <v>2194</v>
      </c>
      <c r="N482" s="403" t="s">
        <v>2190</v>
      </c>
      <c r="O482" s="403">
        <v>39269099</v>
      </c>
    </row>
    <row r="483" spans="1:15" hidden="1" x14ac:dyDescent="0.2">
      <c r="A483" s="403">
        <v>185862</v>
      </c>
      <c r="B483" s="403" t="s">
        <v>2173</v>
      </c>
      <c r="C483" s="403" t="s">
        <v>2198</v>
      </c>
      <c r="D483" s="403" t="s">
        <v>2186</v>
      </c>
      <c r="E483" s="405">
        <v>1318</v>
      </c>
      <c r="F483" s="403" t="s">
        <v>2199</v>
      </c>
      <c r="G483" s="403" t="s">
        <v>2719</v>
      </c>
      <c r="H483" s="403">
        <v>70</v>
      </c>
      <c r="I483" s="403">
        <v>69.853999999999999</v>
      </c>
      <c r="J483" s="406">
        <f t="shared" si="7"/>
        <v>5.2999999999999999E-2</v>
      </c>
      <c r="K483" s="403">
        <v>0.32290999999999997</v>
      </c>
      <c r="L483" s="407">
        <v>142414725779</v>
      </c>
      <c r="M483" s="403" t="s">
        <v>2178</v>
      </c>
      <c r="N483" s="403" t="s">
        <v>2190</v>
      </c>
      <c r="O483" s="403">
        <v>85444210</v>
      </c>
    </row>
    <row r="484" spans="1:15" hidden="1" x14ac:dyDescent="0.2">
      <c r="A484" s="403">
        <v>185864</v>
      </c>
      <c r="B484" s="403" t="s">
        <v>2173</v>
      </c>
      <c r="C484" s="403" t="s">
        <v>2329</v>
      </c>
      <c r="D484" s="403" t="s">
        <v>2186</v>
      </c>
      <c r="E484" s="405">
        <v>1034</v>
      </c>
      <c r="F484" s="403" t="s">
        <v>2407</v>
      </c>
      <c r="G484" s="403" t="s">
        <v>2720</v>
      </c>
      <c r="H484" s="403">
        <v>49</v>
      </c>
      <c r="I484" s="403">
        <v>48.701000000000001</v>
      </c>
      <c r="J484" s="406">
        <f t="shared" si="7"/>
        <v>4.7099613152804642E-2</v>
      </c>
      <c r="K484" s="403">
        <v>0.21093600000000001</v>
      </c>
      <c r="L484" s="407">
        <v>142611774361</v>
      </c>
      <c r="M484" s="403" t="s">
        <v>2194</v>
      </c>
      <c r="N484" s="403" t="s">
        <v>2190</v>
      </c>
      <c r="O484" s="403">
        <v>85389000</v>
      </c>
    </row>
    <row r="485" spans="1:15" hidden="1" x14ac:dyDescent="0.2">
      <c r="A485" s="403">
        <v>4000611</v>
      </c>
      <c r="B485" s="403" t="s">
        <v>2173</v>
      </c>
      <c r="C485" s="403" t="s">
        <v>2721</v>
      </c>
      <c r="D485" s="403" t="s">
        <v>2206</v>
      </c>
      <c r="E485" s="403">
        <v>1</v>
      </c>
      <c r="F485" s="403" t="s">
        <v>2207</v>
      </c>
      <c r="G485" s="403" t="s">
        <v>2208</v>
      </c>
      <c r="H485" s="403">
        <v>130</v>
      </c>
      <c r="I485" s="403">
        <v>130</v>
      </c>
      <c r="J485" s="406">
        <f t="shared" si="7"/>
        <v>130</v>
      </c>
      <c r="K485" s="403">
        <v>1.426023</v>
      </c>
      <c r="L485" s="407">
        <v>142415880145</v>
      </c>
      <c r="M485" s="403" t="s">
        <v>2194</v>
      </c>
      <c r="N485" s="403" t="s">
        <v>2190</v>
      </c>
      <c r="O485" s="403">
        <v>85371000</v>
      </c>
    </row>
    <row r="486" spans="1:15" hidden="1" x14ac:dyDescent="0.2">
      <c r="A486" s="403">
        <v>190204</v>
      </c>
      <c r="B486" s="403" t="s">
        <v>2173</v>
      </c>
      <c r="C486" s="403" t="s">
        <v>2722</v>
      </c>
      <c r="D486" s="403" t="s">
        <v>2175</v>
      </c>
      <c r="E486" s="405">
        <v>2000</v>
      </c>
      <c r="F486" s="403" t="s">
        <v>2184</v>
      </c>
      <c r="G486" s="403" t="s">
        <v>2258</v>
      </c>
      <c r="H486" s="403">
        <v>179</v>
      </c>
      <c r="I486" s="403">
        <v>179.02799999999999</v>
      </c>
      <c r="J486" s="406">
        <f t="shared" si="7"/>
        <v>8.9513999999999996E-2</v>
      </c>
      <c r="K486" s="403">
        <v>1.0940000000000001</v>
      </c>
      <c r="L486" s="407">
        <v>142415938312</v>
      </c>
      <c r="M486" s="403" t="s">
        <v>2178</v>
      </c>
      <c r="O486" s="403">
        <v>85447000</v>
      </c>
    </row>
    <row r="487" spans="1:15" hidden="1" x14ac:dyDescent="0.2">
      <c r="A487" s="403">
        <v>190355</v>
      </c>
      <c r="B487" s="403" t="s">
        <v>2173</v>
      </c>
      <c r="C487" s="403" t="s">
        <v>2723</v>
      </c>
      <c r="D487" s="403" t="s">
        <v>2175</v>
      </c>
      <c r="E487" s="405">
        <v>2000</v>
      </c>
      <c r="F487" s="403" t="s">
        <v>2184</v>
      </c>
      <c r="G487" s="403" t="s">
        <v>2258</v>
      </c>
      <c r="H487" s="403">
        <v>162</v>
      </c>
      <c r="I487" s="403">
        <v>162</v>
      </c>
      <c r="J487" s="406">
        <f t="shared" si="7"/>
        <v>8.1000000000000003E-2</v>
      </c>
      <c r="K487" s="403">
        <v>0.94</v>
      </c>
      <c r="L487" s="407">
        <v>142415938312</v>
      </c>
      <c r="M487" s="403" t="s">
        <v>2178</v>
      </c>
      <c r="O487" s="403">
        <v>85447000</v>
      </c>
    </row>
    <row r="488" spans="1:15" hidden="1" x14ac:dyDescent="0.2">
      <c r="A488" s="403">
        <v>191453</v>
      </c>
      <c r="B488" s="403" t="s">
        <v>2173</v>
      </c>
      <c r="C488" s="403" t="s">
        <v>2724</v>
      </c>
      <c r="D488" s="403" t="s">
        <v>2175</v>
      </c>
      <c r="E488" s="405">
        <v>12000</v>
      </c>
      <c r="F488" s="403" t="s">
        <v>2181</v>
      </c>
      <c r="G488" s="403" t="s">
        <v>2212</v>
      </c>
      <c r="H488" s="403">
        <v>648</v>
      </c>
      <c r="I488" s="403">
        <v>648</v>
      </c>
      <c r="J488" s="406">
        <f t="shared" si="7"/>
        <v>5.3999999999999999E-2</v>
      </c>
      <c r="K488" s="403">
        <v>1.764</v>
      </c>
      <c r="L488" s="407">
        <v>142415938312</v>
      </c>
      <c r="M488" s="403" t="s">
        <v>2178</v>
      </c>
      <c r="O488" s="403">
        <v>85444921</v>
      </c>
    </row>
    <row r="489" spans="1:15" hidden="1" x14ac:dyDescent="0.2">
      <c r="A489" s="403">
        <v>191453</v>
      </c>
      <c r="B489" s="403" t="s">
        <v>2173</v>
      </c>
      <c r="C489" s="403" t="s">
        <v>2725</v>
      </c>
      <c r="D489" s="403" t="s">
        <v>2175</v>
      </c>
      <c r="E489" s="405">
        <v>12000</v>
      </c>
      <c r="F489" s="403" t="s">
        <v>2181</v>
      </c>
      <c r="G489" s="403" t="s">
        <v>2212</v>
      </c>
      <c r="H489" s="403">
        <v>648</v>
      </c>
      <c r="I489" s="403">
        <v>648</v>
      </c>
      <c r="J489" s="406">
        <f t="shared" si="7"/>
        <v>5.3999999999999999E-2</v>
      </c>
      <c r="K489" s="403">
        <v>1.764</v>
      </c>
      <c r="L489" s="407">
        <v>142415938312</v>
      </c>
      <c r="M489" s="403" t="s">
        <v>2178</v>
      </c>
      <c r="O489" s="403">
        <v>85444921</v>
      </c>
    </row>
    <row r="490" spans="1:15" hidden="1" x14ac:dyDescent="0.2">
      <c r="A490" s="403">
        <v>651660</v>
      </c>
      <c r="B490" s="403" t="s">
        <v>2173</v>
      </c>
      <c r="C490" s="403" t="s">
        <v>2220</v>
      </c>
      <c r="D490" s="403" t="s">
        <v>2186</v>
      </c>
      <c r="E490" s="403">
        <v>1</v>
      </c>
      <c r="F490" s="403" t="s">
        <v>2280</v>
      </c>
      <c r="G490" s="403" t="s">
        <v>2219</v>
      </c>
      <c r="H490" s="403">
        <v>0</v>
      </c>
      <c r="I490" s="403">
        <v>0.09</v>
      </c>
      <c r="J490" s="406">
        <f t="shared" si="7"/>
        <v>0.09</v>
      </c>
      <c r="K490" s="403">
        <v>9.7199999999999999E-4</v>
      </c>
      <c r="L490" s="407">
        <v>142114077954</v>
      </c>
      <c r="N490" s="403" t="s">
        <v>2190</v>
      </c>
      <c r="O490" s="403">
        <v>85444210</v>
      </c>
    </row>
    <row r="491" spans="1:15" hidden="1" x14ac:dyDescent="0.2">
      <c r="A491" s="403">
        <v>4000611</v>
      </c>
      <c r="B491" s="403" t="s">
        <v>2173</v>
      </c>
      <c r="C491" s="403" t="s">
        <v>2726</v>
      </c>
      <c r="D491" s="403" t="s">
        <v>2206</v>
      </c>
      <c r="E491" s="403">
        <v>1</v>
      </c>
      <c r="F491" s="403" t="s">
        <v>2207</v>
      </c>
      <c r="G491" s="403" t="s">
        <v>2208</v>
      </c>
      <c r="H491" s="403">
        <v>130</v>
      </c>
      <c r="I491" s="403">
        <v>130</v>
      </c>
      <c r="J491" s="406">
        <f t="shared" si="7"/>
        <v>130</v>
      </c>
      <c r="K491" s="403">
        <v>1.426023</v>
      </c>
      <c r="L491" s="407">
        <v>142415880145</v>
      </c>
      <c r="M491" s="403" t="s">
        <v>2194</v>
      </c>
      <c r="N491" s="403" t="s">
        <v>2190</v>
      </c>
      <c r="O491" s="403">
        <v>85371000</v>
      </c>
    </row>
    <row r="492" spans="1:15" hidden="1" x14ac:dyDescent="0.2">
      <c r="A492" s="403">
        <v>240563</v>
      </c>
      <c r="B492" s="403" t="s">
        <v>2173</v>
      </c>
      <c r="C492" s="403" t="s">
        <v>2727</v>
      </c>
      <c r="D492" s="403" t="s">
        <v>2175</v>
      </c>
      <c r="E492" s="405">
        <v>9150</v>
      </c>
      <c r="F492" s="403" t="s">
        <v>2224</v>
      </c>
      <c r="G492" s="403" t="s">
        <v>2225</v>
      </c>
      <c r="H492" s="403">
        <v>384</v>
      </c>
      <c r="I492" s="403">
        <v>384.3</v>
      </c>
      <c r="J492" s="406">
        <f t="shared" si="7"/>
        <v>4.2000000000000003E-2</v>
      </c>
      <c r="K492" s="403">
        <v>1.1346000000000001</v>
      </c>
      <c r="L492" s="407">
        <v>142415888640</v>
      </c>
      <c r="M492" s="403" t="s">
        <v>2194</v>
      </c>
      <c r="N492" s="403" t="s">
        <v>2190</v>
      </c>
      <c r="O492" s="403">
        <v>85442090</v>
      </c>
    </row>
    <row r="493" spans="1:15" hidden="1" x14ac:dyDescent="0.2">
      <c r="A493" s="403">
        <v>240563</v>
      </c>
      <c r="B493" s="403" t="s">
        <v>2173</v>
      </c>
      <c r="C493" s="403" t="s">
        <v>2728</v>
      </c>
      <c r="D493" s="403" t="s">
        <v>2175</v>
      </c>
      <c r="E493" s="405">
        <v>9150</v>
      </c>
      <c r="F493" s="403" t="s">
        <v>2224</v>
      </c>
      <c r="G493" s="403" t="s">
        <v>2225</v>
      </c>
      <c r="H493" s="403">
        <v>384</v>
      </c>
      <c r="I493" s="403">
        <v>384.3</v>
      </c>
      <c r="J493" s="406">
        <f t="shared" si="7"/>
        <v>4.2000000000000003E-2</v>
      </c>
      <c r="K493" s="403">
        <v>1.1346000000000001</v>
      </c>
      <c r="L493" s="407">
        <v>142415784924</v>
      </c>
      <c r="M493" s="403" t="s">
        <v>2194</v>
      </c>
      <c r="N493" s="403" t="s">
        <v>2190</v>
      </c>
      <c r="O493" s="403">
        <v>85442090</v>
      </c>
    </row>
    <row r="494" spans="1:15" hidden="1" x14ac:dyDescent="0.2">
      <c r="A494" s="403">
        <v>240563</v>
      </c>
      <c r="B494" s="403" t="s">
        <v>2173</v>
      </c>
      <c r="C494" s="403" t="s">
        <v>2729</v>
      </c>
      <c r="D494" s="403" t="s">
        <v>2175</v>
      </c>
      <c r="E494" s="405">
        <v>9150</v>
      </c>
      <c r="F494" s="403" t="s">
        <v>2224</v>
      </c>
      <c r="G494" s="403" t="s">
        <v>2225</v>
      </c>
      <c r="H494" s="403">
        <v>384</v>
      </c>
      <c r="I494" s="403">
        <v>384.3</v>
      </c>
      <c r="J494" s="406">
        <f t="shared" si="7"/>
        <v>4.2000000000000003E-2</v>
      </c>
      <c r="K494" s="403">
        <v>1.1346000000000001</v>
      </c>
      <c r="L494" s="407">
        <v>142415784924</v>
      </c>
      <c r="M494" s="403" t="s">
        <v>2194</v>
      </c>
      <c r="N494" s="403" t="s">
        <v>2190</v>
      </c>
      <c r="O494" s="403">
        <v>85442090</v>
      </c>
    </row>
    <row r="495" spans="1:15" hidden="1" x14ac:dyDescent="0.2">
      <c r="A495" s="403">
        <v>240563</v>
      </c>
      <c r="B495" s="403" t="s">
        <v>2173</v>
      </c>
      <c r="C495" s="403" t="s">
        <v>2730</v>
      </c>
      <c r="D495" s="403" t="s">
        <v>2175</v>
      </c>
      <c r="E495" s="405">
        <v>9150</v>
      </c>
      <c r="F495" s="403" t="s">
        <v>2224</v>
      </c>
      <c r="G495" s="403" t="s">
        <v>2225</v>
      </c>
      <c r="H495" s="403">
        <v>384</v>
      </c>
      <c r="I495" s="403">
        <v>384.3</v>
      </c>
      <c r="J495" s="406">
        <f t="shared" si="7"/>
        <v>4.2000000000000003E-2</v>
      </c>
      <c r="K495" s="403">
        <v>1.1346000000000001</v>
      </c>
      <c r="L495" s="407">
        <v>142415758139</v>
      </c>
      <c r="M495" s="403" t="s">
        <v>2194</v>
      </c>
      <c r="N495" s="403" t="s">
        <v>2190</v>
      </c>
      <c r="O495" s="403">
        <v>85442090</v>
      </c>
    </row>
    <row r="496" spans="1:15" hidden="1" x14ac:dyDescent="0.2">
      <c r="A496" s="403">
        <v>240563</v>
      </c>
      <c r="B496" s="403" t="s">
        <v>2173</v>
      </c>
      <c r="C496" s="403" t="s">
        <v>2731</v>
      </c>
      <c r="D496" s="403" t="s">
        <v>2175</v>
      </c>
      <c r="E496" s="405">
        <v>9150</v>
      </c>
      <c r="F496" s="403" t="s">
        <v>2224</v>
      </c>
      <c r="G496" s="403" t="s">
        <v>2225</v>
      </c>
      <c r="H496" s="403">
        <v>384</v>
      </c>
      <c r="I496" s="403">
        <v>384.3</v>
      </c>
      <c r="J496" s="406">
        <f t="shared" si="7"/>
        <v>4.2000000000000003E-2</v>
      </c>
      <c r="K496" s="403">
        <v>1.1346000000000001</v>
      </c>
      <c r="L496" s="407">
        <v>142415758139</v>
      </c>
      <c r="M496" s="403" t="s">
        <v>2194</v>
      </c>
      <c r="N496" s="403" t="s">
        <v>2190</v>
      </c>
      <c r="O496" s="403">
        <v>85442090</v>
      </c>
    </row>
    <row r="497" spans="1:15" hidden="1" x14ac:dyDescent="0.2">
      <c r="A497" s="403">
        <v>185863</v>
      </c>
      <c r="B497" s="403" t="s">
        <v>2173</v>
      </c>
      <c r="C497" s="403" t="s">
        <v>2502</v>
      </c>
      <c r="D497" s="403" t="s">
        <v>2186</v>
      </c>
      <c r="E497" s="405">
        <v>3340</v>
      </c>
      <c r="F497" s="403" t="s">
        <v>2199</v>
      </c>
      <c r="G497" s="403" t="s">
        <v>2732</v>
      </c>
      <c r="H497" s="403">
        <v>189</v>
      </c>
      <c r="I497" s="403">
        <v>188.71</v>
      </c>
      <c r="J497" s="406">
        <f t="shared" si="7"/>
        <v>5.6500000000000002E-2</v>
      </c>
      <c r="K497" s="403">
        <v>0.81830000000000003</v>
      </c>
      <c r="L497" s="407">
        <v>142414725779</v>
      </c>
      <c r="M497" s="403" t="s">
        <v>2194</v>
      </c>
      <c r="N497" s="403" t="s">
        <v>2190</v>
      </c>
      <c r="O497" s="403">
        <v>85366910</v>
      </c>
    </row>
    <row r="498" spans="1:15" hidden="1" x14ac:dyDescent="0.2">
      <c r="A498" s="403">
        <v>418070</v>
      </c>
      <c r="B498" s="403" t="s">
        <v>2173</v>
      </c>
      <c r="C498" s="403" t="s">
        <v>2508</v>
      </c>
      <c r="D498" s="403" t="s">
        <v>2186</v>
      </c>
      <c r="E498" s="403">
        <v>143</v>
      </c>
      <c r="F498" s="403" t="s">
        <v>2285</v>
      </c>
      <c r="G498" s="403" t="s">
        <v>2733</v>
      </c>
      <c r="H498" s="403">
        <v>3</v>
      </c>
      <c r="I498" s="403">
        <v>3.0030000000000001</v>
      </c>
      <c r="J498" s="406">
        <f t="shared" si="7"/>
        <v>2.1000000000000001E-2</v>
      </c>
      <c r="K498" s="403">
        <v>3.3890999999999998E-2</v>
      </c>
      <c r="L498" s="407">
        <v>142612160043</v>
      </c>
      <c r="M498" s="403" t="s">
        <v>2286</v>
      </c>
      <c r="N498" s="403" t="s">
        <v>2190</v>
      </c>
      <c r="O498" s="403">
        <v>85369010</v>
      </c>
    </row>
    <row r="499" spans="1:15" hidden="1" x14ac:dyDescent="0.2">
      <c r="A499" s="403">
        <v>418070</v>
      </c>
      <c r="B499" s="403" t="s">
        <v>2173</v>
      </c>
      <c r="C499" s="403" t="s">
        <v>2427</v>
      </c>
      <c r="D499" s="403" t="s">
        <v>2186</v>
      </c>
      <c r="E499" s="405">
        <v>1511</v>
      </c>
      <c r="F499" s="403" t="s">
        <v>2285</v>
      </c>
      <c r="G499" s="403" t="s">
        <v>2734</v>
      </c>
      <c r="H499" s="403">
        <v>32</v>
      </c>
      <c r="I499" s="403">
        <v>31.731000000000002</v>
      </c>
      <c r="J499" s="406">
        <f t="shared" si="7"/>
        <v>2.1000000000000001E-2</v>
      </c>
      <c r="K499" s="403">
        <v>0.35810700000000001</v>
      </c>
      <c r="L499" s="407">
        <v>142612160043</v>
      </c>
      <c r="M499" s="403" t="s">
        <v>2286</v>
      </c>
      <c r="N499" s="403" t="s">
        <v>2190</v>
      </c>
      <c r="O499" s="403">
        <v>85369010</v>
      </c>
    </row>
    <row r="500" spans="1:15" hidden="1" x14ac:dyDescent="0.2">
      <c r="A500" s="403">
        <v>429921</v>
      </c>
      <c r="B500" s="403" t="s">
        <v>2173</v>
      </c>
      <c r="C500" s="403" t="s">
        <v>2506</v>
      </c>
      <c r="D500" s="403" t="s">
        <v>2186</v>
      </c>
      <c r="E500" s="403">
        <v>48</v>
      </c>
      <c r="F500" s="403" t="s">
        <v>2196</v>
      </c>
      <c r="G500" s="403" t="s">
        <v>2735</v>
      </c>
      <c r="H500" s="403">
        <v>1</v>
      </c>
      <c r="I500" s="403">
        <v>0.50900000000000001</v>
      </c>
      <c r="J500" s="406">
        <f t="shared" si="7"/>
        <v>1.0604166666666666E-2</v>
      </c>
      <c r="K500" s="403">
        <v>3.1199999999999999E-3</v>
      </c>
      <c r="L500" s="407">
        <v>30203713479161</v>
      </c>
      <c r="M500" s="403" t="s">
        <v>2194</v>
      </c>
      <c r="N500" s="403" t="s">
        <v>2190</v>
      </c>
      <c r="O500" s="403">
        <v>85447000</v>
      </c>
    </row>
    <row r="501" spans="1:15" hidden="1" x14ac:dyDescent="0.2">
      <c r="A501" s="403">
        <v>185862</v>
      </c>
      <c r="B501" s="403" t="s">
        <v>2173</v>
      </c>
      <c r="C501" s="403" t="s">
        <v>2506</v>
      </c>
      <c r="D501" s="403" t="s">
        <v>2186</v>
      </c>
      <c r="E501" s="403">
        <v>188</v>
      </c>
      <c r="F501" s="403" t="s">
        <v>2199</v>
      </c>
      <c r="G501" s="403" t="s">
        <v>2736</v>
      </c>
      <c r="H501" s="403">
        <v>10</v>
      </c>
      <c r="I501" s="403">
        <v>9.9640000000000004</v>
      </c>
      <c r="J501" s="406">
        <f t="shared" si="7"/>
        <v>5.3000000000000005E-2</v>
      </c>
      <c r="K501" s="403">
        <v>4.6059999999999997E-2</v>
      </c>
      <c r="L501" s="407">
        <v>142611774361</v>
      </c>
      <c r="M501" s="403" t="s">
        <v>2178</v>
      </c>
      <c r="N501" s="403" t="s">
        <v>2190</v>
      </c>
      <c r="O501" s="403">
        <v>85444210</v>
      </c>
    </row>
    <row r="502" spans="1:15" hidden="1" x14ac:dyDescent="0.2">
      <c r="A502" s="403">
        <v>182943</v>
      </c>
      <c r="B502" s="403" t="s">
        <v>2173</v>
      </c>
      <c r="C502" s="403" t="s">
        <v>2737</v>
      </c>
      <c r="D502" s="403" t="s">
        <v>2175</v>
      </c>
      <c r="E502" s="403">
        <v>318</v>
      </c>
      <c r="F502" s="403" t="s">
        <v>2181</v>
      </c>
      <c r="G502" s="403" t="s">
        <v>2738</v>
      </c>
      <c r="H502" s="403">
        <v>24</v>
      </c>
      <c r="I502" s="403">
        <v>23.532</v>
      </c>
      <c r="J502" s="406">
        <f t="shared" si="7"/>
        <v>7.3999999999999996E-2</v>
      </c>
      <c r="K502" s="403">
        <v>0.15931799999999999</v>
      </c>
      <c r="L502" s="407">
        <v>191500414668</v>
      </c>
      <c r="M502" s="403" t="s">
        <v>2178</v>
      </c>
      <c r="N502" s="403" t="s">
        <v>2190</v>
      </c>
      <c r="O502" s="403">
        <v>85444910</v>
      </c>
    </row>
    <row r="503" spans="1:15" x14ac:dyDescent="0.2">
      <c r="A503" s="403">
        <v>191454</v>
      </c>
      <c r="B503" s="403" t="s">
        <v>2173</v>
      </c>
      <c r="C503" s="403" t="s">
        <v>2739</v>
      </c>
      <c r="D503" s="403" t="s">
        <v>2175</v>
      </c>
      <c r="E503" s="405">
        <v>12000</v>
      </c>
      <c r="F503" s="403" t="s">
        <v>2181</v>
      </c>
      <c r="G503" s="403" t="s">
        <v>2212</v>
      </c>
      <c r="H503" s="403">
        <v>648</v>
      </c>
      <c r="I503" s="403">
        <v>648</v>
      </c>
      <c r="J503" s="406">
        <f t="shared" si="7"/>
        <v>5.3999999999999999E-2</v>
      </c>
      <c r="K503" s="403">
        <v>1.764</v>
      </c>
      <c r="L503" s="407">
        <v>142415783151</v>
      </c>
      <c r="M503" s="403" t="s">
        <v>2178</v>
      </c>
      <c r="N503" s="403" t="s">
        <v>2190</v>
      </c>
      <c r="O503" s="403">
        <v>85444929</v>
      </c>
    </row>
    <row r="504" spans="1:15" x14ac:dyDescent="0.2">
      <c r="A504" s="403">
        <v>191454</v>
      </c>
      <c r="B504" s="403" t="s">
        <v>2173</v>
      </c>
      <c r="C504" s="403" t="s">
        <v>2740</v>
      </c>
      <c r="D504" s="403" t="s">
        <v>2175</v>
      </c>
      <c r="E504" s="405">
        <v>12000</v>
      </c>
      <c r="F504" s="403" t="s">
        <v>2181</v>
      </c>
      <c r="G504" s="403" t="s">
        <v>2212</v>
      </c>
      <c r="H504" s="403">
        <v>648</v>
      </c>
      <c r="I504" s="403">
        <v>648</v>
      </c>
      <c r="J504" s="406">
        <f t="shared" si="7"/>
        <v>5.3999999999999999E-2</v>
      </c>
      <c r="K504" s="403">
        <v>1.764</v>
      </c>
      <c r="L504" s="407">
        <v>142415736116</v>
      </c>
      <c r="M504" s="403" t="s">
        <v>2178</v>
      </c>
      <c r="N504" s="403" t="s">
        <v>2190</v>
      </c>
      <c r="O504" s="403">
        <v>85444929</v>
      </c>
    </row>
    <row r="505" spans="1:15" x14ac:dyDescent="0.2">
      <c r="A505" s="403">
        <v>191454</v>
      </c>
      <c r="B505" s="403" t="s">
        <v>2173</v>
      </c>
      <c r="C505" s="403" t="s">
        <v>2741</v>
      </c>
      <c r="D505" s="403" t="s">
        <v>2175</v>
      </c>
      <c r="E505" s="405">
        <v>9500</v>
      </c>
      <c r="F505" s="403" t="s">
        <v>2181</v>
      </c>
      <c r="G505" s="403" t="s">
        <v>2742</v>
      </c>
      <c r="H505" s="403">
        <v>513</v>
      </c>
      <c r="I505" s="403">
        <v>513</v>
      </c>
      <c r="J505" s="406">
        <f t="shared" si="7"/>
        <v>5.3999999999999999E-2</v>
      </c>
      <c r="K505" s="403">
        <v>1.3965000000000001</v>
      </c>
      <c r="L505" s="407">
        <v>142415736116</v>
      </c>
      <c r="M505" s="403" t="s">
        <v>2178</v>
      </c>
      <c r="N505" s="403" t="s">
        <v>2190</v>
      </c>
      <c r="O505" s="403">
        <v>85444929</v>
      </c>
    </row>
    <row r="506" spans="1:15" x14ac:dyDescent="0.2">
      <c r="A506" s="403">
        <v>191454</v>
      </c>
      <c r="B506" s="403" t="s">
        <v>2173</v>
      </c>
      <c r="C506" s="403" t="s">
        <v>2743</v>
      </c>
      <c r="D506" s="403" t="s">
        <v>2175</v>
      </c>
      <c r="E506" s="405">
        <v>12000</v>
      </c>
      <c r="F506" s="403" t="s">
        <v>2181</v>
      </c>
      <c r="G506" s="403" t="s">
        <v>2212</v>
      </c>
      <c r="H506" s="403">
        <v>648</v>
      </c>
      <c r="I506" s="403">
        <v>648</v>
      </c>
      <c r="J506" s="406">
        <f t="shared" si="7"/>
        <v>5.3999999999999999E-2</v>
      </c>
      <c r="K506" s="403">
        <v>1.764</v>
      </c>
      <c r="L506" s="407">
        <v>142415823269</v>
      </c>
      <c r="M506" s="403" t="s">
        <v>2178</v>
      </c>
      <c r="N506" s="403" t="s">
        <v>2190</v>
      </c>
      <c r="O506" s="403">
        <v>85444929</v>
      </c>
    </row>
    <row r="507" spans="1:15" x14ac:dyDescent="0.2">
      <c r="A507" s="403">
        <v>191454</v>
      </c>
      <c r="B507" s="403" t="s">
        <v>2173</v>
      </c>
      <c r="C507" s="403" t="s">
        <v>2744</v>
      </c>
      <c r="D507" s="403" t="s">
        <v>2175</v>
      </c>
      <c r="E507" s="405">
        <v>12000</v>
      </c>
      <c r="F507" s="403" t="s">
        <v>2181</v>
      </c>
      <c r="G507" s="403" t="s">
        <v>2212</v>
      </c>
      <c r="H507" s="403">
        <v>648</v>
      </c>
      <c r="I507" s="403">
        <v>648</v>
      </c>
      <c r="J507" s="406">
        <f t="shared" si="7"/>
        <v>5.3999999999999999E-2</v>
      </c>
      <c r="K507" s="403">
        <v>1.764</v>
      </c>
      <c r="L507" s="407">
        <v>142415823269</v>
      </c>
      <c r="M507" s="403" t="s">
        <v>2178</v>
      </c>
      <c r="N507" s="403" t="s">
        <v>2190</v>
      </c>
      <c r="O507" s="403">
        <v>85444929</v>
      </c>
    </row>
    <row r="508" spans="1:15" hidden="1" x14ac:dyDescent="0.2">
      <c r="A508" s="403">
        <v>191251</v>
      </c>
      <c r="B508" s="403" t="s">
        <v>2173</v>
      </c>
      <c r="C508" s="403" t="s">
        <v>2737</v>
      </c>
      <c r="D508" s="403" t="s">
        <v>2175</v>
      </c>
      <c r="E508" s="405">
        <v>1000</v>
      </c>
      <c r="F508" s="403" t="s">
        <v>2184</v>
      </c>
      <c r="G508" s="403" t="s">
        <v>2177</v>
      </c>
      <c r="H508" s="403">
        <v>8</v>
      </c>
      <c r="I508" s="403">
        <v>7.6710000000000003</v>
      </c>
      <c r="J508" s="406">
        <f t="shared" si="7"/>
        <v>7.6709999999999999E-3</v>
      </c>
      <c r="K508" s="403">
        <v>0.20200000000000001</v>
      </c>
      <c r="L508" s="407">
        <v>142415783151</v>
      </c>
      <c r="M508" s="403" t="s">
        <v>2178</v>
      </c>
      <c r="N508" s="403" t="s">
        <v>2190</v>
      </c>
      <c r="O508" s="403">
        <v>85447000</v>
      </c>
    </row>
    <row r="509" spans="1:15" hidden="1" x14ac:dyDescent="0.2">
      <c r="A509" s="403">
        <v>4000614</v>
      </c>
      <c r="B509" s="403" t="s">
        <v>2173</v>
      </c>
      <c r="C509" s="403" t="s">
        <v>2745</v>
      </c>
      <c r="D509" s="403" t="s">
        <v>2186</v>
      </c>
      <c r="E509" s="403">
        <v>4</v>
      </c>
      <c r="F509" s="403" t="s">
        <v>2207</v>
      </c>
      <c r="G509" s="403" t="s">
        <v>2245</v>
      </c>
      <c r="H509" s="403">
        <v>112</v>
      </c>
      <c r="I509" s="403">
        <v>112</v>
      </c>
      <c r="J509" s="406">
        <f t="shared" si="7"/>
        <v>28</v>
      </c>
      <c r="K509" s="403">
        <v>1.0311840000000001</v>
      </c>
      <c r="L509" s="407">
        <v>142415761142</v>
      </c>
      <c r="M509" s="403" t="s">
        <v>2194</v>
      </c>
      <c r="N509" s="403" t="s">
        <v>2190</v>
      </c>
      <c r="O509" s="403">
        <v>85371000</v>
      </c>
    </row>
    <row r="510" spans="1:15" hidden="1" x14ac:dyDescent="0.2">
      <c r="A510" s="403" t="s">
        <v>2746</v>
      </c>
      <c r="B510" s="403" t="s">
        <v>2173</v>
      </c>
      <c r="C510" s="403" t="s">
        <v>2747</v>
      </c>
      <c r="D510" s="403" t="s">
        <v>2175</v>
      </c>
      <c r="E510" s="405">
        <v>2420</v>
      </c>
      <c r="F510" s="403" t="s">
        <v>2224</v>
      </c>
      <c r="G510" s="403" t="s">
        <v>2748</v>
      </c>
      <c r="H510" s="403">
        <v>159</v>
      </c>
      <c r="I510" s="403">
        <v>158.51</v>
      </c>
      <c r="J510" s="406">
        <f t="shared" si="7"/>
        <v>6.5500000000000003E-2</v>
      </c>
      <c r="K510" s="403">
        <v>0.37509999999999999</v>
      </c>
      <c r="L510" s="407">
        <v>191500414668</v>
      </c>
      <c r="M510" s="403" t="s">
        <v>2194</v>
      </c>
      <c r="N510" s="403" t="s">
        <v>2190</v>
      </c>
      <c r="O510" s="403">
        <v>85444929</v>
      </c>
    </row>
    <row r="511" spans="1:15" hidden="1" x14ac:dyDescent="0.2">
      <c r="A511" s="403">
        <v>187354</v>
      </c>
      <c r="B511" s="403" t="s">
        <v>2173</v>
      </c>
      <c r="C511" s="403" t="s">
        <v>2257</v>
      </c>
      <c r="D511" s="403" t="s">
        <v>2175</v>
      </c>
      <c r="E511" s="405">
        <v>1000</v>
      </c>
      <c r="F511" s="403" t="s">
        <v>2184</v>
      </c>
      <c r="G511" s="403" t="s">
        <v>2177</v>
      </c>
      <c r="H511" s="403">
        <v>148</v>
      </c>
      <c r="I511" s="403">
        <v>148</v>
      </c>
      <c r="J511" s="406">
        <f t="shared" si="7"/>
        <v>0.14799999999999999</v>
      </c>
      <c r="K511" s="403">
        <v>0.47399999999999998</v>
      </c>
      <c r="L511" s="407">
        <v>142415905599</v>
      </c>
      <c r="M511" s="403" t="s">
        <v>2178</v>
      </c>
      <c r="N511" s="403" t="s">
        <v>2190</v>
      </c>
      <c r="O511" s="403">
        <v>85447000</v>
      </c>
    </row>
    <row r="512" spans="1:15" hidden="1" x14ac:dyDescent="0.2">
      <c r="A512" s="403">
        <v>148780</v>
      </c>
      <c r="B512" s="403" t="s">
        <v>2173</v>
      </c>
      <c r="C512" s="403" t="s">
        <v>2749</v>
      </c>
      <c r="D512" s="403" t="s">
        <v>2175</v>
      </c>
      <c r="E512" s="405">
        <v>1000</v>
      </c>
      <c r="F512" s="403" t="s">
        <v>2184</v>
      </c>
      <c r="G512" s="403" t="s">
        <v>2177</v>
      </c>
      <c r="H512" s="403">
        <v>527</v>
      </c>
      <c r="I512" s="403">
        <v>527</v>
      </c>
      <c r="J512" s="406">
        <f t="shared" si="7"/>
        <v>0.52700000000000002</v>
      </c>
      <c r="K512" s="403">
        <v>1.08</v>
      </c>
      <c r="L512" s="407" t="s">
        <v>2278</v>
      </c>
      <c r="M512" s="403" t="s">
        <v>2178</v>
      </c>
      <c r="N512" s="403" t="s">
        <v>2190</v>
      </c>
      <c r="O512" s="403">
        <v>85442090</v>
      </c>
    </row>
    <row r="513" spans="1:15" hidden="1" x14ac:dyDescent="0.2">
      <c r="A513" s="403">
        <v>148780</v>
      </c>
      <c r="B513" s="403" t="s">
        <v>2173</v>
      </c>
      <c r="C513" s="403" t="s">
        <v>2750</v>
      </c>
      <c r="D513" s="403" t="s">
        <v>2175</v>
      </c>
      <c r="E513" s="405">
        <v>1000</v>
      </c>
      <c r="F513" s="403" t="s">
        <v>2184</v>
      </c>
      <c r="G513" s="403" t="s">
        <v>2177</v>
      </c>
      <c r="H513" s="403">
        <v>527</v>
      </c>
      <c r="I513" s="403">
        <v>527</v>
      </c>
      <c r="J513" s="406">
        <f t="shared" si="7"/>
        <v>0.52700000000000002</v>
      </c>
      <c r="K513" s="403">
        <v>1.08</v>
      </c>
      <c r="L513" s="407" t="s">
        <v>2278</v>
      </c>
      <c r="M513" s="403" t="s">
        <v>2178</v>
      </c>
      <c r="N513" s="403" t="s">
        <v>2190</v>
      </c>
      <c r="O513" s="403">
        <v>85442090</v>
      </c>
    </row>
    <row r="514" spans="1:15" hidden="1" x14ac:dyDescent="0.2">
      <c r="A514" s="403">
        <v>148780</v>
      </c>
      <c r="B514" s="403" t="s">
        <v>2173</v>
      </c>
      <c r="C514" s="403" t="s">
        <v>2751</v>
      </c>
      <c r="D514" s="403" t="s">
        <v>2175</v>
      </c>
      <c r="E514" s="405">
        <v>1000</v>
      </c>
      <c r="F514" s="403" t="s">
        <v>2184</v>
      </c>
      <c r="G514" s="403" t="s">
        <v>2177</v>
      </c>
      <c r="H514" s="403">
        <v>527</v>
      </c>
      <c r="I514" s="403">
        <v>527</v>
      </c>
      <c r="J514" s="406">
        <f t="shared" ref="J514:J534" si="8">I514/E514</f>
        <v>0.52700000000000002</v>
      </c>
      <c r="K514" s="403">
        <v>1.08</v>
      </c>
      <c r="L514" s="407" t="s">
        <v>2278</v>
      </c>
      <c r="M514" s="403" t="s">
        <v>2178</v>
      </c>
      <c r="N514" s="403" t="s">
        <v>2190</v>
      </c>
      <c r="O514" s="403">
        <v>85442090</v>
      </c>
    </row>
    <row r="515" spans="1:15" hidden="1" x14ac:dyDescent="0.2">
      <c r="A515" s="403">
        <v>148780</v>
      </c>
      <c r="B515" s="403" t="s">
        <v>2173</v>
      </c>
      <c r="C515" s="403" t="s">
        <v>2752</v>
      </c>
      <c r="D515" s="403" t="s">
        <v>2175</v>
      </c>
      <c r="E515" s="405">
        <v>1000</v>
      </c>
      <c r="F515" s="403" t="s">
        <v>2184</v>
      </c>
      <c r="G515" s="403" t="s">
        <v>2177</v>
      </c>
      <c r="H515" s="403">
        <v>527</v>
      </c>
      <c r="I515" s="403">
        <v>527</v>
      </c>
      <c r="J515" s="406">
        <f t="shared" si="8"/>
        <v>0.52700000000000002</v>
      </c>
      <c r="K515" s="403">
        <v>1.08</v>
      </c>
      <c r="L515" s="407" t="s">
        <v>2278</v>
      </c>
      <c r="M515" s="403" t="s">
        <v>2178</v>
      </c>
      <c r="N515" s="403" t="s">
        <v>2190</v>
      </c>
      <c r="O515" s="403">
        <v>85442090</v>
      </c>
    </row>
    <row r="516" spans="1:15" hidden="1" x14ac:dyDescent="0.2">
      <c r="A516" s="403">
        <v>186350</v>
      </c>
      <c r="B516" s="403" t="s">
        <v>2173</v>
      </c>
      <c r="C516" s="403" t="s">
        <v>2698</v>
      </c>
      <c r="D516" s="403" t="s">
        <v>2175</v>
      </c>
      <c r="E516" s="405">
        <v>1000</v>
      </c>
      <c r="F516" s="403" t="s">
        <v>2184</v>
      </c>
      <c r="G516" s="403" t="s">
        <v>2177</v>
      </c>
      <c r="H516" s="403">
        <v>118</v>
      </c>
      <c r="I516" s="403">
        <v>117.7</v>
      </c>
      <c r="J516" s="406">
        <f t="shared" si="8"/>
        <v>0.1177</v>
      </c>
      <c r="K516" s="403">
        <v>0.24</v>
      </c>
      <c r="L516" s="407">
        <v>142415736116</v>
      </c>
      <c r="M516" s="403" t="s">
        <v>2178</v>
      </c>
      <c r="N516" s="403" t="s">
        <v>2190</v>
      </c>
      <c r="O516" s="403">
        <v>85447000</v>
      </c>
    </row>
    <row r="517" spans="1:15" hidden="1" x14ac:dyDescent="0.2">
      <c r="A517" s="403">
        <v>186350</v>
      </c>
      <c r="B517" s="403" t="s">
        <v>2173</v>
      </c>
      <c r="C517" s="403" t="s">
        <v>2455</v>
      </c>
      <c r="D517" s="403" t="s">
        <v>2175</v>
      </c>
      <c r="E517" s="405">
        <v>1000</v>
      </c>
      <c r="F517" s="403" t="s">
        <v>2184</v>
      </c>
      <c r="G517" s="403" t="s">
        <v>2177</v>
      </c>
      <c r="H517" s="403">
        <v>118</v>
      </c>
      <c r="I517" s="403">
        <v>117.7</v>
      </c>
      <c r="J517" s="406">
        <f t="shared" si="8"/>
        <v>0.1177</v>
      </c>
      <c r="K517" s="403">
        <v>0.24</v>
      </c>
      <c r="L517" s="407">
        <v>142415823269</v>
      </c>
      <c r="M517" s="403" t="s">
        <v>2178</v>
      </c>
      <c r="N517" s="403" t="s">
        <v>2190</v>
      </c>
      <c r="O517" s="403">
        <v>85447000</v>
      </c>
    </row>
    <row r="518" spans="1:15" hidden="1" x14ac:dyDescent="0.2">
      <c r="A518" s="403">
        <v>190204</v>
      </c>
      <c r="B518" s="403" t="s">
        <v>2173</v>
      </c>
      <c r="C518" s="403" t="s">
        <v>2382</v>
      </c>
      <c r="D518" s="403" t="s">
        <v>2175</v>
      </c>
      <c r="E518" s="405">
        <v>2052</v>
      </c>
      <c r="F518" s="403" t="s">
        <v>2176</v>
      </c>
      <c r="G518" s="403" t="s">
        <v>2267</v>
      </c>
      <c r="H518" s="403">
        <v>172</v>
      </c>
      <c r="I518" s="403">
        <v>172.36799999999999</v>
      </c>
      <c r="J518" s="406">
        <f t="shared" si="8"/>
        <v>8.3999999999999991E-2</v>
      </c>
      <c r="K518" s="403">
        <v>0.47811599999999999</v>
      </c>
      <c r="L518" s="407">
        <v>142415736116</v>
      </c>
      <c r="M518" s="403" t="s">
        <v>2178</v>
      </c>
      <c r="N518" s="403" t="s">
        <v>2190</v>
      </c>
      <c r="O518" s="403">
        <v>85447000</v>
      </c>
    </row>
    <row r="519" spans="1:15" hidden="1" x14ac:dyDescent="0.2">
      <c r="A519" s="403">
        <v>191923</v>
      </c>
      <c r="B519" s="403" t="s">
        <v>2173</v>
      </c>
      <c r="C519" s="403" t="s">
        <v>2753</v>
      </c>
      <c r="D519" s="403" t="s">
        <v>2175</v>
      </c>
      <c r="E519" s="405">
        <v>2000</v>
      </c>
      <c r="F519" s="403" t="s">
        <v>2181</v>
      </c>
      <c r="G519" s="403" t="s">
        <v>2435</v>
      </c>
      <c r="H519" s="403">
        <v>327</v>
      </c>
      <c r="I519" s="403">
        <v>327.2</v>
      </c>
      <c r="J519" s="406">
        <f t="shared" si="8"/>
        <v>0.1636</v>
      </c>
      <c r="K519" s="403">
        <v>1.1060000000000001</v>
      </c>
      <c r="L519" s="407">
        <v>142415716318</v>
      </c>
      <c r="M519" s="403" t="s">
        <v>2178</v>
      </c>
      <c r="N519" s="403" t="s">
        <v>2190</v>
      </c>
      <c r="O519" s="403">
        <v>85444991</v>
      </c>
    </row>
    <row r="520" spans="1:15" hidden="1" x14ac:dyDescent="0.2">
      <c r="A520" s="403">
        <v>192360</v>
      </c>
      <c r="B520" s="403" t="s">
        <v>2173</v>
      </c>
      <c r="C520" s="403" t="s">
        <v>2754</v>
      </c>
      <c r="D520" s="403" t="s">
        <v>2175</v>
      </c>
      <c r="E520" s="405">
        <v>1000</v>
      </c>
      <c r="F520" s="403" t="s">
        <v>2184</v>
      </c>
      <c r="G520" s="403" t="s">
        <v>2177</v>
      </c>
      <c r="H520" s="403">
        <v>589</v>
      </c>
      <c r="I520" s="403">
        <v>589</v>
      </c>
      <c r="J520" s="406">
        <f t="shared" si="8"/>
        <v>0.58899999999999997</v>
      </c>
      <c r="K520" s="403">
        <v>1.4</v>
      </c>
      <c r="L520" s="407">
        <v>142415591190</v>
      </c>
      <c r="M520" s="403" t="s">
        <v>2178</v>
      </c>
      <c r="N520" s="403" t="s">
        <v>2190</v>
      </c>
      <c r="O520" s="403">
        <v>85444999</v>
      </c>
    </row>
    <row r="521" spans="1:15" hidden="1" x14ac:dyDescent="0.2">
      <c r="A521" s="403">
        <v>418061</v>
      </c>
      <c r="B521" s="403" t="s">
        <v>2173</v>
      </c>
      <c r="C521" s="403" t="s">
        <v>2755</v>
      </c>
      <c r="D521" s="403" t="s">
        <v>2186</v>
      </c>
      <c r="E521" s="405">
        <v>2700</v>
      </c>
      <c r="F521" s="403" t="s">
        <v>2285</v>
      </c>
      <c r="G521" s="403" t="s">
        <v>2756</v>
      </c>
      <c r="H521" s="403">
        <v>101</v>
      </c>
      <c r="I521" s="403">
        <v>101.25</v>
      </c>
      <c r="J521" s="406">
        <f t="shared" si="8"/>
        <v>3.7499999999999999E-2</v>
      </c>
      <c r="K521" s="403">
        <v>0.63180000000000003</v>
      </c>
      <c r="L521" s="407">
        <v>142415941461</v>
      </c>
      <c r="M521" s="403" t="s">
        <v>2286</v>
      </c>
      <c r="O521" s="403">
        <v>85369010</v>
      </c>
    </row>
    <row r="522" spans="1:15" hidden="1" x14ac:dyDescent="0.2">
      <c r="A522" s="403">
        <v>4000099</v>
      </c>
      <c r="B522" s="403" t="s">
        <v>2173</v>
      </c>
      <c r="C522" s="403" t="s">
        <v>2600</v>
      </c>
      <c r="D522" s="403" t="s">
        <v>2186</v>
      </c>
      <c r="E522" s="403">
        <v>50</v>
      </c>
      <c r="F522" s="403" t="s">
        <v>2290</v>
      </c>
      <c r="G522" s="403" t="s">
        <v>2438</v>
      </c>
      <c r="H522" s="403">
        <v>55</v>
      </c>
      <c r="I522" s="403">
        <v>55</v>
      </c>
      <c r="J522" s="406">
        <f t="shared" si="8"/>
        <v>1.1000000000000001</v>
      </c>
      <c r="K522" s="403">
        <v>0.34300000000000003</v>
      </c>
      <c r="L522" s="407">
        <v>142415941461</v>
      </c>
      <c r="M522" s="403" t="s">
        <v>2286</v>
      </c>
      <c r="O522" s="403">
        <v>85369010</v>
      </c>
    </row>
    <row r="523" spans="1:15" hidden="1" x14ac:dyDescent="0.2">
      <c r="A523" s="403" t="s">
        <v>2757</v>
      </c>
      <c r="B523" s="403" t="s">
        <v>2173</v>
      </c>
      <c r="C523" s="403" t="s">
        <v>2293</v>
      </c>
      <c r="D523" s="403" t="s">
        <v>2175</v>
      </c>
      <c r="E523" s="403">
        <v>20</v>
      </c>
      <c r="F523" s="403" t="s">
        <v>2294</v>
      </c>
      <c r="G523" s="403" t="s">
        <v>2219</v>
      </c>
      <c r="H523" s="403">
        <v>1</v>
      </c>
      <c r="I523" s="403">
        <v>1.47</v>
      </c>
      <c r="J523" s="406">
        <f t="shared" si="8"/>
        <v>7.3499999999999996E-2</v>
      </c>
      <c r="K523" s="403">
        <v>7.8399999999999997E-3</v>
      </c>
      <c r="L523" s="407">
        <v>142415956116</v>
      </c>
      <c r="M523" s="403" t="s">
        <v>2178</v>
      </c>
      <c r="N523" s="403" t="s">
        <v>2295</v>
      </c>
      <c r="O523" s="403">
        <v>85444921</v>
      </c>
    </row>
    <row r="524" spans="1:15" hidden="1" x14ac:dyDescent="0.2">
      <c r="A524" s="403">
        <v>460001</v>
      </c>
      <c r="B524" s="403" t="s">
        <v>2173</v>
      </c>
      <c r="C524" s="403" t="s">
        <v>2758</v>
      </c>
      <c r="D524" s="403" t="s">
        <v>2186</v>
      </c>
      <c r="E524" s="403">
        <v>300</v>
      </c>
      <c r="F524" s="403" t="s">
        <v>2297</v>
      </c>
      <c r="G524" s="403" t="s">
        <v>2298</v>
      </c>
      <c r="H524" s="403">
        <v>240</v>
      </c>
      <c r="I524" s="403">
        <v>240</v>
      </c>
      <c r="J524" s="406">
        <f t="shared" si="8"/>
        <v>0.8</v>
      </c>
      <c r="K524" s="403">
        <v>1.2090000000000001</v>
      </c>
      <c r="L524" s="407">
        <v>142415941461</v>
      </c>
      <c r="M524" s="403" t="s">
        <v>2286</v>
      </c>
      <c r="O524" s="403">
        <v>85369010</v>
      </c>
    </row>
    <row r="525" spans="1:15" hidden="1" x14ac:dyDescent="0.2">
      <c r="A525" s="403" t="s">
        <v>2759</v>
      </c>
      <c r="B525" s="403" t="s">
        <v>2173</v>
      </c>
      <c r="C525" s="403" t="s">
        <v>2293</v>
      </c>
      <c r="D525" s="403" t="s">
        <v>2175</v>
      </c>
      <c r="E525" s="403">
        <v>20</v>
      </c>
      <c r="F525" s="403" t="s">
        <v>2760</v>
      </c>
      <c r="G525" s="403" t="s">
        <v>2761</v>
      </c>
      <c r="H525" s="403">
        <v>1</v>
      </c>
      <c r="I525" s="403">
        <v>1.47</v>
      </c>
      <c r="J525" s="406">
        <f t="shared" si="8"/>
        <v>7.3499999999999996E-2</v>
      </c>
      <c r="K525" s="403">
        <v>7.8460000000000002E-2</v>
      </c>
      <c r="L525" s="407">
        <v>142415956116</v>
      </c>
      <c r="M525" s="403" t="s">
        <v>2178</v>
      </c>
      <c r="N525" s="403" t="s">
        <v>2295</v>
      </c>
      <c r="O525" s="403">
        <v>85444921</v>
      </c>
    </row>
    <row r="526" spans="1:15" hidden="1" x14ac:dyDescent="0.2">
      <c r="A526" s="403" t="s">
        <v>2762</v>
      </c>
      <c r="B526" s="403" t="s">
        <v>2173</v>
      </c>
      <c r="C526" s="403" t="s">
        <v>2293</v>
      </c>
      <c r="D526" s="403" t="s">
        <v>2175</v>
      </c>
      <c r="E526" s="403">
        <v>20</v>
      </c>
      <c r="F526" s="403" t="s">
        <v>2294</v>
      </c>
      <c r="G526" s="403" t="s">
        <v>2219</v>
      </c>
      <c r="H526" s="403">
        <v>1</v>
      </c>
      <c r="I526" s="403">
        <v>1.47</v>
      </c>
      <c r="J526" s="406">
        <f t="shared" si="8"/>
        <v>7.3499999999999996E-2</v>
      </c>
      <c r="K526" s="403">
        <v>7.8399999999999997E-3</v>
      </c>
      <c r="L526" s="407">
        <v>142415956116</v>
      </c>
      <c r="M526" s="403" t="s">
        <v>2178</v>
      </c>
      <c r="N526" s="403" t="s">
        <v>2295</v>
      </c>
      <c r="O526" s="403">
        <v>85444921</v>
      </c>
    </row>
    <row r="527" spans="1:15" hidden="1" x14ac:dyDescent="0.2">
      <c r="A527" s="403" t="s">
        <v>2763</v>
      </c>
      <c r="B527" s="403" t="s">
        <v>2173</v>
      </c>
      <c r="C527" s="403" t="s">
        <v>2293</v>
      </c>
      <c r="D527" s="403" t="s">
        <v>2175</v>
      </c>
      <c r="E527" s="403">
        <v>20</v>
      </c>
      <c r="F527" s="403" t="s">
        <v>2294</v>
      </c>
      <c r="G527" s="403" t="s">
        <v>2219</v>
      </c>
      <c r="H527" s="403">
        <v>1</v>
      </c>
      <c r="I527" s="403">
        <v>1.47</v>
      </c>
      <c r="J527" s="406">
        <f t="shared" si="8"/>
        <v>7.3499999999999996E-2</v>
      </c>
      <c r="K527" s="403">
        <v>7.8399999999999997E-3</v>
      </c>
      <c r="L527" s="407">
        <v>142415956116</v>
      </c>
      <c r="M527" s="403" t="s">
        <v>2178</v>
      </c>
      <c r="N527" s="403" t="s">
        <v>2295</v>
      </c>
      <c r="O527" s="403">
        <v>85444921</v>
      </c>
    </row>
    <row r="528" spans="1:15" hidden="1" x14ac:dyDescent="0.2">
      <c r="A528" s="403">
        <v>190205</v>
      </c>
      <c r="B528" s="403" t="s">
        <v>2173</v>
      </c>
      <c r="C528" s="403" t="s">
        <v>2764</v>
      </c>
      <c r="D528" s="403" t="s">
        <v>2175</v>
      </c>
      <c r="E528" s="405">
        <v>2000</v>
      </c>
      <c r="F528" s="403" t="s">
        <v>2176</v>
      </c>
      <c r="G528" s="403" t="s">
        <v>2177</v>
      </c>
      <c r="H528" s="403">
        <v>208</v>
      </c>
      <c r="I528" s="403">
        <v>208</v>
      </c>
      <c r="J528" s="406">
        <f t="shared" si="8"/>
        <v>0.104</v>
      </c>
      <c r="K528" s="403">
        <v>1.1140000000000001</v>
      </c>
      <c r="L528" s="407">
        <v>142415956116</v>
      </c>
      <c r="M528" s="403" t="s">
        <v>2178</v>
      </c>
      <c r="O528" s="403">
        <v>85447000</v>
      </c>
    </row>
    <row r="529" spans="1:15" hidden="1" x14ac:dyDescent="0.2">
      <c r="A529" s="403">
        <v>190077</v>
      </c>
      <c r="B529" s="403" t="s">
        <v>2173</v>
      </c>
      <c r="C529" s="403" t="s">
        <v>2765</v>
      </c>
      <c r="D529" s="403" t="s">
        <v>2175</v>
      </c>
      <c r="E529" s="405">
        <v>4000</v>
      </c>
      <c r="F529" s="403" t="s">
        <v>2176</v>
      </c>
      <c r="G529" s="403" t="s">
        <v>2258</v>
      </c>
      <c r="H529" s="403">
        <v>412</v>
      </c>
      <c r="I529" s="403">
        <v>412</v>
      </c>
      <c r="J529" s="406">
        <f t="shared" si="8"/>
        <v>0.10299999999999999</v>
      </c>
      <c r="K529" s="403">
        <v>2.1880000000000002</v>
      </c>
      <c r="L529" s="407">
        <v>142415956116</v>
      </c>
      <c r="M529" s="403" t="s">
        <v>2178</v>
      </c>
      <c r="O529" s="403">
        <v>85447000</v>
      </c>
    </row>
    <row r="530" spans="1:15" hidden="1" x14ac:dyDescent="0.2">
      <c r="A530" s="403" t="s">
        <v>2766</v>
      </c>
      <c r="B530" s="403" t="s">
        <v>2173</v>
      </c>
      <c r="C530" s="403" t="s">
        <v>2577</v>
      </c>
      <c r="D530" s="403" t="s">
        <v>2175</v>
      </c>
      <c r="E530" s="403">
        <v>20</v>
      </c>
      <c r="F530" s="403" t="s">
        <v>2303</v>
      </c>
      <c r="G530" s="403" t="s">
        <v>2177</v>
      </c>
      <c r="H530" s="408">
        <v>1360</v>
      </c>
      <c r="I530" s="408">
        <v>1360</v>
      </c>
      <c r="J530" s="406">
        <f t="shared" si="8"/>
        <v>68</v>
      </c>
      <c r="K530" s="403">
        <v>21.888000000000002</v>
      </c>
      <c r="L530" s="407">
        <v>142415956116</v>
      </c>
      <c r="M530" s="403" t="s">
        <v>2178</v>
      </c>
      <c r="N530" s="403" t="s">
        <v>2295</v>
      </c>
      <c r="O530" s="403">
        <v>85447000</v>
      </c>
    </row>
    <row r="531" spans="1:15" hidden="1" x14ac:dyDescent="0.2">
      <c r="A531" s="403">
        <v>415210</v>
      </c>
      <c r="B531" s="403" t="s">
        <v>2173</v>
      </c>
      <c r="C531" s="403" t="s">
        <v>2304</v>
      </c>
      <c r="D531" s="403" t="s">
        <v>2186</v>
      </c>
      <c r="E531" s="403">
        <v>7</v>
      </c>
      <c r="F531" s="403" t="s">
        <v>2290</v>
      </c>
      <c r="G531" s="403" t="s">
        <v>2767</v>
      </c>
      <c r="H531" s="403">
        <v>24</v>
      </c>
      <c r="I531" s="403">
        <v>23.8</v>
      </c>
      <c r="J531" s="406">
        <f t="shared" si="8"/>
        <v>3.4</v>
      </c>
      <c r="K531" s="403">
        <v>9.5759999999999998E-2</v>
      </c>
      <c r="L531" s="407">
        <v>142414843838</v>
      </c>
      <c r="N531" s="403" t="s">
        <v>2190</v>
      </c>
      <c r="O531" s="403">
        <v>85369010</v>
      </c>
    </row>
    <row r="532" spans="1:15" hidden="1" x14ac:dyDescent="0.2">
      <c r="A532" s="403">
        <v>415212</v>
      </c>
      <c r="B532" s="403" t="s">
        <v>2173</v>
      </c>
      <c r="C532" s="403" t="s">
        <v>2308</v>
      </c>
      <c r="D532" s="403" t="s">
        <v>2186</v>
      </c>
      <c r="E532" s="403">
        <v>54</v>
      </c>
      <c r="F532" s="403" t="s">
        <v>2202</v>
      </c>
      <c r="G532" s="403" t="s">
        <v>2768</v>
      </c>
      <c r="H532" s="403">
        <v>27</v>
      </c>
      <c r="I532" s="403">
        <v>27</v>
      </c>
      <c r="J532" s="406">
        <f t="shared" si="8"/>
        <v>0.5</v>
      </c>
      <c r="K532" s="403">
        <v>0.10918799999999999</v>
      </c>
      <c r="L532" s="407">
        <v>142415888640</v>
      </c>
      <c r="M532" s="403" t="s">
        <v>2189</v>
      </c>
      <c r="N532" s="403" t="s">
        <v>2190</v>
      </c>
      <c r="O532" s="403">
        <v>85369010</v>
      </c>
    </row>
    <row r="533" spans="1:15" hidden="1" x14ac:dyDescent="0.2">
      <c r="A533" s="403">
        <v>309327</v>
      </c>
      <c r="B533" s="403" t="s">
        <v>2173</v>
      </c>
      <c r="C533" s="403" t="s">
        <v>2399</v>
      </c>
      <c r="D533" s="403" t="s">
        <v>2186</v>
      </c>
      <c r="E533" s="403">
        <v>150</v>
      </c>
      <c r="F533" s="403" t="s">
        <v>2326</v>
      </c>
      <c r="G533" s="403" t="s">
        <v>2351</v>
      </c>
      <c r="H533" s="403">
        <v>30</v>
      </c>
      <c r="I533" s="403">
        <v>31.5</v>
      </c>
      <c r="J533" s="406">
        <f t="shared" si="8"/>
        <v>0.21</v>
      </c>
      <c r="K533" s="403">
        <v>0.1323</v>
      </c>
      <c r="L533" s="407">
        <v>142415948345</v>
      </c>
      <c r="M533" s="403" t="s">
        <v>2194</v>
      </c>
      <c r="O533" s="403">
        <v>85444921</v>
      </c>
    </row>
    <row r="534" spans="1:15" hidden="1" x14ac:dyDescent="0.2">
      <c r="A534" s="403">
        <v>309331</v>
      </c>
      <c r="B534" s="403" t="s">
        <v>2173</v>
      </c>
      <c r="C534" s="403" t="s">
        <v>2399</v>
      </c>
      <c r="D534" s="403" t="s">
        <v>2186</v>
      </c>
      <c r="E534" s="403">
        <v>75</v>
      </c>
      <c r="F534" s="403" t="s">
        <v>2661</v>
      </c>
      <c r="G534" s="403" t="s">
        <v>2769</v>
      </c>
      <c r="H534" s="403">
        <v>32</v>
      </c>
      <c r="I534" s="403">
        <v>31.8</v>
      </c>
      <c r="J534" s="406">
        <f t="shared" si="8"/>
        <v>0.42399999999999999</v>
      </c>
      <c r="K534" s="403">
        <v>0.12</v>
      </c>
      <c r="L534" s="407">
        <v>142415948345</v>
      </c>
      <c r="M534" s="403" t="s">
        <v>2194</v>
      </c>
      <c r="O534" s="403">
        <v>85444211</v>
      </c>
    </row>
    <row r="539" spans="1:15" x14ac:dyDescent="0.2">
      <c r="E539" s="403">
        <f>14*500</f>
        <v>7000</v>
      </c>
      <c r="F539" s="403">
        <v>378</v>
      </c>
      <c r="G539" s="403">
        <f>F539/E539</f>
        <v>5.3999999999999999E-2</v>
      </c>
    </row>
    <row r="542" spans="1:15" ht="21" x14ac:dyDescent="0.2">
      <c r="F542" s="455" t="s">
        <v>2771</v>
      </c>
      <c r="G542" s="456"/>
      <c r="H542" s="456"/>
      <c r="I542" s="457"/>
    </row>
    <row r="543" spans="1:15" ht="18.75" x14ac:dyDescent="0.3">
      <c r="F543" s="452" t="s">
        <v>2770</v>
      </c>
      <c r="G543" s="453"/>
      <c r="H543" s="454"/>
      <c r="I543" s="429"/>
    </row>
    <row r="544" spans="1:15" ht="18.75" x14ac:dyDescent="0.3">
      <c r="F544" s="458" t="s">
        <v>2772</v>
      </c>
      <c r="G544" s="459"/>
      <c r="H544" s="460"/>
      <c r="I544" s="430"/>
    </row>
  </sheetData>
  <sheetProtection algorithmName="SHA-512" hashValue="gRmoGaeIN8KkQDYFVP9BuwgNBJR7y04v0wptbHCiHX/kw78bUMH1+9JkLNXGVblSjllJv0AEwiG3QgzOFyy6Yw==" saltValue="8OKVX3cXS6vdHaAwfK9k3g==" spinCount="100000" sheet="1" objects="1" scenarios="1"/>
  <autoFilter ref="A1:O534">
    <filterColumn colId="0">
      <filters>
        <filter val="191454"/>
      </filters>
    </filterColumn>
  </autoFilter>
  <mergeCells count="3">
    <mergeCell ref="F542:I542"/>
    <mergeCell ref="F543:H543"/>
    <mergeCell ref="F544:H544"/>
  </mergeCells>
  <conditionalFormatting sqref="I543">
    <cfRule type="duplicateValues" dxfId="15"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S132"/>
  <sheetViews>
    <sheetView topLeftCell="B1" workbookViewId="0">
      <selection activeCell="D6" sqref="D6"/>
    </sheetView>
  </sheetViews>
  <sheetFormatPr defaultColWidth="8.75" defaultRowHeight="14.25" x14ac:dyDescent="0.2"/>
  <cols>
    <col min="1" max="1" width="0" style="83" hidden="1" customWidth="1"/>
    <col min="2" max="2" width="31.25" style="83" bestFit="1" customWidth="1"/>
    <col min="3" max="3" width="9.625" style="83" bestFit="1" customWidth="1"/>
    <col min="4" max="4" width="10.875" style="83" bestFit="1" customWidth="1"/>
    <col min="5" max="5" width="91.75" style="83" customWidth="1"/>
    <col min="6" max="6" width="33.875" style="83" customWidth="1"/>
    <col min="7" max="7" width="17.75" style="83" bestFit="1" customWidth="1"/>
    <col min="8" max="8" width="37.125" style="83" bestFit="1" customWidth="1"/>
    <col min="9" max="9" width="14.5" style="83" bestFit="1" customWidth="1"/>
    <col min="10" max="10" width="112.75" style="83" bestFit="1" customWidth="1"/>
    <col min="11" max="11" width="13.375" style="83" customWidth="1"/>
    <col min="12" max="12" width="10.25" style="83" bestFit="1" customWidth="1"/>
    <col min="13" max="16384" width="8.75" style="83"/>
  </cols>
  <sheetData>
    <row r="3" spans="2:11" x14ac:dyDescent="0.2">
      <c r="E3" s="83" t="s">
        <v>1865</v>
      </c>
      <c r="F3" s="83" t="s">
        <v>1866</v>
      </c>
      <c r="G3" s="83" t="s">
        <v>1867</v>
      </c>
    </row>
    <row r="4" spans="2:11" ht="15" thickBot="1" x14ac:dyDescent="0.25"/>
    <row r="5" spans="2:11" ht="16.5" thickBot="1" x14ac:dyDescent="0.25">
      <c r="B5" s="139" t="s">
        <v>962</v>
      </c>
      <c r="C5" s="140" t="s">
        <v>963</v>
      </c>
      <c r="D5" s="140"/>
      <c r="E5" s="141">
        <f>COUNTBLANK(Design!D18:D21)</f>
        <v>4</v>
      </c>
      <c r="F5" s="88">
        <f>COUNTBLANK(Design!D4:D12)</f>
        <v>9</v>
      </c>
    </row>
    <row r="6" spans="2:11" ht="15.75" x14ac:dyDescent="0.2">
      <c r="B6" t="s">
        <v>1829</v>
      </c>
      <c r="C6" s="142" t="e">
        <f>IF(D37="#N/A","",D37)</f>
        <v>#N/A</v>
      </c>
      <c r="D6">
        <f>IFERROR(ROUNDUP(C14/1000,0),0)</f>
        <v>0</v>
      </c>
      <c r="E6" s="141" t="b">
        <v>1</v>
      </c>
      <c r="F6" s="88" t="b">
        <v>1</v>
      </c>
      <c r="G6" s="88" t="b">
        <v>1</v>
      </c>
      <c r="J6" s="83">
        <v>2</v>
      </c>
    </row>
    <row r="7" spans="2:11" ht="15.75" x14ac:dyDescent="0.2">
      <c r="B7" t="s">
        <v>1868</v>
      </c>
      <c r="C7" s="143" t="str">
        <f>IFERROR(K37,"")</f>
        <v/>
      </c>
      <c r="D7">
        <f>IFERROR(L37,0)</f>
        <v>0</v>
      </c>
      <c r="E7" t="e">
        <f>J37</f>
        <v>#VALUE!</v>
      </c>
    </row>
    <row r="8" spans="2:11" ht="16.5" thickBot="1" x14ac:dyDescent="0.25">
      <c r="B8" t="s">
        <v>1869</v>
      </c>
      <c r="C8" s="143" t="e">
        <f>K36</f>
        <v>#VALUE!</v>
      </c>
      <c r="D8">
        <f>IFERROR(L36,0)</f>
        <v>0</v>
      </c>
      <c r="E8" t="e">
        <f>J36</f>
        <v>#VALUE!</v>
      </c>
    </row>
    <row r="9" spans="2:11" ht="16.5" thickTop="1" x14ac:dyDescent="0.2">
      <c r="B9" t="s">
        <v>1870</v>
      </c>
      <c r="C9" s="143" t="str">
        <f>IF(K27="","",1411153)</f>
        <v/>
      </c>
      <c r="D9">
        <f>ROUNDUP(C18/6,0)</f>
        <v>0</v>
      </c>
      <c r="E9"/>
      <c r="J9" s="496" t="s">
        <v>1848</v>
      </c>
      <c r="K9" s="497"/>
    </row>
    <row r="10" spans="2:11" ht="15.75" x14ac:dyDescent="0.2">
      <c r="B10" t="s">
        <v>1871</v>
      </c>
      <c r="C10" s="143" t="str">
        <f>IF(K27="","",1401581)</f>
        <v/>
      </c>
      <c r="D10">
        <f>ROUNDUP(C18/100,0)</f>
        <v>0</v>
      </c>
      <c r="E10"/>
      <c r="F10" s="498" t="s">
        <v>1867</v>
      </c>
      <c r="G10" s="498"/>
      <c r="H10" s="219">
        <f>Design!D2</f>
        <v>0</v>
      </c>
      <c r="I10" s="222" t="s">
        <v>2106</v>
      </c>
      <c r="J10" s="221" t="s">
        <v>1840</v>
      </c>
      <c r="K10" s="145">
        <v>3</v>
      </c>
    </row>
    <row r="11" spans="2:11" ht="15.75" x14ac:dyDescent="0.2">
      <c r="B11" t="s">
        <v>1872</v>
      </c>
      <c r="C11" s="143" t="str">
        <f>IF(K30="","",4000611)</f>
        <v/>
      </c>
      <c r="D11">
        <f>IFERROR(C17,0)</f>
        <v>0</v>
      </c>
      <c r="E11" t="s">
        <v>1872</v>
      </c>
      <c r="F11" s="222" t="s">
        <v>1873</v>
      </c>
      <c r="G11" s="100">
        <f>C18*H11</f>
        <v>0</v>
      </c>
      <c r="H11" s="100">
        <f>I11*(1-H10)</f>
        <v>24.9</v>
      </c>
      <c r="I11" s="220">
        <v>24.9</v>
      </c>
      <c r="J11" s="221" t="s">
        <v>1853</v>
      </c>
      <c r="K11" s="145" t="s">
        <v>44</v>
      </c>
    </row>
    <row r="12" spans="2:11" ht="15.75" x14ac:dyDescent="0.2">
      <c r="B12" t="s">
        <v>947</v>
      </c>
      <c r="C12" s="143" t="e">
        <f>G37</f>
        <v>#N/A</v>
      </c>
      <c r="D12">
        <f>C18/2</f>
        <v>0</v>
      </c>
      <c r="E12" t="e">
        <f>H37</f>
        <v>#N/A</v>
      </c>
      <c r="F12" s="222" t="s">
        <v>1874</v>
      </c>
      <c r="G12" s="100">
        <f>C14*H12</f>
        <v>0</v>
      </c>
      <c r="H12" s="220">
        <f>I12*(1-H10)</f>
        <v>0.55000000000000004</v>
      </c>
      <c r="I12" s="220">
        <v>0.55000000000000004</v>
      </c>
      <c r="J12" s="221" t="s">
        <v>1854</v>
      </c>
      <c r="K12" s="145">
        <v>24</v>
      </c>
    </row>
    <row r="13" spans="2:11" ht="15.75" x14ac:dyDescent="0.2">
      <c r="B13" s="146"/>
      <c r="C13" s="143"/>
      <c r="D13"/>
      <c r="E13"/>
      <c r="F13" s="100"/>
      <c r="G13" s="100"/>
      <c r="H13" s="100"/>
      <c r="I13" s="220"/>
      <c r="J13" s="221" t="s">
        <v>1849</v>
      </c>
      <c r="K13" s="145">
        <v>2</v>
      </c>
    </row>
    <row r="14" spans="2:11" ht="15.75" x14ac:dyDescent="0.2">
      <c r="B14" t="s">
        <v>1875</v>
      </c>
      <c r="C14" s="143">
        <f>IFERROR(K23*K26*K27,0)</f>
        <v>0</v>
      </c>
      <c r="D14"/>
      <c r="E14"/>
      <c r="F14" s="100"/>
      <c r="G14" s="100"/>
      <c r="H14" s="100"/>
      <c r="I14" s="220"/>
      <c r="J14" s="221" t="s">
        <v>1850</v>
      </c>
      <c r="K14" s="145">
        <v>300</v>
      </c>
    </row>
    <row r="15" spans="2:11" ht="15" x14ac:dyDescent="0.2">
      <c r="B15" t="s">
        <v>1876</v>
      </c>
      <c r="C15" s="83" t="e">
        <f>K25*K26</f>
        <v>#VALUE!</v>
      </c>
      <c r="F15" s="100"/>
      <c r="G15" s="100"/>
      <c r="H15" s="100"/>
      <c r="I15" s="220"/>
      <c r="J15" s="221" t="s">
        <v>1855</v>
      </c>
      <c r="K15" s="145" t="s">
        <v>1877</v>
      </c>
    </row>
    <row r="16" spans="2:11" ht="15" x14ac:dyDescent="0.2">
      <c r="B16" t="s">
        <v>1878</v>
      </c>
      <c r="C16" s="83" t="e">
        <f>C15*K23</f>
        <v>#VALUE!</v>
      </c>
      <c r="F16" s="100"/>
      <c r="G16" s="100"/>
      <c r="H16" s="100"/>
      <c r="I16" s="220"/>
      <c r="J16" s="221" t="s">
        <v>1852</v>
      </c>
      <c r="K16" s="145">
        <v>1</v>
      </c>
    </row>
    <row r="17" spans="2:19" ht="15" x14ac:dyDescent="0.2">
      <c r="B17" t="s">
        <v>1879</v>
      </c>
      <c r="C17" s="83" t="e">
        <f>K30*K23+K29</f>
        <v>#VALUE!</v>
      </c>
      <c r="F17" s="100" t="s">
        <v>1880</v>
      </c>
      <c r="G17" s="100">
        <f>SUM(G11:G16)</f>
        <v>0</v>
      </c>
      <c r="H17" s="100">
        <f>IF(E6=TRUE,G17,0)</f>
        <v>0</v>
      </c>
      <c r="I17" s="220"/>
      <c r="J17" s="221" t="s">
        <v>1851</v>
      </c>
      <c r="K17" s="145">
        <v>1</v>
      </c>
    </row>
    <row r="18" spans="2:19" ht="15.75" thickBot="1" x14ac:dyDescent="0.25">
      <c r="B18" t="s">
        <v>1881</v>
      </c>
      <c r="C18" s="83">
        <f>IFERROR(C16+C15*K23,0)</f>
        <v>0</v>
      </c>
      <c r="J18" s="147" t="s">
        <v>1857</v>
      </c>
      <c r="K18" s="148">
        <v>3</v>
      </c>
    </row>
    <row r="19" spans="2:19" ht="15" thickTop="1" x14ac:dyDescent="0.2"/>
    <row r="20" spans="2:19" ht="18" customHeight="1" x14ac:dyDescent="0.2">
      <c r="B20" s="149" t="s">
        <v>1840</v>
      </c>
      <c r="C20" s="149" t="s">
        <v>1882</v>
      </c>
      <c r="D20" s="149"/>
      <c r="E20" s="149" t="s">
        <v>1854</v>
      </c>
      <c r="F20" s="149" t="s">
        <v>1849</v>
      </c>
      <c r="G20" s="149" t="s">
        <v>1855</v>
      </c>
      <c r="H20" s="149" t="s">
        <v>1857</v>
      </c>
    </row>
    <row r="21" spans="2:19" s="151" customFormat="1" ht="18" customHeight="1" thickBot="1" x14ac:dyDescent="0.25">
      <c r="B21" s="150">
        <f>K23</f>
        <v>0</v>
      </c>
      <c r="C21" s="150" t="str">
        <f>K30</f>
        <v/>
      </c>
      <c r="D21" s="150" t="str">
        <f>K24</f>
        <v/>
      </c>
      <c r="E21" s="150" t="str">
        <f>TRIM(K25)</f>
        <v/>
      </c>
      <c r="F21" s="150" t="str">
        <f>K26</f>
        <v/>
      </c>
      <c r="G21" s="150" t="str">
        <f>K28</f>
        <v/>
      </c>
      <c r="H21" s="150" t="str">
        <f>K31</f>
        <v/>
      </c>
    </row>
    <row r="22" spans="2:19" ht="18" customHeight="1" thickTop="1" x14ac:dyDescent="0.2">
      <c r="B22" s="100">
        <v>1</v>
      </c>
      <c r="C22" s="100"/>
      <c r="D22" s="100" t="s">
        <v>44</v>
      </c>
      <c r="E22" s="100" t="str">
        <f>IF(K24="OS2",2,"")</f>
        <v/>
      </c>
      <c r="F22" s="100">
        <v>1</v>
      </c>
      <c r="G22" s="100" t="s">
        <v>1856</v>
      </c>
      <c r="H22" s="100">
        <v>1</v>
      </c>
      <c r="J22" s="496" t="s">
        <v>1848</v>
      </c>
      <c r="K22" s="497"/>
    </row>
    <row r="23" spans="2:19" ht="18" customHeight="1" x14ac:dyDescent="0.2">
      <c r="B23" s="100">
        <v>2</v>
      </c>
      <c r="C23" s="100"/>
      <c r="D23" s="100" t="s">
        <v>41</v>
      </c>
      <c r="E23" s="100">
        <v>4</v>
      </c>
      <c r="F23" s="100">
        <v>2</v>
      </c>
      <c r="G23" s="100" t="s">
        <v>1877</v>
      </c>
      <c r="H23" s="100">
        <v>2</v>
      </c>
      <c r="I23" s="83" t="b">
        <f>ISBLANK(Design!#REF!)</f>
        <v>0</v>
      </c>
      <c r="J23" s="144" t="s">
        <v>1840</v>
      </c>
      <c r="K23" s="145">
        <f>Design!D8</f>
        <v>0</v>
      </c>
    </row>
    <row r="24" spans="2:19" ht="18" customHeight="1" x14ac:dyDescent="0.2">
      <c r="B24" s="100">
        <v>3</v>
      </c>
      <c r="C24" s="100"/>
      <c r="D24" s="100" t="s">
        <v>42</v>
      </c>
      <c r="E24" s="100">
        <v>6</v>
      </c>
      <c r="F24" s="100">
        <v>4</v>
      </c>
      <c r="G24" s="100"/>
      <c r="H24" s="100">
        <v>3</v>
      </c>
      <c r="I24" s="83" t="b">
        <f>ISBLANK(Design!D18)</f>
        <v>1</v>
      </c>
      <c r="J24" s="144" t="s">
        <v>1853</v>
      </c>
      <c r="K24" s="145" t="str">
        <f>TRIM(Design!D18)</f>
        <v/>
      </c>
      <c r="P24" s="83" t="s">
        <v>1883</v>
      </c>
      <c r="Q24" s="83" t="s">
        <v>1884</v>
      </c>
    </row>
    <row r="25" spans="2:19" ht="18" customHeight="1" x14ac:dyDescent="0.2">
      <c r="B25" s="100">
        <v>4</v>
      </c>
      <c r="C25" s="100"/>
      <c r="D25" s="100" t="s">
        <v>43</v>
      </c>
      <c r="E25" s="100">
        <v>8</v>
      </c>
      <c r="F25" s="100"/>
      <c r="G25" s="100"/>
      <c r="H25" s="100">
        <v>5</v>
      </c>
      <c r="I25" s="83" t="b">
        <f>ISBLANK(Design!D19)</f>
        <v>1</v>
      </c>
      <c r="J25" s="144" t="s">
        <v>1854</v>
      </c>
      <c r="K25" s="145" t="str">
        <f>TRIM(Design!D19)</f>
        <v/>
      </c>
      <c r="N25" s="83" t="str">
        <f>K25</f>
        <v/>
      </c>
      <c r="O25" s="83" t="str">
        <f>K26</f>
        <v/>
      </c>
      <c r="P25" s="83" t="e">
        <f>N25*O25</f>
        <v>#VALUE!</v>
      </c>
      <c r="Q25" s="83" t="e">
        <f>N25*#REF!*O25</f>
        <v>#VALUE!</v>
      </c>
      <c r="S25" s="83" t="e">
        <f>S26*2</f>
        <v>#VALUE!</v>
      </c>
    </row>
    <row r="26" spans="2:19" ht="18" customHeight="1" x14ac:dyDescent="0.2">
      <c r="B26" s="100">
        <v>5</v>
      </c>
      <c r="C26" s="100"/>
      <c r="D26" s="100"/>
      <c r="E26" s="100">
        <v>12</v>
      </c>
      <c r="F26" s="100"/>
      <c r="G26" s="100"/>
      <c r="H26" s="100">
        <v>10</v>
      </c>
      <c r="I26" s="83" t="b">
        <f>ISBLANK(Design!D14)</f>
        <v>1</v>
      </c>
      <c r="J26" s="144" t="s">
        <v>1849</v>
      </c>
      <c r="K26" s="145" t="str">
        <f>TRIM(Design!D14)</f>
        <v/>
      </c>
      <c r="P26" s="83" t="e">
        <f>P25/2</f>
        <v>#VALUE!</v>
      </c>
      <c r="Q26" s="83" t="e">
        <f>Q25/2</f>
        <v>#VALUE!</v>
      </c>
      <c r="R26" s="83" t="s">
        <v>1885</v>
      </c>
      <c r="S26" s="83" t="e">
        <f>Q27*24</f>
        <v>#VALUE!</v>
      </c>
    </row>
    <row r="27" spans="2:19" ht="18" customHeight="1" x14ac:dyDescent="0.2">
      <c r="B27" s="100">
        <v>6</v>
      </c>
      <c r="C27" s="100"/>
      <c r="D27" s="100"/>
      <c r="E27" s="100">
        <v>24</v>
      </c>
      <c r="F27" s="100"/>
      <c r="G27" s="100"/>
      <c r="H27" s="100"/>
      <c r="I27" s="83" t="b">
        <f>ISBLANK(Design!D15)</f>
        <v>1</v>
      </c>
      <c r="J27" s="144" t="s">
        <v>1850</v>
      </c>
      <c r="K27" s="145" t="str">
        <f>TRIM(Design!D15)</f>
        <v/>
      </c>
      <c r="P27" s="83" t="e">
        <f>ROUNDUP(P26/24,0)</f>
        <v>#VALUE!</v>
      </c>
      <c r="Q27" s="83" t="e">
        <f>ROUNDUP(Q26/24,0)</f>
        <v>#VALUE!</v>
      </c>
      <c r="R27" s="83" t="s">
        <v>1886</v>
      </c>
    </row>
    <row r="28" spans="2:19" ht="18" customHeight="1" x14ac:dyDescent="0.2">
      <c r="B28" s="100">
        <v>7</v>
      </c>
      <c r="C28" s="100"/>
      <c r="D28" s="100"/>
      <c r="E28" s="100">
        <v>48</v>
      </c>
      <c r="F28" s="100"/>
      <c r="G28" s="100"/>
      <c r="H28" s="100"/>
      <c r="I28" s="83" t="b">
        <f>ISBLANK(Design!D20)</f>
        <v>1</v>
      </c>
      <c r="J28" s="144" t="s">
        <v>1855</v>
      </c>
      <c r="K28" s="145" t="str">
        <f>TRIM(Design!D20)</f>
        <v/>
      </c>
      <c r="P28" s="83" t="e">
        <f>#REF!*O25</f>
        <v>#REF!</v>
      </c>
      <c r="R28" s="83" t="s">
        <v>1887</v>
      </c>
    </row>
    <row r="29" spans="2:19" ht="18" customHeight="1" x14ac:dyDescent="0.2">
      <c r="B29" s="100">
        <v>8</v>
      </c>
      <c r="C29" s="100"/>
      <c r="D29" s="100"/>
      <c r="E29" s="100">
        <f>IF($D$21="OM2","",IF($D$21="OM4","",96))</f>
        <v>96</v>
      </c>
      <c r="F29" s="100"/>
      <c r="G29" s="100"/>
      <c r="H29" s="100"/>
      <c r="I29" s="83" t="b">
        <f>ISBLANK(Design!D17)</f>
        <v>1</v>
      </c>
      <c r="J29" s="144" t="s">
        <v>1852</v>
      </c>
      <c r="K29" s="145" t="str">
        <f>TRIM(Design!D17)</f>
        <v/>
      </c>
    </row>
    <row r="30" spans="2:19" ht="18" customHeight="1" x14ac:dyDescent="0.2">
      <c r="B30" s="100">
        <v>9</v>
      </c>
      <c r="C30" s="100"/>
      <c r="D30" s="100"/>
      <c r="E30" s="100">
        <f>IF($D$21="OM2","",IF($D$21="OM3","",IF($D$21="OM4","",144)))</f>
        <v>144</v>
      </c>
      <c r="F30" s="100"/>
      <c r="G30" s="100"/>
      <c r="H30" s="100"/>
      <c r="I30" s="83" t="b">
        <f>ISBLANK(Design!D16)</f>
        <v>1</v>
      </c>
      <c r="J30" s="144" t="s">
        <v>1851</v>
      </c>
      <c r="K30" s="145" t="str">
        <f>TRIM(Design!D16)</f>
        <v/>
      </c>
    </row>
    <row r="31" spans="2:19" ht="18" customHeight="1" thickBot="1" x14ac:dyDescent="0.25">
      <c r="B31" s="100">
        <v>10</v>
      </c>
      <c r="C31" s="100"/>
      <c r="D31" s="100"/>
      <c r="E31" s="100">
        <f>IF($D$21="OM2","",IF($D$21="OM3","",IF($D$21="OM4","",216)))</f>
        <v>216</v>
      </c>
      <c r="F31" s="100" t="s">
        <v>1888</v>
      </c>
      <c r="G31" s="100"/>
      <c r="H31" s="100"/>
      <c r="I31" s="83" t="b">
        <f>ISBLANK(Design!D21)</f>
        <v>1</v>
      </c>
      <c r="J31" s="147" t="s">
        <v>1857</v>
      </c>
      <c r="K31" s="148" t="str">
        <f>TRIM(Design!D21)</f>
        <v/>
      </c>
      <c r="L31" s="83" t="e">
        <f>ROUNDUP(J33/24,0)</f>
        <v>#VALUE!</v>
      </c>
    </row>
    <row r="32" spans="2:19" ht="15.75" thickTop="1" x14ac:dyDescent="0.2">
      <c r="B32" s="100">
        <v>11</v>
      </c>
      <c r="C32" s="100"/>
      <c r="D32" s="100"/>
      <c r="E32" s="100">
        <f>IF($D$21="OM2","",IF($D$21="OM3","",IF($D$21="OM4","",432)))</f>
        <v>432</v>
      </c>
      <c r="F32" s="100" t="s">
        <v>1888</v>
      </c>
      <c r="G32" s="100"/>
      <c r="H32" s="100"/>
      <c r="I32" s="152" t="s">
        <v>1889</v>
      </c>
      <c r="J32" s="152" t="s">
        <v>1890</v>
      </c>
      <c r="K32" s="152" t="s">
        <v>1891</v>
      </c>
      <c r="L32" s="152" t="s">
        <v>1892</v>
      </c>
    </row>
    <row r="33" spans="2:16" x14ac:dyDescent="0.2">
      <c r="H33" s="83" t="s">
        <v>1883</v>
      </c>
      <c r="I33" s="83" t="str">
        <f>K25</f>
        <v/>
      </c>
      <c r="J33" s="83" t="e">
        <f>I33/2</f>
        <v>#VALUE!</v>
      </c>
      <c r="K33" s="83" t="e">
        <f>IF(J33&lt;=6,6,IF(J33&lt;=12,12,IF(J33&gt;=13,24,0)))</f>
        <v>#VALUE!</v>
      </c>
      <c r="L33" s="83" t="e">
        <f>IF(L31&lt;=1,1,L31)</f>
        <v>#VALUE!</v>
      </c>
    </row>
    <row r="34" spans="2:16" x14ac:dyDescent="0.2">
      <c r="H34" s="83" t="s">
        <v>1884</v>
      </c>
      <c r="I34" s="83" t="e">
        <f>K25*K23*K26</f>
        <v>#VALUE!</v>
      </c>
      <c r="J34" s="83" t="e">
        <f>I34/2</f>
        <v>#VALUE!</v>
      </c>
      <c r="K34" s="83" t="e">
        <f>IF(J34&lt;=6,6,IF(J34&lt;=12,12,IF(J34&gt;=13,24,0)))</f>
        <v>#VALUE!</v>
      </c>
      <c r="L34" s="83" t="e">
        <f>IF(M34&lt;=1,1,M34)</f>
        <v>#VALUE!</v>
      </c>
      <c r="M34" s="83" t="e">
        <f>ROUNDUP(J34/24,0)</f>
        <v>#VALUE!</v>
      </c>
    </row>
    <row r="35" spans="2:16" s="153" customFormat="1" ht="27.75" customHeight="1" x14ac:dyDescent="0.2">
      <c r="C35" s="499" t="s">
        <v>1893</v>
      </c>
      <c r="D35" s="499"/>
      <c r="E35" s="499"/>
      <c r="F35" s="499" t="s">
        <v>1894</v>
      </c>
      <c r="G35" s="499"/>
      <c r="H35" s="499"/>
      <c r="I35" s="499" t="s">
        <v>1895</v>
      </c>
      <c r="J35" s="499"/>
      <c r="K35" s="499"/>
      <c r="L35" s="154" t="s">
        <v>1896</v>
      </c>
      <c r="M35" s="154"/>
    </row>
    <row r="36" spans="2:16" s="155" customFormat="1" ht="24" customHeight="1" x14ac:dyDescent="0.2">
      <c r="C36" s="156" t="str">
        <f>C37</f>
        <v/>
      </c>
      <c r="D36" s="157">
        <f>IF($C37=$C38,D38,IF($C37=$C39,D39,IF($C37=$C40,D40,IF($C37=$C41,D41,IF($C37=$C42,D42,IF($C37=$C43,D43,IF($C37=$C44,D44,IF($C37=$C45,D45,IF($C37=$C46,D46,IF($C37=$C47,D47,IF($C37=$C48,D48,IF($C37=$C49,D49,IF($C37=$C50,D50,IF($C37=$C51,D51,IF($C37=$C52,D52,IF($C37=$C53,D53,IF($C37=$C54,D54,IF($C37=$C55,D55,IF($C37=$C57,D57,IF($C37=$C58,D58,IF($C37=$C59,D59,IF($C37=$C60,D60,IF($C37=$C61,D61,IF($C37=$C62,D62,IF($C37=$C63,D63,IF($C37=$C64,D64,IF($C37=$C65,D65,IF($C37=$C66,D66,IF($C37=$C68,D68,IF($C37=$C69,D69,IF($C37=$C70,D70,IF($C37=$C71,D71,IF($C37=$C72,D72,IF($C37=$C73,D73,IF($C37=$C74,D74,IF($C37=$C75,D75,IF($C37=$C76,D76,IF($C37=$C77,D77,IF($C37=$C79,D79,IF($C37=$C80,D80,IF($C37=$C81,D81,IF($C37=$C82,D82,IF($C37=$C83,D83,"Not Available")))))))))))))))))))))))))))))))))))))))))))</f>
        <v>0</v>
      </c>
      <c r="E36" s="157">
        <f>IF($C37=$C38,E38,IF($C37=$C39,E39,IF($C37=$C40,E40,IF($C37=$C41,E41,IF($C37=$C42,E42,IF($C37=$C43,E43,IF($C37=$C44,E44,IF($C37=$C45,E45,IF($C37=$C46,E46,IF($C37=$C47,E47,IF($C37=$C48,E48,IF($C37=$C49,E49,IF($C37=$C50,E50,IF($C37=$C51,E51,IF($C37=$C52,E52,IF($C37=$C53,E53,IF($C37=$C54,E54,IF($C37=$C55,E55,IF($C37=$C57,E57,IF($C37=$C58,E58,IF($C37=$C59,E59,IF($C37=$C60,E60,IF($C37=$C61,E61,IF($C37=$C62,E62,IF($C37=$C63,E63,IF($C37=$C64,E64,IF($C37=$C65,E65,IF($C37=$C66,E66,IF($C37=$C68,E68,IF($C37=$C69,E69,IF($C37=$C70,E70,IF($C37=$C71,E71,IF($C37=$C72,E72,IF($C37=$C73,E73,IF($C37=$C74,E74,IF($C37=$C75,E75,IF($C37=$C76,E76,IF($C37=$C77,E77,IF($C37=$C79,E79,IF($C37=$C80,E80,IF($C37=$C81,E81,IF($C37=$C82,E82,IF($C37=$C83,E83,"Not Available")))))))))))))))))))))))))))))))))))))))))))</f>
        <v>0</v>
      </c>
      <c r="F36" s="156" t="str">
        <f>F37</f>
        <v/>
      </c>
      <c r="G36" s="157">
        <f>IF($F37=$F38,G38,IF($F37=$F39,G39,IF($F37=$F40,G40,IF($F37=$F41,G41,IF($F37=$F42,G42,IF($F37=$F43,G43,IF($F37=$F44,G44,IF($F37=$F45,G45,IF($F37=$F46,G46,IF($F37=$F47,G47,IF($F37=$F48,G48,IF($F37=$F49,G49,IF($F37=$F50,G50,IF($F37=$F51,G51,IF($F37=$F52,G52,IF($F37=$F53,G53,IF($F37=$F54,G54,IF($F37=$F55,G55,IF($F37=$F57,G57,IF($F37=$F58,G58,IF($F37=$F59,G59,IF($F37=$F60,G60,IF($F37=$F61,G61,IF($F37=$F62,G62,IF($F37=$F63,G63,IF($F37=$F64,G64,IF($F37=$F65,G65,IF($F37=$F66,G66,IF($F37=$F68,G68,IF($F37=$F69,G69,IF($F37=$F70,G70,IF($F37=$F71,G71,IF($F37=$F72,G72,IF($F37=$F73,G73,IF($F37=$F74,G74,IF($F37=$F75,G75,IF($F37=$F76,G76,IF($F37=$F77,G77,IF($F37=$F79,G79,IF($F37=$F80,G80,IF($F37=$F81,G81,IF($F37=$F82,G82,IF($F37=$F83,G83,"Not Available")))))))))))))))))))))))))))))))))))))))))))</f>
        <v>0</v>
      </c>
      <c r="H36" s="157">
        <f>IF($F37=$F38,H38,IF($F37=$F39,H39,IF($F37=$F40,H40,IF($F37=$F41,H41,IF($F37=$F42,H42,IF($F37=$F43,H43,IF($F37=$F44,H44,IF($F37=$F45,H45,IF($F37=$F46,H46,IF($F37=$F47,H47,IF($F37=$F48,H48,IF($F37=$F49,H49,IF($F37=$F50,H50,IF($F37=$F51,H51,IF($F37=$F52,H52,IF($F37=$F53,H53,IF($F37=$F54,H54,IF($F37=$F55,H55,IF($F37=$F57,H57,IF($F37=$F58,H58,IF($F37=$F59,H59,IF($F37=$F60,H60,IF($F37=$F61,H61,IF($F37=$F62,H62,IF($F37=$F63,H63,IF($F37=$F64,H64,IF($F37=$F65,H65,IF($F37=$F66,H66,IF($F37=$F68,H68,IF($F37=$F69,H69,IF($F37=$F70,H70,IF($F37=$F71,H71,IF($F37=$F72,H72,IF($F37=$F73,H73,IF($F37=$F74,H74,IF($F37=$F75,H75,IF($F37=$F76,H76,IF($F37=$F77,H77,IF($F37=$F79,H79,IF($F37=$F80,H80,IF($F37=$F81,H81,IF($F37=$F82,H82,IF($F37=$F83,H83,"Not Available")))))))))))))))))))))))))))))))))))))))))))</f>
        <v>0</v>
      </c>
      <c r="I36" s="156" t="e">
        <f>D21&amp;G21&amp;K34</f>
        <v>#VALUE!</v>
      </c>
      <c r="J36" s="158" t="e">
        <f>VLOOKUP(I36,I38:K132,2,FALSE)</f>
        <v>#VALUE!</v>
      </c>
      <c r="K36" s="156" t="e">
        <f>VLOOKUP(I36,I38:K132,3,FALSE)</f>
        <v>#VALUE!</v>
      </c>
      <c r="L36" s="156" t="e">
        <f>L34</f>
        <v>#VALUE!</v>
      </c>
      <c r="M36" s="156" t="s">
        <v>1884</v>
      </c>
    </row>
    <row r="37" spans="2:16" s="159" customFormat="1" ht="22.5" customHeight="1" x14ac:dyDescent="0.2">
      <c r="C37" s="160" t="str">
        <f>D21&amp;E21</f>
        <v/>
      </c>
      <c r="D37" s="160" t="e">
        <f>VLOOKUP($C$37,C38:F132,2,FALSE)</f>
        <v>#N/A</v>
      </c>
      <c r="E37" s="160" t="e">
        <f>VLOOKUP(C37,C38:E132,3,FALSE)</f>
        <v>#N/A</v>
      </c>
      <c r="F37" s="160" t="str">
        <f>D21&amp;G21&amp;H21</f>
        <v/>
      </c>
      <c r="G37" s="160" t="e">
        <f>VLOOKUP(F37,F38:H132,2,FALSE)</f>
        <v>#N/A</v>
      </c>
      <c r="H37" s="160" t="e">
        <f>VLOOKUP(F37,F38:H132,3,FALSE)</f>
        <v>#N/A</v>
      </c>
      <c r="I37" s="160" t="e">
        <f>D21&amp;G21&amp;K33</f>
        <v>#VALUE!</v>
      </c>
      <c r="J37" s="161" t="e">
        <f>VLOOKUP(I37,I38:K132,2,FALSE)</f>
        <v>#VALUE!</v>
      </c>
      <c r="K37" s="160" t="e">
        <f>VLOOKUP(I37,I38:K132,3,FALSE)</f>
        <v>#VALUE!</v>
      </c>
      <c r="L37" s="160" t="e">
        <f>L33*K23*K26</f>
        <v>#VALUE!</v>
      </c>
      <c r="M37" s="160" t="s">
        <v>1883</v>
      </c>
    </row>
    <row r="38" spans="2:16" x14ac:dyDescent="0.2">
      <c r="B38" s="83">
        <v>2</v>
      </c>
      <c r="C38" s="100" t="s">
        <v>1897</v>
      </c>
      <c r="D38" s="83">
        <v>231002</v>
      </c>
      <c r="E38" s="100" t="s">
        <v>336</v>
      </c>
      <c r="F38" s="100" t="s">
        <v>1898</v>
      </c>
      <c r="G38" s="100">
        <v>423311</v>
      </c>
      <c r="H38" s="100" t="s">
        <v>256</v>
      </c>
      <c r="I38" s="100" t="s">
        <v>1899</v>
      </c>
      <c r="J38" s="100"/>
      <c r="K38" s="100"/>
      <c r="L38" s="83">
        <v>2</v>
      </c>
      <c r="M38" s="83">
        <v>231002</v>
      </c>
      <c r="N38" s="83" t="s">
        <v>41</v>
      </c>
      <c r="O38" s="83" t="s">
        <v>42</v>
      </c>
      <c r="P38" s="83" t="s">
        <v>43</v>
      </c>
    </row>
    <row r="39" spans="2:16" x14ac:dyDescent="0.2">
      <c r="B39" s="83">
        <v>4</v>
      </c>
      <c r="C39" s="100" t="s">
        <v>1900</v>
      </c>
      <c r="D39" s="100">
        <v>190203</v>
      </c>
      <c r="E39" s="162" t="s">
        <v>332</v>
      </c>
      <c r="F39" s="100" t="s">
        <v>1899</v>
      </c>
      <c r="G39" s="100">
        <v>423312</v>
      </c>
      <c r="H39" s="100" t="s">
        <v>278</v>
      </c>
      <c r="I39" s="100" t="s">
        <v>1901</v>
      </c>
      <c r="J39" s="163" t="s">
        <v>249</v>
      </c>
      <c r="K39" s="100">
        <v>415250</v>
      </c>
      <c r="L39" s="83">
        <v>4</v>
      </c>
      <c r="M39" s="100">
        <v>190203</v>
      </c>
      <c r="N39" s="100">
        <v>185938</v>
      </c>
      <c r="O39" s="100">
        <v>185989</v>
      </c>
      <c r="P39" s="100">
        <v>192712</v>
      </c>
    </row>
    <row r="40" spans="2:16" x14ac:dyDescent="0.2">
      <c r="B40" s="83">
        <v>6</v>
      </c>
      <c r="C40" s="100" t="s">
        <v>1902</v>
      </c>
      <c r="D40" s="100">
        <v>190204</v>
      </c>
      <c r="E40" s="100" t="s">
        <v>330</v>
      </c>
      <c r="F40" s="100" t="s">
        <v>1903</v>
      </c>
      <c r="G40" s="100">
        <v>423313</v>
      </c>
      <c r="H40" s="100" t="s">
        <v>248</v>
      </c>
      <c r="I40" s="100" t="s">
        <v>1904</v>
      </c>
      <c r="J40" s="163" t="s">
        <v>1905</v>
      </c>
      <c r="K40" s="100">
        <v>415254</v>
      </c>
      <c r="L40" s="83">
        <v>6</v>
      </c>
      <c r="M40" s="100">
        <v>190204</v>
      </c>
      <c r="N40" s="100">
        <v>186459</v>
      </c>
      <c r="O40" s="100">
        <v>190112</v>
      </c>
      <c r="P40" s="100">
        <v>193360</v>
      </c>
    </row>
    <row r="41" spans="2:16" x14ac:dyDescent="0.2">
      <c r="B41" s="83">
        <v>8</v>
      </c>
      <c r="C41" s="100" t="s">
        <v>1906</v>
      </c>
      <c r="D41" s="100">
        <v>190205</v>
      </c>
      <c r="E41" s="100" t="s">
        <v>329</v>
      </c>
      <c r="F41" s="100" t="s">
        <v>1907</v>
      </c>
      <c r="G41" s="100">
        <v>423315</v>
      </c>
      <c r="H41" s="100" t="s">
        <v>279</v>
      </c>
      <c r="I41" s="100" t="s">
        <v>1908</v>
      </c>
      <c r="J41" s="163" t="s">
        <v>1909</v>
      </c>
      <c r="K41" s="100">
        <v>415258</v>
      </c>
      <c r="L41" s="83">
        <v>8</v>
      </c>
      <c r="M41" s="100">
        <v>190205</v>
      </c>
      <c r="N41" s="100">
        <v>186300</v>
      </c>
      <c r="O41" s="100">
        <v>185959</v>
      </c>
      <c r="P41" s="100">
        <v>187363</v>
      </c>
    </row>
    <row r="42" spans="2:16" x14ac:dyDescent="0.2">
      <c r="B42" s="83">
        <v>12</v>
      </c>
      <c r="C42" s="100" t="s">
        <v>1910</v>
      </c>
      <c r="D42" s="100">
        <v>190077</v>
      </c>
      <c r="E42" s="100" t="s">
        <v>380</v>
      </c>
      <c r="F42" s="100" t="s">
        <v>1911</v>
      </c>
      <c r="G42" s="100">
        <v>423320</v>
      </c>
      <c r="H42" s="100" t="s">
        <v>261</v>
      </c>
      <c r="J42" s="163"/>
      <c r="K42" s="100"/>
      <c r="L42" s="83">
        <v>12</v>
      </c>
      <c r="M42" s="100">
        <v>190077</v>
      </c>
      <c r="N42" s="100">
        <v>185935</v>
      </c>
      <c r="O42" s="100">
        <v>186350</v>
      </c>
      <c r="P42" s="100">
        <v>191251</v>
      </c>
    </row>
    <row r="43" spans="2:16" x14ac:dyDescent="0.2">
      <c r="B43" s="83">
        <v>24</v>
      </c>
      <c r="C43" s="100" t="s">
        <v>1912</v>
      </c>
      <c r="D43" s="100">
        <v>187354</v>
      </c>
      <c r="E43" s="100" t="s">
        <v>322</v>
      </c>
      <c r="F43" s="100" t="s">
        <v>1913</v>
      </c>
      <c r="G43" s="100">
        <v>421111</v>
      </c>
      <c r="H43" s="100" t="s">
        <v>267</v>
      </c>
      <c r="I43" s="100" t="s">
        <v>1914</v>
      </c>
      <c r="J43" s="163"/>
      <c r="K43" s="100"/>
      <c r="L43" s="83">
        <v>24</v>
      </c>
      <c r="M43" s="100">
        <v>187354</v>
      </c>
      <c r="N43" s="100">
        <v>186595</v>
      </c>
      <c r="O43" s="100">
        <v>191755</v>
      </c>
      <c r="P43" s="100">
        <v>192713</v>
      </c>
    </row>
    <row r="44" spans="2:16" x14ac:dyDescent="0.2">
      <c r="B44" s="83">
        <v>48</v>
      </c>
      <c r="C44" s="100" t="s">
        <v>1915</v>
      </c>
      <c r="D44" s="100">
        <v>190208</v>
      </c>
      <c r="E44" s="100" t="s">
        <v>326</v>
      </c>
      <c r="F44" s="100" t="s">
        <v>1914</v>
      </c>
      <c r="G44" s="100">
        <v>421112</v>
      </c>
      <c r="H44" s="100" t="s">
        <v>836</v>
      </c>
      <c r="I44" s="100" t="s">
        <v>1916</v>
      </c>
      <c r="J44" s="163" t="s">
        <v>1917</v>
      </c>
      <c r="K44" s="100">
        <v>415262</v>
      </c>
      <c r="L44" s="83">
        <v>48</v>
      </c>
      <c r="M44" s="100">
        <v>190208</v>
      </c>
      <c r="N44" s="100">
        <v>187291</v>
      </c>
      <c r="O44" s="100">
        <v>186486</v>
      </c>
      <c r="P44" s="100">
        <v>191278</v>
      </c>
    </row>
    <row r="45" spans="2:16" x14ac:dyDescent="0.2">
      <c r="B45" s="83">
        <v>96</v>
      </c>
      <c r="C45" s="100" t="s">
        <v>1918</v>
      </c>
      <c r="D45" s="100">
        <v>186747</v>
      </c>
      <c r="E45" s="100" t="s">
        <v>383</v>
      </c>
      <c r="F45" s="164" t="s">
        <v>1919</v>
      </c>
      <c r="G45" s="164">
        <v>421113</v>
      </c>
      <c r="H45" s="164" t="s">
        <v>268</v>
      </c>
      <c r="I45" s="100" t="s">
        <v>1920</v>
      </c>
      <c r="J45" s="163" t="s">
        <v>561</v>
      </c>
      <c r="K45" s="100">
        <v>415266</v>
      </c>
      <c r="L45" s="83">
        <v>96</v>
      </c>
      <c r="M45" s="100">
        <v>186747</v>
      </c>
      <c r="N45" s="100"/>
      <c r="O45" s="100">
        <v>186540</v>
      </c>
      <c r="P45" s="100">
        <v>192714</v>
      </c>
    </row>
    <row r="46" spans="2:16" x14ac:dyDescent="0.2">
      <c r="B46" s="83">
        <v>144</v>
      </c>
      <c r="C46" s="100" t="s">
        <v>1921</v>
      </c>
      <c r="D46" s="100">
        <v>190212</v>
      </c>
      <c r="E46" s="100" t="s">
        <v>384</v>
      </c>
      <c r="F46" s="164" t="s">
        <v>1922</v>
      </c>
      <c r="G46" s="164">
        <v>421115</v>
      </c>
      <c r="H46" s="164" t="s">
        <v>269</v>
      </c>
      <c r="I46" s="100" t="s">
        <v>1923</v>
      </c>
      <c r="J46" s="163" t="s">
        <v>563</v>
      </c>
      <c r="K46" s="100">
        <v>415270</v>
      </c>
      <c r="L46" s="83">
        <v>144</v>
      </c>
      <c r="M46" s="100">
        <v>190212</v>
      </c>
      <c r="N46" s="100">
        <v>186616</v>
      </c>
      <c r="O46" s="100">
        <v>191710</v>
      </c>
      <c r="P46" s="100">
        <v>192715</v>
      </c>
    </row>
    <row r="47" spans="2:16" x14ac:dyDescent="0.2">
      <c r="B47" s="83">
        <v>216</v>
      </c>
      <c r="C47" s="100" t="s">
        <v>1924</v>
      </c>
      <c r="D47" s="100">
        <v>190176</v>
      </c>
      <c r="E47" s="100" t="s">
        <v>481</v>
      </c>
      <c r="F47" s="164" t="s">
        <v>1925</v>
      </c>
      <c r="G47" s="164">
        <v>421120</v>
      </c>
      <c r="H47" s="164" t="s">
        <v>842</v>
      </c>
      <c r="J47" s="163"/>
      <c r="K47" s="100"/>
      <c r="L47" s="83">
        <v>216</v>
      </c>
      <c r="M47" s="100">
        <v>190176</v>
      </c>
      <c r="N47" s="100"/>
      <c r="O47" s="100"/>
      <c r="P47" s="100"/>
    </row>
    <row r="48" spans="2:16" x14ac:dyDescent="0.2">
      <c r="B48" s="83">
        <v>432</v>
      </c>
      <c r="C48" s="100" t="s">
        <v>1926</v>
      </c>
      <c r="D48" s="100">
        <v>190178</v>
      </c>
      <c r="E48" s="100" t="s">
        <v>484</v>
      </c>
      <c r="F48" s="100" t="s">
        <v>1927</v>
      </c>
      <c r="G48" s="100">
        <v>423351</v>
      </c>
      <c r="H48" s="100" t="s">
        <v>217</v>
      </c>
      <c r="I48" s="100" t="s">
        <v>1928</v>
      </c>
      <c r="J48" s="163" t="s">
        <v>1929</v>
      </c>
      <c r="K48" s="100">
        <v>415251</v>
      </c>
      <c r="L48" s="83">
        <v>432</v>
      </c>
      <c r="M48" s="100">
        <v>190178</v>
      </c>
      <c r="N48" s="100"/>
      <c r="O48" s="100"/>
      <c r="P48" s="100"/>
    </row>
    <row r="49" spans="2:16" x14ac:dyDescent="0.2">
      <c r="B49" s="83">
        <v>2</v>
      </c>
      <c r="C49" s="100" t="s">
        <v>1930</v>
      </c>
      <c r="D49" s="100"/>
      <c r="E49" s="100"/>
      <c r="F49" s="100" t="s">
        <v>1931</v>
      </c>
      <c r="G49" s="100">
        <v>423352</v>
      </c>
      <c r="H49" s="100" t="s">
        <v>213</v>
      </c>
      <c r="I49" s="100" t="s">
        <v>1932</v>
      </c>
      <c r="J49" s="163" t="s">
        <v>1933</v>
      </c>
      <c r="K49" s="100">
        <v>415255</v>
      </c>
      <c r="M49" s="100"/>
      <c r="N49" s="100"/>
      <c r="O49" s="100"/>
      <c r="P49" s="100"/>
    </row>
    <row r="50" spans="2:16" x14ac:dyDescent="0.2">
      <c r="B50" s="83">
        <v>4</v>
      </c>
      <c r="C50" s="100" t="s">
        <v>1934</v>
      </c>
      <c r="D50" s="100">
        <v>185938</v>
      </c>
      <c r="E50" s="100" t="s">
        <v>385</v>
      </c>
      <c r="F50" s="100" t="s">
        <v>1935</v>
      </c>
      <c r="G50" s="100">
        <v>423353</v>
      </c>
      <c r="H50" s="100" t="s">
        <v>211</v>
      </c>
      <c r="I50" s="100" t="s">
        <v>1936</v>
      </c>
      <c r="J50" s="163" t="s">
        <v>1937</v>
      </c>
      <c r="K50" s="100">
        <v>415259</v>
      </c>
      <c r="M50" s="100" t="s">
        <v>1938</v>
      </c>
      <c r="N50" s="100"/>
      <c r="O50" s="100"/>
      <c r="P50" s="100"/>
    </row>
    <row r="51" spans="2:16" x14ac:dyDescent="0.2">
      <c r="B51" s="83">
        <v>6</v>
      </c>
      <c r="C51" s="100" t="s">
        <v>1939</v>
      </c>
      <c r="D51" s="100">
        <v>186459</v>
      </c>
      <c r="E51" s="100" t="s">
        <v>386</v>
      </c>
      <c r="F51" s="100" t="s">
        <v>1940</v>
      </c>
      <c r="G51" s="100">
        <v>423355</v>
      </c>
      <c r="H51" s="100" t="s">
        <v>212</v>
      </c>
      <c r="I51" s="100"/>
      <c r="J51" s="163"/>
      <c r="K51" s="100"/>
      <c r="M51" s="100" t="s">
        <v>44</v>
      </c>
      <c r="N51" s="100" t="s">
        <v>41</v>
      </c>
      <c r="O51" s="100" t="s">
        <v>42</v>
      </c>
      <c r="P51" s="100" t="s">
        <v>43</v>
      </c>
    </row>
    <row r="52" spans="2:16" x14ac:dyDescent="0.2">
      <c r="B52" s="83">
        <v>8</v>
      </c>
      <c r="C52" s="100" t="s">
        <v>1941</v>
      </c>
      <c r="D52" s="100">
        <v>186300</v>
      </c>
      <c r="E52" s="100" t="s">
        <v>387</v>
      </c>
      <c r="F52" s="100" t="s">
        <v>1942</v>
      </c>
      <c r="G52" s="100">
        <v>423360</v>
      </c>
      <c r="H52" s="100" t="s">
        <v>223</v>
      </c>
      <c r="I52" s="100"/>
      <c r="J52" s="163"/>
      <c r="K52" s="100"/>
      <c r="L52" s="83">
        <v>1</v>
      </c>
      <c r="M52" s="100">
        <v>423311</v>
      </c>
      <c r="N52" s="100">
        <v>423351</v>
      </c>
      <c r="O52" s="100">
        <v>423331</v>
      </c>
      <c r="P52" s="100">
        <v>433341</v>
      </c>
    </row>
    <row r="53" spans="2:16" x14ac:dyDescent="0.2">
      <c r="B53" s="83">
        <v>12</v>
      </c>
      <c r="C53" s="100" t="s">
        <v>1943</v>
      </c>
      <c r="D53" s="100">
        <v>185935</v>
      </c>
      <c r="E53" s="100" t="s">
        <v>388</v>
      </c>
      <c r="F53" s="100" t="s">
        <v>1944</v>
      </c>
      <c r="G53" s="100">
        <v>421151</v>
      </c>
      <c r="H53" s="100" t="s">
        <v>216</v>
      </c>
      <c r="I53" s="100" t="s">
        <v>1945</v>
      </c>
      <c r="J53" s="163" t="s">
        <v>1946</v>
      </c>
      <c r="K53" s="100">
        <v>415263</v>
      </c>
      <c r="L53" s="83">
        <v>2</v>
      </c>
      <c r="M53" s="100">
        <v>423312</v>
      </c>
      <c r="N53" s="100">
        <v>423352</v>
      </c>
      <c r="O53" s="100">
        <v>423332</v>
      </c>
      <c r="P53" s="100">
        <v>433342</v>
      </c>
    </row>
    <row r="54" spans="2:16" x14ac:dyDescent="0.2">
      <c r="B54" s="83">
        <v>24</v>
      </c>
      <c r="C54" s="100" t="s">
        <v>1947</v>
      </c>
      <c r="D54" s="100">
        <v>186595</v>
      </c>
      <c r="E54" s="100" t="s">
        <v>390</v>
      </c>
      <c r="F54" s="100" t="s">
        <v>1948</v>
      </c>
      <c r="G54" s="100">
        <v>421152</v>
      </c>
      <c r="H54" s="100" t="s">
        <v>220</v>
      </c>
      <c r="I54" s="100" t="s">
        <v>1949</v>
      </c>
      <c r="J54" s="163" t="s">
        <v>1950</v>
      </c>
      <c r="K54" s="100">
        <v>415267</v>
      </c>
      <c r="L54" s="83">
        <v>3</v>
      </c>
      <c r="M54" s="100">
        <v>423313</v>
      </c>
      <c r="N54" s="100">
        <v>423353</v>
      </c>
      <c r="O54" s="100">
        <v>423333</v>
      </c>
      <c r="P54" s="100">
        <v>433343</v>
      </c>
    </row>
    <row r="55" spans="2:16" x14ac:dyDescent="0.2">
      <c r="B55" s="83">
        <v>48</v>
      </c>
      <c r="C55" s="100" t="s">
        <v>1951</v>
      </c>
      <c r="D55" s="100">
        <v>187291</v>
      </c>
      <c r="E55" s="100" t="s">
        <v>391</v>
      </c>
      <c r="F55" s="100" t="s">
        <v>1952</v>
      </c>
      <c r="G55" s="100">
        <v>421153</v>
      </c>
      <c r="H55" s="100" t="s">
        <v>1953</v>
      </c>
      <c r="I55" s="100" t="s">
        <v>1954</v>
      </c>
      <c r="J55" s="163" t="s">
        <v>1955</v>
      </c>
      <c r="K55" s="100">
        <v>415271</v>
      </c>
      <c r="L55" s="83">
        <v>5</v>
      </c>
      <c r="M55" s="100">
        <v>423315</v>
      </c>
      <c r="N55" s="100">
        <v>423355</v>
      </c>
      <c r="O55" s="100">
        <v>423335</v>
      </c>
      <c r="P55" s="100">
        <v>433345</v>
      </c>
    </row>
    <row r="56" spans="2:16" x14ac:dyDescent="0.2">
      <c r="B56" s="83">
        <v>96</v>
      </c>
      <c r="C56" s="100" t="s">
        <v>1956</v>
      </c>
      <c r="D56" s="100"/>
      <c r="E56" s="100"/>
      <c r="F56" s="100" t="s">
        <v>1957</v>
      </c>
      <c r="G56" s="100">
        <v>421155</v>
      </c>
      <c r="H56" s="100" t="s">
        <v>1958</v>
      </c>
      <c r="I56" s="100"/>
      <c r="J56" s="163"/>
      <c r="K56" s="100"/>
      <c r="L56" s="83">
        <v>10</v>
      </c>
      <c r="M56" s="100">
        <v>423320</v>
      </c>
      <c r="N56" s="100">
        <v>423360</v>
      </c>
      <c r="O56" s="100">
        <v>423340</v>
      </c>
      <c r="P56" s="100">
        <v>433350</v>
      </c>
    </row>
    <row r="57" spans="2:16" x14ac:dyDescent="0.2">
      <c r="B57" s="83">
        <v>144</v>
      </c>
      <c r="C57" s="100" t="s">
        <v>1959</v>
      </c>
      <c r="D57" s="100">
        <v>186616</v>
      </c>
      <c r="E57" s="100"/>
      <c r="F57" s="100" t="s">
        <v>1960</v>
      </c>
      <c r="G57" s="100">
        <v>421160</v>
      </c>
      <c r="H57" s="100" t="s">
        <v>1961</v>
      </c>
      <c r="I57" s="100"/>
      <c r="J57" s="163"/>
      <c r="K57" s="100"/>
      <c r="M57" s="100" t="s">
        <v>1962</v>
      </c>
      <c r="N57" s="100"/>
      <c r="O57" s="100"/>
      <c r="P57" s="100"/>
    </row>
    <row r="58" spans="2:16" x14ac:dyDescent="0.2">
      <c r="B58" s="83">
        <v>216</v>
      </c>
      <c r="C58" s="100" t="s">
        <v>1963</v>
      </c>
      <c r="D58" s="100"/>
      <c r="E58" s="100"/>
      <c r="F58" s="100"/>
      <c r="G58" s="100"/>
      <c r="H58" s="100"/>
      <c r="I58" s="100"/>
      <c r="J58" s="163"/>
      <c r="K58" s="100"/>
      <c r="M58" s="100" t="s">
        <v>44</v>
      </c>
      <c r="N58" s="100" t="s">
        <v>41</v>
      </c>
      <c r="O58" s="100" t="s">
        <v>42</v>
      </c>
      <c r="P58" s="100" t="s">
        <v>43</v>
      </c>
    </row>
    <row r="59" spans="2:16" x14ac:dyDescent="0.2">
      <c r="B59" s="83">
        <v>432</v>
      </c>
      <c r="C59" s="100" t="s">
        <v>1964</v>
      </c>
      <c r="D59" s="100"/>
      <c r="E59" s="100"/>
      <c r="F59" s="100" t="s">
        <v>1965</v>
      </c>
      <c r="G59" s="100">
        <v>423331</v>
      </c>
      <c r="H59" s="100" t="s">
        <v>225</v>
      </c>
      <c r="I59" s="100" t="s">
        <v>1966</v>
      </c>
      <c r="J59" s="163" t="s">
        <v>1967</v>
      </c>
      <c r="K59" s="100">
        <v>415252</v>
      </c>
      <c r="L59" s="83">
        <v>1</v>
      </c>
      <c r="M59" s="100">
        <v>421111</v>
      </c>
      <c r="N59" s="100">
        <v>421151</v>
      </c>
      <c r="O59" s="100">
        <v>421131</v>
      </c>
      <c r="P59" s="100">
        <v>431141</v>
      </c>
    </row>
    <row r="60" spans="2:16" x14ac:dyDescent="0.2">
      <c r="B60" s="83">
        <v>2</v>
      </c>
      <c r="C60" s="100" t="s">
        <v>1968</v>
      </c>
      <c r="D60" s="100"/>
      <c r="E60" s="100"/>
      <c r="F60" s="100" t="s">
        <v>1969</v>
      </c>
      <c r="G60" s="100">
        <v>423332</v>
      </c>
      <c r="H60" s="100" t="s">
        <v>229</v>
      </c>
      <c r="I60" s="100" t="s">
        <v>1970</v>
      </c>
      <c r="J60" s="163" t="s">
        <v>1971</v>
      </c>
      <c r="K60" s="100">
        <v>415256</v>
      </c>
      <c r="L60" s="83">
        <v>2</v>
      </c>
      <c r="M60" s="100">
        <v>421112</v>
      </c>
      <c r="N60" s="100">
        <v>421152</v>
      </c>
      <c r="O60" s="100">
        <v>421132</v>
      </c>
      <c r="P60" s="100">
        <v>431142</v>
      </c>
    </row>
    <row r="61" spans="2:16" x14ac:dyDescent="0.2">
      <c r="B61" s="83">
        <v>4</v>
      </c>
      <c r="C61" s="100" t="s">
        <v>1972</v>
      </c>
      <c r="D61" s="100">
        <v>185989</v>
      </c>
      <c r="E61" s="100" t="s">
        <v>312</v>
      </c>
      <c r="F61" s="100" t="s">
        <v>1973</v>
      </c>
      <c r="G61" s="100">
        <v>423333</v>
      </c>
      <c r="H61" s="100" t="s">
        <v>236</v>
      </c>
      <c r="I61" s="100" t="s">
        <v>1974</v>
      </c>
      <c r="J61" s="163" t="s">
        <v>559</v>
      </c>
      <c r="K61" s="100">
        <v>415260</v>
      </c>
      <c r="L61" s="83">
        <v>3</v>
      </c>
      <c r="M61" s="100">
        <v>421113</v>
      </c>
      <c r="N61" s="100">
        <v>421153</v>
      </c>
      <c r="O61" s="100">
        <v>421133</v>
      </c>
      <c r="P61" s="100">
        <v>431143</v>
      </c>
    </row>
    <row r="62" spans="2:16" x14ac:dyDescent="0.2">
      <c r="B62" s="83">
        <v>6</v>
      </c>
      <c r="C62" s="100" t="s">
        <v>1975</v>
      </c>
      <c r="D62" s="100">
        <v>190112</v>
      </c>
      <c r="E62" s="100" t="s">
        <v>637</v>
      </c>
      <c r="F62" s="100" t="s">
        <v>1976</v>
      </c>
      <c r="G62" s="100">
        <v>423335</v>
      </c>
      <c r="H62" s="100" t="s">
        <v>230</v>
      </c>
      <c r="I62" s="100"/>
      <c r="J62" s="163"/>
      <c r="K62" s="100"/>
      <c r="L62" s="83">
        <v>5</v>
      </c>
      <c r="M62" s="100">
        <v>421115</v>
      </c>
      <c r="N62" s="100">
        <v>421155</v>
      </c>
      <c r="O62" s="100">
        <v>421135</v>
      </c>
      <c r="P62" s="100">
        <v>431145</v>
      </c>
    </row>
    <row r="63" spans="2:16" x14ac:dyDescent="0.2">
      <c r="B63" s="83">
        <v>8</v>
      </c>
      <c r="C63" s="100" t="s">
        <v>1977</v>
      </c>
      <c r="D63" s="100">
        <v>185959</v>
      </c>
      <c r="E63" s="100" t="s">
        <v>315</v>
      </c>
      <c r="F63" s="100" t="s">
        <v>1978</v>
      </c>
      <c r="G63" s="100">
        <v>423340</v>
      </c>
      <c r="H63" s="100" t="s">
        <v>231</v>
      </c>
      <c r="I63" s="100"/>
      <c r="J63" s="163"/>
      <c r="K63" s="100"/>
      <c r="L63" s="83">
        <v>10</v>
      </c>
      <c r="M63" s="100">
        <v>421120</v>
      </c>
      <c r="N63" s="100">
        <v>421160</v>
      </c>
      <c r="O63" s="100">
        <v>421140</v>
      </c>
      <c r="P63" s="100">
        <v>431150</v>
      </c>
    </row>
    <row r="64" spans="2:16" x14ac:dyDescent="0.2">
      <c r="B64" s="83">
        <v>12</v>
      </c>
      <c r="C64" s="100" t="s">
        <v>1979</v>
      </c>
      <c r="D64" s="100">
        <v>186350</v>
      </c>
      <c r="E64" s="100" t="s">
        <v>318</v>
      </c>
      <c r="F64" s="100" t="s">
        <v>1980</v>
      </c>
      <c r="G64" s="100">
        <v>421131</v>
      </c>
      <c r="H64" s="100" t="s">
        <v>232</v>
      </c>
      <c r="I64" s="100" t="s">
        <v>1981</v>
      </c>
      <c r="J64" s="163" t="s">
        <v>562</v>
      </c>
      <c r="K64" s="100">
        <v>415264</v>
      </c>
      <c r="M64" s="100"/>
      <c r="N64" s="165"/>
      <c r="O64" s="100"/>
      <c r="P64" s="100"/>
    </row>
    <row r="65" spans="2:16" x14ac:dyDescent="0.2">
      <c r="B65" s="83">
        <v>24</v>
      </c>
      <c r="C65" s="100" t="s">
        <v>1982</v>
      </c>
      <c r="D65" s="100">
        <v>191755</v>
      </c>
      <c r="E65" s="100" t="s">
        <v>313</v>
      </c>
      <c r="F65" s="100" t="s">
        <v>1983</v>
      </c>
      <c r="G65" s="100">
        <v>421132</v>
      </c>
      <c r="H65" s="100" t="s">
        <v>843</v>
      </c>
      <c r="I65" s="100" t="s">
        <v>1984</v>
      </c>
      <c r="J65" s="163" t="s">
        <v>560</v>
      </c>
      <c r="K65" s="100">
        <v>415268</v>
      </c>
      <c r="M65" s="100"/>
      <c r="N65" s="166"/>
      <c r="O65" s="100"/>
      <c r="P65" s="100"/>
    </row>
    <row r="66" spans="2:16" x14ac:dyDescent="0.2">
      <c r="B66" s="83">
        <v>48</v>
      </c>
      <c r="C66" s="100" t="s">
        <v>1985</v>
      </c>
      <c r="D66" s="100">
        <v>186486</v>
      </c>
      <c r="E66" s="100" t="s">
        <v>392</v>
      </c>
      <c r="F66" s="100" t="s">
        <v>1986</v>
      </c>
      <c r="G66" s="100">
        <v>421133</v>
      </c>
      <c r="H66" s="100" t="s">
        <v>233</v>
      </c>
      <c r="I66" s="100" t="s">
        <v>1987</v>
      </c>
      <c r="J66" s="163" t="s">
        <v>564</v>
      </c>
      <c r="K66" s="100">
        <v>415272</v>
      </c>
      <c r="M66" s="100"/>
      <c r="N66" s="166"/>
      <c r="O66" s="100"/>
      <c r="P66" s="100"/>
    </row>
    <row r="67" spans="2:16" x14ac:dyDescent="0.2">
      <c r="B67" s="83">
        <v>96</v>
      </c>
      <c r="C67" s="100" t="s">
        <v>1988</v>
      </c>
      <c r="D67" s="100">
        <v>186540</v>
      </c>
      <c r="E67" s="100" t="s">
        <v>394</v>
      </c>
      <c r="F67" s="100" t="s">
        <v>1989</v>
      </c>
      <c r="G67" s="100">
        <v>421135</v>
      </c>
      <c r="H67" s="100" t="s">
        <v>234</v>
      </c>
      <c r="I67" s="100"/>
      <c r="J67" s="163"/>
      <c r="K67" s="100"/>
      <c r="M67" s="100"/>
      <c r="N67" s="166"/>
      <c r="O67" s="100"/>
      <c r="P67" s="100"/>
    </row>
    <row r="68" spans="2:16" x14ac:dyDescent="0.2">
      <c r="B68" s="83">
        <v>144</v>
      </c>
      <c r="C68" s="100" t="s">
        <v>1990</v>
      </c>
      <c r="D68" s="100">
        <v>191710</v>
      </c>
      <c r="E68" s="100"/>
      <c r="F68" s="100" t="s">
        <v>1991</v>
      </c>
      <c r="G68" s="100">
        <v>421140</v>
      </c>
      <c r="H68" s="100" t="s">
        <v>849</v>
      </c>
      <c r="I68" s="100"/>
      <c r="J68" s="163"/>
      <c r="K68" s="100"/>
      <c r="M68" s="100"/>
      <c r="N68" s="166"/>
      <c r="O68" s="100"/>
      <c r="P68" s="100"/>
    </row>
    <row r="69" spans="2:16" x14ac:dyDescent="0.2">
      <c r="B69" s="83">
        <v>216</v>
      </c>
      <c r="C69" s="100" t="s">
        <v>1992</v>
      </c>
      <c r="D69" s="100"/>
      <c r="E69" s="100"/>
      <c r="F69" s="100"/>
      <c r="G69" s="100"/>
      <c r="H69" s="100"/>
      <c r="I69" s="100"/>
      <c r="J69" s="163"/>
      <c r="K69" s="100"/>
      <c r="M69" s="100"/>
      <c r="N69" s="166"/>
      <c r="O69" s="100"/>
      <c r="P69" s="100"/>
    </row>
    <row r="70" spans="2:16" x14ac:dyDescent="0.2">
      <c r="B70" s="83">
        <v>432</v>
      </c>
      <c r="C70" s="100" t="s">
        <v>1993</v>
      </c>
      <c r="D70" s="100"/>
      <c r="E70" s="100"/>
      <c r="F70" s="100" t="s">
        <v>1994</v>
      </c>
      <c r="G70" s="100">
        <v>433341</v>
      </c>
      <c r="H70" s="15" t="s">
        <v>1995</v>
      </c>
      <c r="I70" s="100" t="s">
        <v>1996</v>
      </c>
      <c r="J70" s="163" t="s">
        <v>571</v>
      </c>
      <c r="K70" s="100">
        <v>415253</v>
      </c>
      <c r="M70" s="100"/>
      <c r="N70" s="166"/>
      <c r="O70" s="100"/>
      <c r="P70" s="100"/>
    </row>
    <row r="71" spans="2:16" x14ac:dyDescent="0.2">
      <c r="B71" s="83">
        <v>2</v>
      </c>
      <c r="C71" s="100" t="s">
        <v>1997</v>
      </c>
      <c r="D71" s="100"/>
      <c r="E71" s="100"/>
      <c r="F71" s="100" t="s">
        <v>1998</v>
      </c>
      <c r="G71" s="100">
        <v>433342</v>
      </c>
      <c r="H71" s="15" t="s">
        <v>1999</v>
      </c>
      <c r="I71" s="100" t="s">
        <v>2000</v>
      </c>
      <c r="J71" s="163" t="s">
        <v>572</v>
      </c>
      <c r="K71" s="100">
        <v>415257</v>
      </c>
      <c r="M71" s="100"/>
      <c r="N71" s="166"/>
      <c r="O71" s="100"/>
      <c r="P71" s="100"/>
    </row>
    <row r="72" spans="2:16" x14ac:dyDescent="0.2">
      <c r="B72" s="83">
        <v>4</v>
      </c>
      <c r="C72" s="100" t="s">
        <v>2001</v>
      </c>
      <c r="D72" s="100">
        <v>192712</v>
      </c>
      <c r="E72" s="100" t="s">
        <v>54</v>
      </c>
      <c r="F72" s="100" t="s">
        <v>2002</v>
      </c>
      <c r="G72" s="100">
        <v>433343</v>
      </c>
      <c r="H72" s="15" t="s">
        <v>2003</v>
      </c>
      <c r="I72" s="100" t="s">
        <v>2004</v>
      </c>
      <c r="J72" s="163" t="s">
        <v>2005</v>
      </c>
      <c r="K72" s="100">
        <v>415261</v>
      </c>
      <c r="M72" s="100"/>
      <c r="N72" s="166"/>
      <c r="O72" s="100"/>
      <c r="P72" s="100"/>
    </row>
    <row r="73" spans="2:16" x14ac:dyDescent="0.2">
      <c r="B73" s="83">
        <v>6</v>
      </c>
      <c r="C73" s="100" t="s">
        <v>2006</v>
      </c>
      <c r="D73" s="100">
        <v>193360</v>
      </c>
      <c r="E73" s="100" t="s">
        <v>395</v>
      </c>
      <c r="F73" s="100" t="s">
        <v>2007</v>
      </c>
      <c r="G73" s="100">
        <v>433345</v>
      </c>
      <c r="H73" s="15" t="s">
        <v>2008</v>
      </c>
      <c r="I73" s="100"/>
      <c r="J73" s="163"/>
      <c r="K73" s="100"/>
      <c r="M73" s="100"/>
      <c r="N73" s="166"/>
      <c r="O73" s="100"/>
      <c r="P73" s="100"/>
    </row>
    <row r="74" spans="2:16" x14ac:dyDescent="0.2">
      <c r="B74" s="83">
        <v>8</v>
      </c>
      <c r="C74" s="100" t="s">
        <v>2009</v>
      </c>
      <c r="D74" s="100">
        <v>187363</v>
      </c>
      <c r="E74" s="100" t="s">
        <v>53</v>
      </c>
      <c r="F74" s="100" t="s">
        <v>2010</v>
      </c>
      <c r="G74" s="100">
        <v>433350</v>
      </c>
      <c r="H74" s="15" t="s">
        <v>2011</v>
      </c>
      <c r="I74" s="100"/>
      <c r="J74" s="163"/>
      <c r="K74" s="100"/>
      <c r="M74" s="100"/>
      <c r="N74" s="166"/>
      <c r="O74" s="100"/>
      <c r="P74" s="100"/>
    </row>
    <row r="75" spans="2:16" x14ac:dyDescent="0.2">
      <c r="B75" s="83">
        <v>12</v>
      </c>
      <c r="C75" s="100" t="s">
        <v>2012</v>
      </c>
      <c r="D75" s="100">
        <v>191251</v>
      </c>
      <c r="E75" s="100" t="s">
        <v>52</v>
      </c>
      <c r="F75" s="100" t="s">
        <v>2013</v>
      </c>
      <c r="G75" s="100">
        <v>431141</v>
      </c>
      <c r="H75" s="15" t="s">
        <v>2014</v>
      </c>
      <c r="I75" s="100" t="s">
        <v>2015</v>
      </c>
      <c r="J75" s="163" t="s">
        <v>574</v>
      </c>
      <c r="K75" s="100">
        <v>415265</v>
      </c>
      <c r="M75" s="100"/>
      <c r="N75" s="166"/>
      <c r="O75" s="100"/>
      <c r="P75" s="100"/>
    </row>
    <row r="76" spans="2:16" x14ac:dyDescent="0.2">
      <c r="B76" s="83">
        <v>24</v>
      </c>
      <c r="C76" s="100" t="s">
        <v>2016</v>
      </c>
      <c r="D76" s="100">
        <v>192713</v>
      </c>
      <c r="E76" s="100" t="s">
        <v>50</v>
      </c>
      <c r="F76" s="100" t="s">
        <v>2017</v>
      </c>
      <c r="G76" s="100">
        <v>431142</v>
      </c>
      <c r="H76" s="15" t="s">
        <v>2018</v>
      </c>
      <c r="I76" s="100" t="s">
        <v>2019</v>
      </c>
      <c r="J76" s="163" t="s">
        <v>575</v>
      </c>
      <c r="K76" s="100">
        <v>415269</v>
      </c>
      <c r="P76" s="100"/>
    </row>
    <row r="77" spans="2:16" x14ac:dyDescent="0.2">
      <c r="B77" s="83">
        <v>48</v>
      </c>
      <c r="C77" s="100" t="s">
        <v>2020</v>
      </c>
      <c r="D77" s="100">
        <v>191278</v>
      </c>
      <c r="E77" s="100" t="s">
        <v>49</v>
      </c>
      <c r="F77" s="100" t="s">
        <v>2021</v>
      </c>
      <c r="G77" s="100">
        <v>431143</v>
      </c>
      <c r="H77" s="15" t="s">
        <v>2022</v>
      </c>
      <c r="I77" s="100" t="s">
        <v>2023</v>
      </c>
      <c r="J77" s="163" t="s">
        <v>2024</v>
      </c>
      <c r="K77" s="100">
        <v>415273</v>
      </c>
      <c r="P77" s="100"/>
    </row>
    <row r="78" spans="2:16" x14ac:dyDescent="0.2">
      <c r="B78" s="83">
        <v>96</v>
      </c>
      <c r="C78" s="100" t="s">
        <v>2025</v>
      </c>
      <c r="D78" s="100">
        <v>192714</v>
      </c>
      <c r="E78" s="100"/>
      <c r="F78" s="100" t="s">
        <v>2026</v>
      </c>
      <c r="G78" s="100">
        <v>431145</v>
      </c>
      <c r="H78" s="15" t="s">
        <v>2027</v>
      </c>
      <c r="I78" s="100"/>
      <c r="J78" s="163"/>
      <c r="K78" s="100"/>
      <c r="P78" s="167"/>
    </row>
    <row r="79" spans="2:16" x14ac:dyDescent="0.2">
      <c r="B79" s="83">
        <v>144</v>
      </c>
      <c r="C79" s="100" t="s">
        <v>2028</v>
      </c>
      <c r="D79" s="100">
        <v>192715</v>
      </c>
      <c r="E79" s="100"/>
      <c r="F79" s="100" t="s">
        <v>2029</v>
      </c>
      <c r="G79" s="100">
        <v>431150</v>
      </c>
      <c r="H79" s="15" t="s">
        <v>2030</v>
      </c>
      <c r="I79" s="100"/>
      <c r="J79" s="100"/>
      <c r="K79" s="100"/>
    </row>
    <row r="80" spans="2:16" x14ac:dyDescent="0.2">
      <c r="B80" s="83">
        <v>216</v>
      </c>
      <c r="C80" s="100" t="s">
        <v>2031</v>
      </c>
      <c r="D80" s="100"/>
      <c r="E80" s="100"/>
      <c r="F80" s="100"/>
      <c r="G80" s="100"/>
      <c r="H80" s="100"/>
      <c r="I80" s="100"/>
      <c r="J80" s="100"/>
      <c r="K80" s="100"/>
    </row>
    <row r="81" spans="2:11" x14ac:dyDescent="0.2">
      <c r="B81" s="83">
        <v>432</v>
      </c>
      <c r="C81" s="100" t="s">
        <v>2032</v>
      </c>
      <c r="D81" s="100"/>
      <c r="E81" s="100"/>
      <c r="F81" s="100"/>
      <c r="G81" s="100"/>
      <c r="H81" s="100"/>
      <c r="I81" s="100"/>
      <c r="J81" s="100"/>
      <c r="K81" s="100"/>
    </row>
    <row r="82" spans="2:11" x14ac:dyDescent="0.2">
      <c r="C82" s="100"/>
      <c r="D82" s="100"/>
      <c r="E82" s="100"/>
      <c r="F82" s="100"/>
      <c r="G82" s="100"/>
      <c r="H82" s="100"/>
      <c r="I82" s="100"/>
      <c r="J82" s="100"/>
      <c r="K82" s="100"/>
    </row>
    <row r="83" spans="2:11" ht="15.75" x14ac:dyDescent="0.2">
      <c r="B83" s="83">
        <v>2</v>
      </c>
      <c r="C83" s="150" t="s">
        <v>1930</v>
      </c>
      <c r="D83" s="150"/>
      <c r="E83" s="150" t="s">
        <v>2033</v>
      </c>
      <c r="F83" s="100"/>
      <c r="G83" s="168"/>
      <c r="H83" s="169"/>
      <c r="I83" s="100"/>
      <c r="J83" s="100"/>
      <c r="K83" s="100"/>
    </row>
    <row r="84" spans="2:11" ht="15.75" x14ac:dyDescent="0.2">
      <c r="B84" s="83">
        <v>96</v>
      </c>
      <c r="C84" s="150" t="s">
        <v>1956</v>
      </c>
      <c r="D84" s="150"/>
      <c r="E84" s="150" t="s">
        <v>2034</v>
      </c>
      <c r="F84" s="100"/>
      <c r="G84" s="168"/>
      <c r="H84" s="169"/>
      <c r="I84" s="100"/>
      <c r="J84" s="100"/>
      <c r="K84" s="100"/>
    </row>
    <row r="85" spans="2:11" ht="15.75" x14ac:dyDescent="0.2">
      <c r="B85" s="83">
        <v>144</v>
      </c>
      <c r="C85" s="150" t="s">
        <v>1959</v>
      </c>
      <c r="D85" s="150">
        <v>186616</v>
      </c>
      <c r="E85" s="150" t="s">
        <v>2035</v>
      </c>
      <c r="F85" s="100"/>
      <c r="G85" s="168"/>
      <c r="H85" s="169"/>
      <c r="I85" s="100"/>
      <c r="J85" s="100"/>
      <c r="K85" s="100"/>
    </row>
    <row r="86" spans="2:11" ht="15.75" x14ac:dyDescent="0.2">
      <c r="B86" s="83">
        <v>216</v>
      </c>
      <c r="C86" s="150" t="s">
        <v>1963</v>
      </c>
      <c r="D86" s="150"/>
      <c r="E86" s="150" t="s">
        <v>2036</v>
      </c>
      <c r="F86" s="100"/>
      <c r="G86" s="168"/>
      <c r="H86" s="169"/>
      <c r="I86" s="100"/>
      <c r="J86" s="100"/>
      <c r="K86" s="100"/>
    </row>
    <row r="87" spans="2:11" ht="15.75" x14ac:dyDescent="0.2">
      <c r="B87" s="83">
        <v>432</v>
      </c>
      <c r="C87" s="150" t="s">
        <v>1964</v>
      </c>
      <c r="D87" s="150"/>
      <c r="E87" s="150" t="s">
        <v>2037</v>
      </c>
      <c r="F87" s="100"/>
      <c r="G87" s="168"/>
      <c r="H87" s="169"/>
      <c r="I87" s="100"/>
      <c r="J87" s="100"/>
      <c r="K87" s="100"/>
    </row>
    <row r="88" spans="2:11" ht="15.75" x14ac:dyDescent="0.2">
      <c r="B88" s="83">
        <v>2</v>
      </c>
      <c r="C88" s="150" t="s">
        <v>1968</v>
      </c>
      <c r="D88" s="150"/>
      <c r="E88" s="150" t="s">
        <v>2038</v>
      </c>
      <c r="F88" s="100"/>
      <c r="G88" s="170"/>
      <c r="H88" s="169"/>
      <c r="I88" s="100"/>
      <c r="J88" s="100"/>
      <c r="K88" s="100"/>
    </row>
    <row r="89" spans="2:11" ht="15.75" x14ac:dyDescent="0.2">
      <c r="B89" s="83">
        <v>144</v>
      </c>
      <c r="C89" s="150" t="s">
        <v>1990</v>
      </c>
      <c r="D89" s="150">
        <v>191710</v>
      </c>
      <c r="E89" s="150" t="s">
        <v>2039</v>
      </c>
      <c r="F89" s="100"/>
      <c r="G89" s="170"/>
      <c r="H89" s="169"/>
      <c r="I89" s="100"/>
      <c r="J89" s="100"/>
      <c r="K89" s="100"/>
    </row>
    <row r="90" spans="2:11" x14ac:dyDescent="0.2">
      <c r="B90" s="83">
        <v>216</v>
      </c>
      <c r="C90" s="150" t="s">
        <v>1992</v>
      </c>
      <c r="D90" s="150"/>
      <c r="E90" s="150" t="s">
        <v>2040</v>
      </c>
      <c r="F90" s="100"/>
      <c r="G90" s="100"/>
      <c r="H90" s="100"/>
      <c r="I90" s="100"/>
      <c r="J90" s="100"/>
      <c r="K90" s="100"/>
    </row>
    <row r="91" spans="2:11" x14ac:dyDescent="0.2">
      <c r="B91" s="83">
        <v>432</v>
      </c>
      <c r="C91" s="150" t="s">
        <v>1993</v>
      </c>
      <c r="D91" s="150"/>
      <c r="E91" s="150" t="s">
        <v>2041</v>
      </c>
      <c r="F91" s="100"/>
      <c r="G91" s="100"/>
      <c r="H91" s="100"/>
      <c r="I91" s="100"/>
      <c r="J91" s="100"/>
      <c r="K91" s="100"/>
    </row>
    <row r="92" spans="2:11" x14ac:dyDescent="0.2">
      <c r="B92" s="83">
        <v>2</v>
      </c>
      <c r="C92" s="150" t="s">
        <v>1997</v>
      </c>
      <c r="D92" s="150"/>
      <c r="E92" s="150" t="s">
        <v>2042</v>
      </c>
      <c r="F92" s="100"/>
      <c r="G92" s="100"/>
      <c r="H92" s="100"/>
      <c r="I92" s="100"/>
      <c r="J92" s="100"/>
      <c r="K92" s="100"/>
    </row>
    <row r="93" spans="2:11" x14ac:dyDescent="0.2">
      <c r="B93" s="83">
        <v>96</v>
      </c>
      <c r="C93" s="150" t="s">
        <v>2025</v>
      </c>
      <c r="D93" s="150">
        <v>192714</v>
      </c>
      <c r="E93" s="150" t="s">
        <v>2043</v>
      </c>
      <c r="F93" s="100"/>
      <c r="G93" s="100"/>
      <c r="H93" s="100"/>
      <c r="I93" s="100"/>
      <c r="J93" s="100"/>
      <c r="K93" s="100"/>
    </row>
    <row r="94" spans="2:11" x14ac:dyDescent="0.2">
      <c r="B94" s="83">
        <v>144</v>
      </c>
      <c r="C94" s="150" t="s">
        <v>2028</v>
      </c>
      <c r="D94" s="150">
        <v>192715</v>
      </c>
      <c r="E94" s="150" t="s">
        <v>2044</v>
      </c>
      <c r="F94" s="100"/>
      <c r="G94" s="100"/>
      <c r="H94" s="100"/>
      <c r="I94" s="100"/>
      <c r="J94" s="100"/>
      <c r="K94" s="100"/>
    </row>
    <row r="95" spans="2:11" x14ac:dyDescent="0.2">
      <c r="B95" s="83">
        <v>216</v>
      </c>
      <c r="C95" s="150" t="s">
        <v>2031</v>
      </c>
      <c r="D95" s="150"/>
      <c r="E95" s="150" t="s">
        <v>2045</v>
      </c>
      <c r="F95" s="100"/>
      <c r="G95" s="100"/>
      <c r="H95" s="100"/>
      <c r="I95" s="100"/>
      <c r="J95" s="100"/>
      <c r="K95" s="100"/>
    </row>
    <row r="96" spans="2:11" x14ac:dyDescent="0.2">
      <c r="B96" s="83">
        <v>432</v>
      </c>
      <c r="C96" s="150" t="s">
        <v>2032</v>
      </c>
      <c r="D96" s="150"/>
      <c r="E96" s="150" t="s">
        <v>2046</v>
      </c>
      <c r="F96" s="100"/>
      <c r="G96" s="100"/>
      <c r="H96" s="100"/>
      <c r="I96" s="100"/>
      <c r="J96" s="100"/>
      <c r="K96" s="100"/>
    </row>
    <row r="97" spans="3:11" x14ac:dyDescent="0.2">
      <c r="C97" s="100"/>
      <c r="D97" s="100"/>
      <c r="E97" s="100"/>
      <c r="F97" s="100"/>
      <c r="G97" s="100"/>
      <c r="H97" s="100"/>
      <c r="I97" s="100"/>
      <c r="J97" s="100"/>
      <c r="K97" s="100"/>
    </row>
    <row r="98" spans="3:11" x14ac:dyDescent="0.2">
      <c r="C98" s="100"/>
      <c r="D98" s="100"/>
      <c r="E98" s="100"/>
      <c r="F98" s="100"/>
      <c r="G98" s="100"/>
      <c r="H98" s="100"/>
      <c r="I98" s="100"/>
      <c r="J98" s="100"/>
      <c r="K98" s="100"/>
    </row>
    <row r="99" spans="3:11" x14ac:dyDescent="0.2">
      <c r="C99" s="100"/>
      <c r="D99" s="100"/>
      <c r="E99" s="100"/>
      <c r="F99" s="100"/>
      <c r="G99" s="100"/>
      <c r="H99" s="100"/>
      <c r="I99" s="100"/>
      <c r="J99" s="100"/>
      <c r="K99" s="100"/>
    </row>
    <row r="100" spans="3:11" x14ac:dyDescent="0.2">
      <c r="C100" s="100"/>
      <c r="D100" s="100"/>
      <c r="E100" s="100"/>
      <c r="F100" s="100"/>
      <c r="G100" s="100"/>
      <c r="H100" s="100"/>
      <c r="I100" s="100"/>
      <c r="J100" s="100"/>
      <c r="K100" s="100"/>
    </row>
    <row r="101" spans="3:11" x14ac:dyDescent="0.2">
      <c r="C101" s="100"/>
      <c r="D101" s="100"/>
      <c r="E101" s="100"/>
      <c r="F101" s="100"/>
      <c r="G101" s="100"/>
      <c r="H101" s="100"/>
      <c r="I101" s="100"/>
      <c r="J101" s="100"/>
      <c r="K101" s="100"/>
    </row>
    <row r="102" spans="3:11" x14ac:dyDescent="0.2">
      <c r="C102" s="100"/>
      <c r="D102" s="100"/>
      <c r="E102" s="100"/>
      <c r="F102" s="100"/>
      <c r="G102" s="100"/>
      <c r="H102" s="100"/>
      <c r="I102" s="100"/>
      <c r="J102" s="100"/>
      <c r="K102" s="100"/>
    </row>
    <row r="103" spans="3:11" x14ac:dyDescent="0.2">
      <c r="C103" s="100"/>
      <c r="D103" s="100"/>
      <c r="E103" s="100"/>
      <c r="F103" s="100"/>
      <c r="G103" s="100"/>
      <c r="H103" s="100"/>
      <c r="I103" s="100"/>
      <c r="J103" s="100"/>
      <c r="K103" s="100"/>
    </row>
    <row r="104" spans="3:11" x14ac:dyDescent="0.2">
      <c r="C104" s="100"/>
      <c r="D104" s="100"/>
      <c r="E104" s="100"/>
      <c r="F104" s="100"/>
      <c r="G104" s="100"/>
      <c r="H104" s="100"/>
      <c r="I104" s="100"/>
      <c r="J104" s="100"/>
      <c r="K104" s="100"/>
    </row>
    <row r="105" spans="3:11" x14ac:dyDescent="0.2">
      <c r="C105" s="100"/>
      <c r="D105" s="100"/>
      <c r="E105" s="100"/>
      <c r="F105" s="100"/>
      <c r="G105" s="100"/>
      <c r="H105" s="100"/>
      <c r="I105" s="100"/>
      <c r="J105" s="100"/>
      <c r="K105" s="100"/>
    </row>
    <row r="106" spans="3:11" x14ac:dyDescent="0.2">
      <c r="C106" s="100"/>
      <c r="D106" s="100"/>
      <c r="E106" s="100"/>
      <c r="F106" s="100"/>
      <c r="G106" s="100"/>
      <c r="H106" s="100"/>
      <c r="I106" s="100"/>
      <c r="J106" s="100"/>
      <c r="K106" s="100"/>
    </row>
    <row r="107" spans="3:11" x14ac:dyDescent="0.2">
      <c r="C107" s="100"/>
      <c r="D107" s="100"/>
      <c r="E107" s="100"/>
      <c r="F107" s="100"/>
      <c r="G107" s="100"/>
      <c r="H107" s="100"/>
      <c r="I107" s="100"/>
      <c r="J107" s="100"/>
      <c r="K107" s="100"/>
    </row>
    <row r="108" spans="3:11" x14ac:dyDescent="0.2">
      <c r="C108" s="100"/>
      <c r="D108" s="100"/>
      <c r="E108" s="100"/>
      <c r="F108" s="100"/>
      <c r="G108" s="100"/>
      <c r="H108" s="100"/>
      <c r="I108" s="100"/>
      <c r="J108" s="100"/>
      <c r="K108" s="100"/>
    </row>
    <row r="109" spans="3:11" x14ac:dyDescent="0.2">
      <c r="C109" s="100"/>
      <c r="D109" s="100"/>
      <c r="E109" s="100"/>
      <c r="F109" s="100"/>
      <c r="G109" s="100"/>
      <c r="H109" s="100"/>
      <c r="I109" s="100"/>
      <c r="J109" s="100"/>
      <c r="K109" s="100"/>
    </row>
    <row r="110" spans="3:11" x14ac:dyDescent="0.2">
      <c r="C110" s="100"/>
      <c r="D110" s="100"/>
      <c r="E110" s="100"/>
      <c r="F110" s="100"/>
      <c r="G110" s="100"/>
      <c r="H110" s="100"/>
      <c r="I110" s="100"/>
      <c r="J110" s="100"/>
      <c r="K110" s="100"/>
    </row>
    <row r="111" spans="3:11" x14ac:dyDescent="0.2">
      <c r="C111" s="100"/>
      <c r="D111" s="100"/>
      <c r="E111" s="100"/>
      <c r="F111" s="100"/>
      <c r="G111" s="100"/>
      <c r="H111" s="100"/>
      <c r="I111" s="100"/>
      <c r="J111" s="100"/>
      <c r="K111" s="100"/>
    </row>
    <row r="112" spans="3:11" x14ac:dyDescent="0.2">
      <c r="C112" s="100"/>
      <c r="D112" s="100"/>
      <c r="E112" s="100"/>
      <c r="F112" s="100"/>
      <c r="G112" s="100"/>
      <c r="H112" s="100"/>
      <c r="I112" s="100"/>
      <c r="J112" s="100"/>
      <c r="K112" s="100"/>
    </row>
    <row r="113" spans="3:11" x14ac:dyDescent="0.2">
      <c r="C113" s="100"/>
      <c r="D113" s="100"/>
      <c r="E113" s="100"/>
      <c r="F113" s="100"/>
      <c r="G113" s="100"/>
      <c r="H113" s="100"/>
      <c r="I113" s="100"/>
      <c r="J113" s="100"/>
      <c r="K113" s="100"/>
    </row>
    <row r="114" spans="3:11" x14ac:dyDescent="0.2">
      <c r="C114" s="100"/>
      <c r="D114" s="100"/>
      <c r="E114" s="100"/>
      <c r="F114" s="100"/>
      <c r="G114" s="100"/>
      <c r="H114" s="100"/>
      <c r="I114" s="100"/>
      <c r="J114" s="100"/>
      <c r="K114" s="100"/>
    </row>
    <row r="115" spans="3:11" x14ac:dyDescent="0.2">
      <c r="C115" s="100"/>
      <c r="D115" s="100"/>
      <c r="E115" s="100"/>
      <c r="F115" s="100"/>
      <c r="G115" s="100"/>
      <c r="H115" s="100"/>
      <c r="I115" s="100"/>
      <c r="J115" s="100"/>
      <c r="K115" s="100"/>
    </row>
    <row r="116" spans="3:11" x14ac:dyDescent="0.2">
      <c r="C116" s="100"/>
      <c r="D116" s="100"/>
      <c r="E116" s="100"/>
      <c r="F116" s="100"/>
      <c r="G116" s="100"/>
      <c r="H116" s="100"/>
      <c r="I116" s="100"/>
      <c r="J116" s="100"/>
      <c r="K116" s="100"/>
    </row>
    <row r="117" spans="3:11" x14ac:dyDescent="0.2">
      <c r="C117" s="100"/>
      <c r="D117" s="100"/>
      <c r="E117" s="100"/>
      <c r="F117" s="100"/>
      <c r="G117" s="100"/>
      <c r="H117" s="100"/>
      <c r="I117" s="100"/>
      <c r="J117" s="100"/>
      <c r="K117" s="100"/>
    </row>
    <row r="118" spans="3:11" x14ac:dyDescent="0.2">
      <c r="C118" s="100"/>
      <c r="D118" s="100"/>
      <c r="E118" s="100"/>
      <c r="F118" s="100"/>
      <c r="G118" s="100"/>
      <c r="H118" s="100"/>
      <c r="I118" s="100"/>
      <c r="J118" s="100"/>
      <c r="K118" s="100"/>
    </row>
    <row r="119" spans="3:11" x14ac:dyDescent="0.2">
      <c r="C119" s="100"/>
      <c r="D119" s="100"/>
      <c r="E119" s="100"/>
      <c r="F119" s="100"/>
      <c r="G119" s="100"/>
      <c r="H119" s="100"/>
      <c r="I119" s="100"/>
      <c r="J119" s="100"/>
      <c r="K119" s="100"/>
    </row>
    <row r="120" spans="3:11" x14ac:dyDescent="0.2">
      <c r="C120" s="100"/>
      <c r="D120" s="100"/>
      <c r="E120" s="100"/>
      <c r="F120" s="100"/>
      <c r="G120" s="100"/>
      <c r="H120" s="100"/>
      <c r="I120" s="100"/>
      <c r="J120" s="100"/>
      <c r="K120" s="100"/>
    </row>
    <row r="121" spans="3:11" x14ac:dyDescent="0.2">
      <c r="C121" s="100"/>
      <c r="D121" s="100"/>
      <c r="E121" s="100"/>
      <c r="F121" s="100"/>
      <c r="G121" s="100"/>
      <c r="H121" s="100"/>
      <c r="I121" s="100"/>
      <c r="J121" s="100"/>
      <c r="K121" s="100"/>
    </row>
    <row r="122" spans="3:11" x14ac:dyDescent="0.2">
      <c r="C122" s="100"/>
      <c r="D122" s="100"/>
      <c r="E122" s="100"/>
      <c r="F122" s="100"/>
      <c r="G122" s="100"/>
      <c r="H122" s="100"/>
      <c r="I122" s="100"/>
      <c r="J122" s="100"/>
      <c r="K122" s="100"/>
    </row>
    <row r="123" spans="3:11" x14ac:dyDescent="0.2">
      <c r="C123" s="100"/>
      <c r="D123" s="100"/>
      <c r="E123" s="100"/>
      <c r="F123" s="100"/>
      <c r="G123" s="100"/>
      <c r="H123" s="100"/>
      <c r="I123" s="100"/>
      <c r="J123" s="100"/>
      <c r="K123" s="100"/>
    </row>
    <row r="124" spans="3:11" x14ac:dyDescent="0.2">
      <c r="C124" s="100"/>
      <c r="D124" s="100"/>
      <c r="E124" s="100"/>
      <c r="F124" s="100"/>
      <c r="G124" s="100"/>
      <c r="H124" s="100"/>
      <c r="I124" s="100"/>
      <c r="J124" s="100"/>
      <c r="K124" s="100"/>
    </row>
    <row r="125" spans="3:11" x14ac:dyDescent="0.2">
      <c r="C125" s="100"/>
      <c r="D125" s="100"/>
      <c r="E125" s="100"/>
      <c r="F125" s="100"/>
      <c r="G125" s="100"/>
      <c r="H125" s="100"/>
      <c r="I125" s="100"/>
      <c r="J125" s="100"/>
      <c r="K125" s="100"/>
    </row>
    <row r="126" spans="3:11" x14ac:dyDescent="0.2">
      <c r="C126" s="100"/>
      <c r="D126" s="100"/>
      <c r="E126" s="100"/>
      <c r="F126" s="100"/>
      <c r="G126" s="100"/>
      <c r="H126" s="100"/>
      <c r="I126" s="100"/>
      <c r="J126" s="100"/>
      <c r="K126" s="100"/>
    </row>
    <row r="127" spans="3:11" x14ac:dyDescent="0.2">
      <c r="C127" s="100"/>
      <c r="D127" s="100"/>
      <c r="E127" s="100"/>
      <c r="F127" s="100"/>
      <c r="G127" s="100"/>
      <c r="H127" s="100"/>
      <c r="I127" s="100"/>
      <c r="J127" s="100"/>
      <c r="K127" s="100"/>
    </row>
    <row r="128" spans="3:11" x14ac:dyDescent="0.2">
      <c r="C128" s="100"/>
      <c r="D128" s="100"/>
      <c r="E128" s="100"/>
      <c r="F128" s="100"/>
      <c r="G128" s="100"/>
      <c r="H128" s="100"/>
      <c r="I128" s="100"/>
      <c r="J128" s="100"/>
      <c r="K128" s="100"/>
    </row>
    <row r="129" spans="3:11" x14ac:dyDescent="0.2">
      <c r="C129" s="100"/>
      <c r="D129" s="100"/>
      <c r="E129" s="100"/>
      <c r="F129" s="100"/>
      <c r="G129" s="100"/>
      <c r="H129" s="100"/>
      <c r="I129" s="100"/>
      <c r="J129" s="100"/>
      <c r="K129" s="100"/>
    </row>
    <row r="130" spans="3:11" x14ac:dyDescent="0.2">
      <c r="C130" s="100"/>
      <c r="D130" s="100"/>
      <c r="E130" s="100"/>
      <c r="F130" s="100"/>
      <c r="G130" s="100"/>
      <c r="H130" s="100"/>
      <c r="I130" s="100"/>
      <c r="J130" s="100"/>
      <c r="K130" s="100"/>
    </row>
    <row r="131" spans="3:11" x14ac:dyDescent="0.2">
      <c r="C131" s="100"/>
      <c r="D131" s="100"/>
      <c r="E131" s="100"/>
      <c r="F131" s="100"/>
      <c r="G131" s="100"/>
      <c r="H131" s="100"/>
      <c r="I131" s="100"/>
      <c r="J131" s="100"/>
      <c r="K131" s="100"/>
    </row>
    <row r="132" spans="3:11" x14ac:dyDescent="0.2">
      <c r="C132" s="100"/>
      <c r="D132" s="100"/>
      <c r="E132" s="100"/>
      <c r="F132" s="100"/>
      <c r="G132" s="100"/>
      <c r="H132" s="100"/>
      <c r="I132" s="100"/>
      <c r="J132" s="100"/>
      <c r="K132" s="100"/>
    </row>
  </sheetData>
  <sheetProtection selectLockedCells="1"/>
  <mergeCells count="6">
    <mergeCell ref="J9:K9"/>
    <mergeCell ref="F10:G10"/>
    <mergeCell ref="J22:K22"/>
    <mergeCell ref="C35:E35"/>
    <mergeCell ref="F35:H35"/>
    <mergeCell ref="I35:K35"/>
  </mergeCells>
  <conditionalFormatting sqref="C7:C12">
    <cfRule type="duplicateValues" dxfId="14" priority="4"/>
  </conditionalFormatting>
  <conditionalFormatting sqref="C13:C14">
    <cfRule type="duplicateValues" dxfId="13" priority="3"/>
  </conditionalFormatting>
  <conditionalFormatting sqref="C6">
    <cfRule type="duplicateValues" dxfId="12" priority="5"/>
  </conditionalFormatting>
  <conditionalFormatting sqref="G88:G89">
    <cfRule type="duplicateValues" dxfId="11" priority="1"/>
  </conditionalFormatting>
  <conditionalFormatting sqref="G83:G87">
    <cfRule type="duplicateValues" dxfId="10" priority="2"/>
  </conditionalFormatting>
  <dataValidations disablePrompts="1" count="6">
    <dataValidation type="list" allowBlank="1" showInputMessage="1" showErrorMessage="1" promptTitle="Patch Cord Length" prompt="Enter the Patch Cord Length" sqref="K18">
      <formula1>$H$22:$H$26</formula1>
    </dataValidation>
    <dataValidation type="list" allowBlank="1" showInputMessage="1" showErrorMessage="1" sqref="K11">
      <formula1>$D$22:$D$25</formula1>
    </dataValidation>
    <dataValidation type="list" allowBlank="1" showInputMessage="1" showErrorMessage="1" errorTitle="ERROR" sqref="K12">
      <formula1>$E$22:$E$32</formula1>
    </dataValidation>
    <dataValidation type="list" allowBlank="1" showInputMessage="1" showErrorMessage="1" sqref="K15">
      <formula1>$G$22:$G$23</formula1>
    </dataValidation>
    <dataValidation type="list" allowBlank="1" showInputMessage="1" showErrorMessage="1" sqref="K10">
      <formula1>$B$22:$B$32</formula1>
    </dataValidation>
    <dataValidation type="list" allowBlank="1" showInputMessage="1" showErrorMessage="1" sqref="K13">
      <formula1>$F$22:$F$24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6:P86"/>
  <sheetViews>
    <sheetView topLeftCell="A10" workbookViewId="0">
      <selection activeCell="O43" sqref="O43:O56"/>
    </sheetView>
  </sheetViews>
  <sheetFormatPr defaultRowHeight="14.25" x14ac:dyDescent="0.2"/>
  <cols>
    <col min="2" max="2" width="31.25" bestFit="1" customWidth="1"/>
    <col min="3" max="3" width="14.5" customWidth="1"/>
    <col min="5" max="5" width="17.625" bestFit="1" customWidth="1"/>
    <col min="6" max="6" width="12.375" bestFit="1" customWidth="1"/>
    <col min="7" max="7" width="12" bestFit="1" customWidth="1"/>
    <col min="8" max="8" width="21.75" bestFit="1" customWidth="1"/>
    <col min="9" max="9" width="11.5" customWidth="1"/>
    <col min="10" max="10" width="12.875" customWidth="1"/>
    <col min="12" max="12" width="10.25" style="15" customWidth="1"/>
    <col min="14" max="14" width="9.875" customWidth="1"/>
    <col min="15" max="15" width="3.625" customWidth="1"/>
    <col min="16" max="16" width="9" customWidth="1"/>
  </cols>
  <sheetData>
    <row r="6" spans="2:13" x14ac:dyDescent="0.2">
      <c r="B6" t="e">
        <f>IF(#REF!=B15,C15,IF(#REF!=B14,C14,IF(#REF!=B13,C13,IF(#REF!=B12,C12,IF(#REF!=B11,C11,IF(#REF!=B10,IF(#REF!="PVC",D10,C10)))))))</f>
        <v>#REF!</v>
      </c>
    </row>
    <row r="8" spans="2:13" x14ac:dyDescent="0.2">
      <c r="B8" s="501" t="s">
        <v>2047</v>
      </c>
      <c r="C8" s="501"/>
      <c r="D8" s="501"/>
    </row>
    <row r="9" spans="2:13" ht="15" x14ac:dyDescent="0.2">
      <c r="B9" s="5"/>
      <c r="C9" s="5" t="s">
        <v>2048</v>
      </c>
      <c r="D9" s="5" t="s">
        <v>1847</v>
      </c>
      <c r="E9" t="s">
        <v>2049</v>
      </c>
      <c r="F9" t="s">
        <v>2050</v>
      </c>
      <c r="G9" t="s">
        <v>2051</v>
      </c>
      <c r="H9" s="171" t="s">
        <v>1836</v>
      </c>
      <c r="I9" s="172">
        <f>Design!D4</f>
        <v>0</v>
      </c>
      <c r="J9" t="b">
        <f>ISBLANK(Design!D4)</f>
        <v>1</v>
      </c>
      <c r="K9" t="s">
        <v>2052</v>
      </c>
      <c r="M9" t="b">
        <v>0</v>
      </c>
    </row>
    <row r="10" spans="2:13" ht="15.75" x14ac:dyDescent="0.25">
      <c r="B10" s="5" t="s">
        <v>1846</v>
      </c>
      <c r="C10" s="173">
        <v>240563</v>
      </c>
      <c r="D10" s="173">
        <v>240562</v>
      </c>
      <c r="E10" t="s">
        <v>1844</v>
      </c>
      <c r="F10" t="s">
        <v>2053</v>
      </c>
      <c r="G10" t="s">
        <v>1842</v>
      </c>
      <c r="H10" s="174" t="s">
        <v>1837</v>
      </c>
      <c r="I10" s="175">
        <f>Design!D5</f>
        <v>0</v>
      </c>
      <c r="J10" t="b">
        <f>ISBLANK(Design!D5)</f>
        <v>1</v>
      </c>
      <c r="K10" t="s">
        <v>2054</v>
      </c>
      <c r="M10" t="b">
        <v>1</v>
      </c>
    </row>
    <row r="11" spans="2:13" ht="15" x14ac:dyDescent="0.2">
      <c r="B11" s="5" t="s">
        <v>2055</v>
      </c>
      <c r="C11" s="176">
        <v>191453</v>
      </c>
      <c r="D11" s="176"/>
      <c r="E11" t="s">
        <v>2056</v>
      </c>
      <c r="F11" t="s">
        <v>1847</v>
      </c>
      <c r="G11" t="s">
        <v>2057</v>
      </c>
      <c r="H11" s="171" t="s">
        <v>1838</v>
      </c>
      <c r="I11" s="172">
        <f>Design!D6</f>
        <v>0</v>
      </c>
      <c r="J11" t="b">
        <f>ISBLANK(Design!D6)</f>
        <v>1</v>
      </c>
      <c r="K11" t="s">
        <v>2058</v>
      </c>
    </row>
    <row r="12" spans="2:13" ht="15" x14ac:dyDescent="0.2">
      <c r="B12" s="5" t="s">
        <v>2059</v>
      </c>
      <c r="C12" s="176">
        <v>191454</v>
      </c>
      <c r="D12" s="176"/>
      <c r="H12" s="174" t="s">
        <v>1841</v>
      </c>
      <c r="I12" s="175" t="str">
        <f>TRIM(Design!D9)</f>
        <v/>
      </c>
      <c r="J12" t="b">
        <f>ISBLANK(Design!D9)</f>
        <v>1</v>
      </c>
      <c r="K12" t="s">
        <v>2060</v>
      </c>
    </row>
    <row r="13" spans="2:13" ht="15" x14ac:dyDescent="0.2">
      <c r="B13" s="5" t="s">
        <v>2061</v>
      </c>
      <c r="C13" s="176">
        <v>182924</v>
      </c>
      <c r="D13" s="176"/>
      <c r="H13" s="171" t="s">
        <v>1843</v>
      </c>
      <c r="I13" s="172" t="str">
        <f>TRIM(Design!D10)</f>
        <v/>
      </c>
      <c r="J13" t="b">
        <f>ISBLANK(Design!D10)</f>
        <v>1</v>
      </c>
      <c r="K13" t="s">
        <v>2062</v>
      </c>
    </row>
    <row r="14" spans="2:13" ht="15" x14ac:dyDescent="0.2">
      <c r="B14" s="5" t="s">
        <v>2063</v>
      </c>
      <c r="C14" s="176">
        <v>177388</v>
      </c>
      <c r="D14" s="176"/>
      <c r="H14" s="174" t="s">
        <v>1839</v>
      </c>
      <c r="I14" s="175" t="str">
        <f>TRIM(Design!D7)</f>
        <v/>
      </c>
      <c r="J14" t="b">
        <f>ISBLANK(Design!D7)</f>
        <v>1</v>
      </c>
      <c r="K14" t="s">
        <v>2064</v>
      </c>
    </row>
    <row r="15" spans="2:13" ht="15" x14ac:dyDescent="0.2">
      <c r="B15" s="5" t="s">
        <v>2065</v>
      </c>
      <c r="C15" s="176">
        <v>191466</v>
      </c>
      <c r="D15" s="176"/>
      <c r="H15" s="171" t="s">
        <v>1845</v>
      </c>
      <c r="I15" s="172" t="str">
        <f>TRIM(Design!D11)</f>
        <v/>
      </c>
      <c r="J15" t="b">
        <f>ISBLANK(Design!D11)</f>
        <v>1</v>
      </c>
      <c r="K15" t="s">
        <v>2066</v>
      </c>
    </row>
    <row r="16" spans="2:13" ht="15" x14ac:dyDescent="0.25">
      <c r="B16" s="87"/>
      <c r="C16" s="87"/>
      <c r="H16" s="174" t="s">
        <v>2067</v>
      </c>
      <c r="I16" s="175" t="str">
        <f>TRIM(Design!D12)</f>
        <v/>
      </c>
      <c r="J16" t="b">
        <f>ISBLANK(Design!D12)</f>
        <v>1</v>
      </c>
      <c r="K16" t="s">
        <v>2068</v>
      </c>
    </row>
    <row r="17" spans="2:13" ht="14.25" customHeight="1" x14ac:dyDescent="0.25">
      <c r="B17" s="87"/>
      <c r="C17" s="87"/>
      <c r="H17" s="171" t="s">
        <v>2069</v>
      </c>
      <c r="I17" s="177" t="str">
        <f>TRIM(Design!D8)</f>
        <v/>
      </c>
      <c r="J17" t="b">
        <f>ISBLANK(Design!#REF!)</f>
        <v>0</v>
      </c>
      <c r="K17" t="s">
        <v>2070</v>
      </c>
    </row>
    <row r="18" spans="2:13" ht="14.25" customHeight="1" x14ac:dyDescent="0.25">
      <c r="B18" s="502" t="s">
        <v>2071</v>
      </c>
      <c r="C18" s="502"/>
      <c r="D18" s="5"/>
      <c r="E18" s="5"/>
      <c r="F18" s="5"/>
      <c r="G18" s="178"/>
    </row>
    <row r="19" spans="2:13" ht="14.25" customHeight="1" x14ac:dyDescent="0.25">
      <c r="B19" s="179" t="s">
        <v>2072</v>
      </c>
      <c r="C19" s="180">
        <f>I9</f>
        <v>0</v>
      </c>
      <c r="D19" s="5"/>
      <c r="E19" s="5"/>
      <c r="F19" s="5"/>
      <c r="G19" s="178"/>
    </row>
    <row r="20" spans="2:13" ht="14.25" customHeight="1" x14ac:dyDescent="0.25">
      <c r="B20" s="179" t="s">
        <v>2073</v>
      </c>
      <c r="C20" s="180">
        <f>I10</f>
        <v>0</v>
      </c>
      <c r="D20" s="5"/>
      <c r="E20" s="5"/>
      <c r="F20" s="5"/>
      <c r="G20" s="181"/>
    </row>
    <row r="21" spans="2:13" ht="14.25" customHeight="1" x14ac:dyDescent="0.25">
      <c r="B21" s="179" t="s">
        <v>2074</v>
      </c>
      <c r="C21" s="180">
        <f>I11</f>
        <v>0</v>
      </c>
      <c r="D21" s="5"/>
      <c r="E21" s="5"/>
      <c r="F21" s="5"/>
      <c r="G21" s="182"/>
      <c r="L21" s="15">
        <f>SUM(L4:L20)</f>
        <v>0</v>
      </c>
    </row>
    <row r="22" spans="2:13" ht="14.25" customHeight="1" x14ac:dyDescent="0.25">
      <c r="B22" s="179" t="s">
        <v>2075</v>
      </c>
      <c r="C22" s="179">
        <f>IFERROR(C19+C20*2+C21,0)</f>
        <v>0</v>
      </c>
      <c r="D22" s="5"/>
      <c r="E22" s="5"/>
      <c r="F22" s="5"/>
      <c r="G22" s="182"/>
    </row>
    <row r="23" spans="2:13" ht="14.25" customHeight="1" x14ac:dyDescent="0.25">
      <c r="B23" s="179" t="s">
        <v>2076</v>
      </c>
      <c r="C23" s="179">
        <f>IF(Design!D8&lt;=E23,E23,Design!D8)</f>
        <v>0</v>
      </c>
      <c r="D23" s="5">
        <f>C22/24</f>
        <v>0</v>
      </c>
      <c r="E23" s="5">
        <f>ROUNDUP(C22/24,0)</f>
        <v>0</v>
      </c>
      <c r="F23" s="5"/>
      <c r="G23" s="183"/>
    </row>
    <row r="24" spans="2:13" ht="14.25" customHeight="1" x14ac:dyDescent="0.25">
      <c r="B24" s="179" t="s">
        <v>2077</v>
      </c>
      <c r="C24" s="179">
        <f>C23</f>
        <v>0</v>
      </c>
      <c r="D24" s="5"/>
      <c r="E24" s="5"/>
      <c r="F24" s="5"/>
      <c r="G24" s="178"/>
    </row>
    <row r="25" spans="2:13" ht="14.25" customHeight="1" x14ac:dyDescent="0.25">
      <c r="B25" s="179" t="s">
        <v>2078</v>
      </c>
      <c r="C25" s="179">
        <f>ROUNDUP(C22,0)</f>
        <v>0</v>
      </c>
      <c r="D25" s="5"/>
      <c r="E25" s="5"/>
      <c r="F25" s="5"/>
      <c r="G25" s="182"/>
    </row>
    <row r="26" spans="2:13" ht="14.25" customHeight="1" x14ac:dyDescent="0.25">
      <c r="B26" s="179" t="s">
        <v>2079</v>
      </c>
      <c r="C26" s="179">
        <f>ROUNDDOWN(C22,0)</f>
        <v>0</v>
      </c>
      <c r="D26" s="5"/>
      <c r="E26" s="5"/>
      <c r="F26" s="5"/>
      <c r="G26" s="182"/>
    </row>
    <row r="27" spans="2:13" ht="14.25" customHeight="1" x14ac:dyDescent="0.25">
      <c r="B27" s="179" t="s">
        <v>2080</v>
      </c>
      <c r="C27" s="179">
        <f>IFERROR(C22*I14,0)</f>
        <v>0</v>
      </c>
      <c r="D27" s="5"/>
      <c r="E27" s="5"/>
      <c r="F27" s="5"/>
      <c r="G27" s="184"/>
    </row>
    <row r="28" spans="2:13" ht="14.25" customHeight="1" x14ac:dyDescent="0.25">
      <c r="B28" s="179" t="s">
        <v>2081</v>
      </c>
      <c r="C28" s="179">
        <f>ROUNDUP(C27/305,0)</f>
        <v>0</v>
      </c>
      <c r="D28" s="5"/>
      <c r="E28" s="5"/>
      <c r="F28" s="5"/>
      <c r="G28" s="185"/>
    </row>
    <row r="29" spans="2:13" ht="14.25" customHeight="1" x14ac:dyDescent="0.25">
      <c r="B29" s="179" t="s">
        <v>2082</v>
      </c>
      <c r="C29" s="179">
        <f>ROUNDUP(C27/500,0)</f>
        <v>0</v>
      </c>
      <c r="D29" s="5"/>
      <c r="E29" s="5"/>
      <c r="F29" s="5"/>
      <c r="G29" s="182"/>
    </row>
    <row r="30" spans="2:13" ht="18" customHeight="1" x14ac:dyDescent="0.25">
      <c r="B30" s="179" t="s">
        <v>2083</v>
      </c>
      <c r="C30" s="179">
        <f>IF(I12="Grey",418021,418022)</f>
        <v>418022</v>
      </c>
      <c r="D30" s="5"/>
      <c r="E30" s="5"/>
      <c r="F30" s="5"/>
      <c r="G30" s="184"/>
    </row>
    <row r="31" spans="2:13" ht="26.25" customHeight="1" x14ac:dyDescent="0.25">
      <c r="B31" s="179" t="s">
        <v>2084</v>
      </c>
      <c r="C31" s="179">
        <f>IF(I12="Grey",418020,418019)</f>
        <v>418019</v>
      </c>
      <c r="D31" s="5"/>
      <c r="E31" s="5"/>
      <c r="F31" s="5"/>
      <c r="G31" s="5"/>
      <c r="J31" s="503"/>
      <c r="K31" s="503"/>
      <c r="L31" s="219">
        <f>Design!D2</f>
        <v>0</v>
      </c>
      <c r="M31" s="16"/>
    </row>
    <row r="32" spans="2:13" ht="26.25" customHeight="1" x14ac:dyDescent="0.25">
      <c r="B32" s="179" t="s">
        <v>1886</v>
      </c>
      <c r="C32" s="179">
        <f>ROUNDUP(C22/24,0)</f>
        <v>0</v>
      </c>
      <c r="D32" s="5"/>
      <c r="E32" s="5"/>
      <c r="F32" s="5"/>
      <c r="G32" s="5"/>
      <c r="J32" s="503" t="s">
        <v>1867</v>
      </c>
      <c r="K32" s="503"/>
      <c r="L32" s="16" t="s">
        <v>2104</v>
      </c>
      <c r="M32" s="16" t="s">
        <v>2105</v>
      </c>
    </row>
    <row r="33" spans="2:16" ht="26.25" customHeight="1" thickBot="1" x14ac:dyDescent="0.3">
      <c r="B33" s="87"/>
      <c r="C33" s="87"/>
      <c r="J33" s="16" t="s">
        <v>2085</v>
      </c>
      <c r="K33" s="16">
        <f>D38*L33</f>
        <v>0</v>
      </c>
      <c r="L33" s="16">
        <f>M33*(1-L31)</f>
        <v>3.75</v>
      </c>
      <c r="M33" s="16">
        <v>3.75</v>
      </c>
      <c r="N33">
        <v>3.75</v>
      </c>
      <c r="P33">
        <f>L33/0.4</f>
        <v>9.375</v>
      </c>
    </row>
    <row r="34" spans="2:16" ht="26.25" customHeight="1" thickBot="1" x14ac:dyDescent="0.25">
      <c r="B34" s="186" t="s">
        <v>962</v>
      </c>
      <c r="C34" s="187" t="s">
        <v>963</v>
      </c>
      <c r="D34" s="140" t="s">
        <v>2086</v>
      </c>
      <c r="J34" s="16" t="s">
        <v>1874</v>
      </c>
      <c r="K34" s="16">
        <f>C27*L34</f>
        <v>0</v>
      </c>
      <c r="L34" s="16">
        <f>M34*(1-L31)</f>
        <v>0.25</v>
      </c>
      <c r="M34" s="16">
        <v>0.25</v>
      </c>
      <c r="N34">
        <v>0.25</v>
      </c>
      <c r="P34">
        <f>L34/0.4</f>
        <v>0.625</v>
      </c>
    </row>
    <row r="35" spans="2:16" ht="21" customHeight="1" x14ac:dyDescent="0.2">
      <c r="B35" s="188">
        <v>1</v>
      </c>
      <c r="C35" s="189" t="str">
        <f>IF(I13="","",IF(I13="Flat",240639,240641))</f>
        <v/>
      </c>
      <c r="D35" s="338">
        <f>C19</f>
        <v>0</v>
      </c>
      <c r="E35" t="s">
        <v>2087</v>
      </c>
      <c r="J35" s="16"/>
      <c r="K35" s="16"/>
      <c r="L35" s="16"/>
      <c r="M35" s="16"/>
    </row>
    <row r="36" spans="2:16" ht="15.75" customHeight="1" x14ac:dyDescent="0.2">
      <c r="B36" s="190">
        <v>2</v>
      </c>
      <c r="C36" s="191" t="str">
        <f>IF(I13="","",IF(I13="Flat",240640,240642))</f>
        <v/>
      </c>
      <c r="D36" s="338">
        <f>C20</f>
        <v>0</v>
      </c>
      <c r="E36" t="s">
        <v>2088</v>
      </c>
      <c r="J36" s="16"/>
      <c r="K36" s="16"/>
      <c r="L36" s="16"/>
      <c r="M36" s="16"/>
    </row>
    <row r="37" spans="2:16" ht="15.75" customHeight="1" x14ac:dyDescent="0.2">
      <c r="B37" s="190">
        <v>3</v>
      </c>
      <c r="C37" s="191" t="str">
        <f>IF(I11&lt;=0,"",658153)</f>
        <v/>
      </c>
      <c r="D37" s="338">
        <f>C21</f>
        <v>0</v>
      </c>
      <c r="E37" t="s">
        <v>2089</v>
      </c>
      <c r="J37" s="16"/>
      <c r="K37" s="16"/>
      <c r="L37" s="16"/>
      <c r="M37" s="16"/>
    </row>
    <row r="38" spans="2:16" ht="15.75" customHeight="1" x14ac:dyDescent="0.2">
      <c r="B38" s="190">
        <v>4</v>
      </c>
      <c r="C38" s="191" t="str">
        <f>IF(I15="","",IF(I15="Cat6 U/UTP",418070,418061))</f>
        <v/>
      </c>
      <c r="D38" s="338">
        <f>C22*2</f>
        <v>0</v>
      </c>
      <c r="E38" t="s">
        <v>2090</v>
      </c>
      <c r="J38" s="16"/>
      <c r="K38" s="16"/>
      <c r="L38" s="16"/>
      <c r="M38" s="16"/>
    </row>
    <row r="39" spans="2:16" ht="15.75" customHeight="1" x14ac:dyDescent="0.2">
      <c r="B39" s="190">
        <v>5</v>
      </c>
      <c r="C39" s="191" t="str">
        <f>IF(I15="","",IF(I15="Cat6 U/UTP",C30,C31))</f>
        <v/>
      </c>
      <c r="D39" s="338">
        <f>C23</f>
        <v>0</v>
      </c>
      <c r="E39" t="s">
        <v>1886</v>
      </c>
      <c r="J39" s="16" t="s">
        <v>1880</v>
      </c>
      <c r="K39" s="16">
        <f>SUM(K33:K38)</f>
        <v>0</v>
      </c>
      <c r="L39" s="16">
        <f>IF(FO!F6=TRUE,CU!K39,0)</f>
        <v>0</v>
      </c>
      <c r="M39" s="16"/>
    </row>
    <row r="40" spans="2:16" ht="15.75" customHeight="1" x14ac:dyDescent="0.2">
      <c r="B40" s="190">
        <v>6</v>
      </c>
      <c r="C40" s="191" t="str">
        <f>IF(I15="","",4000699)</f>
        <v/>
      </c>
      <c r="D40" s="338">
        <f>C24</f>
        <v>0</v>
      </c>
      <c r="E40" t="s">
        <v>2091</v>
      </c>
    </row>
    <row r="41" spans="2:16" ht="15.75" customHeight="1" x14ac:dyDescent="0.2">
      <c r="B41" s="190">
        <v>7</v>
      </c>
      <c r="C41" s="192" t="str">
        <f>IF(I15="","",IF(I15=B15,C15,IF(I15=B14,C14,IF(I15=B13,C13,IF(I15=B12,C12,IF(I15=B11,C11,IF(I15=B10,IF(I16="PVC",D10,C10))))))))</f>
        <v/>
      </c>
      <c r="D41" s="338">
        <f>IF(I15="Cat6 U/UTP",C28,C29)</f>
        <v>0</v>
      </c>
      <c r="E41" t="s">
        <v>583</v>
      </c>
      <c r="F41">
        <f>Design!D11</f>
        <v>0</v>
      </c>
    </row>
    <row r="42" spans="2:16" ht="15.75" customHeight="1" x14ac:dyDescent="0.2">
      <c r="B42" s="190">
        <v>8</v>
      </c>
      <c r="C42" s="191" t="str">
        <f>IF(I15="","",IF(I15="Cat6 U/UTP",IF(I16="PVC",309021,309321),653508))</f>
        <v/>
      </c>
      <c r="D42" s="338">
        <f>C25</f>
        <v>0</v>
      </c>
      <c r="E42" t="s">
        <v>2092</v>
      </c>
    </row>
    <row r="43" spans="2:16" ht="15.75" customHeight="1" x14ac:dyDescent="0.2">
      <c r="B43" s="190">
        <v>9</v>
      </c>
      <c r="C43" s="191" t="str">
        <f>IF(I15="","",IF(I15="Cat6 U/UTP",IF(I16="PVC",309025,309325),653512))</f>
        <v/>
      </c>
      <c r="D43" s="338">
        <f>C26</f>
        <v>0</v>
      </c>
      <c r="E43" t="s">
        <v>2093</v>
      </c>
      <c r="N43" t="s">
        <v>1841</v>
      </c>
      <c r="O43" s="141"/>
    </row>
    <row r="44" spans="2:16" ht="16.5" customHeight="1" thickBot="1" x14ac:dyDescent="0.25">
      <c r="B44" s="193"/>
      <c r="C44" s="194"/>
      <c r="D44" s="338"/>
      <c r="N44" t="s">
        <v>1843</v>
      </c>
      <c r="O44" s="141"/>
    </row>
    <row r="45" spans="2:16" ht="15" x14ac:dyDescent="0.25">
      <c r="B45" s="87"/>
      <c r="C45" s="87"/>
      <c r="N45" t="s">
        <v>1839</v>
      </c>
      <c r="O45" s="141"/>
    </row>
    <row r="46" spans="2:16" x14ac:dyDescent="0.2">
      <c r="N46" t="s">
        <v>1845</v>
      </c>
      <c r="O46" s="141"/>
    </row>
    <row r="47" spans="2:16" x14ac:dyDescent="0.2">
      <c r="N47" t="s">
        <v>2067</v>
      </c>
      <c r="O47" s="141"/>
    </row>
    <row r="48" spans="2:16" x14ac:dyDescent="0.2">
      <c r="B48" s="195" t="s">
        <v>2094</v>
      </c>
      <c r="N48" s="20" t="s">
        <v>1840</v>
      </c>
      <c r="O48" s="196"/>
    </row>
    <row r="49" spans="2:15" x14ac:dyDescent="0.2">
      <c r="B49" s="195" t="s">
        <v>2095</v>
      </c>
      <c r="N49" t="s">
        <v>1853</v>
      </c>
      <c r="O49" s="141"/>
    </row>
    <row r="50" spans="2:15" x14ac:dyDescent="0.2">
      <c r="B50" t="e">
        <f>LOOKUP(#REF!,B10:B15,C10:C15)</f>
        <v>#REF!</v>
      </c>
      <c r="N50" t="s">
        <v>1854</v>
      </c>
      <c r="O50" s="141"/>
    </row>
    <row r="51" spans="2:15" x14ac:dyDescent="0.2">
      <c r="N51" t="s">
        <v>1849</v>
      </c>
      <c r="O51" s="141"/>
    </row>
    <row r="52" spans="2:15" x14ac:dyDescent="0.2">
      <c r="N52" t="s">
        <v>1850</v>
      </c>
      <c r="O52" s="141"/>
    </row>
    <row r="53" spans="2:15" x14ac:dyDescent="0.2">
      <c r="N53" t="s">
        <v>1855</v>
      </c>
      <c r="O53" s="141"/>
    </row>
    <row r="54" spans="2:15" x14ac:dyDescent="0.2">
      <c r="N54" t="s">
        <v>1852</v>
      </c>
      <c r="O54" s="141"/>
    </row>
    <row r="55" spans="2:15" x14ac:dyDescent="0.2">
      <c r="N55" t="s">
        <v>1851</v>
      </c>
      <c r="O55" s="141"/>
    </row>
    <row r="56" spans="2:15" x14ac:dyDescent="0.2">
      <c r="N56" t="s">
        <v>1857</v>
      </c>
      <c r="O56" s="141"/>
    </row>
    <row r="58" spans="2:15" x14ac:dyDescent="0.2">
      <c r="B58" s="504" t="s">
        <v>2071</v>
      </c>
      <c r="C58" s="504"/>
    </row>
    <row r="59" spans="2:15" x14ac:dyDescent="0.2">
      <c r="B59" t="s">
        <v>1875</v>
      </c>
      <c r="C59">
        <v>1800</v>
      </c>
    </row>
    <row r="60" spans="2:15" x14ac:dyDescent="0.2">
      <c r="D60" s="500" t="s">
        <v>1856</v>
      </c>
      <c r="E60" s="500"/>
      <c r="F60" s="500"/>
      <c r="G60" s="30" t="s">
        <v>1877</v>
      </c>
    </row>
    <row r="61" spans="2:15" x14ac:dyDescent="0.2">
      <c r="D61" t="s">
        <v>2096</v>
      </c>
      <c r="E61" t="s">
        <v>42</v>
      </c>
      <c r="F61" t="s">
        <v>43</v>
      </c>
      <c r="G61" t="s">
        <v>2096</v>
      </c>
    </row>
    <row r="62" spans="2:15" x14ac:dyDescent="0.2">
      <c r="B62" t="s">
        <v>2097</v>
      </c>
      <c r="D62">
        <v>415210</v>
      </c>
      <c r="E62">
        <v>415212</v>
      </c>
      <c r="F62">
        <v>415213</v>
      </c>
      <c r="G62">
        <v>415222</v>
      </c>
    </row>
    <row r="63" spans="2:15" x14ac:dyDescent="0.2">
      <c r="B63" t="s">
        <v>2098</v>
      </c>
      <c r="D63">
        <v>415214</v>
      </c>
      <c r="E63">
        <v>415216</v>
      </c>
      <c r="F63">
        <v>415217</v>
      </c>
      <c r="G63">
        <v>415226</v>
      </c>
    </row>
    <row r="64" spans="2:15" x14ac:dyDescent="0.2">
      <c r="B64" t="s">
        <v>2099</v>
      </c>
      <c r="D64">
        <v>415218</v>
      </c>
      <c r="E64">
        <v>415220</v>
      </c>
      <c r="F64">
        <v>415221</v>
      </c>
      <c r="G64">
        <v>415230</v>
      </c>
    </row>
    <row r="65" spans="2:7" x14ac:dyDescent="0.2">
      <c r="B65" t="s">
        <v>1876</v>
      </c>
      <c r="C65">
        <v>12</v>
      </c>
    </row>
    <row r="66" spans="2:7" x14ac:dyDescent="0.2">
      <c r="B66" t="s">
        <v>1878</v>
      </c>
      <c r="C66">
        <v>36</v>
      </c>
    </row>
    <row r="67" spans="2:7" x14ac:dyDescent="0.2">
      <c r="B67" t="s">
        <v>2100</v>
      </c>
      <c r="C67">
        <f>ROUND(C66/48,0)</f>
        <v>1</v>
      </c>
    </row>
    <row r="68" spans="2:7" x14ac:dyDescent="0.2">
      <c r="B68" t="s">
        <v>1879</v>
      </c>
      <c r="C68">
        <v>0</v>
      </c>
    </row>
    <row r="69" spans="2:7" x14ac:dyDescent="0.2">
      <c r="B69" t="s">
        <v>1881</v>
      </c>
      <c r="C69">
        <v>72</v>
      </c>
    </row>
    <row r="70" spans="2:7" x14ac:dyDescent="0.2">
      <c r="C70" s="500" t="s">
        <v>1938</v>
      </c>
      <c r="D70" s="500"/>
      <c r="E70" s="500"/>
      <c r="F70" s="500" t="s">
        <v>1962</v>
      </c>
      <c r="G70" s="500"/>
    </row>
    <row r="71" spans="2:7" x14ac:dyDescent="0.2">
      <c r="C71" t="s">
        <v>2096</v>
      </c>
      <c r="D71" t="s">
        <v>42</v>
      </c>
      <c r="E71" t="s">
        <v>43</v>
      </c>
      <c r="F71" t="s">
        <v>2096</v>
      </c>
      <c r="G71" t="s">
        <v>42</v>
      </c>
    </row>
    <row r="72" spans="2:7" x14ac:dyDescent="0.2">
      <c r="B72" t="s">
        <v>2101</v>
      </c>
      <c r="D72">
        <v>423331</v>
      </c>
      <c r="G72">
        <v>421131</v>
      </c>
    </row>
    <row r="73" spans="2:7" x14ac:dyDescent="0.2">
      <c r="B73" t="s">
        <v>2102</v>
      </c>
      <c r="D73">
        <v>423332</v>
      </c>
    </row>
    <row r="74" spans="2:7" x14ac:dyDescent="0.2">
      <c r="B74" t="s">
        <v>2103</v>
      </c>
      <c r="D74">
        <v>421333</v>
      </c>
    </row>
    <row r="75" spans="2:7" ht="15" thickBot="1" x14ac:dyDescent="0.25"/>
    <row r="76" spans="2:7" ht="16.5" thickBot="1" x14ac:dyDescent="0.25">
      <c r="B76" s="139" t="s">
        <v>962</v>
      </c>
      <c r="C76" s="140" t="s">
        <v>963</v>
      </c>
      <c r="D76" s="140" t="s">
        <v>2086</v>
      </c>
    </row>
    <row r="77" spans="2:7" ht="15.75" x14ac:dyDescent="0.2">
      <c r="B77" s="197">
        <v>1</v>
      </c>
      <c r="C77" s="142">
        <v>193360</v>
      </c>
      <c r="D77">
        <f>ROUNDUP(C59,-3)/1000</f>
        <v>2</v>
      </c>
      <c r="E77" t="s">
        <v>1829</v>
      </c>
    </row>
    <row r="78" spans="2:7" ht="15.75" x14ac:dyDescent="0.2">
      <c r="B78" s="146">
        <v>2</v>
      </c>
      <c r="C78" s="143" t="e">
        <v>#REF!</v>
      </c>
      <c r="D78">
        <v>3</v>
      </c>
      <c r="E78" t="s">
        <v>1868</v>
      </c>
    </row>
    <row r="79" spans="2:7" ht="15.75" x14ac:dyDescent="0.2">
      <c r="B79" s="146">
        <v>3</v>
      </c>
      <c r="C79" s="143" t="e">
        <v>#REF!</v>
      </c>
      <c r="D79">
        <f>C67</f>
        <v>1</v>
      </c>
      <c r="E79" t="s">
        <v>1869</v>
      </c>
    </row>
    <row r="80" spans="2:7" ht="15.75" x14ac:dyDescent="0.2">
      <c r="B80" s="146">
        <v>4</v>
      </c>
      <c r="C80" s="143">
        <v>1411153</v>
      </c>
      <c r="D80">
        <f>ROUNDUP(C69/6,0)</f>
        <v>12</v>
      </c>
      <c r="E80" t="s">
        <v>1870</v>
      </c>
    </row>
    <row r="81" spans="2:5" ht="15.75" x14ac:dyDescent="0.2">
      <c r="B81" s="146">
        <v>5</v>
      </c>
      <c r="C81" s="143">
        <v>1401581</v>
      </c>
      <c r="D81">
        <f>ROUNDUP(C69/100,0)</f>
        <v>1</v>
      </c>
      <c r="E81" t="s">
        <v>1871</v>
      </c>
    </row>
    <row r="82" spans="2:5" ht="15.75" x14ac:dyDescent="0.2">
      <c r="B82" s="146">
        <v>6</v>
      </c>
      <c r="C82" s="143">
        <v>4000611</v>
      </c>
      <c r="D82">
        <f>C68</f>
        <v>0</v>
      </c>
      <c r="E82" t="s">
        <v>1872</v>
      </c>
    </row>
    <row r="83" spans="2:5" ht="15.75" x14ac:dyDescent="0.2">
      <c r="B83" s="146">
        <v>7</v>
      </c>
      <c r="C83" s="143"/>
    </row>
    <row r="84" spans="2:5" ht="15.75" x14ac:dyDescent="0.2">
      <c r="B84" s="146">
        <v>8</v>
      </c>
      <c r="C84" s="143"/>
    </row>
    <row r="85" spans="2:5" ht="15.75" x14ac:dyDescent="0.2">
      <c r="B85" s="146">
        <v>9</v>
      </c>
      <c r="C85" s="143"/>
    </row>
    <row r="86" spans="2:5" ht="16.5" thickBot="1" x14ac:dyDescent="0.25">
      <c r="B86" s="198"/>
      <c r="C86" s="199"/>
    </row>
  </sheetData>
  <sheetProtection algorithmName="SHA-512" hashValue="nPiOvqaVygwqmU7K+/aFd7/Bid1bClPun5vFAsWAFTI9eN23Flm3opMVCZ0v6sElWjpI7CoDRHhMQX6yg/ItEA==" saltValue="S2rN6xKCTNHzzic+nOVp+g==" spinCount="100000" sheet="1" objects="1" scenarios="1" selectLockedCells="1"/>
  <mergeCells count="8">
    <mergeCell ref="C70:E70"/>
    <mergeCell ref="F70:G70"/>
    <mergeCell ref="B8:D8"/>
    <mergeCell ref="B18:C18"/>
    <mergeCell ref="J32:K32"/>
    <mergeCell ref="B58:C58"/>
    <mergeCell ref="D60:F60"/>
    <mergeCell ref="J31:K31"/>
  </mergeCells>
  <conditionalFormatting sqref="C36:C41">
    <cfRule type="duplicateValues" dxfId="9" priority="9"/>
  </conditionalFormatting>
  <conditionalFormatting sqref="C42:C43">
    <cfRule type="duplicateValues" dxfId="8" priority="8"/>
  </conditionalFormatting>
  <conditionalFormatting sqref="C35 C44">
    <cfRule type="duplicateValues" dxfId="7" priority="10"/>
  </conditionalFormatting>
  <conditionalFormatting sqref="C78:C83">
    <cfRule type="duplicateValues" dxfId="6" priority="6"/>
  </conditionalFormatting>
  <conditionalFormatting sqref="C84:C85">
    <cfRule type="duplicateValues" dxfId="5" priority="5"/>
  </conditionalFormatting>
  <conditionalFormatting sqref="C77 C86">
    <cfRule type="duplicateValues" dxfId="4" priority="7"/>
  </conditionalFormatting>
  <conditionalFormatting sqref="G24">
    <cfRule type="duplicateValues" dxfId="3" priority="3"/>
  </conditionalFormatting>
  <conditionalFormatting sqref="G18:G23 G25:G30">
    <cfRule type="duplicateValues" dxfId="2" priority="4"/>
  </conditionalFormatting>
  <conditionalFormatting sqref="D10">
    <cfRule type="duplicateValues" dxfId="1" priority="2"/>
  </conditionalFormatting>
  <conditionalFormatting sqref="C10">
    <cfRule type="duplicateValues" dxfId="0" priority="1"/>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Full_data</vt:lpstr>
      <vt:lpstr>BoQ</vt:lpstr>
      <vt:lpstr>HOME</vt:lpstr>
      <vt:lpstr>Quote</vt:lpstr>
      <vt:lpstr>Input_Design</vt:lpstr>
      <vt:lpstr>Design</vt:lpstr>
      <vt:lpstr>Logistics</vt:lpstr>
      <vt:lpstr>FO</vt:lpstr>
      <vt:lpstr>CU</vt:lpstr>
      <vt:lpstr>Design!Print_Area</vt:lpstr>
      <vt:lpstr>Quote!Print_Area</vt:lpstr>
    </vt:vector>
  </TitlesOfParts>
  <Company>Datwyler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ismail.salam@datwyler.com</dc:creator>
  <cp:lastModifiedBy>Shaaban, Shaheer</cp:lastModifiedBy>
  <cp:lastPrinted>2017-06-06T06:33:37Z</cp:lastPrinted>
  <dcterms:created xsi:type="dcterms:W3CDTF">2015-06-28T18:27:55Z</dcterms:created>
  <dcterms:modified xsi:type="dcterms:W3CDTF">2017-06-19T06:53:56Z</dcterms:modified>
</cp:coreProperties>
</file>