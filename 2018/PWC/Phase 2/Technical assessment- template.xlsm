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omments5.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proposal\PWC\Phase 2\"/>
    </mc:Choice>
  </mc:AlternateContent>
  <bookViews>
    <workbookView xWindow="0" yWindow="0" windowWidth="23040" windowHeight="9960" tabRatio="662" activeTab="3"/>
  </bookViews>
  <sheets>
    <sheet name="Introduction" sheetId="11" r:id="rId1"/>
    <sheet name="Instructions" sheetId="13" r:id="rId2"/>
    <sheet name="Questions" sheetId="2" r:id="rId3"/>
    <sheet name="Requirements" sheetId="6" r:id="rId4"/>
    <sheet name="SecurityPatterns" sheetId="22" r:id="rId5"/>
    <sheet name="DC-Definition" sheetId="7" r:id="rId6"/>
    <sheet name="WebHostingNetworkStandard" sheetId="12" r:id="rId7"/>
    <sheet name="Hosting facility Requirements" sheetId="25" r:id="rId8"/>
    <sheet name="Cloud" sheetId="26" r:id="rId9"/>
    <sheet name="ALMcalcs" sheetId="14" state="hidden" r:id="rId10"/>
    <sheet name="ALMdev" sheetId="16" state="hidden" r:id="rId11"/>
  </sheets>
  <definedNames>
    <definedName name="_xlnm._FilterDatabase" localSheetId="9" hidden="1">ALMcalcs!$A$1:$O$108</definedName>
    <definedName name="_xlnm._FilterDatabase" localSheetId="3" hidden="1">Requirements!$A$1:$AR$18</definedName>
    <definedName name="ALMcalcs">ALMcalcs!$A$2:$N$108</definedName>
    <definedName name="state">ALMdev!$A$28:$A$31</definedName>
  </definedNames>
  <calcPr calcId="152511" iterate="1"/>
</workbook>
</file>

<file path=xl/calcChain.xml><?xml version="1.0" encoding="utf-8"?>
<calcChain xmlns="http://schemas.openxmlformats.org/spreadsheetml/2006/main">
  <c r="O108" i="14" l="1"/>
  <c r="O76" i="14"/>
  <c r="O73" i="14"/>
  <c r="I58" i="14"/>
  <c r="B58" i="14"/>
  <c r="O43" i="14"/>
  <c r="O34" i="14"/>
  <c r="O33" i="14"/>
  <c r="O24" i="14"/>
  <c r="O14" i="14"/>
  <c r="N107" i="14"/>
  <c r="M107" i="14"/>
  <c r="L107" i="14"/>
  <c r="K107" i="14"/>
  <c r="J107" i="14"/>
  <c r="I107" i="14"/>
  <c r="H107" i="14"/>
  <c r="G107" i="14"/>
  <c r="D107" i="14"/>
  <c r="C107" i="14"/>
  <c r="B107" i="14"/>
  <c r="A107" i="14"/>
  <c r="N106" i="14"/>
  <c r="M106" i="14"/>
  <c r="L106" i="14"/>
  <c r="K106" i="14"/>
  <c r="J106" i="14"/>
  <c r="I106" i="14"/>
  <c r="H106" i="14"/>
  <c r="G106" i="14"/>
  <c r="D106" i="14"/>
  <c r="C106" i="14"/>
  <c r="B106" i="14"/>
  <c r="A106" i="14"/>
  <c r="N105" i="14"/>
  <c r="M105" i="14"/>
  <c r="L105" i="14"/>
  <c r="K105" i="14"/>
  <c r="J105" i="14"/>
  <c r="I105" i="14"/>
  <c r="H105" i="14"/>
  <c r="G105" i="14"/>
  <c r="D105" i="14"/>
  <c r="C105" i="14"/>
  <c r="B105" i="14"/>
  <c r="A105" i="14"/>
  <c r="N104" i="14"/>
  <c r="M104" i="14"/>
  <c r="L104" i="14"/>
  <c r="K104" i="14"/>
  <c r="J104" i="14"/>
  <c r="I104" i="14"/>
  <c r="H104" i="14"/>
  <c r="G104" i="14"/>
  <c r="D104" i="14"/>
  <c r="C104" i="14"/>
  <c r="B104" i="14"/>
  <c r="A104" i="14"/>
  <c r="N103" i="14"/>
  <c r="M103" i="14"/>
  <c r="L103" i="14"/>
  <c r="K103" i="14"/>
  <c r="J103" i="14"/>
  <c r="I103" i="14"/>
  <c r="H103" i="14"/>
  <c r="G103" i="14"/>
  <c r="D103" i="14"/>
  <c r="C103" i="14"/>
  <c r="B103" i="14"/>
  <c r="A103" i="14"/>
  <c r="N102" i="14"/>
  <c r="M102" i="14"/>
  <c r="L102" i="14"/>
  <c r="K102" i="14"/>
  <c r="J102" i="14"/>
  <c r="I102" i="14"/>
  <c r="H102" i="14"/>
  <c r="G102" i="14"/>
  <c r="D102" i="14"/>
  <c r="C102" i="14"/>
  <c r="B102" i="14"/>
  <c r="A102" i="14"/>
  <c r="N101" i="14"/>
  <c r="M101" i="14"/>
  <c r="L101" i="14"/>
  <c r="K101" i="14"/>
  <c r="J101" i="14"/>
  <c r="I101" i="14"/>
  <c r="H101" i="14"/>
  <c r="G101" i="14"/>
  <c r="D101" i="14"/>
  <c r="C101" i="14"/>
  <c r="B101" i="14"/>
  <c r="A101" i="14"/>
  <c r="N100" i="14"/>
  <c r="M100" i="14"/>
  <c r="L100" i="14"/>
  <c r="K100" i="14"/>
  <c r="J100" i="14"/>
  <c r="I100" i="14"/>
  <c r="H100" i="14"/>
  <c r="G100" i="14"/>
  <c r="D100" i="14"/>
  <c r="C100" i="14"/>
  <c r="B100" i="14"/>
  <c r="A100" i="14"/>
  <c r="N99" i="14"/>
  <c r="M99" i="14"/>
  <c r="L99" i="14"/>
  <c r="K99" i="14"/>
  <c r="J99" i="14"/>
  <c r="I99" i="14"/>
  <c r="H99" i="14"/>
  <c r="G99" i="14"/>
  <c r="D99" i="14"/>
  <c r="C99" i="14"/>
  <c r="B99" i="14"/>
  <c r="A99" i="14"/>
  <c r="N98" i="14"/>
  <c r="M98" i="14"/>
  <c r="L98" i="14"/>
  <c r="K98" i="14"/>
  <c r="J98" i="14"/>
  <c r="I98" i="14"/>
  <c r="H98" i="14"/>
  <c r="G98" i="14"/>
  <c r="D98" i="14"/>
  <c r="C98" i="14"/>
  <c r="B98" i="14"/>
  <c r="A98" i="14"/>
  <c r="N97" i="14"/>
  <c r="M97" i="14"/>
  <c r="L97" i="14"/>
  <c r="K97" i="14"/>
  <c r="J97" i="14"/>
  <c r="I97" i="14"/>
  <c r="H97" i="14"/>
  <c r="G97" i="14"/>
  <c r="D97" i="14"/>
  <c r="C97" i="14"/>
  <c r="B97" i="14"/>
  <c r="A97" i="14"/>
  <c r="N96" i="14"/>
  <c r="M96" i="14"/>
  <c r="L96" i="14"/>
  <c r="K96" i="14"/>
  <c r="J96" i="14"/>
  <c r="I96" i="14"/>
  <c r="H96" i="14"/>
  <c r="G96" i="14"/>
  <c r="D96" i="14"/>
  <c r="C96" i="14"/>
  <c r="B96" i="14"/>
  <c r="A96" i="14"/>
  <c r="N95" i="14"/>
  <c r="M95" i="14"/>
  <c r="L95" i="14"/>
  <c r="K95" i="14"/>
  <c r="J95" i="14"/>
  <c r="I95" i="14"/>
  <c r="H95" i="14"/>
  <c r="G95" i="14"/>
  <c r="D95" i="14"/>
  <c r="C95" i="14"/>
  <c r="B95" i="14"/>
  <c r="A95" i="14"/>
  <c r="N94" i="14"/>
  <c r="M94" i="14"/>
  <c r="L94" i="14"/>
  <c r="K94" i="14"/>
  <c r="J94" i="14"/>
  <c r="I94" i="14"/>
  <c r="H94" i="14"/>
  <c r="G94" i="14"/>
  <c r="D94" i="14"/>
  <c r="C94" i="14"/>
  <c r="B94" i="14"/>
  <c r="A94" i="14"/>
  <c r="N93" i="14"/>
  <c r="M93" i="14"/>
  <c r="L93" i="14"/>
  <c r="K93" i="14"/>
  <c r="J93" i="14"/>
  <c r="I93" i="14"/>
  <c r="H93" i="14"/>
  <c r="G93" i="14"/>
  <c r="D93" i="14"/>
  <c r="C93" i="14"/>
  <c r="B93" i="14"/>
  <c r="A93" i="14"/>
  <c r="N92" i="14"/>
  <c r="M92" i="14"/>
  <c r="L92" i="14"/>
  <c r="K92" i="14"/>
  <c r="J92" i="14"/>
  <c r="I92" i="14"/>
  <c r="H92" i="14"/>
  <c r="G92" i="14"/>
  <c r="D92" i="14"/>
  <c r="C92" i="14"/>
  <c r="B92" i="14"/>
  <c r="A92" i="14"/>
  <c r="N91" i="14"/>
  <c r="M91" i="14"/>
  <c r="L91" i="14"/>
  <c r="K91" i="14"/>
  <c r="J91" i="14"/>
  <c r="I91" i="14"/>
  <c r="H91" i="14"/>
  <c r="G91" i="14"/>
  <c r="D91" i="14"/>
  <c r="C91" i="14"/>
  <c r="B91" i="14"/>
  <c r="A91" i="14"/>
  <c r="N90" i="14"/>
  <c r="M90" i="14"/>
  <c r="L90" i="14"/>
  <c r="K90" i="14"/>
  <c r="J90" i="14"/>
  <c r="I90" i="14"/>
  <c r="H90" i="14"/>
  <c r="G90" i="14"/>
  <c r="D90" i="14"/>
  <c r="C90" i="14"/>
  <c r="B90" i="14"/>
  <c r="A90" i="14"/>
  <c r="N89" i="14"/>
  <c r="M89" i="14"/>
  <c r="L89" i="14"/>
  <c r="K89" i="14"/>
  <c r="J89" i="14"/>
  <c r="I89" i="14"/>
  <c r="H89" i="14"/>
  <c r="G89" i="14"/>
  <c r="D89" i="14"/>
  <c r="C89" i="14"/>
  <c r="B89" i="14"/>
  <c r="A89" i="14"/>
  <c r="N88" i="14"/>
  <c r="M88" i="14"/>
  <c r="L88" i="14"/>
  <c r="K88" i="14"/>
  <c r="J88" i="14"/>
  <c r="I88" i="14"/>
  <c r="H88" i="14"/>
  <c r="G88" i="14"/>
  <c r="D88" i="14"/>
  <c r="C88" i="14"/>
  <c r="B88" i="14"/>
  <c r="A88" i="14"/>
  <c r="N87" i="14"/>
  <c r="M87" i="14"/>
  <c r="L87" i="14"/>
  <c r="K87" i="14"/>
  <c r="J87" i="14"/>
  <c r="I87" i="14"/>
  <c r="H87" i="14"/>
  <c r="G87" i="14"/>
  <c r="D87" i="14"/>
  <c r="C87" i="14"/>
  <c r="B87" i="14"/>
  <c r="A87" i="14"/>
  <c r="N86" i="14"/>
  <c r="M86" i="14"/>
  <c r="L86" i="14"/>
  <c r="K86" i="14"/>
  <c r="J86" i="14"/>
  <c r="I86" i="14"/>
  <c r="H86" i="14"/>
  <c r="G86" i="14"/>
  <c r="D86" i="14"/>
  <c r="C86" i="14"/>
  <c r="B86" i="14"/>
  <c r="A86" i="14"/>
  <c r="N85" i="14"/>
  <c r="M85" i="14"/>
  <c r="L85" i="14"/>
  <c r="K85" i="14"/>
  <c r="J85" i="14"/>
  <c r="I85" i="14"/>
  <c r="H85" i="14"/>
  <c r="G85" i="14"/>
  <c r="D85" i="14"/>
  <c r="C85" i="14"/>
  <c r="B85" i="14"/>
  <c r="A85" i="14"/>
  <c r="N84" i="14"/>
  <c r="M84" i="14"/>
  <c r="L84" i="14"/>
  <c r="K84" i="14"/>
  <c r="J84" i="14"/>
  <c r="I84" i="14"/>
  <c r="H84" i="14"/>
  <c r="G84" i="14"/>
  <c r="D84" i="14"/>
  <c r="C84" i="14"/>
  <c r="B84" i="14"/>
  <c r="A84" i="14"/>
  <c r="N83" i="14"/>
  <c r="M83" i="14"/>
  <c r="L83" i="14"/>
  <c r="K83" i="14"/>
  <c r="J83" i="14"/>
  <c r="I83" i="14"/>
  <c r="H83" i="14"/>
  <c r="G83" i="14"/>
  <c r="D83" i="14"/>
  <c r="C83" i="14"/>
  <c r="B83" i="14"/>
  <c r="A83" i="14"/>
  <c r="N82" i="14"/>
  <c r="M82" i="14"/>
  <c r="L82" i="14"/>
  <c r="K82" i="14"/>
  <c r="J82" i="14"/>
  <c r="I82" i="14"/>
  <c r="H82" i="14"/>
  <c r="G82" i="14"/>
  <c r="D82" i="14"/>
  <c r="C82" i="14"/>
  <c r="B82" i="14"/>
  <c r="A82" i="14"/>
  <c r="N81" i="14"/>
  <c r="M81" i="14"/>
  <c r="L81" i="14"/>
  <c r="K81" i="14"/>
  <c r="J81" i="14"/>
  <c r="I81" i="14"/>
  <c r="H81" i="14"/>
  <c r="G81" i="14"/>
  <c r="D81" i="14"/>
  <c r="C81" i="14"/>
  <c r="B81" i="14"/>
  <c r="A81" i="14"/>
  <c r="N80" i="14"/>
  <c r="M80" i="14"/>
  <c r="L80" i="14"/>
  <c r="K80" i="14"/>
  <c r="J80" i="14"/>
  <c r="I80" i="14"/>
  <c r="H80" i="14"/>
  <c r="G80" i="14"/>
  <c r="D80" i="14"/>
  <c r="C80" i="14"/>
  <c r="B80" i="14"/>
  <c r="A80" i="14"/>
  <c r="N79" i="14"/>
  <c r="M79" i="14"/>
  <c r="L79" i="14"/>
  <c r="K79" i="14"/>
  <c r="J79" i="14"/>
  <c r="I79" i="14"/>
  <c r="H79" i="14"/>
  <c r="G79" i="14"/>
  <c r="D79" i="14"/>
  <c r="C79" i="14"/>
  <c r="B79" i="14"/>
  <c r="A79" i="14"/>
  <c r="N78" i="14"/>
  <c r="M78" i="14"/>
  <c r="L78" i="14"/>
  <c r="K78" i="14"/>
  <c r="J78" i="14"/>
  <c r="I78" i="14"/>
  <c r="H78" i="14"/>
  <c r="G78" i="14"/>
  <c r="D78" i="14"/>
  <c r="C78" i="14"/>
  <c r="B78" i="14"/>
  <c r="A78" i="14"/>
  <c r="N77" i="14"/>
  <c r="M77" i="14"/>
  <c r="L77" i="14"/>
  <c r="K77" i="14"/>
  <c r="J77" i="14"/>
  <c r="I77" i="14"/>
  <c r="H77" i="14"/>
  <c r="G77" i="14"/>
  <c r="D77" i="14"/>
  <c r="C77" i="14"/>
  <c r="B77" i="14"/>
  <c r="A77" i="14"/>
  <c r="N76" i="14"/>
  <c r="M76" i="14"/>
  <c r="L76" i="14"/>
  <c r="K76" i="14"/>
  <c r="J76" i="14"/>
  <c r="I76" i="14"/>
  <c r="H76" i="14"/>
  <c r="G76" i="14"/>
  <c r="D76" i="14"/>
  <c r="C76" i="14"/>
  <c r="B76" i="14"/>
  <c r="A76" i="14"/>
  <c r="N75" i="14"/>
  <c r="M75" i="14"/>
  <c r="L75" i="14"/>
  <c r="K75" i="14"/>
  <c r="J75" i="14"/>
  <c r="I75" i="14"/>
  <c r="H75" i="14"/>
  <c r="G75" i="14"/>
  <c r="D75" i="14"/>
  <c r="C75" i="14"/>
  <c r="B75" i="14"/>
  <c r="A75" i="14"/>
  <c r="N74" i="14"/>
  <c r="M74" i="14"/>
  <c r="L74" i="14"/>
  <c r="K74" i="14"/>
  <c r="J74" i="14"/>
  <c r="I74" i="14"/>
  <c r="H74" i="14"/>
  <c r="G74" i="14"/>
  <c r="D74" i="14"/>
  <c r="C74" i="14"/>
  <c r="B74" i="14"/>
  <c r="A74" i="14"/>
  <c r="N73" i="14"/>
  <c r="M73" i="14"/>
  <c r="L73" i="14"/>
  <c r="K73" i="14"/>
  <c r="J73" i="14"/>
  <c r="I73" i="14"/>
  <c r="H73" i="14"/>
  <c r="G73" i="14"/>
  <c r="D73" i="14"/>
  <c r="C73" i="14"/>
  <c r="B73" i="14"/>
  <c r="A73" i="14"/>
  <c r="N72" i="14"/>
  <c r="M72" i="14"/>
  <c r="L72" i="14"/>
  <c r="K72" i="14"/>
  <c r="J72" i="14"/>
  <c r="I72" i="14"/>
  <c r="H72" i="14"/>
  <c r="G72" i="14"/>
  <c r="D72" i="14"/>
  <c r="C72" i="14"/>
  <c r="B72" i="14"/>
  <c r="A72" i="14"/>
  <c r="N71" i="14"/>
  <c r="M71" i="14"/>
  <c r="L71" i="14"/>
  <c r="K71" i="14"/>
  <c r="J71" i="14"/>
  <c r="I71" i="14"/>
  <c r="H71" i="14"/>
  <c r="G71" i="14"/>
  <c r="D71" i="14"/>
  <c r="C71" i="14"/>
  <c r="B71" i="14"/>
  <c r="A71" i="14"/>
  <c r="N70" i="14"/>
  <c r="M70" i="14"/>
  <c r="L70" i="14"/>
  <c r="K70" i="14"/>
  <c r="J70" i="14"/>
  <c r="I70" i="14"/>
  <c r="H70" i="14"/>
  <c r="G70" i="14"/>
  <c r="D70" i="14"/>
  <c r="C70" i="14"/>
  <c r="B70" i="14"/>
  <c r="A70" i="14"/>
  <c r="N69" i="14"/>
  <c r="M69" i="14"/>
  <c r="L69" i="14"/>
  <c r="K69" i="14"/>
  <c r="J69" i="14"/>
  <c r="I69" i="14"/>
  <c r="H69" i="14"/>
  <c r="G69" i="14"/>
  <c r="D69" i="14"/>
  <c r="C69" i="14"/>
  <c r="B69" i="14"/>
  <c r="A69" i="14"/>
  <c r="N68" i="14"/>
  <c r="M68" i="14"/>
  <c r="L68" i="14"/>
  <c r="K68" i="14"/>
  <c r="J68" i="14"/>
  <c r="I68" i="14"/>
  <c r="H68" i="14"/>
  <c r="G68" i="14"/>
  <c r="D68" i="14"/>
  <c r="C68" i="14"/>
  <c r="B68" i="14"/>
  <c r="A68" i="14"/>
  <c r="N67" i="14"/>
  <c r="M67" i="14"/>
  <c r="L67" i="14"/>
  <c r="K67" i="14"/>
  <c r="J67" i="14"/>
  <c r="I67" i="14"/>
  <c r="H67" i="14"/>
  <c r="G67" i="14"/>
  <c r="D67" i="14"/>
  <c r="C67" i="14"/>
  <c r="B67" i="14"/>
  <c r="A67" i="14"/>
  <c r="N66" i="14"/>
  <c r="M66" i="14"/>
  <c r="L66" i="14"/>
  <c r="K66" i="14"/>
  <c r="J66" i="14"/>
  <c r="I66" i="14"/>
  <c r="H66" i="14"/>
  <c r="G66" i="14"/>
  <c r="D66" i="14"/>
  <c r="C66" i="14"/>
  <c r="B66" i="14"/>
  <c r="A66" i="14"/>
  <c r="N65" i="14"/>
  <c r="M65" i="14"/>
  <c r="L65" i="14"/>
  <c r="K65" i="14"/>
  <c r="J65" i="14"/>
  <c r="I65" i="14"/>
  <c r="H65" i="14"/>
  <c r="G65" i="14"/>
  <c r="D65" i="14"/>
  <c r="C65" i="14"/>
  <c r="B65" i="14"/>
  <c r="A65" i="14"/>
  <c r="N64" i="14"/>
  <c r="M64" i="14"/>
  <c r="L64" i="14"/>
  <c r="K64" i="14"/>
  <c r="J64" i="14"/>
  <c r="I64" i="14"/>
  <c r="H64" i="14"/>
  <c r="G64" i="14"/>
  <c r="D64" i="14"/>
  <c r="C64" i="14"/>
  <c r="B64" i="14"/>
  <c r="A64" i="14"/>
  <c r="N63" i="14"/>
  <c r="M63" i="14"/>
  <c r="L63" i="14"/>
  <c r="K63" i="14"/>
  <c r="J63" i="14"/>
  <c r="I63" i="14"/>
  <c r="H63" i="14"/>
  <c r="G63" i="14"/>
  <c r="D63" i="14"/>
  <c r="C63" i="14"/>
  <c r="B63" i="14"/>
  <c r="A63" i="14"/>
  <c r="N62" i="14"/>
  <c r="M62" i="14"/>
  <c r="L62" i="14"/>
  <c r="K62" i="14"/>
  <c r="J62" i="14"/>
  <c r="I62" i="14"/>
  <c r="H62" i="14"/>
  <c r="G62" i="14"/>
  <c r="D62" i="14"/>
  <c r="C62" i="14"/>
  <c r="B62" i="14"/>
  <c r="A62" i="14"/>
  <c r="N61" i="14"/>
  <c r="M61" i="14"/>
  <c r="L61" i="14"/>
  <c r="K61" i="14"/>
  <c r="J61" i="14"/>
  <c r="I61" i="14"/>
  <c r="H61" i="14"/>
  <c r="G61" i="14"/>
  <c r="D61" i="14"/>
  <c r="C61" i="14"/>
  <c r="B61" i="14"/>
  <c r="A61" i="14"/>
  <c r="N60" i="14"/>
  <c r="M60" i="14"/>
  <c r="L60" i="14"/>
  <c r="K60" i="14"/>
  <c r="J60" i="14"/>
  <c r="I60" i="14"/>
  <c r="H60" i="14"/>
  <c r="G60" i="14"/>
  <c r="D60" i="14"/>
  <c r="C60" i="14"/>
  <c r="B60" i="14"/>
  <c r="A60" i="14"/>
  <c r="N59" i="14"/>
  <c r="M59" i="14"/>
  <c r="L59" i="14"/>
  <c r="K59" i="14"/>
  <c r="J59" i="14"/>
  <c r="I59" i="14"/>
  <c r="H59" i="14"/>
  <c r="G59" i="14"/>
  <c r="D59" i="14"/>
  <c r="C59" i="14"/>
  <c r="B59" i="14"/>
  <c r="A59" i="14"/>
  <c r="N58" i="14"/>
  <c r="M58" i="14"/>
  <c r="L58" i="14"/>
  <c r="K58" i="14"/>
  <c r="J58" i="14"/>
  <c r="H58" i="14"/>
  <c r="G58" i="14"/>
  <c r="D58" i="14"/>
  <c r="C58" i="14"/>
  <c r="A58" i="14"/>
  <c r="N57" i="14"/>
  <c r="M57" i="14"/>
  <c r="L57" i="14"/>
  <c r="K57" i="14"/>
  <c r="J57" i="14"/>
  <c r="I57" i="14"/>
  <c r="H57" i="14"/>
  <c r="G57" i="14"/>
  <c r="D57" i="14"/>
  <c r="C57" i="14"/>
  <c r="B57" i="14"/>
  <c r="A57" i="14"/>
  <c r="N56" i="14"/>
  <c r="M56" i="14"/>
  <c r="L56" i="14"/>
  <c r="K56" i="14"/>
  <c r="J56" i="14"/>
  <c r="I56" i="14"/>
  <c r="H56" i="14"/>
  <c r="G56" i="14"/>
  <c r="D56" i="14"/>
  <c r="C56" i="14"/>
  <c r="B56" i="14"/>
  <c r="A56" i="14"/>
  <c r="N55" i="14"/>
  <c r="M55" i="14"/>
  <c r="L55" i="14"/>
  <c r="K55" i="14"/>
  <c r="J55" i="14"/>
  <c r="I55" i="14"/>
  <c r="H55" i="14"/>
  <c r="G55" i="14"/>
  <c r="D55" i="14"/>
  <c r="C55" i="14"/>
  <c r="B55" i="14"/>
  <c r="A55" i="14"/>
  <c r="N54" i="14"/>
  <c r="M54" i="14"/>
  <c r="L54" i="14"/>
  <c r="K54" i="14"/>
  <c r="J54" i="14"/>
  <c r="I54" i="14"/>
  <c r="H54" i="14"/>
  <c r="G54" i="14"/>
  <c r="D54" i="14"/>
  <c r="C54" i="14"/>
  <c r="B54" i="14"/>
  <c r="A54" i="14"/>
  <c r="N53" i="14"/>
  <c r="M53" i="14"/>
  <c r="L53" i="14"/>
  <c r="K53" i="14"/>
  <c r="J53" i="14"/>
  <c r="I53" i="14"/>
  <c r="H53" i="14"/>
  <c r="G53" i="14"/>
  <c r="D53" i="14"/>
  <c r="C53" i="14"/>
  <c r="B53" i="14"/>
  <c r="A53" i="14"/>
  <c r="N52" i="14"/>
  <c r="M52" i="14"/>
  <c r="L52" i="14"/>
  <c r="K52" i="14"/>
  <c r="J52" i="14"/>
  <c r="I52" i="14"/>
  <c r="H52" i="14"/>
  <c r="G52" i="14"/>
  <c r="D52" i="14"/>
  <c r="C52" i="14"/>
  <c r="B52" i="14"/>
  <c r="A52" i="14"/>
  <c r="N51" i="14"/>
  <c r="M51" i="14"/>
  <c r="L51" i="14"/>
  <c r="K51" i="14"/>
  <c r="J51" i="14"/>
  <c r="I51" i="14"/>
  <c r="H51" i="14"/>
  <c r="G51" i="14"/>
  <c r="D51" i="14"/>
  <c r="C51" i="14"/>
  <c r="B51" i="14"/>
  <c r="A51" i="14"/>
  <c r="N50" i="14"/>
  <c r="M50" i="14"/>
  <c r="L50" i="14"/>
  <c r="K50" i="14"/>
  <c r="J50" i="14"/>
  <c r="I50" i="14"/>
  <c r="H50" i="14"/>
  <c r="G50" i="14"/>
  <c r="D50" i="14"/>
  <c r="C50" i="14"/>
  <c r="B50" i="14"/>
  <c r="A50" i="14"/>
  <c r="N49" i="14"/>
  <c r="M49" i="14"/>
  <c r="L49" i="14"/>
  <c r="K49" i="14"/>
  <c r="J49" i="14"/>
  <c r="I49" i="14"/>
  <c r="H49" i="14"/>
  <c r="G49" i="14"/>
  <c r="D49" i="14"/>
  <c r="C49" i="14"/>
  <c r="B49" i="14"/>
  <c r="A49" i="14"/>
  <c r="N48" i="14"/>
  <c r="M48" i="14"/>
  <c r="L48" i="14"/>
  <c r="K48" i="14"/>
  <c r="J48" i="14"/>
  <c r="I48" i="14"/>
  <c r="H48" i="14"/>
  <c r="G48" i="14"/>
  <c r="D48" i="14"/>
  <c r="C48" i="14"/>
  <c r="B48" i="14"/>
  <c r="A48" i="14"/>
  <c r="N47" i="14"/>
  <c r="M47" i="14"/>
  <c r="L47" i="14"/>
  <c r="K47" i="14"/>
  <c r="J47" i="14"/>
  <c r="I47" i="14"/>
  <c r="H47" i="14"/>
  <c r="G47" i="14"/>
  <c r="D47" i="14"/>
  <c r="C47" i="14"/>
  <c r="B47" i="14"/>
  <c r="A47" i="14"/>
  <c r="N46" i="14"/>
  <c r="M46" i="14"/>
  <c r="L46" i="14"/>
  <c r="K46" i="14"/>
  <c r="J46" i="14"/>
  <c r="I46" i="14"/>
  <c r="H46" i="14"/>
  <c r="G46" i="14"/>
  <c r="D46" i="14"/>
  <c r="C46" i="14"/>
  <c r="B46" i="14"/>
  <c r="A46" i="14"/>
  <c r="N45" i="14"/>
  <c r="M45" i="14"/>
  <c r="L45" i="14"/>
  <c r="K45" i="14"/>
  <c r="J45" i="14"/>
  <c r="I45" i="14"/>
  <c r="H45" i="14"/>
  <c r="G45" i="14"/>
  <c r="D45" i="14"/>
  <c r="C45" i="14"/>
  <c r="B45" i="14"/>
  <c r="A45" i="14"/>
  <c r="N44" i="14"/>
  <c r="M44" i="14"/>
  <c r="L44" i="14"/>
  <c r="K44" i="14"/>
  <c r="J44" i="14"/>
  <c r="I44" i="14"/>
  <c r="H44" i="14"/>
  <c r="G44" i="14"/>
  <c r="D44" i="14"/>
  <c r="C44" i="14"/>
  <c r="B44" i="14"/>
  <c r="A44" i="14"/>
  <c r="N43" i="14"/>
  <c r="M43" i="14"/>
  <c r="L43" i="14"/>
  <c r="K43" i="14"/>
  <c r="J43" i="14"/>
  <c r="I43" i="14"/>
  <c r="H43" i="14"/>
  <c r="G43" i="14"/>
  <c r="D43" i="14"/>
  <c r="C43" i="14"/>
  <c r="B43" i="14"/>
  <c r="A43" i="14"/>
  <c r="N42" i="14"/>
  <c r="M42" i="14"/>
  <c r="L42" i="14"/>
  <c r="K42" i="14"/>
  <c r="J42" i="14"/>
  <c r="I42" i="14"/>
  <c r="H42" i="14"/>
  <c r="G42" i="14"/>
  <c r="D42" i="14"/>
  <c r="C42" i="14"/>
  <c r="B42" i="14"/>
  <c r="A42" i="14"/>
  <c r="N41" i="14"/>
  <c r="M41" i="14"/>
  <c r="L41" i="14"/>
  <c r="K41" i="14"/>
  <c r="J41" i="14"/>
  <c r="I41" i="14"/>
  <c r="H41" i="14"/>
  <c r="G41" i="14"/>
  <c r="D41" i="14"/>
  <c r="C41" i="14"/>
  <c r="B41" i="14"/>
  <c r="A41" i="14"/>
  <c r="N40" i="14"/>
  <c r="M40" i="14"/>
  <c r="L40" i="14"/>
  <c r="K40" i="14"/>
  <c r="J40" i="14"/>
  <c r="I40" i="14"/>
  <c r="H40" i="14"/>
  <c r="G40" i="14"/>
  <c r="D40" i="14"/>
  <c r="C40" i="14"/>
  <c r="B40" i="14"/>
  <c r="A40" i="14"/>
  <c r="N39" i="14"/>
  <c r="M39" i="14"/>
  <c r="L39" i="14"/>
  <c r="K39" i="14"/>
  <c r="J39" i="14"/>
  <c r="I39" i="14"/>
  <c r="H39" i="14"/>
  <c r="G39" i="14"/>
  <c r="D39" i="14"/>
  <c r="C39" i="14"/>
  <c r="B39" i="14"/>
  <c r="A39" i="14"/>
  <c r="N38" i="14"/>
  <c r="M38" i="14"/>
  <c r="L38" i="14"/>
  <c r="K38" i="14"/>
  <c r="J38" i="14"/>
  <c r="I38" i="14"/>
  <c r="H38" i="14"/>
  <c r="G38" i="14"/>
  <c r="D38" i="14"/>
  <c r="C38" i="14"/>
  <c r="B38" i="14"/>
  <c r="A38" i="14"/>
  <c r="N37" i="14"/>
  <c r="M37" i="14"/>
  <c r="L37" i="14"/>
  <c r="K37" i="14"/>
  <c r="J37" i="14"/>
  <c r="I37" i="14"/>
  <c r="H37" i="14"/>
  <c r="G37" i="14"/>
  <c r="D37" i="14"/>
  <c r="C37" i="14"/>
  <c r="B37" i="14"/>
  <c r="A37" i="14"/>
  <c r="N36" i="14"/>
  <c r="M36" i="14"/>
  <c r="L36" i="14"/>
  <c r="K36" i="14"/>
  <c r="J36" i="14"/>
  <c r="I36" i="14"/>
  <c r="H36" i="14"/>
  <c r="G36" i="14"/>
  <c r="D36" i="14"/>
  <c r="C36" i="14"/>
  <c r="B36" i="14"/>
  <c r="A36" i="14"/>
  <c r="N35" i="14"/>
  <c r="M35" i="14"/>
  <c r="L35" i="14"/>
  <c r="K35" i="14"/>
  <c r="J35" i="14"/>
  <c r="I35" i="14"/>
  <c r="H35" i="14"/>
  <c r="G35" i="14"/>
  <c r="D35" i="14"/>
  <c r="C35" i="14"/>
  <c r="B35" i="14"/>
  <c r="A35" i="14"/>
  <c r="N34" i="14"/>
  <c r="M34" i="14"/>
  <c r="L34" i="14"/>
  <c r="K34" i="14"/>
  <c r="J34" i="14"/>
  <c r="I34" i="14"/>
  <c r="H34" i="14"/>
  <c r="G34" i="14"/>
  <c r="D34" i="14"/>
  <c r="C34" i="14"/>
  <c r="B34" i="14"/>
  <c r="A34" i="14"/>
  <c r="N33" i="14"/>
  <c r="M33" i="14"/>
  <c r="L33" i="14"/>
  <c r="K33" i="14"/>
  <c r="J33" i="14"/>
  <c r="I33" i="14"/>
  <c r="H33" i="14"/>
  <c r="G33" i="14"/>
  <c r="D33" i="14"/>
  <c r="C33" i="14"/>
  <c r="B33" i="14"/>
  <c r="A33" i="14"/>
  <c r="N32" i="14"/>
  <c r="M32" i="14"/>
  <c r="L32" i="14"/>
  <c r="K32" i="14"/>
  <c r="J32" i="14"/>
  <c r="I32" i="14"/>
  <c r="H32" i="14"/>
  <c r="G32" i="14"/>
  <c r="D32" i="14"/>
  <c r="C32" i="14"/>
  <c r="B32" i="14"/>
  <c r="A32" i="14"/>
  <c r="N31" i="14"/>
  <c r="M31" i="14"/>
  <c r="L31" i="14"/>
  <c r="K31" i="14"/>
  <c r="J31" i="14"/>
  <c r="I31" i="14"/>
  <c r="H31" i="14"/>
  <c r="G31" i="14"/>
  <c r="D31" i="14"/>
  <c r="C31" i="14"/>
  <c r="B31" i="14"/>
  <c r="A31" i="14"/>
  <c r="N30" i="14"/>
  <c r="M30" i="14"/>
  <c r="L30" i="14"/>
  <c r="K30" i="14"/>
  <c r="J30" i="14"/>
  <c r="I30" i="14"/>
  <c r="H30" i="14"/>
  <c r="G30" i="14"/>
  <c r="D30" i="14"/>
  <c r="C30" i="14"/>
  <c r="B30" i="14"/>
  <c r="A30" i="14"/>
  <c r="N29" i="14"/>
  <c r="M29" i="14"/>
  <c r="L29" i="14"/>
  <c r="K29" i="14"/>
  <c r="J29" i="14"/>
  <c r="I29" i="14"/>
  <c r="H29" i="14"/>
  <c r="G29" i="14"/>
  <c r="D29" i="14"/>
  <c r="C29" i="14"/>
  <c r="B29" i="14"/>
  <c r="A29" i="14"/>
  <c r="N28" i="14"/>
  <c r="M28" i="14"/>
  <c r="L28" i="14"/>
  <c r="K28" i="14"/>
  <c r="J28" i="14"/>
  <c r="I28" i="14"/>
  <c r="H28" i="14"/>
  <c r="G28" i="14"/>
  <c r="D28" i="14"/>
  <c r="C28" i="14"/>
  <c r="B28" i="14"/>
  <c r="A28" i="14"/>
  <c r="N27" i="14"/>
  <c r="M27" i="14"/>
  <c r="L27" i="14"/>
  <c r="K27" i="14"/>
  <c r="J27" i="14"/>
  <c r="I27" i="14"/>
  <c r="H27" i="14"/>
  <c r="G27" i="14"/>
  <c r="D27" i="14"/>
  <c r="C27" i="14"/>
  <c r="B27" i="14"/>
  <c r="A27" i="14"/>
  <c r="N26" i="14"/>
  <c r="M26" i="14"/>
  <c r="L26" i="14"/>
  <c r="K26" i="14"/>
  <c r="J26" i="14"/>
  <c r="I26" i="14"/>
  <c r="H26" i="14"/>
  <c r="G26" i="14"/>
  <c r="D26" i="14"/>
  <c r="C26" i="14"/>
  <c r="B26" i="14"/>
  <c r="A26" i="14"/>
  <c r="N25" i="14"/>
  <c r="M25" i="14"/>
  <c r="L25" i="14"/>
  <c r="K25" i="14"/>
  <c r="J25" i="14"/>
  <c r="I25" i="14"/>
  <c r="H25" i="14"/>
  <c r="G25" i="14"/>
  <c r="D25" i="14"/>
  <c r="C25" i="14"/>
  <c r="B25" i="14"/>
  <c r="A25" i="14"/>
  <c r="N24" i="14"/>
  <c r="M24" i="14"/>
  <c r="L24" i="14"/>
  <c r="K24" i="14"/>
  <c r="J24" i="14"/>
  <c r="I24" i="14"/>
  <c r="H24" i="14"/>
  <c r="G24" i="14"/>
  <c r="D24" i="14"/>
  <c r="C24" i="14"/>
  <c r="B24" i="14"/>
  <c r="A24" i="14"/>
  <c r="N23" i="14"/>
  <c r="M23" i="14"/>
  <c r="L23" i="14"/>
  <c r="K23" i="14"/>
  <c r="J23" i="14"/>
  <c r="I23" i="14"/>
  <c r="H23" i="14"/>
  <c r="G23" i="14"/>
  <c r="D23" i="14"/>
  <c r="C23" i="14"/>
  <c r="B23" i="14"/>
  <c r="A23" i="14"/>
  <c r="N22" i="14"/>
  <c r="M22" i="14"/>
  <c r="L22" i="14"/>
  <c r="K22" i="14"/>
  <c r="J22" i="14"/>
  <c r="I22" i="14"/>
  <c r="H22" i="14"/>
  <c r="G22" i="14"/>
  <c r="D22" i="14"/>
  <c r="C22" i="14"/>
  <c r="B22" i="14"/>
  <c r="A22" i="14"/>
  <c r="N21" i="14"/>
  <c r="M21" i="14"/>
  <c r="L21" i="14"/>
  <c r="K21" i="14"/>
  <c r="J21" i="14"/>
  <c r="I21" i="14"/>
  <c r="H21" i="14"/>
  <c r="G21" i="14"/>
  <c r="D21" i="14"/>
  <c r="C21" i="14"/>
  <c r="B21" i="14"/>
  <c r="A21" i="14"/>
  <c r="N20" i="14"/>
  <c r="M20" i="14"/>
  <c r="L20" i="14"/>
  <c r="K20" i="14"/>
  <c r="J20" i="14"/>
  <c r="I20" i="14"/>
  <c r="H20" i="14"/>
  <c r="G20" i="14"/>
  <c r="D20" i="14"/>
  <c r="C20" i="14"/>
  <c r="B20" i="14"/>
  <c r="A20" i="14"/>
  <c r="N19" i="14"/>
  <c r="M19" i="14"/>
  <c r="L19" i="14"/>
  <c r="K19" i="14"/>
  <c r="J19" i="14"/>
  <c r="I19" i="14"/>
  <c r="H19" i="14"/>
  <c r="G19" i="14"/>
  <c r="D19" i="14"/>
  <c r="C19" i="14"/>
  <c r="B19" i="14"/>
  <c r="A19" i="14"/>
  <c r="N18" i="14"/>
  <c r="M18" i="14"/>
  <c r="L18" i="14"/>
  <c r="K18" i="14"/>
  <c r="J18" i="14"/>
  <c r="I18" i="14"/>
  <c r="H18" i="14"/>
  <c r="G18" i="14"/>
  <c r="D18" i="14"/>
  <c r="C18" i="14"/>
  <c r="B18" i="14"/>
  <c r="A18" i="14"/>
  <c r="N17" i="14"/>
  <c r="M17" i="14"/>
  <c r="L17" i="14"/>
  <c r="K17" i="14"/>
  <c r="J17" i="14"/>
  <c r="I17" i="14"/>
  <c r="H17" i="14"/>
  <c r="G17" i="14"/>
  <c r="D17" i="14"/>
  <c r="C17" i="14"/>
  <c r="B17" i="14"/>
  <c r="A17" i="14"/>
  <c r="N16" i="14"/>
  <c r="M16" i="14"/>
  <c r="L16" i="14"/>
  <c r="K16" i="14"/>
  <c r="J16" i="14"/>
  <c r="I16" i="14"/>
  <c r="H16" i="14"/>
  <c r="G16" i="14"/>
  <c r="D16" i="14"/>
  <c r="C16" i="14"/>
  <c r="B16" i="14"/>
  <c r="A16" i="14"/>
  <c r="N15" i="14"/>
  <c r="M15" i="14"/>
  <c r="L15" i="14"/>
  <c r="K15" i="14"/>
  <c r="J15" i="14"/>
  <c r="I15" i="14"/>
  <c r="H15" i="14"/>
  <c r="G15" i="14"/>
  <c r="D15" i="14"/>
  <c r="C15" i="14"/>
  <c r="B15" i="14"/>
  <c r="A15" i="14"/>
  <c r="N14" i="14"/>
  <c r="M14" i="14"/>
  <c r="L14" i="14"/>
  <c r="K14" i="14"/>
  <c r="J14" i="14"/>
  <c r="I14" i="14"/>
  <c r="H14" i="14"/>
  <c r="G14" i="14"/>
  <c r="D14" i="14"/>
  <c r="C14" i="14"/>
  <c r="B14" i="14"/>
  <c r="A14" i="14"/>
  <c r="N13" i="14"/>
  <c r="M13" i="14"/>
  <c r="L13" i="14"/>
  <c r="K13" i="14"/>
  <c r="J13" i="14"/>
  <c r="I13" i="14"/>
  <c r="H13" i="14"/>
  <c r="G13" i="14"/>
  <c r="D13" i="14"/>
  <c r="C13" i="14"/>
  <c r="B13" i="14"/>
  <c r="A13" i="14"/>
  <c r="N12" i="14"/>
  <c r="M12" i="14"/>
  <c r="L12" i="14"/>
  <c r="K12" i="14"/>
  <c r="J12" i="14"/>
  <c r="I12" i="14"/>
  <c r="H12" i="14"/>
  <c r="G12" i="14"/>
  <c r="D12" i="14"/>
  <c r="C12" i="14"/>
  <c r="B12" i="14"/>
  <c r="A12" i="14"/>
  <c r="N11" i="14"/>
  <c r="M11" i="14"/>
  <c r="L11" i="14"/>
  <c r="K11" i="14"/>
  <c r="J11" i="14"/>
  <c r="I11" i="14"/>
  <c r="H11" i="14"/>
  <c r="G11" i="14"/>
  <c r="D11" i="14"/>
  <c r="C11" i="14"/>
  <c r="B11" i="14"/>
  <c r="A11" i="14"/>
  <c r="N10" i="14"/>
  <c r="M10" i="14"/>
  <c r="L10" i="14"/>
  <c r="K10" i="14"/>
  <c r="J10" i="14"/>
  <c r="I10" i="14"/>
  <c r="H10" i="14"/>
  <c r="G10" i="14"/>
  <c r="D10" i="14"/>
  <c r="C10" i="14"/>
  <c r="B10" i="14"/>
  <c r="A10" i="14"/>
  <c r="N9" i="14"/>
  <c r="M9" i="14"/>
  <c r="L9" i="14"/>
  <c r="K9" i="14"/>
  <c r="J9" i="14"/>
  <c r="I9" i="14"/>
  <c r="H9" i="14"/>
  <c r="G9" i="14"/>
  <c r="D9" i="14"/>
  <c r="C9" i="14"/>
  <c r="B9" i="14"/>
  <c r="A9" i="14"/>
  <c r="N8" i="14"/>
  <c r="M8" i="14"/>
  <c r="L8" i="14"/>
  <c r="K8" i="14"/>
  <c r="J8" i="14"/>
  <c r="I8" i="14"/>
  <c r="H8" i="14"/>
  <c r="G8" i="14"/>
  <c r="D8" i="14"/>
  <c r="C8" i="14"/>
  <c r="B8" i="14"/>
  <c r="A8" i="14"/>
  <c r="N7" i="14"/>
  <c r="M7" i="14"/>
  <c r="L7" i="14"/>
  <c r="K7" i="14"/>
  <c r="J7" i="14"/>
  <c r="I7" i="14"/>
  <c r="H7" i="14"/>
  <c r="G7" i="14"/>
  <c r="D7" i="14"/>
  <c r="C7" i="14"/>
  <c r="B7" i="14"/>
  <c r="A7" i="14"/>
  <c r="N6" i="14"/>
  <c r="M6" i="14"/>
  <c r="L6" i="14"/>
  <c r="K6" i="14"/>
  <c r="J6" i="14"/>
  <c r="I6" i="14"/>
  <c r="H6" i="14"/>
  <c r="G6" i="14"/>
  <c r="D6" i="14"/>
  <c r="C6" i="14"/>
  <c r="B6" i="14"/>
  <c r="A6" i="14"/>
  <c r="N5" i="14"/>
  <c r="M5" i="14"/>
  <c r="L5" i="14"/>
  <c r="K5" i="14"/>
  <c r="J5" i="14"/>
  <c r="I5" i="14"/>
  <c r="H5" i="14"/>
  <c r="G5" i="14"/>
  <c r="D5" i="14"/>
  <c r="C5" i="14"/>
  <c r="B5" i="14"/>
  <c r="A5" i="14"/>
  <c r="N4" i="14"/>
  <c r="M4" i="14"/>
  <c r="L4" i="14"/>
  <c r="K4" i="14"/>
  <c r="J4" i="14"/>
  <c r="I4" i="14"/>
  <c r="H4" i="14"/>
  <c r="G4" i="14"/>
  <c r="D4" i="14"/>
  <c r="C4" i="14"/>
  <c r="B4" i="14"/>
  <c r="A4" i="14"/>
  <c r="N3" i="14"/>
  <c r="M3" i="14"/>
  <c r="L3" i="14"/>
  <c r="K3" i="14"/>
  <c r="J3" i="14"/>
  <c r="I3" i="14"/>
  <c r="H3" i="14"/>
  <c r="G3" i="14"/>
  <c r="D3" i="14"/>
  <c r="C3" i="14"/>
  <c r="B3" i="14"/>
  <c r="A3" i="14"/>
  <c r="N2" i="14"/>
  <c r="M2" i="14"/>
  <c r="L2" i="14"/>
  <c r="K2" i="14"/>
  <c r="J2" i="14"/>
  <c r="I2" i="14"/>
  <c r="H2" i="14"/>
  <c r="G2" i="14"/>
  <c r="D2" i="14"/>
  <c r="C2" i="14"/>
  <c r="B2" i="14"/>
  <c r="A2" i="14"/>
  <c r="O28" i="14"/>
  <c r="O8" i="14"/>
  <c r="O9" i="14"/>
  <c r="O11" i="14"/>
  <c r="O20" i="14"/>
  <c r="O27" i="14"/>
  <c r="O32" i="14"/>
  <c r="O39" i="14"/>
  <c r="O41" i="14"/>
  <c r="O57" i="14"/>
  <c r="O60" i="14"/>
  <c r="O64" i="14"/>
  <c r="O69" i="14"/>
  <c r="O79" i="14"/>
  <c r="O81" i="14"/>
  <c r="O85" i="14"/>
  <c r="O87" i="14"/>
  <c r="O88" i="14"/>
  <c r="O93" i="14"/>
  <c r="O5" i="14"/>
  <c r="O10" i="14"/>
  <c r="O19" i="14"/>
  <c r="O23" i="14"/>
  <c r="O40" i="14"/>
  <c r="O42" i="14"/>
  <c r="O52" i="14"/>
  <c r="O54" i="14"/>
  <c r="O61" i="14"/>
  <c r="O68" i="14"/>
  <c r="O70" i="14"/>
  <c r="O80" i="14"/>
  <c r="O82" i="14"/>
  <c r="O84" i="14"/>
  <c r="O94" i="14"/>
  <c r="O97" i="14"/>
  <c r="O102" i="14"/>
  <c r="O107" i="14" l="1"/>
  <c r="O75" i="14"/>
  <c r="O6" i="14"/>
  <c r="O7" i="14"/>
  <c r="O16" i="14"/>
  <c r="O17" i="14"/>
  <c r="O22" i="14"/>
  <c r="O67" i="14"/>
  <c r="O55" i="14"/>
  <c r="O56" i="14"/>
  <c r="O66" i="14"/>
  <c r="O4" i="14"/>
  <c r="O63" i="14"/>
  <c r="O78" i="14"/>
  <c r="O71" i="14"/>
  <c r="O74" i="14"/>
  <c r="O36" i="14"/>
  <c r="O3" i="14"/>
  <c r="O62" i="14"/>
  <c r="O72" i="14"/>
  <c r="O86" i="14"/>
  <c r="O90" i="14"/>
  <c r="O92" i="14"/>
  <c r="O95" i="14"/>
  <c r="O96" i="14"/>
  <c r="O98" i="14"/>
  <c r="O99" i="14"/>
  <c r="O100" i="14"/>
  <c r="O101" i="14"/>
  <c r="O103" i="14"/>
  <c r="O58" i="14"/>
  <c r="O77" i="14"/>
  <c r="O65" i="14"/>
  <c r="O46" i="14"/>
  <c r="O29" i="14"/>
  <c r="O2" i="14"/>
  <c r="O30" i="14"/>
  <c r="O45" i="14"/>
  <c r="O104" i="14"/>
  <c r="O106" i="14"/>
  <c r="O105" i="14"/>
  <c r="O91" i="14"/>
  <c r="O89" i="14"/>
  <c r="O83" i="14"/>
  <c r="O59" i="14"/>
  <c r="O35" i="14"/>
  <c r="O31" i="14"/>
  <c r="O25" i="14"/>
  <c r="O21" i="14"/>
  <c r="O18" i="14"/>
  <c r="O15" i="14"/>
  <c r="O13" i="14"/>
  <c r="O12" i="14"/>
  <c r="O53" i="14"/>
  <c r="O51" i="14"/>
  <c r="O50" i="14"/>
  <c r="O49" i="14"/>
  <c r="O48" i="14"/>
  <c r="O47" i="14"/>
  <c r="O44" i="14"/>
  <c r="O37" i="14"/>
  <c r="O26" i="14"/>
  <c r="O38" i="14"/>
</calcChain>
</file>

<file path=xl/comments1.xml><?xml version="1.0" encoding="utf-8"?>
<comments xmlns="http://schemas.openxmlformats.org/spreadsheetml/2006/main">
  <authors>
    <author>Nelson Santiago</author>
  </authors>
  <commentList>
    <comment ref="A14" authorId="0" shapeId="0">
      <text>
        <r>
          <rPr>
            <b/>
            <sz val="9"/>
            <color indexed="81"/>
            <rFont val="Tahoma"/>
            <family val="2"/>
          </rPr>
          <t>Expand the rows to see additional change history</t>
        </r>
        <r>
          <rPr>
            <sz val="9"/>
            <color indexed="81"/>
            <rFont val="Tahoma"/>
            <family val="2"/>
          </rPr>
          <t xml:space="preserve">
</t>
        </r>
      </text>
    </comment>
  </commentList>
</comments>
</file>

<file path=xl/comments2.xml><?xml version="1.0" encoding="utf-8"?>
<comments xmlns="http://schemas.openxmlformats.org/spreadsheetml/2006/main">
  <authors>
    <author>Ivana Maksimovic</author>
  </authors>
  <commentList>
    <comment ref="C1" authorId="0" shapeId="0">
      <text>
        <r>
          <rPr>
            <b/>
            <sz val="9"/>
            <color indexed="81"/>
            <rFont val="Tahoma"/>
            <family val="2"/>
          </rPr>
          <t xml:space="preserve">Ivana Maksimovic:
Is Column C supposed to have drop downs?
</t>
        </r>
      </text>
    </comment>
  </commentList>
</comments>
</file>

<file path=xl/comments3.xml><?xml version="1.0" encoding="utf-8"?>
<comments xmlns="http://schemas.openxmlformats.org/spreadsheetml/2006/main">
  <authors>
    <author>Nelson Santiago</author>
  </authors>
  <commentList>
    <comment ref="K1" authorId="0" shapeId="0">
      <text>
        <r>
          <rPr>
            <b/>
            <sz val="9"/>
            <color indexed="81"/>
            <rFont val="Tahoma"/>
            <family val="2"/>
          </rPr>
          <t xml:space="preserve">Yes --&gt; The requirement, as originally stated, can and will be met by the project.   
No  --&gt; The requirement cannot be met or is Partially Compliant.   Security exception(s) will be required, mitigating/alternate control(s) must be in place and a plan for remediation must be provided..  The PSO/PSM will be responsible for submitting the exception.
N/A --&gt; The requirement is not applicable to the project (e.g. ).  </t>
        </r>
        <r>
          <rPr>
            <sz val="9"/>
            <color indexed="81"/>
            <rFont val="Tahoma"/>
            <family val="2"/>
          </rPr>
          <t xml:space="preserve">
</t>
        </r>
      </text>
    </comment>
    <comment ref="M1" authorId="0" shapeId="0">
      <text>
        <r>
          <rPr>
            <sz val="9"/>
            <color indexed="81"/>
            <rFont val="Tahoma"/>
            <family val="2"/>
          </rPr>
          <t>Infrastructure = a server, laptop, appliance, network device { router, switch, concentrator, etc. }
Software: Any executable, script, configuration file, data file, etc.</t>
        </r>
      </text>
    </comment>
    <comment ref="P1" authorId="0" shapeId="0">
      <text>
        <r>
          <rPr>
            <b/>
            <sz val="9"/>
            <color indexed="81"/>
            <rFont val="Tahoma"/>
            <family val="2"/>
          </rPr>
          <t>ASC stands for Application Security Consultant</t>
        </r>
        <r>
          <rPr>
            <sz val="9"/>
            <color indexed="81"/>
            <rFont val="Tahoma"/>
            <family val="2"/>
          </rPr>
          <t xml:space="preserve">
</t>
        </r>
      </text>
    </comment>
    <comment ref="B2" authorId="0" shapeId="0">
      <text>
        <r>
          <rPr>
            <b/>
            <sz val="9"/>
            <color indexed="81"/>
            <rFont val="Tahoma"/>
            <family val="2"/>
          </rPr>
          <t>DC0 apps do not require authentication.  However if using authentication it must comply with the following requirements</t>
        </r>
        <r>
          <rPr>
            <sz val="9"/>
            <color indexed="81"/>
            <rFont val="Tahoma"/>
            <family val="2"/>
          </rPr>
          <t xml:space="preserve">
</t>
        </r>
      </text>
    </comment>
    <comment ref="B83" authorId="0" shapeId="0">
      <text>
        <r>
          <rPr>
            <sz val="9"/>
            <color indexed="81"/>
            <rFont val="Tahoma"/>
            <family val="2"/>
          </rPr>
          <t>See links for .Net and Java best practices in the reference column.</t>
        </r>
      </text>
    </comment>
    <comment ref="B102" authorId="0" shapeId="0">
      <text>
        <r>
          <rPr>
            <b/>
            <sz val="9"/>
            <color indexed="81"/>
            <rFont val="Tahoma"/>
            <family val="2"/>
          </rPr>
          <t>For mobile this applies to just the backend.</t>
        </r>
        <r>
          <rPr>
            <sz val="9"/>
            <color indexed="81"/>
            <rFont val="Tahoma"/>
            <family val="2"/>
          </rPr>
          <t xml:space="preserve">
</t>
        </r>
      </text>
    </comment>
    <comment ref="B103" authorId="0" shapeId="0">
      <text>
        <r>
          <rPr>
            <b/>
            <sz val="9"/>
            <color indexed="81"/>
            <rFont val="Tahoma"/>
            <family val="2"/>
          </rPr>
          <t>For mobile this applies just to the backend.</t>
        </r>
        <r>
          <rPr>
            <sz val="9"/>
            <color indexed="81"/>
            <rFont val="Tahoma"/>
            <family val="2"/>
          </rPr>
          <t xml:space="preserve">
</t>
        </r>
      </text>
    </comment>
    <comment ref="B109" authorId="0" shapeId="0">
      <text>
        <r>
          <rPr>
            <b/>
            <sz val="9"/>
            <color indexed="81"/>
            <rFont val="Tahoma"/>
            <family val="2"/>
          </rPr>
          <t>See links in the reference column</t>
        </r>
        <r>
          <rPr>
            <sz val="9"/>
            <color indexed="81"/>
            <rFont val="Tahoma"/>
            <family val="2"/>
          </rPr>
          <t xml:space="preserve">
</t>
        </r>
      </text>
    </comment>
  </commentList>
</comments>
</file>

<file path=xl/comments4.xml><?xml version="1.0" encoding="utf-8"?>
<comments xmlns="http://schemas.openxmlformats.org/spreadsheetml/2006/main">
  <authors>
    <author>Ivana Maksimovic</author>
  </authors>
  <commentList>
    <comment ref="A4" authorId="0" shapeId="0">
      <text>
        <r>
          <rPr>
            <b/>
            <sz val="9"/>
            <color indexed="81"/>
            <rFont val="Tahoma"/>
            <family val="2"/>
          </rPr>
          <t>Ivana Maksimovic:</t>
        </r>
        <r>
          <rPr>
            <sz val="9"/>
            <color indexed="81"/>
            <rFont val="Tahoma"/>
            <family val="2"/>
          </rPr>
          <t xml:space="preserve">
Is DC2+ staying? It is not supported by ISP
</t>
        </r>
      </text>
    </comment>
  </commentList>
</comments>
</file>

<file path=xl/comments5.xml><?xml version="1.0" encoding="utf-8"?>
<comments xmlns="http://schemas.openxmlformats.org/spreadsheetml/2006/main">
  <authors>
    <author>Nelson Santiago</author>
  </authors>
  <commentList>
    <comment ref="B1" authorId="0" shapeId="0">
      <text>
        <r>
          <rPr>
            <b/>
            <sz val="9"/>
            <color indexed="81"/>
            <rFont val="Tahoma"/>
            <family val="2"/>
          </rPr>
          <t>For reference, this should be cover on the VCQ when the vendor is review by IT Risk Management and Purchasing.</t>
        </r>
        <r>
          <rPr>
            <sz val="9"/>
            <color indexed="81"/>
            <rFont val="Tahoma"/>
            <family val="2"/>
          </rPr>
          <t xml:space="preserve">
</t>
        </r>
      </text>
    </comment>
  </commentList>
</comments>
</file>

<file path=xl/sharedStrings.xml><?xml version="1.0" encoding="utf-8"?>
<sst xmlns="http://schemas.openxmlformats.org/spreadsheetml/2006/main" count="2463" uniqueCount="780">
  <si>
    <t>The application/system shall implement all client to server communication over an encrypted channel</t>
  </si>
  <si>
    <t>DC3</t>
  </si>
  <si>
    <t>DC0</t>
  </si>
  <si>
    <t>DC1</t>
  </si>
  <si>
    <t>DC2</t>
  </si>
  <si>
    <t>Purpose of Document</t>
  </si>
  <si>
    <t xml:space="preserve"> </t>
  </si>
  <si>
    <t>Author</t>
  </si>
  <si>
    <t>Change History</t>
  </si>
  <si>
    <t>Description</t>
  </si>
  <si>
    <t>Date</t>
  </si>
  <si>
    <t>Version</t>
  </si>
  <si>
    <t>Initial Release</t>
  </si>
  <si>
    <t>1.00</t>
  </si>
  <si>
    <t>Yes</t>
  </si>
  <si>
    <t>No</t>
  </si>
  <si>
    <t>Additional Comments</t>
  </si>
  <si>
    <t>3.6.8</t>
  </si>
  <si>
    <t>3.8.6</t>
  </si>
  <si>
    <t>Reference
Other</t>
  </si>
  <si>
    <t>Requirement Description</t>
  </si>
  <si>
    <t>ISP 
Reference</t>
  </si>
  <si>
    <t>DC2+</t>
  </si>
  <si>
    <t>x</t>
  </si>
  <si>
    <t>Data Classification</t>
  </si>
  <si>
    <t>Security
ReqNum</t>
  </si>
  <si>
    <t>http://wwwstartumdedu/news/studyfindswarningbannersdeterhackers</t>
  </si>
  <si>
    <t>https://wwwowasporg/indexphp/Access_Control_Cheat_Sheet</t>
  </si>
  <si>
    <t>The application/system shall implement least privilege for all resources including end users and application users</t>
  </si>
  <si>
    <t xml:space="preserve">Application Security Patterns </t>
  </si>
  <si>
    <t>1.0.0</t>
  </si>
  <si>
    <t>1.1.0</t>
  </si>
  <si>
    <t>1.3.0</t>
  </si>
  <si>
    <t>1.4.0</t>
  </si>
  <si>
    <t>1.5.0</t>
  </si>
  <si>
    <t>1.6.0</t>
  </si>
  <si>
    <t>1.7.0</t>
  </si>
  <si>
    <t>1.8.0</t>
  </si>
  <si>
    <t>1.9.0</t>
  </si>
  <si>
    <t>1.10.0</t>
  </si>
  <si>
    <t>1.11.0</t>
  </si>
  <si>
    <t>4.0.0</t>
  </si>
  <si>
    <t>4.1.0</t>
  </si>
  <si>
    <t>5.0.0</t>
  </si>
  <si>
    <t>5.1.0</t>
  </si>
  <si>
    <t>5.2.0</t>
  </si>
  <si>
    <t>5.3.0</t>
  </si>
  <si>
    <t>7.0.0</t>
  </si>
  <si>
    <t>7.1.0</t>
  </si>
  <si>
    <t>7.2.0</t>
  </si>
  <si>
    <t>7.3.0</t>
  </si>
  <si>
    <t>8.0.0</t>
  </si>
  <si>
    <t>8.1.0</t>
  </si>
  <si>
    <r>
      <t xml:space="preserve">This category of information is equivalent to "DC2 + RPI" in the US and "Highly Confidential" in the UK.  It includes Regulated Private Information (RPI), as defined in the </t>
    </r>
    <r>
      <rPr>
        <i/>
        <sz val="11"/>
        <color theme="1"/>
        <rFont val="Arial"/>
        <family val="2"/>
      </rPr>
      <t>Information Protection Principles</t>
    </r>
    <r>
      <rPr>
        <sz val="11"/>
        <color theme="1"/>
        <rFont val="Arial"/>
        <family val="2"/>
      </rPr>
      <t xml:space="preserve"> (</t>
    </r>
    <r>
      <rPr>
        <b/>
        <sz val="11"/>
        <rFont val="Arial"/>
        <family val="2"/>
      </rPr>
      <t>https://knowledgecurve.com/nslocal/us/ec/ipp/docs/Information_Protection_Principles.pdf</t>
    </r>
    <r>
      <rPr>
        <sz val="11"/>
        <color theme="1"/>
        <rFont val="Arial"/>
        <family val="2"/>
      </rPr>
      <t xml:space="preserve">), and all Highly Confidential data types in the </t>
    </r>
    <r>
      <rPr>
        <b/>
        <sz val="11"/>
        <color rgb="FFE0301E"/>
        <rFont val="Arial"/>
        <family val="2"/>
      </rPr>
      <t xml:space="preserve">guidance on data classification &amp; handling. </t>
    </r>
    <r>
      <rPr>
        <b/>
        <sz val="11"/>
        <rFont val="Arial"/>
        <family val="2"/>
      </rPr>
      <t xml:space="preserve"> ( Highly Confidential )</t>
    </r>
  </si>
  <si>
    <r>
      <t>Information intended for internal and/or external use, with minimal controls, whose disclosure would not impact the PwC Brand.  (</t>
    </r>
    <r>
      <rPr>
        <b/>
        <sz val="11"/>
        <color theme="1"/>
        <rFont val="Arial"/>
        <family val="2"/>
      </rPr>
      <t xml:space="preserve"> Public</t>
    </r>
    <r>
      <rPr>
        <sz val="11"/>
        <color theme="1"/>
        <rFont val="Arial"/>
        <family val="2"/>
      </rPr>
      <t xml:space="preserve"> )</t>
    </r>
  </si>
  <si>
    <t>Data Classification of this document: DC1</t>
  </si>
  <si>
    <t>Instructions to complete</t>
  </si>
  <si>
    <t>Question</t>
  </si>
  <si>
    <t>UK/US IT Standard Design Standard: Application Security Patterns</t>
  </si>
  <si>
    <t xml:space="preserve">
Reference
Name</t>
  </si>
  <si>
    <t xml:space="preserve">
Reference Link</t>
  </si>
  <si>
    <t>gap</t>
  </si>
  <si>
    <t>Wikipedia</t>
  </si>
  <si>
    <t>http://en.wikipedia.org/wiki/HTTP_cookie#Secure_cookie</t>
  </si>
  <si>
    <t xml:space="preserve"> gap</t>
  </si>
  <si>
    <t>UK/US IT Standard Procedural Standard: Application Build Standard</t>
  </si>
  <si>
    <t>Application accounts' permissions shall be granted to stored procedures, no permissions to underlying table objects.</t>
  </si>
  <si>
    <t>US-UK IT Standard: Database Design Standards</t>
  </si>
  <si>
    <t>http://usitdms.pwcinternal.com/usitdms/drl/objectId/09013881801b1fc9</t>
  </si>
  <si>
    <t>http://usitdms.pwcinternal.com/usitdms/drl/objectId/09013881801b918d</t>
  </si>
  <si>
    <t>http://usitdms.pwcinternal.com/usitdms/drl/objectId/09013881801e2fba</t>
  </si>
  <si>
    <t>UK-US IT Standard - .NET Application Security Remediation Techniques
UK/US IT Standard Design Standard: Coding Standard: Java Application Development</t>
  </si>
  <si>
    <t>http://usitdms.pwcinternal.com/usitdms/drl/objectId/09013881801a79c4
http://usitdms.pwcinternal.com/usitdms/drl/objectId/09013881801a3c56</t>
  </si>
  <si>
    <t>UK-US IT Standard - .NET Application Security Remediation Techniques
UK/US IT Standard Design Standard: Coding Standard: Java Application Development
UK/US IT Standard Design Standard: Application Security Selection Criteria</t>
  </si>
  <si>
    <t>UK/US IT Standard Design Standard: Reporting
UK/US IT Standard Design Standard: Application Security Selection Criteria</t>
  </si>
  <si>
    <t>http://usitdms.pwcinternal.com/usitdms/drl/objectId/09013881801fb781
http://usitdms.pwcinternal.com/usitdms/drl/objectId/09013881801e323c</t>
  </si>
  <si>
    <t>ISP limited to VPN</t>
  </si>
  <si>
    <t xml:space="preserve"> The application/system shall implement formal account management procedures to support secure creation, amendment, and deletion of user accounts.</t>
  </si>
  <si>
    <t>UK/US IT Standard Design Standard: Application Security Patterns
UK/US IT Standard Design Standard: Application Security Selection Criteria</t>
  </si>
  <si>
    <t>http://usitdms.pwcinternal.com/usitdms/drl/objectId/09013881801e2fba
http://usitdms.pwcinternal.com/usitdms/drl/objectId/09013881801e323c</t>
  </si>
  <si>
    <t>http://usitdms.pwcinternal.com/usitdms/drl/objectId/09013881801a79c4
http://usitdms.pwcinternal.com/usitdms/drl/objectId/09013881801a3c56
http://usitdms.pwcinternal.com/usitdms/drl/objectId/09013881801e323c</t>
  </si>
  <si>
    <t>4.2.0</t>
  </si>
  <si>
    <t>4.4.0</t>
  </si>
  <si>
    <t>gap on RSA 1024</t>
  </si>
  <si>
    <t>partial gap SHA-1</t>
  </si>
  <si>
    <t>There is no standard tool/method for anonymization.</t>
  </si>
  <si>
    <t>3.7.0</t>
  </si>
  <si>
    <t>3.0.0</t>
  </si>
  <si>
    <t>3.1.0</t>
  </si>
  <si>
    <t>3.3.0</t>
  </si>
  <si>
    <t>3.2.0</t>
  </si>
  <si>
    <t>3.4.0</t>
  </si>
  <si>
    <t>3.5.0</t>
  </si>
  <si>
    <t>3.6.0</t>
  </si>
  <si>
    <t>3.8.0</t>
  </si>
  <si>
    <t>3.10.0</t>
  </si>
  <si>
    <t>2.7.0</t>
  </si>
  <si>
    <t>2.6.0</t>
  </si>
  <si>
    <t>4.5.0</t>
  </si>
  <si>
    <t>4.6.0</t>
  </si>
  <si>
    <t>4.7.0</t>
  </si>
  <si>
    <t>4.8.0</t>
  </si>
  <si>
    <t>4.9.0</t>
  </si>
  <si>
    <t>4.10.0</t>
  </si>
  <si>
    <t>4.11.0</t>
  </si>
  <si>
    <t>4.12.0</t>
  </si>
  <si>
    <t>4.3.0</t>
  </si>
  <si>
    <t>4.13.0</t>
  </si>
  <si>
    <t>All production data shall be anonymized when moved to a non production environment otherwise production controls
must be in place including but not limited to authentication and authorization as specified in ISP 3.7.7.</t>
  </si>
  <si>
    <t>5.4.0</t>
  </si>
  <si>
    <t>3.11.0</t>
  </si>
  <si>
    <t>Externally facing application shall use root signed/trusted certificates</t>
  </si>
  <si>
    <t>1.12.0</t>
  </si>
  <si>
    <t>The application/system shall use Role based authorization for all accounts in support of separation/segregation of duties.</t>
  </si>
  <si>
    <t>1.13.0</t>
  </si>
  <si>
    <t>1.14.0</t>
  </si>
  <si>
    <t>1.15.0</t>
  </si>
  <si>
    <t>6.0.0</t>
  </si>
  <si>
    <t>6.1.0</t>
  </si>
  <si>
    <t xml:space="preserve">Administration interfaces must be accessed using an account and password.  </t>
  </si>
  <si>
    <t>That application/system shall disable all network ports that will not be used.</t>
  </si>
  <si>
    <t>1.10</t>
  </si>
  <si>
    <t xml:space="preserve">   Additions including details on dual factor, logging and monitoring and other minor corrections</t>
  </si>
  <si>
    <t>Web Hosting Standard:</t>
  </si>
  <si>
    <r>
      <t xml:space="preserve">The model used to provide a secure web hosting facility is a three tier architecture. This model offers separate presentation, application and data layers. </t>
    </r>
    <r>
      <rPr>
        <sz val="10"/>
        <color rgb="FF000000"/>
        <rFont val="Arial"/>
        <family val="2"/>
      </rPr>
      <t>The graphic below depicts the standard service communications trust model.</t>
    </r>
  </si>
  <si>
    <t xml:space="preserve">This model segregates each tier, using firewalls to separate each layer.  Communications originating in a less trusted tier may only access the next tier down.  Similarly, segregation is maintained by only allowing communication from more trusted to less trusted tiers to occur one tier at a time.  The combination of segregation and firewall restrictions between layers provides an increasing level of trust in lower layers.  </t>
  </si>
  <si>
    <t>Tier 1 (Presentation/Web Layer)</t>
  </si>
  <si>
    <r>
      <t xml:space="preserve">Tier 1 provides direct access to the web hosting environment from the Internet through a border router and firewall. Tier 1 provides the user interface that presents information to, and collects information from, the user.  </t>
    </r>
    <r>
      <rPr>
        <sz val="10"/>
        <color theme="1"/>
        <rFont val="Arial"/>
        <family val="2"/>
      </rPr>
      <t>The web servers in Tier 1 will deliver static content to users, but have no further functionality that could be used to gain unauthorized access to the firm’s confidential data.</t>
    </r>
  </si>
  <si>
    <r>
      <t>1.</t>
    </r>
    <r>
      <rPr>
        <sz val="7"/>
        <color theme="1"/>
        <rFont val="Times New Roman"/>
        <family val="1"/>
      </rPr>
      <t xml:space="preserve">     </t>
    </r>
    <r>
      <rPr>
        <sz val="10"/>
        <color rgb="FF000000"/>
        <rFont val="Arial"/>
        <family val="2"/>
      </rPr>
      <t>All connections from the Internet should terminate in Tier 1.</t>
    </r>
  </si>
  <si>
    <r>
      <t>2.</t>
    </r>
    <r>
      <rPr>
        <sz val="7"/>
        <color theme="1"/>
        <rFont val="Times New Roman"/>
        <family val="1"/>
      </rPr>
      <t xml:space="preserve">     </t>
    </r>
    <r>
      <rPr>
        <sz val="10"/>
        <color rgb="FF000000"/>
        <rFont val="Arial"/>
        <family val="2"/>
      </rPr>
      <t>Connections from Tier 2 should terminate in Tier 1.</t>
    </r>
  </si>
  <si>
    <r>
      <t>3.</t>
    </r>
    <r>
      <rPr>
        <sz val="7"/>
        <color theme="1"/>
        <rFont val="Times New Roman"/>
        <family val="1"/>
      </rPr>
      <t xml:space="preserve">     </t>
    </r>
    <r>
      <rPr>
        <sz val="10"/>
        <color rgb="FF000000"/>
        <rFont val="Arial"/>
        <family val="2"/>
      </rPr>
      <t>Direct connections from Tier 2 to the Internet are prohibited.  These connections should employ a Tier 1 proxy.</t>
    </r>
  </si>
  <si>
    <r>
      <t>4.</t>
    </r>
    <r>
      <rPr>
        <sz val="7"/>
        <color theme="1"/>
        <rFont val="Times New Roman"/>
        <family val="1"/>
      </rPr>
      <t xml:space="preserve">     </t>
    </r>
    <r>
      <rPr>
        <sz val="10"/>
        <color theme="1"/>
        <rFont val="Arial"/>
        <family val="2"/>
      </rPr>
      <t>Firewall rules will only permit connections between Tier 1 and the Internet through TCP ports 80 and 443.</t>
    </r>
    <r>
      <rPr>
        <sz val="11"/>
        <color theme="1"/>
        <rFont val="Arial"/>
        <family val="2"/>
      </rPr>
      <t xml:space="preserve">  </t>
    </r>
    <r>
      <rPr>
        <sz val="10"/>
        <color theme="1"/>
        <rFont val="Arial"/>
        <family val="2"/>
      </rPr>
      <t>Tier 1 firewall rules may allow connection through TCP port 4430 (SSL from the boundary router).</t>
    </r>
  </si>
  <si>
    <r>
      <t>5.</t>
    </r>
    <r>
      <rPr>
        <sz val="7"/>
        <color theme="1"/>
        <rFont val="Times New Roman"/>
        <family val="1"/>
      </rPr>
      <t xml:space="preserve">     </t>
    </r>
    <r>
      <rPr>
        <sz val="10"/>
        <color theme="1"/>
        <rFont val="Arial"/>
        <family val="2"/>
      </rPr>
      <t>Intrusion detection services shall be provided between the Internet-facing firewall and Tier 1.</t>
    </r>
  </si>
  <si>
    <t>Tier 2 (Application Layer)</t>
  </si>
  <si>
    <r>
      <t>Tier 2 contains the application servers that receive requests from Tier 1 and data from Tier 3.  The application servers provide the business logic needed to request data from Tier 3 based on information received from Tier 1</t>
    </r>
    <r>
      <rPr>
        <sz val="10"/>
        <color rgb="FF000000"/>
        <rFont val="Arial"/>
        <family val="2"/>
      </rPr>
      <t xml:space="preserve">.  Tier 3 is never accessed directly from Tier 1.  This segregation shields Web application users from the complexity business logic associated with their requests, and provides a layer of security. </t>
    </r>
  </si>
  <si>
    <r>
      <t>1.</t>
    </r>
    <r>
      <rPr>
        <sz val="7"/>
        <color theme="1"/>
        <rFont val="Times New Roman"/>
        <family val="1"/>
      </rPr>
      <t xml:space="preserve">    </t>
    </r>
    <r>
      <rPr>
        <sz val="10"/>
        <color rgb="FF000000"/>
        <rFont val="Arial"/>
        <family val="2"/>
      </rPr>
      <t>All internal connections from Tier 1 should terminate in Tier 2.</t>
    </r>
  </si>
  <si>
    <r>
      <t>2.</t>
    </r>
    <r>
      <rPr>
        <sz val="7"/>
        <color theme="1"/>
        <rFont val="Times New Roman"/>
        <family val="1"/>
      </rPr>
      <t xml:space="preserve">    </t>
    </r>
    <r>
      <rPr>
        <sz val="10"/>
        <color rgb="FF000000"/>
        <rFont val="Arial"/>
        <family val="2"/>
      </rPr>
      <t>Connections from Tier 2 should terminate in Tier 1 or Tier 3.</t>
    </r>
  </si>
  <si>
    <r>
      <t>3.</t>
    </r>
    <r>
      <rPr>
        <sz val="7"/>
        <color rgb="FF000000"/>
        <rFont val="Times New Roman"/>
        <family val="1"/>
      </rPr>
      <t xml:space="preserve">     </t>
    </r>
    <r>
      <rPr>
        <sz val="10"/>
        <color rgb="FF000000"/>
        <rFont val="Arial"/>
        <family val="2"/>
      </rPr>
      <t>Direct connections between Tier 2 and the Corporate Network require a formal Security Risk Assessment and the establishment of mitigating security controls that establish a level of risk equivalent to the connection terminating in Tier 3.</t>
    </r>
  </si>
  <si>
    <r>
      <t>4.</t>
    </r>
    <r>
      <rPr>
        <sz val="7"/>
        <color theme="1"/>
        <rFont val="Times New Roman"/>
        <family val="1"/>
      </rPr>
      <t xml:space="preserve">     </t>
    </r>
    <r>
      <rPr>
        <sz val="10"/>
        <color theme="1"/>
        <rFont val="Arial"/>
        <family val="2"/>
      </rPr>
      <t>Firewall rules will limit connections between Tier 1 and Tier 2 to required application ports.</t>
    </r>
  </si>
  <si>
    <r>
      <t>5.</t>
    </r>
    <r>
      <rPr>
        <sz val="7"/>
        <color theme="1"/>
        <rFont val="Times New Roman"/>
        <family val="1"/>
      </rPr>
      <t xml:space="preserve">     </t>
    </r>
    <r>
      <rPr>
        <sz val="10"/>
        <color theme="1"/>
        <rFont val="Arial"/>
        <family val="2"/>
      </rPr>
      <t>Intrusion detection services shall be provided at the firewall between Tier 1 and Tier 2.</t>
    </r>
  </si>
  <si>
    <t>Tier 3 (Data Layer)</t>
  </si>
  <si>
    <t xml:space="preserve">Tier 3 contains the databases associated with Web applications. Tier 3 typically contains the most confidential resources of a Web application.  Web applications can only access these resources from Tier 2.  </t>
  </si>
  <si>
    <r>
      <t>1.</t>
    </r>
    <r>
      <rPr>
        <sz val="7"/>
        <color theme="1"/>
        <rFont val="Times New Roman"/>
        <family val="1"/>
      </rPr>
      <t xml:space="preserve">    </t>
    </r>
    <r>
      <rPr>
        <sz val="10"/>
        <color rgb="FF000000"/>
        <rFont val="Arial"/>
        <family val="2"/>
      </rPr>
      <t>All Web application connections into Tier 3 should be initiated from Tier 2.</t>
    </r>
  </si>
  <si>
    <r>
      <t>2.</t>
    </r>
    <r>
      <rPr>
        <sz val="7"/>
        <color theme="1"/>
        <rFont val="Times New Roman"/>
        <family val="1"/>
      </rPr>
      <t xml:space="preserve">     </t>
    </r>
    <r>
      <rPr>
        <sz val="10"/>
        <color theme="1"/>
        <rFont val="Arial"/>
        <family val="2"/>
      </rPr>
      <t>Firewall rules will limit connections between Tier 2 and Tier 3 to required application ports.</t>
    </r>
  </si>
  <si>
    <r>
      <t>3.</t>
    </r>
    <r>
      <rPr>
        <sz val="7"/>
        <color theme="1"/>
        <rFont val="Times New Roman"/>
        <family val="1"/>
      </rPr>
      <t xml:space="preserve">     </t>
    </r>
    <r>
      <rPr>
        <sz val="10"/>
        <color rgb="FF000000"/>
        <rFont val="Arial"/>
        <family val="2"/>
      </rPr>
      <t>Direct connections from Tier 3 to the Tier 1 are prohibited.  These connections should employ a Tier 2 proxy.</t>
    </r>
  </si>
  <si>
    <r>
      <t>4.</t>
    </r>
    <r>
      <rPr>
        <sz val="7"/>
        <color theme="1"/>
        <rFont val="Times New Roman"/>
        <family val="1"/>
      </rPr>
      <t xml:space="preserve">     </t>
    </r>
    <r>
      <rPr>
        <sz val="10"/>
        <color theme="1"/>
        <rFont val="Arial"/>
        <family val="2"/>
      </rPr>
      <t>Firewall rules will limit connections between Tier 3 and the Corporate Network to required application ports.</t>
    </r>
  </si>
  <si>
    <r>
      <t>5.</t>
    </r>
    <r>
      <rPr>
        <sz val="7"/>
        <color theme="1"/>
        <rFont val="Times New Roman"/>
        <family val="1"/>
      </rPr>
      <t xml:space="preserve">     </t>
    </r>
    <r>
      <rPr>
        <sz val="10"/>
        <color theme="1"/>
        <rFont val="Arial"/>
        <family val="2"/>
      </rPr>
      <t>Intrusion detection services shall be provided at the firewall between Tier 2 and Tier 3, and between Tier 3 and the Corporate Network.</t>
    </r>
  </si>
  <si>
    <t>Common Services Network (Management Zone)</t>
  </si>
  <si>
    <r>
      <t>1.</t>
    </r>
    <r>
      <rPr>
        <sz val="7"/>
        <color rgb="FF000000"/>
        <rFont val="Times New Roman"/>
        <family val="1"/>
      </rPr>
      <t xml:space="preserve">     </t>
    </r>
    <r>
      <rPr>
        <sz val="10"/>
        <color rgb="FF000000"/>
        <rFont val="Arial"/>
        <family val="2"/>
      </rPr>
      <t xml:space="preserve">A dedicated network segment or management zone shall be used by the operational teams to access the web hosting environment and provide administrative services such as backup, NTP, system monitoring, Siteminder for authorization and authentication, and shared services such as the XML Gateways/Web Services container.  </t>
    </r>
  </si>
  <si>
    <r>
      <t>2.</t>
    </r>
    <r>
      <rPr>
        <sz val="7"/>
        <color rgb="FF000000"/>
        <rFont val="Times New Roman"/>
        <family val="1"/>
      </rPr>
      <t xml:space="preserve">     </t>
    </r>
    <r>
      <rPr>
        <sz val="10"/>
        <color rgb="FF000000"/>
        <rFont val="Arial"/>
        <family val="2"/>
      </rPr>
      <t>Any future services that may be required to be accessed from multiple tiers could be candidates to be housed in this network. This zone is protected by the use of a dedicated management firewall and access</t>
    </r>
  </si>
  <si>
    <t>Access to the shared services in this network is permitted from any tier in the N-tier network and from the PwC internal network.</t>
  </si>
  <si>
    <t>9.0.0</t>
  </si>
  <si>
    <t>9.1.0</t>
  </si>
  <si>
    <t>3.7.15</t>
  </si>
  <si>
    <t>The application/systems shall implement time synchronization.</t>
  </si>
  <si>
    <t xml:space="preserve">   Web Hosting Network Standard factored-in</t>
  </si>
  <si>
    <t>Security Best Practice</t>
  </si>
  <si>
    <t xml:space="preserve">   Time synchronization, exception/error control requirements and description and the instructions tab added.</t>
  </si>
  <si>
    <r>
      <t>Information, intended only for distribution within PwC, that might cause embarrassment to the firm or damage to the PwC brand if it fell into the hands of an unauthorized third party. (</t>
    </r>
    <r>
      <rPr>
        <b/>
        <sz val="11"/>
        <color theme="1"/>
        <rFont val="Arial"/>
        <family val="2"/>
      </rPr>
      <t xml:space="preserve"> Internal Use Only</t>
    </r>
    <r>
      <rPr>
        <sz val="11"/>
        <color theme="1"/>
        <rFont val="Arial"/>
        <family val="2"/>
      </rPr>
      <t xml:space="preserve"> )</t>
    </r>
  </si>
  <si>
    <r>
      <t>Information that is subject to specific access authorization and controlled distribution, whether recipients are internal or external.  All recipients must require such information in order to perform their duties effectively.  Unauthorized disclosure of DC2 information might damage the PwC brand severely and/or lead to financial penalties for local member firms. (</t>
    </r>
    <r>
      <rPr>
        <b/>
        <sz val="11"/>
        <color theme="1"/>
        <rFont val="Arial"/>
        <family val="2"/>
      </rPr>
      <t xml:space="preserve"> Confidential</t>
    </r>
    <r>
      <rPr>
        <sz val="11"/>
        <color theme="1"/>
        <rFont val="Arial"/>
        <family val="2"/>
      </rPr>
      <t xml:space="preserve"> )</t>
    </r>
  </si>
  <si>
    <r>
      <t xml:space="preserve">Information of the highest confidentiality whose unauthorized disclosure might cause a significant, material impact on the major interests, or even the business survival, of a PwC entity.  Assignment of the DC3 classification must be authorized by a relevant senior Partner on a case-by-case basis. ( </t>
    </r>
    <r>
      <rPr>
        <b/>
        <sz val="11"/>
        <color theme="1"/>
        <rFont val="Arial"/>
        <family val="2"/>
      </rPr>
      <t xml:space="preserve">Exceptional </t>
    </r>
    <r>
      <rPr>
        <sz val="11"/>
        <color theme="1"/>
        <rFont val="Arial"/>
        <family val="2"/>
      </rPr>
      <t>)</t>
    </r>
  </si>
  <si>
    <t xml:space="preserve">While analyzing the Firewall Rule Request, we strictly need to abide by the Web Hosting Standard as depicted above. User needs to raise a request for a Security Variance if there is any violation in the requested rule base from the above standard.  </t>
  </si>
  <si>
    <t>Path</t>
  </si>
  <si>
    <t>Required for upload to ALM:</t>
  </si>
  <si>
    <t>DC</t>
  </si>
  <si>
    <t>Requirement Type</t>
  </si>
  <si>
    <t>Target Release</t>
  </si>
  <si>
    <t>Sub-Category Non-Functional</t>
  </si>
  <si>
    <t>SecurityReqNum</t>
  </si>
  <si>
    <t>Non-compliance explanation</t>
  </si>
  <si>
    <t>Include</t>
  </si>
  <si>
    <t>Non Functional</t>
  </si>
  <si>
    <t>Security</t>
  </si>
  <si>
    <t>Author (PwC GUID, e.g. jsmith001)</t>
  </si>
  <si>
    <t>Target release (must exist in ALM)</t>
  </si>
  <si>
    <t>To upload to ALM press button below and then run 'Add-Ins'/'Export to HP ALM'</t>
  </si>
  <si>
    <t>Path (e.g. &lt;project_name&gt;\Requirements\Non Functional Requirements)</t>
  </si>
  <si>
    <t>ISR heading</t>
  </si>
  <si>
    <t>Column</t>
  </si>
  <si>
    <t>ALM heading</t>
  </si>
  <si>
    <t>A</t>
  </si>
  <si>
    <t>N/A</t>
  </si>
  <si>
    <t>B</t>
  </si>
  <si>
    <t>User</t>
  </si>
  <si>
    <t>C</t>
  </si>
  <si>
    <t>System</t>
  </si>
  <si>
    <t>D</t>
  </si>
  <si>
    <t>E</t>
  </si>
  <si>
    <t>F</t>
  </si>
  <si>
    <t>G</t>
  </si>
  <si>
    <t>Name</t>
  </si>
  <si>
    <t>H</t>
  </si>
  <si>
    <t>I</t>
  </si>
  <si>
    <t>ISP Reference</t>
  </si>
  <si>
    <t>J</t>
  </si>
  <si>
    <t>Reference Name</t>
  </si>
  <si>
    <t>K</t>
  </si>
  <si>
    <t>Reference Link</t>
  </si>
  <si>
    <t>L</t>
  </si>
  <si>
    <t>Reference Other</t>
  </si>
  <si>
    <t>M</t>
  </si>
  <si>
    <t>N</t>
  </si>
  <si>
    <t>Mappings</t>
  </si>
  <si>
    <t>ALM Type</t>
  </si>
  <si>
    <t>Adding new requirements</t>
  </si>
  <si>
    <t>1. Add new requirements to the 'Requirements' sheet</t>
  </si>
  <si>
    <t>dummy row, add new rows above this one</t>
  </si>
  <si>
    <t>2. Unhide 'ALMcalcs'</t>
  </si>
  <si>
    <r>
      <t>3. Add the same number of new rows to the 'ALMcalcs' sheet as you have added new requiremements above the last row ('</t>
    </r>
    <r>
      <rPr>
        <sz val="11"/>
        <color rgb="FFFF0000"/>
        <rFont val="Calibri"/>
        <family val="2"/>
        <scheme val="minor"/>
      </rPr>
      <t>dummy row, add new rows above this one</t>
    </r>
    <r>
      <rPr>
        <sz val="11"/>
        <color theme="1"/>
        <rFont val="Calibri"/>
        <family val="2"/>
        <scheme val="minor"/>
      </rPr>
      <t>')</t>
    </r>
  </si>
  <si>
    <t>4. Check that the formulae in row 2, columns G to N, of 'ALMcalcs' refer to row 2 of 'Requirements'</t>
  </si>
  <si>
    <t>5. If formulae do not refer to row 2 (e.g. if row 2 of 'Requirements' has been moved) amend the formulae in row 2, columns G to N to refer to row 2</t>
  </si>
  <si>
    <r>
      <t>6. Copy the formulae in row 2, columns A to O, to all rows from 3 to the row above the last row ('</t>
    </r>
    <r>
      <rPr>
        <sz val="11"/>
        <color rgb="FFFF0000"/>
        <rFont val="Calibri"/>
        <family val="2"/>
        <scheme val="minor"/>
      </rPr>
      <t>dummy row, add new rows above this one</t>
    </r>
    <r>
      <rPr>
        <sz val="11"/>
        <color theme="1"/>
        <rFont val="Calibri"/>
        <family val="2"/>
        <scheme val="minor"/>
      </rPr>
      <t>')</t>
    </r>
  </si>
  <si>
    <t>7. Hide 'ALMcalcs'</t>
  </si>
  <si>
    <t>J. Haigh</t>
  </si>
  <si>
    <t xml:space="preserve">   ALM upload macro and associated sheets added</t>
  </si>
  <si>
    <t>Compliant</t>
  </si>
  <si>
    <t>Partially Compliant</t>
  </si>
  <si>
    <t>Non-Compliant</t>
  </si>
  <si>
    <t xml:space="preserve">State Lookup </t>
  </si>
  <si>
    <t>State</t>
  </si>
  <si>
    <t xml:space="preserve">   ALM upload amended to exclude state "N/A"</t>
  </si>
  <si>
    <t>Penetration test on external facing applications/environment</t>
  </si>
  <si>
    <t xml:space="preserve">Applications MUST reinitialize temporary storage immediately after the last legitimate use of Confidential data such as passwords or non-public information (NPI). For example, use local variables, not global variables, when storing confidential data that is intended to be used only within a specific routine.
</t>
  </si>
  <si>
    <t xml:space="preserve">When digital certificates are used for authentication, the certificate status MUST be checked and verified via Certificate Revocation List (CRL) or Online Certificate Status Protocol (OCSP). Requests failing a certificate status check will be denied and access MUST NOT be granted.
Systems not technically capable of meeting the requirement to perform CRL or OCSP checking at the time of use MUST put in place approved and documented alternate processes and controls that prevent access to systems by revoked certificates and provide controls that are applied in a timely fashion.
</t>
  </si>
  <si>
    <t xml:space="preserve">All viewstates MUST be signed. Viewstates that contain Confidential information MUST be encrypted. </t>
  </si>
  <si>
    <t xml:space="preserve">Web applications MUST NOT allow an open email relay server (e.g. open SMTP server). </t>
  </si>
  <si>
    <r>
      <rPr>
        <sz val="10"/>
        <color theme="1"/>
        <rFont val="Calibri"/>
        <family val="2"/>
        <scheme val="minor"/>
      </rPr>
      <t>x</t>
    </r>
    <r>
      <rPr>
        <b/>
        <sz val="10"/>
        <color theme="1"/>
        <rFont val="Calibri"/>
        <family val="2"/>
        <scheme val="minor"/>
      </rPr>
      <t xml:space="preserve"> </t>
    </r>
  </si>
  <si>
    <t>4.14.0</t>
  </si>
  <si>
    <t>(A.14.2) System acquisition, development and maintenance Secure development policy</t>
  </si>
  <si>
    <t>(A.14.1) System acquisition, development and maintenance Information security requirements analysis and specification</t>
  </si>
  <si>
    <t>(A.12.4) Operations Security Event logging</t>
  </si>
  <si>
    <t>(A.09.1) Access control Access control policy</t>
  </si>
  <si>
    <t>(A.17.2) Information security aspects of business continuity management Availability of information processing facilities</t>
  </si>
  <si>
    <t>(A.12.5) Operations Security Installation of software on operational systems</t>
  </si>
  <si>
    <t>(A.09.3) Access control Use of secret authentication information</t>
  </si>
  <si>
    <t>(A.13.1) Communications security Network controls</t>
  </si>
  <si>
    <t>(A.08.2) Asset management Classification of information
Information assets MUST be protected at all times according to its data classification. When data is combined with other data, the classification of the resultant data aggregation MUST be no less than the highest classification of an individual data element.</t>
  </si>
  <si>
    <t>D
C
2
+</t>
  </si>
  <si>
    <t xml:space="preserve">Covered 
by Design: 
Yes, No, 
or N/A </t>
  </si>
  <si>
    <t xml:space="preserve">D
C
0
</t>
  </si>
  <si>
    <t xml:space="preserve">D
C
1
</t>
  </si>
  <si>
    <t xml:space="preserve">D
C
2
</t>
  </si>
  <si>
    <t xml:space="preserve">D
C
3
</t>
  </si>
  <si>
    <t>Software</t>
  </si>
  <si>
    <t>Both</t>
  </si>
  <si>
    <t xml:space="preserve">For client certificate protected sites, the secure session token MUST be correlated to the client certificate (e.g. changes to the system of record). </t>
  </si>
  <si>
    <t>1.17.0</t>
  </si>
  <si>
    <t>(A.10.1) Cryptography | Policy on the use of cryptographic controls</t>
  </si>
  <si>
    <t>4.15.0</t>
  </si>
  <si>
    <t>4.16.0</t>
  </si>
  <si>
    <t>4.17.0</t>
  </si>
  <si>
    <t>4.18.0</t>
  </si>
  <si>
    <t>4.19.0</t>
  </si>
  <si>
    <t>4.20.0</t>
  </si>
  <si>
    <t>4.21.0</t>
  </si>
  <si>
    <t>4.22.0</t>
  </si>
  <si>
    <t>4.23.0</t>
  </si>
  <si>
    <t>4.24.0</t>
  </si>
  <si>
    <t>4.25.0</t>
  </si>
  <si>
    <t>4.26.0</t>
  </si>
  <si>
    <t>4.28.0</t>
  </si>
  <si>
    <t>4.30.0</t>
  </si>
  <si>
    <t>4.31.0</t>
  </si>
  <si>
    <t>4.32.0</t>
  </si>
  <si>
    <t>4.34.0</t>
  </si>
  <si>
    <t>4.35.0</t>
  </si>
  <si>
    <t>4.36.0</t>
  </si>
  <si>
    <t>(A.13.1) Communications security | Network controls</t>
  </si>
  <si>
    <t>(A.12.4) Operations Security | Event logging</t>
  </si>
  <si>
    <t>(A.16.1) Information security incident management | Responsibilities and procedures</t>
  </si>
  <si>
    <t>(A.09.1) Access control</t>
  </si>
  <si>
    <t>(A.12.6) Operations Security | Management of technical vulnerabilities</t>
  </si>
  <si>
    <t>(A.14.3) System acquisition, development and maintenance | Protection of test data</t>
  </si>
  <si>
    <t>(A.14.1) System acquisition, development and maintenance</t>
  </si>
  <si>
    <t>(A.12.2) Operations Security | Controls against malware</t>
  </si>
  <si>
    <t>This document is to be used as an artifact for selecting the applicable security requirements early in the project delivery process of information systems both infrastructure and software.</t>
  </si>
  <si>
    <t>3.6.19</t>
  </si>
  <si>
    <t>3.16.17</t>
  </si>
  <si>
    <t>Data Classification ( From BCQ)</t>
  </si>
  <si>
    <t>3.6.12/3.6.19</t>
  </si>
  <si>
    <t>US 3.6.25</t>
  </si>
  <si>
    <t>Supplementary Guidance</t>
  </si>
  <si>
    <t>Infra</t>
  </si>
  <si>
    <t>Soft</t>
  </si>
  <si>
    <t>2.0.0</t>
  </si>
  <si>
    <t>If externally hosted, please specify:</t>
  </si>
  <si>
    <t>4.27.0</t>
  </si>
  <si>
    <t>Applicable to:
Software
Infrastructure
Both</t>
  </si>
  <si>
    <t>Pen-Test: Net</t>
  </si>
  <si>
    <t xml:space="preserve">Review: Configuration
</t>
  </si>
  <si>
    <t xml:space="preserve">Review: Design AHLD
</t>
  </si>
  <si>
    <t>Verification of files</t>
  </si>
  <si>
    <t>Interaction with App</t>
  </si>
  <si>
    <t xml:space="preserve">Review: Configuration, Installation, Logs
</t>
  </si>
  <si>
    <t>Review App Admin Facilities</t>
  </si>
  <si>
    <t>Review system roles, permissions and user membership</t>
  </si>
  <si>
    <t>Code Review &amp; Fortify Scan</t>
  </si>
  <si>
    <t>Review of DB DCL, DML &amp; DDL script</t>
  </si>
  <si>
    <t>Review of access control and logs</t>
  </si>
  <si>
    <t>Review logs</t>
  </si>
  <si>
    <t xml:space="preserve">Code Review </t>
  </si>
  <si>
    <t>Review system processes</t>
  </si>
  <si>
    <t xml:space="preserve">
Parameterized queries MUST be implemented for all database access so values intended to be interpreted as data cannot be interpreted as a command instead. 
</t>
  </si>
  <si>
    <t>That application/system shall disable all applications features (services/processes, etc.) that will not be used.</t>
  </si>
  <si>
    <t>2.1.0</t>
  </si>
  <si>
    <t>2.2.0</t>
  </si>
  <si>
    <t>2.3.0</t>
  </si>
  <si>
    <t>2.4.0</t>
  </si>
  <si>
    <t xml:space="preserve">The hosting facility should have in place an enterprise solution to defend against malware </t>
  </si>
  <si>
    <t>2.5.0</t>
  </si>
  <si>
    <t>5.5.0</t>
  </si>
  <si>
    <t>When using Symmetric Encryption as a minimum use AES with 256 bits must be used</t>
  </si>
  <si>
    <t>Asymmetric Encryption as a minimum RSA:2048 bits key, DSA:2048 bits key or ECC: 256 bits key .  ECC is preferred</t>
  </si>
  <si>
    <t>Encryption of columns with sensitive data</t>
  </si>
  <si>
    <t>Web applications MUST NOT allow email spoofing within the email functionality of the application.   The user must never be able to control the source/from email address.</t>
  </si>
  <si>
    <t>3.9.0</t>
  </si>
  <si>
    <t>The application/system shall scan for malicious code on files transferred, uploaded, stored, etc.</t>
  </si>
  <si>
    <t>8.2.0</t>
  </si>
  <si>
    <t>5.6.0</t>
  </si>
  <si>
    <t>3.3.4, 3.8.5</t>
  </si>
  <si>
    <t>3.2.10, 3.6.17</t>
  </si>
  <si>
    <t>3.6.16</t>
  </si>
  <si>
    <t>Control</t>
  </si>
  <si>
    <t>DC0 (Unclassified)</t>
  </si>
  <si>
    <t>DC1 
(Internal Use)</t>
  </si>
  <si>
    <t>DC2 
(Restricted Distribution)</t>
  </si>
  <si>
    <t>DC2 + RPI 
(Regulated Personal Information)</t>
  </si>
  <si>
    <t>DC3 
(Secret)</t>
  </si>
  <si>
    <t>Authentication</t>
  </si>
  <si>
    <r>
      <t>Defines valid authentication mechanisms to be used for each DC level</t>
    </r>
    <r>
      <rPr>
        <vertAlign val="superscript"/>
        <sz val="8"/>
        <color indexed="10"/>
        <rFont val="Arial"/>
        <family val="2"/>
      </rPr>
      <t>1</t>
    </r>
    <r>
      <rPr>
        <sz val="8"/>
        <rFont val="Arial"/>
        <family val="2"/>
      </rPr>
      <t>.</t>
    </r>
  </si>
  <si>
    <t>Not required.</t>
  </si>
  <si>
    <t>Username/Password</t>
  </si>
  <si>
    <r>
      <t>Username/Password AND token</t>
    </r>
    <r>
      <rPr>
        <b/>
        <vertAlign val="superscript"/>
        <sz val="8"/>
        <color indexed="10"/>
        <rFont val="Arial"/>
        <family val="2"/>
      </rPr>
      <t>2</t>
    </r>
  </si>
  <si>
    <t>Authorization</t>
  </si>
  <si>
    <t>Defines whether an explicit authorization model is required</t>
  </si>
  <si>
    <t>Cookies</t>
  </si>
  <si>
    <t>Defines whether persistent or session cookies are permitted and what information is permitted in cookies</t>
  </si>
  <si>
    <t>Transport 
(Client to Server)</t>
  </si>
  <si>
    <t>Defines controls required to protect data while in transit on a network</t>
  </si>
  <si>
    <t>Transport 
(Server to Server)</t>
  </si>
  <si>
    <t>Defines controls required to protect data while in transit on a network.  This includes Web Services and SOA.</t>
  </si>
  <si>
    <t>No encryption</t>
  </si>
  <si>
    <t>Single Sign-On</t>
  </si>
  <si>
    <t>Defines whether data can be accessed using pre-authenticated credentials or a re-authentication is required</t>
  </si>
  <si>
    <t>Inactivity Timeout</t>
  </si>
  <si>
    <t>Defines inactivity timeout for each DC level</t>
  </si>
  <si>
    <t>8 hours</t>
  </si>
  <si>
    <t>4 hours</t>
  </si>
  <si>
    <t>20minutes</t>
  </si>
  <si>
    <t>20 Minutes</t>
  </si>
  <si>
    <t>20 minutes</t>
  </si>
  <si>
    <t>Session Timeout</t>
  </si>
  <si>
    <t xml:space="preserve">Defines the session timeout value that </t>
  </si>
  <si>
    <t>None</t>
  </si>
  <si>
    <t>1 hour</t>
  </si>
  <si>
    <t xml:space="preserve">Data Storage </t>
  </si>
  <si>
    <t>Defines controls required to protect data while at rest on a host system.</t>
  </si>
  <si>
    <t>External Hosting</t>
  </si>
  <si>
    <t>Determines whether PWC or client data may be hosted or processed in SaaS models or externally hosted sites.</t>
  </si>
  <si>
    <t>Shared Hosting</t>
  </si>
  <si>
    <t>Defines whether application and data can be hosted/stored in a shared or virtualized environment.</t>
  </si>
  <si>
    <t>Federated Security and SSO (Single Sign ON)</t>
  </si>
  <si>
    <t>DC1 (Internal Use)</t>
  </si>
  <si>
    <t>DC2 (Restricted Distribution)</t>
  </si>
  <si>
    <t>DC3 (Secret)</t>
  </si>
  <si>
    <t>Credentials</t>
  </si>
  <si>
    <t>Defines the unique user identifier that can be used with an external party to identify PwC staff.</t>
  </si>
  <si>
    <t>emplID or PPI</t>
  </si>
  <si>
    <t>Encrypted channel</t>
  </si>
  <si>
    <t>Legend</t>
  </si>
  <si>
    <r>
      <t>1</t>
    </r>
    <r>
      <rPr>
        <sz val="10"/>
        <rFont val="Arial"/>
        <family val="2"/>
      </rPr>
      <t xml:space="preserve"> Authentication controls such as account lockout, forgotten password services, re-authentication are discussed in a separate table.  </t>
    </r>
  </si>
  <si>
    <r>
      <t>2</t>
    </r>
    <r>
      <rPr>
        <sz val="10"/>
        <rFont val="Arial"/>
        <family val="2"/>
      </rPr>
      <t xml:space="preserve"> Token in this context refers to a certificate.  The PwC Network Access certificate meets the authentication threshold for DC1 applications as the sole authentication mechanism; however, since this certificate lacks a PIN, it is not considered acceptable for higher DC levels (as the sole authentication mechanism).  Applications or devices (e.g., Blackberry) that require exportable certificates require a PIN.</t>
    </r>
  </si>
  <si>
    <r>
      <t>3</t>
    </r>
    <r>
      <rPr>
        <sz val="10"/>
        <rFont val="Arial"/>
        <family val="2"/>
      </rPr>
      <t xml:space="preserve"> Persistent cookies can not be used to store RPI.  Data stored in a persistent cookie is required to be encrypted.</t>
    </r>
  </si>
  <si>
    <r>
      <t>4</t>
    </r>
    <r>
      <rPr>
        <sz val="10"/>
        <rFont val="Arial"/>
        <family val="2"/>
      </rPr>
      <t xml:space="preserve"> Session cookies can not be used to store RPI.  Data stored in a session cookie should be encrypted (not obfuscated) to prevent tampering with data.</t>
    </r>
  </si>
  <si>
    <r>
      <t>5</t>
    </r>
    <r>
      <rPr>
        <sz val="10"/>
        <rFont val="Arial"/>
        <family val="2"/>
      </rPr>
      <t xml:space="preserve"> Encrypted channel implies the use of SSL version 3 or TLS version 1 using a minimum of 128 bit encryption, encrypted key exchange, and message authentication for web-based applications.  For client server applications that are not web-based (e.g., remote access to server); an encrypted protocol is required using a minimum of 128 bit encryption.</t>
    </r>
  </si>
  <si>
    <r>
      <t>6</t>
    </r>
    <r>
      <rPr>
        <sz val="10"/>
        <rFont val="Arial"/>
        <family val="2"/>
      </rPr>
      <t xml:space="preserve"> IPsec or a vendor provided encrypted protocol is required.  IPsec host-to-host connections can use transport mode as opposed to tunnel mode.  ESP is required and AH is recommended to be used in IPsec.  SSL version 3 and TLS version 1 can be used and require a minimum of 128 bit encryption.  </t>
    </r>
  </si>
  <si>
    <r>
      <t>7</t>
    </r>
    <r>
      <rPr>
        <sz val="10"/>
        <rFont val="Arial"/>
        <family val="2"/>
      </rPr>
      <t xml:space="preserve"> SSO requires the use of an encrypted channel even if the data classification may not require this.  SSO includes both the functionality provided by Windows and SiteMinder.  Simplified Sign On is discussed in a separate table under Federated Security.</t>
    </r>
  </si>
  <si>
    <r>
      <t>8</t>
    </r>
    <r>
      <rPr>
        <sz val="10"/>
        <rFont val="Arial"/>
        <family val="2"/>
      </rPr>
      <t xml:space="preserve"> Encryption may be provided by the application or the database.  Key management must be scrutinized to determine that appropriate controls exist to generate strong keys as well as determine who has access to the keys.</t>
    </r>
  </si>
  <si>
    <r>
      <t>9</t>
    </r>
    <r>
      <rPr>
        <sz val="10"/>
        <rFont val="Arial"/>
        <family val="2"/>
      </rPr>
      <t xml:space="preserve"> External hosting requires the completion of an External Vendor Questionnaire (EVQ) by US Security Services to comply with ISP Due Diligence requirements.  The controls that apply to internally hosted applications apply to externally hosted applications; the EVQ is designed to determine compliance with the ISP.</t>
    </r>
  </si>
  <si>
    <r>
      <t>10</t>
    </r>
    <r>
      <rPr>
        <sz val="10"/>
        <rFont val="Arial"/>
        <family val="2"/>
      </rPr>
      <t xml:space="preserve"> Commingling of applications or data of differing DC levels requires that controls of the higher DC level be applied and that adequate encapsulation/isolation is present to prevent applications from a lower DC level to "leak" information.  </t>
    </r>
  </si>
  <si>
    <r>
      <t>11</t>
    </r>
    <r>
      <rPr>
        <sz val="10"/>
        <rFont val="Arial"/>
        <family val="2"/>
      </rPr>
      <t xml:space="preserve"> DC3 data is recommended to be hosted on dedicated systems.  In the event that DC3 applications and data need to be consolidated, the applications and data can only be placed on a host or in a shared environment that only contains DC3 data.</t>
    </r>
  </si>
  <si>
    <r>
      <t>12</t>
    </r>
    <r>
      <rPr>
        <sz val="10"/>
        <rFont val="Arial"/>
        <family val="2"/>
      </rPr>
      <t xml:space="preserve"> CISO approval is required once the EVQ (external Vendor Questionnaire) has been completed.   </t>
    </r>
  </si>
  <si>
    <t>BA</t>
  </si>
  <si>
    <t>Who will be 
Consulted</t>
  </si>
  <si>
    <t>Solution Architect</t>
  </si>
  <si>
    <t>PSO - from BCQ</t>
  </si>
  <si>
    <t>4.37.0</t>
  </si>
  <si>
    <t>Nelson Santiago, 
Cloudio Montoya, Jason T. Pfeiffer</t>
  </si>
  <si>
    <t>Nelson Santiago</t>
  </si>
  <si>
    <t>Nelson Santiago, Douglas Morato, Cloudio  Montoya, Wesley Mullins,  Mark Drake</t>
  </si>
  <si>
    <t xml:space="preserve">   Multiple changes including new requirements, removal of non technical controls.</t>
  </si>
  <si>
    <t>ISO 27002 CAT</t>
  </si>
  <si>
    <t>3.12.0</t>
  </si>
  <si>
    <t>1.9.3</t>
  </si>
  <si>
    <t>1.9, 3.3,3.8.1</t>
  </si>
  <si>
    <t>1.3, 9.2 , 9.1,9.0,3.8.1,3.5</t>
  </si>
  <si>
    <t>1.9.1</t>
  </si>
  <si>
    <t>MASA Issue ID : 1.00</t>
  </si>
  <si>
    <t>MASA Issue ID : 3.05</t>
  </si>
  <si>
    <t>2.0, 2.1, 2.4, 2.3</t>
  </si>
  <si>
    <t>2.0, 2.1, 2.4, 2.3, 5.4</t>
  </si>
  <si>
    <t>3.8.1</t>
  </si>
  <si>
    <t>4.3,4.4</t>
  </si>
  <si>
    <t xml:space="preserve">3.1, 3.8.11, 3.8.13, 3.8.13.1, </t>
  </si>
  <si>
    <t>1.9.2</t>
  </si>
  <si>
    <t>1.8, 9.5</t>
  </si>
  <si>
    <t>3.8.16</t>
  </si>
  <si>
    <t>3.3, 3.4, 3.6, 3.8.1</t>
  </si>
  <si>
    <t>9, 9.1, 1.9.2</t>
  </si>
  <si>
    <t>3,3.3,3.8.1,3.8.4,3.8.2.1</t>
  </si>
  <si>
    <t>6.7, 6.5, 6.6,6.18, 6.15</t>
  </si>
  <si>
    <t>Partially covered in 3.8.1.</t>
  </si>
  <si>
    <t>Other</t>
  </si>
  <si>
    <t xml:space="preserve">PwC IT - Global IT IdAM Integration Guide
PwC UK US External Partner Federation and SSO Capabilities
UK/US IT Standard: Design Standard: Java Design Standard </t>
  </si>
  <si>
    <t>https://pwc-spark.com/docs/DOC-422074
http://usitdms.pwcinternal.com/usitdms/drl/objectId/0b01388180007ef6
http://usitdms.pwcinternal.com/usitdms/drl/objectId/09013881801a3c93</t>
  </si>
  <si>
    <t>whitelisting Bit9 addition, information on testing, SecurityPatterns tab ( cheat sheet), 3.12 TLS 1.1 mininum added, 1.1 on IdAM, updated, 1.7 updated to include DC2+ for dual authentication, hosting facility security architecture, delivery process tab removed</t>
  </si>
  <si>
    <t xml:space="preserve">Standard PwC Azure Cloud </t>
  </si>
  <si>
    <t xml:space="preserve">Non Standard Cloud ( i.e. AWS, Rackspace) </t>
  </si>
  <si>
    <t>Standard PwC Google Cloud</t>
  </si>
  <si>
    <t>Advisory Hosting Services ( AHS)</t>
  </si>
  <si>
    <t>Both internal &amp; external</t>
  </si>
  <si>
    <t>Hardware</t>
  </si>
  <si>
    <t>PSO/PSM</t>
  </si>
  <si>
    <t>Completed Date</t>
  </si>
  <si>
    <t>All hashing must be performed using SHA-2/SHA256 or better</t>
  </si>
  <si>
    <r>
      <t xml:space="preserve">The build shall be uniquely identified using code signing .   
</t>
    </r>
    <r>
      <rPr>
        <sz val="10"/>
        <color rgb="FFFF0000"/>
        <rFont val="Calibri"/>
        <family val="2"/>
        <scheme val="minor"/>
      </rPr>
      <t/>
    </r>
  </si>
  <si>
    <t>4.38.0</t>
  </si>
  <si>
    <t>3.13.0</t>
  </si>
  <si>
    <t>The application executable components shall be whitelisted/authorized (e.g. Bit9)</t>
  </si>
  <si>
    <t>SaaS</t>
  </si>
  <si>
    <t>Pen-Test: ASA</t>
  </si>
  <si>
    <r>
      <rPr>
        <b/>
        <sz val="11"/>
        <color theme="1"/>
        <rFont val="Calibri"/>
        <family val="2"/>
        <scheme val="minor"/>
      </rPr>
      <t>PwC  ISP</t>
    </r>
    <r>
      <rPr>
        <sz val="11"/>
        <color theme="1"/>
        <rFont val="Calibri"/>
        <family val="2"/>
        <scheme val="minor"/>
      </rPr>
      <t>:     http://wiki.pwcinternal.com/confluence/display/glbit/Information+Security+Policy-ISP</t>
    </r>
  </si>
  <si>
    <t>Hosting Facility Requirements</t>
  </si>
  <si>
    <t>10.0.0</t>
  </si>
  <si>
    <t>10.1.0</t>
  </si>
  <si>
    <t>10.2.0</t>
  </si>
  <si>
    <t>10.3.0</t>
  </si>
  <si>
    <t>Network Intrusion Detection/Prevention System (IDS/IPS) ( e.g. SourceFire or equivalent solution (must consume SNORT rules).  The system shall be centrally monitored by a certified and capable organization.</t>
  </si>
  <si>
    <t>10.4.0</t>
  </si>
  <si>
    <t>Egress connectivity to internet limited.  Only allowing explicitly authorized internet connectivity from the environment (white list vs. blacklist)</t>
  </si>
  <si>
    <t>10.5.0</t>
  </si>
  <si>
    <t>Isolation of environments ( dev, test, prod) must not be connected.</t>
  </si>
  <si>
    <t>10.6.0</t>
  </si>
  <si>
    <t>Hosting environment must be multi tier.</t>
  </si>
  <si>
    <t>Application whitelisting solution on DC's and critical IT infrastructure</t>
  </si>
  <si>
    <t>10.7.0</t>
  </si>
  <si>
    <t>10.8.0</t>
  </si>
  <si>
    <t>Separate Admin Privilege accounts with short duration to change password and logging.</t>
  </si>
  <si>
    <t>10.9.0</t>
  </si>
  <si>
    <t>10.10.0</t>
  </si>
  <si>
    <t>Computer incident and response team and ability to collaborate with PwC cyber security operations team.</t>
  </si>
  <si>
    <t>10.11.0</t>
  </si>
  <si>
    <t>10.12.0</t>
  </si>
  <si>
    <t>Vulnerability management for internal and external IP Address space.</t>
  </si>
  <si>
    <t xml:space="preserve">A solution to detect, prevent and mitigate DoS and DDoS attacks MUST exist for all internet-facing applications used by PwC.
The DoS and DDoS solution MUST include a written plan to detail the people, processes, and technology to mitigate DoS and DDoS attacks. 
The plan MUST include:  Levels for protection from a technical standpoint . Events and time frames to start mitigation. Trigger points for mitigation escalation 
Degree of acceptable latency.  Notifications required. Documented test results of the controls MUST be provided to PwC. </t>
  </si>
  <si>
    <t>10.13.0</t>
  </si>
  <si>
    <t>10.14.0</t>
  </si>
  <si>
    <t>The hosting facility should provide support for SAML integration with PwC</t>
  </si>
  <si>
    <t>10.15.0</t>
  </si>
  <si>
    <t>10.16.0</t>
  </si>
  <si>
    <t>10.17.0</t>
  </si>
  <si>
    <t>10.18.0</t>
  </si>
  <si>
    <t>The hosting facility should ensure all PwC sensitive data ( DC1… DC3) is encrypted at rest and in transit.  Minimum AES-256 for at rest and minimum 2048 bits RSA for in transit.</t>
  </si>
  <si>
    <t>Complete the questions tab first, this will determine applicability of requirements.</t>
  </si>
  <si>
    <t>The PM will store this document along with all the other project documents (e.g. IT DMS project folder, Sharepoint, etc.).</t>
  </si>
  <si>
    <t>Other: Specify --&gt;</t>
  </si>
  <si>
    <t>Internal Only</t>
  </si>
  <si>
    <t>External  Only</t>
  </si>
  <si>
    <t>IdAM</t>
  </si>
  <si>
    <t>SiteMinder</t>
  </si>
  <si>
    <t>Forms</t>
  </si>
  <si>
    <t>A dedicated network segment or management zone shall be used by the operational teams to access the web hosting environment
as specified in the WebHostingNetworkStandard (jump host).</t>
  </si>
  <si>
    <t>The application shall undergo static source code vulnerability scan ( e.g. Fortify, Veracode, CheckMarx)</t>
  </si>
  <si>
    <t>OWASP TOP 10</t>
  </si>
  <si>
    <t>The application shall provide  authorization controls to offline access to data (data is residing in the phone).</t>
  </si>
  <si>
    <t>3.14.0</t>
  </si>
  <si>
    <t>The application shall not use hardcoded encryption keys.</t>
  </si>
  <si>
    <t>Type of authentication mechanism?</t>
  </si>
  <si>
    <t>HTTP: Form Auth</t>
  </si>
  <si>
    <t>HTTP: Digest Auth</t>
  </si>
  <si>
    <t>Kerberos</t>
  </si>
  <si>
    <t>JAAS (PAM)</t>
  </si>
  <si>
    <t>SSO non-IdAM</t>
  </si>
  <si>
    <t>LDAP/ED/AD based Auth</t>
  </si>
  <si>
    <t>Custom</t>
  </si>
  <si>
    <t>NT LAN Manager (NTLM)</t>
  </si>
  <si>
    <t>HTTP Basic Auth</t>
  </si>
  <si>
    <t>HTTPS Basic Auth</t>
  </si>
  <si>
    <t>X.509 Certificate</t>
  </si>
  <si>
    <t>1,3</t>
  </si>
  <si>
    <t>2,6</t>
  </si>
  <si>
    <t>2, 6</t>
  </si>
  <si>
    <t>1 - 100</t>
  </si>
  <si>
    <t>100 - 500</t>
  </si>
  <si>
    <t>500 - 1000</t>
  </si>
  <si>
    <t>1000 - 10000</t>
  </si>
  <si>
    <t>&gt; 10000</t>
  </si>
  <si>
    <t>5,9</t>
  </si>
  <si>
    <t>3.15.0</t>
  </si>
  <si>
    <t>Credentials stored in configuration files, in the registry or any other location must be encrypted</t>
  </si>
  <si>
    <t>8h</t>
  </si>
  <si>
    <t>4h</t>
  </si>
  <si>
    <t>20m</t>
  </si>
  <si>
    <t>1h</t>
  </si>
  <si>
    <t xml:space="preserve">All vendor-supplied accounts shall be documented to ensure these default accounts and passwords are disabled or changed upon initial software/firmware installation/implementation by deployment teams. These accounts MUST be immediately disabled after each use, unless there is a business need to use the account. (in this situation passwords MUST be changed). </t>
  </si>
  <si>
    <t xml:space="preserve"> The application/system shall allow for all new accounts be assigned an initial randomly generated password and will required users to change it on first use.</t>
  </si>
  <si>
    <t xml:space="preserve"> The application/system shall allow for all new passwords be issued to users in a secure manner.</t>
  </si>
  <si>
    <t>The application shall encapsulate all database queries and transactions (DML) into stored procedures.</t>
  </si>
  <si>
    <t>The use of views shall be used to ensure confidentiality.  Access to views shall be limited by role.</t>
  </si>
  <si>
    <t>All  open source code if not a compiled library must undergo static code analysis ( e.g. Fortify, Veracode, Checkmarkx, etc.) .</t>
  </si>
  <si>
    <t>All applications shall have exception and error control to ensure secure failures.  All exceptions/errors should be logged,  and shall not fail silently (e.g. no empty catch blocks).  All error messages displayed back to a user must be generic in nature and not display technical details regarding the fault (e.g. stack trace).</t>
  </si>
  <si>
    <t xml:space="preserve">The system or application MUST NOT indicate the exact reason for rejecting a logon.   The application shall display generic authentication messages for authentication failures in order to prevent the enumerating of usernames/passwords. </t>
  </si>
  <si>
    <t>Mobile applications shall meet or exceed the overall security controls of their counterpart web applications.</t>
  </si>
  <si>
    <t>Products/technologies that are (1) end of life or (2) have vulnerabilities without published fixes shall NOT be used.  If used security exceptions will be required, mitigating control(s) must be in place and a plan for remediation must be provided.</t>
  </si>
  <si>
    <t xml:space="preserve">The application shall protect sensitive transactions/functionality from forged malicious requests attacks (e.g. Cross- Site Request Forgery).
Applications shall not use persistent authentication methods alone (e.g. a cookie or HTTP authentication) as a defense to Cross-Site Request Forgery (CSRF/XRSF).
</t>
  </si>
  <si>
    <t xml:space="preserve">Applications MUST NOT utilize unvalidated redirects or forwards. The application needs to prevent redirection of any URL which may lead to impersonation or navigation to a rogue site. 
</t>
  </si>
  <si>
    <t>All authentication credentials and tokens must be transmitted over an encrypted channel</t>
  </si>
  <si>
    <t>The application/system shall use multi factor authentication. 
Select two of the following three: (something you have,  something you know,  something you are)
(A cert and a password or a card and a pin or retina and password or finger-print and password, finger-print and cert or card and bio)
** if externally hosted strong recommendation is to use dual factor for DC2 as well.</t>
  </si>
  <si>
    <t>The application/system shall provide secure password reset functions.</t>
  </si>
  <si>
    <t>The application credentials and passwords used for production environments must be different to credentials and passwords used for development and test.</t>
  </si>
  <si>
    <t>Applications MUST generate a new session token/identifier when switching from unauthenticated to authenticated sessions.</t>
  </si>
  <si>
    <t xml:space="preserve">Session cookies can be used as long as all sessions are HTTPS and sessionID length is 128 bits  minimum and:
    The HTTPSOnly, Secure flags must be turned on.
    Limit the amount of sensitive information stored in the cookie.
    Limit the subdomains and paths to prevent interception by another application.
    Enforce TLS so the cookie isn’t sent in cleartext.
    MUST have the domain restricted to the most discreet host and path feasible. 
    MUST NOT allow a cookie to be replayed. 
    MUST NOT contain unencrypted Confidential data
</t>
  </si>
  <si>
    <r>
      <t xml:space="preserve">If a persistent cookie is used for authentication it will be require to comply with </t>
    </r>
    <r>
      <rPr>
        <b/>
        <sz val="10"/>
        <color theme="1"/>
        <rFont val="Calibri"/>
        <family val="2"/>
        <scheme val="minor"/>
      </rPr>
      <t>session time</t>
    </r>
    <r>
      <rPr>
        <sz val="10"/>
        <color theme="1"/>
        <rFont val="Calibri"/>
        <family val="2"/>
        <scheme val="minor"/>
      </rPr>
      <t xml:space="preserve"> </t>
    </r>
    <r>
      <rPr>
        <b/>
        <sz val="10"/>
        <color theme="1"/>
        <rFont val="Calibri"/>
        <family val="2"/>
        <scheme val="minor"/>
      </rPr>
      <t>policy</t>
    </r>
    <r>
      <rPr>
        <sz val="10"/>
        <color theme="1"/>
        <rFont val="Calibri"/>
        <family val="2"/>
        <scheme val="minor"/>
      </rPr>
      <t xml:space="preserve"> and will need to be encrypted at rest with
the public key of the token provider. </t>
    </r>
  </si>
  <si>
    <t>The application shall not enable autocomplete functionality for any fields involved with authentication.</t>
  </si>
  <si>
    <t>The application shall not allow shell access unless absolutely necessary.</t>
  </si>
  <si>
    <t>The application shall not use insecure remote protocols such as telnet or rlogin.</t>
  </si>
  <si>
    <t>Restrict any type of access to file shares.</t>
  </si>
  <si>
    <t>Prior to accessing a target object indirectly or directly the application shall verify the user's authorization to that object.</t>
  </si>
  <si>
    <t xml:space="preserve">The application/system shall provide  traceability of user actions    </t>
  </si>
  <si>
    <t>The application/system shall provide access change trails</t>
  </si>
  <si>
    <t xml:space="preserve">The application/system shall produce reports of users granted access to a system, the last time the user logged in, and the privileges held by the user.   </t>
  </si>
  <si>
    <t>The application/system shall log all Data Control Language (DCL) commands (e.g. grant, revoke) and Data Definition Language(DDL) commands  (e.g. create, drop, alter).  Use of database auditing.</t>
  </si>
  <si>
    <t>The system must be able to send logs to current PwC SIEM solution or keep logs for 180 days.
Firewall rule to allow UDP 514 to SIEM will be needed.</t>
  </si>
  <si>
    <t>5.7.0</t>
  </si>
  <si>
    <t>5.8.0</t>
  </si>
  <si>
    <t>The application/system shall log successful and failed login attempts and unauthorized access to objects or functionality.</t>
  </si>
  <si>
    <t>7.4.0</t>
  </si>
  <si>
    <t>7.5.0</t>
  </si>
  <si>
    <t>The application databases shall undergo  vulnerability management (e.g. AppDetective).</t>
  </si>
  <si>
    <t>The application/system malware protection software must be up to date and the malware signature must be updated daily.</t>
  </si>
  <si>
    <t>8.3.0</t>
  </si>
  <si>
    <t>The application/system shall use the approved malware protection</t>
  </si>
  <si>
    <t xml:space="preserve">SIEM - Centralized Log Management capturing security related data from: (1) Malware Protection Systems (2) Authentication Systems (3) Network Firewalls (4) IPS/IDS (5) Patch Vulnerability Management Systems (6) VPNs (7) Web Proxies, Gateways  (8) Web Application Firewall
Accessible to a central monitoring and analysis team.  </t>
  </si>
  <si>
    <t>Full Packet Capture solution (e.g. Netwitness, Security Analytics)  14-21 days of packet retention, 45 days of "META" data retention.  Accessible to PwC NIS Cyber Threat Defense.  To cover all ingress and egress traffic to the environment (including web facing presence, connections to other environments,  VPN, etc.</t>
  </si>
  <si>
    <t>The application shall protect all sensitive data in mobile devices ( e.g. usernames, passwords, API keys, etc.) with strong encryption (e.g. AES).</t>
  </si>
  <si>
    <t>Mobile applications that allow offline access to data shall re-authenticate within 2 weeks.</t>
  </si>
  <si>
    <r>
      <t>DC2 Plus
(</t>
    </r>
    <r>
      <rPr>
        <b/>
        <sz val="11"/>
        <color theme="1"/>
        <rFont val="Arial"/>
        <family val="2"/>
      </rPr>
      <t>UK/US only</t>
    </r>
    <r>
      <rPr>
        <sz val="11"/>
        <color theme="1"/>
        <rFont val="Arial"/>
        <family val="2"/>
      </rPr>
      <t>)</t>
    </r>
  </si>
  <si>
    <t>Mobile applications MUST validate certificate chains. If the application validation process fails, the application MUST NOT be allowed to launch.
Certificate pining is required.</t>
  </si>
  <si>
    <t>1.2.0</t>
  </si>
  <si>
    <t>4.29.0</t>
  </si>
  <si>
    <t>AUTHENTICATION</t>
  </si>
  <si>
    <t>AUTHORIZATION</t>
  </si>
  <si>
    <t>ENCRYPTION</t>
  </si>
  <si>
    <t>Application administrative interfaces shall have additional protections to avoid unauthorized access (e.g. Multi-Factor, Access only through VPN, etc.)</t>
  </si>
  <si>
    <t xml:space="preserve">Comments in returned content (e.g. HTML, JSP, client side JARs, Active-X controls, Flash shared objects etc.) MUST be minimized. 
Comments in returned content MUST NOT contain Confidential information. </t>
  </si>
  <si>
    <t>LOGGING</t>
  </si>
  <si>
    <t xml:space="preserve">Applications shall display generic authentication messages for authentication failures in order to prevent the enumerating of usernames/passwords. </t>
  </si>
  <si>
    <t>DATA</t>
  </si>
  <si>
    <t>HARDENING</t>
  </si>
  <si>
    <t>MALWARE PROTECTION</t>
  </si>
  <si>
    <t>NETWORK</t>
  </si>
  <si>
    <t>MOBILE</t>
  </si>
  <si>
    <t xml:space="preserve">Mobile applications MUST NOT store credentials used to gain access to server side applications.
</t>
  </si>
  <si>
    <t>4.33.0</t>
  </si>
  <si>
    <t xml:space="preserve">All applications  shall salt and hash any local passwords used to access the application.
</t>
  </si>
  <si>
    <t>NIS Contact Information</t>
  </si>
  <si>
    <t>We check all authorization related test cases (2,2.1,2.2,2.3,2.4,2.5) regardless of frameworks used.</t>
  </si>
  <si>
    <t>Use TLS version 1.2 as a minimum</t>
  </si>
  <si>
    <t xml:space="preserve">All code shall use input and output validation, filtering encoding and/or escaping techniques following best practices (e.g. OWASP) and PwC development standards to ensure input cannot cause application faults or unexpected behavior.   Invalid inputs MUST log error messages and MUST NOT cause change to data.  ( For instance: input that is subsequently used for  file retrieval MUST be filtered to ensure it does not specify an incorrect path)
</t>
  </si>
  <si>
    <t xml:space="preserve">Web applications shall provide defense against malicious attempts at encapsulating web pages into a frameset. 
For web applications that are not using frames: 
Web applications shall set X-FRAME-OPTIONS to DENY via HTTP Header or Meta/Http-equiv in the HTML head. 
For web applications that are using frames: 
For other website's web pages in the same origin (scheme, host, port) that frame web pages, those web pages MUST set X-FRAME-OPTIONS to SAMEORIGIN. 
For other website's web pages outside the same origin (scheme, host, port) that frame web pages, those web pages MUST use appropriate CSS redress/frame busting code to deny any host not explicitly required. For example: if a website is to be framed from other origins, the web application MUST explicitly know which other origins are allowed to frame it, and MUST be able to script things such that the necessary web pages only allow those expected origins to do so. This can usually be accomplished through a slight modification to the CSS redress/frame 
Applications written in HTML5 should use the "Content-Security-Policy Frame ancestor" (CSP) HTTP header to define the domains from where frames can be embedded. </t>
  </si>
  <si>
    <t xml:space="preserve">Confidential data (e.g. embedded encryption keys/application codes, passwords, etc.) MUST NOT be compiled or embedded/hardcoded into code  (encrypted or unencrypted). </t>
  </si>
  <si>
    <t xml:space="preserve">Web applications that allow the uploading of files : 
- MUST limit the scope of the file extension to only those approved for use within the business functionality of the application. (e.g. anticipated file types: .pdf, .doc. etc.) 
- MUST NOT allow executable files to be uploaded. 
- MUST complete a malware check of the file 
- MUST disable JavaScript in .pdf files 
- MUST use a captcha when externally facing and no authentication is used to mitigate robots
</t>
  </si>
  <si>
    <t>All URL, form parameters or HTTP headers with sensitive data must be protected to avoid their manipulation.</t>
  </si>
  <si>
    <t xml:space="preserve">The application shall log all user file transfer transactions out of the application.  ( e.g.  Tax DMS, SharePoint ).  </t>
  </si>
  <si>
    <t>The application shall provide mechanisms to protect the code from reverse engineering ( protect against malware injection, code obfuscation)</t>
  </si>
  <si>
    <t>All data communication between mobile and PwC shall be  encrypted.</t>
  </si>
  <si>
    <t>Applications shall not use client-side state maintenance mechanisms/tokens (e.g. cookies, hidden form fields, request/response headers, etc.) for authorization decisions unless such tokens have been have been cryptographically secured via signing/encryption and verified on the server-side.</t>
  </si>
  <si>
    <t xml:space="preserve">Application credentials shall not allow user interactive login into the server backend. </t>
  </si>
  <si>
    <t xml:space="preserve">User Account Management [if implementing user accounts]  </t>
  </si>
  <si>
    <t xml:space="preserve">Enable HTTP Strict Transport Security (HSTS) on web applications by the use of a the appropriate response header to prevent any communications from being sent over HTTP and force communications over HTTPS. </t>
  </si>
  <si>
    <t xml:space="preserve">  </t>
  </si>
  <si>
    <t>The BA and SA (Solution Architect) are responsible for completing this document to ensure security controls are satisfied by the AHLD (Architecture High Level Design).</t>
  </si>
  <si>
    <t xml:space="preserve">The application/system shall provide audit trails (e.g. logging and monitoring).  Successful and failed login attempts must be logged.
Each use of an account MUST be traceable so that accountability can be established for the actions performed by the account. 
The application/system or underlying infrastructure shall have the ability to capture security audit log data and produce reports of users granted access to a system, the last time the user logged in, and the privileges held by the user.   For instance:  Login/Logoff Timestamps, additions, deletions and modifications of user accounts/privileges, users switching IDs during an online session, attempts to perform unauthorized functions or access data the user is not authorized to access, date and time of the occurrence of the logged activity, time zone, etc.  </t>
  </si>
  <si>
    <t>N/A SaaS</t>
  </si>
  <si>
    <t>https://msdn.microsoft.com/en-us/library/ff648276.aspx#SensitiveData2
http://blog.konstantinpavlov.net/2015/08/01/secure-java-coding-best-practices/
https://www.owasp.org/images/0/08/OWASP_SCP_Quick_Reference_Guide_v2.pdf</t>
  </si>
  <si>
    <t>The application/system shall implement appropriate warning banners, terms &amp; conditions, privacy statements and other disclaimers in compliance with information security policies and regulatory requirements in order to advise that access to the system is for authorized individuals only and set expectation of appropriate usage.</t>
  </si>
  <si>
    <r>
      <t>All password requirements specified in the ISP and supplements must be followed.  This includes password complexity,   characters sets used, one way encryption for storage (hashing),  required length for all accounts.</t>
    </r>
    <r>
      <rPr>
        <b/>
        <sz val="10"/>
        <color rgb="FFFF0000"/>
        <rFont val="Calibri"/>
        <family val="2"/>
        <scheme val="minor"/>
      </rPr>
      <t xml:space="preserve"> 
</t>
    </r>
    <r>
      <rPr>
        <b/>
        <sz val="10"/>
        <color theme="1"/>
        <rFont val="Calibri"/>
        <family val="2"/>
        <scheme val="minor"/>
      </rPr>
      <t>- password minimum length of 8 chars
- password must be change every 90 days ( 180 days is acceptable for external users)
- prevent re-use within six generations
- when password is entered is must be echo suppressed
- lockout mechanism after a number of  failed attempts ( mobile 10, otherwise 5 or less)</t>
    </r>
  </si>
  <si>
    <r>
      <t xml:space="preserve">Enable and prioritize Perfect Forward Secrecy configuration setting in you Apache/IIS when setting the TLS protocol.  This ensures the exchange of the SSL session key between client and web server is secure and that all subsequent communication between the client and your site is securely encrypted. </t>
    </r>
    <r>
      <rPr>
        <sz val="10"/>
        <color rgb="FF000000"/>
        <rFont val="Calibri"/>
        <family val="2"/>
        <scheme val="minor"/>
      </rPr>
      <t xml:space="preserve">
 </t>
    </r>
  </si>
  <si>
    <t>Applications MUST NOT store Confidential information in log files.</t>
  </si>
  <si>
    <t>Sensitive information stored in memory (variables) must be protected
(a) Avoid creating multiple copies of the secret data because this increases your attack surface. Pass references to secret data instead of making copies of the data. Also understand that if you store secret data in immutable objects such as System.String, a new copy is created after each object manipulation.
(b) Keep the secret data encrypted for as long as possible. Decrypt the data at the last possible moment before you need to use the sensitive information it contains.
(c) Clean the cleartext version of the secret data as soon as you are done using it.</t>
  </si>
  <si>
    <t xml:space="preserve">All webhosting applications/systems deployments shall follow the applicable network tier design standard.
</t>
  </si>
  <si>
    <t>https://pwc-spark.com/docs/DOC-627722
http://usitdms.pwcinternal.com/usitdms/drl/objectId/090138818028f896</t>
  </si>
  <si>
    <t>Link to Project Document Repository (e.g. Sharepoint , IT DMS) :</t>
  </si>
  <si>
    <t xml:space="preserve">Changes to the :
    Instructions- simplified to allow global use
   Questions - refined to include more hosting options, troux app name, and adjusted for global use
   All requirements reviewed, many Requirements updated.  (e.g. Reference to UK/US standard removed, added TLS configuration,  hashing now defines key size as SHA256 as minimum, additional security standards and best practices added, removed reference to bit9 and US regional standards, updated on include CSP on HTML5, added direction in addition to Network ports)
      </t>
  </si>
  <si>
    <r>
      <t xml:space="preserve"> </t>
    </r>
    <r>
      <rPr>
        <b/>
        <sz val="14"/>
        <color theme="1"/>
        <rFont val="Calibri"/>
        <family val="2"/>
        <scheme val="minor"/>
      </rPr>
      <t>PwC Network Information Security  I</t>
    </r>
    <r>
      <rPr>
        <b/>
        <sz val="11"/>
        <color theme="1"/>
        <rFont val="Calibri"/>
        <family val="2"/>
        <scheme val="minor"/>
      </rPr>
      <t xml:space="preserve">nformation </t>
    </r>
    <r>
      <rPr>
        <b/>
        <sz val="14"/>
        <color theme="1"/>
        <rFont val="Calibri"/>
        <family val="2"/>
        <scheme val="minor"/>
      </rPr>
      <t>S</t>
    </r>
    <r>
      <rPr>
        <b/>
        <sz val="11"/>
        <color theme="1"/>
        <rFont val="Calibri"/>
        <family val="2"/>
        <scheme val="minor"/>
      </rPr>
      <t xml:space="preserve">ecurity </t>
    </r>
    <r>
      <rPr>
        <b/>
        <sz val="14"/>
        <color theme="1"/>
        <rFont val="Calibri"/>
        <family val="2"/>
        <scheme val="minor"/>
      </rPr>
      <t>R</t>
    </r>
    <r>
      <rPr>
        <b/>
        <sz val="11"/>
        <color theme="1"/>
        <rFont val="Calibri"/>
        <family val="2"/>
        <scheme val="minor"/>
      </rPr>
      <t xml:space="preserve">equirements (NIS ISR)
</t>
    </r>
  </si>
  <si>
    <r>
      <rPr>
        <b/>
        <sz val="11"/>
        <color theme="1"/>
        <rFont val="Calibri"/>
        <family val="2"/>
        <scheme val="minor"/>
      </rPr>
      <t>PwC NIS Security Exception Process</t>
    </r>
    <r>
      <rPr>
        <sz val="11"/>
        <color theme="1"/>
        <rFont val="Calibri"/>
        <family val="2"/>
        <scheme val="minor"/>
      </rPr>
      <t>:  TBD</t>
    </r>
  </si>
  <si>
    <t>Where is the System/Application Hosted?</t>
  </si>
  <si>
    <t>The application shall undergo an application security review ( e.g. Pen Test,  WASA, MASA, ASA-Application Security Assessment).</t>
  </si>
  <si>
    <t>Username/Password OR token</t>
  </si>
  <si>
    <t>Persistent cookies permitted</t>
  </si>
  <si>
    <t>Session Cookies</t>
  </si>
  <si>
    <t>Encrypted channel if using credentials or SSO</t>
  </si>
  <si>
    <t>Encryption of RPI fields required at a minimum</t>
  </si>
  <si>
    <t>Full Database Encryption OR Full Data Encryption</t>
  </si>
  <si>
    <t>Not permitted</t>
  </si>
  <si>
    <r>
      <rPr>
        <b/>
        <sz val="11"/>
        <color theme="1"/>
        <rFont val="Calibri"/>
        <family val="2"/>
        <scheme val="minor"/>
      </rPr>
      <t>PwC  ISP Supplements</t>
    </r>
    <r>
      <rPr>
        <sz val="11"/>
        <color theme="1"/>
        <rFont val="Calibri"/>
        <family val="2"/>
        <scheme val="minor"/>
      </rPr>
      <t>:    TBD</t>
    </r>
  </si>
  <si>
    <t>5.9.0</t>
  </si>
  <si>
    <t>DEVELOPMENT</t>
  </si>
  <si>
    <t>The BA (Business Analyst) and the PM ( Project Manager) will ensure the applicable info sec requirements from this document are captured in the URS (User Requirements Specifications)</t>
  </si>
  <si>
    <t>The data classification should be obtained  from the Business Criticality Questionnaire(BCQ) completed in the initiation phase of the project.  The BCQ is completed by the PSO/PSM (Product Service Owner/Product Service Manager).</t>
  </si>
  <si>
    <r>
      <t xml:space="preserve">Respond to the  "Covered by design" column using the following guidance. 
       </t>
    </r>
    <r>
      <rPr>
        <b/>
        <sz val="11"/>
        <color theme="1"/>
        <rFont val="Calibri"/>
        <family val="2"/>
        <scheme val="minor"/>
      </rPr>
      <t>Yes</t>
    </r>
    <r>
      <rPr>
        <sz val="11"/>
        <color theme="1"/>
        <rFont val="Calibri"/>
        <family val="2"/>
        <scheme val="minor"/>
      </rPr>
      <t xml:space="preserve"> --&gt; The requirement, as originally stated, can and will be met by the project.   
       </t>
    </r>
    <r>
      <rPr>
        <b/>
        <sz val="11"/>
        <color theme="1"/>
        <rFont val="Calibri"/>
        <family val="2"/>
        <scheme val="minor"/>
      </rPr>
      <t>No</t>
    </r>
    <r>
      <rPr>
        <sz val="11"/>
        <color theme="1"/>
        <rFont val="Calibri"/>
        <family val="2"/>
        <scheme val="minor"/>
      </rPr>
      <t xml:space="preserve">  --&gt; The requirement cannot be met or is Partially Compliant.   Security exception(s) will be required, mitigating/alternate control(s) must be in place and a plan for remediation must be provided..  The PSO/PSM will be responsible for submitting the exception.
       </t>
    </r>
    <r>
      <rPr>
        <b/>
        <sz val="11"/>
        <color theme="1"/>
        <rFont val="Calibri"/>
        <family val="2"/>
        <scheme val="minor"/>
      </rPr>
      <t>N/A</t>
    </r>
    <r>
      <rPr>
        <sz val="11"/>
        <color theme="1"/>
        <rFont val="Calibri"/>
        <family val="2"/>
        <scheme val="minor"/>
      </rPr>
      <t xml:space="preserve"> --&gt; The requirement is not applicable to the project (e.g. ).  
Elaborate on the "additional comments" column for each of your responses.  ( Additional documentation might be required.)
       </t>
    </r>
  </si>
  <si>
    <t>Mobile Only</t>
  </si>
  <si>
    <t>If Mobile please specify platform :</t>
  </si>
  <si>
    <t xml:space="preserve">The application infrastructure shall undergo vulnerability management (e.g. Qualys). </t>
  </si>
  <si>
    <t>NIS AppSec Consulting Team</t>
  </si>
  <si>
    <r>
      <t>For any questions,comments or concerns regarding this document please submit a ticket:</t>
    </r>
    <r>
      <rPr>
        <sz val="11"/>
        <color rgb="FFFF0000"/>
        <rFont val="Calibri"/>
        <family val="2"/>
        <scheme val="minor"/>
      </rPr>
      <t xml:space="preserve"> </t>
    </r>
    <r>
      <rPr>
        <b/>
        <sz val="11"/>
        <color rgb="FFFF0000"/>
        <rFont val="Calibri"/>
        <family val="2"/>
        <scheme val="minor"/>
      </rPr>
      <t>https://nis.pwcinternal.com/confluence/display/NASPD/Home+Page</t>
    </r>
  </si>
  <si>
    <t>Troux Application Name ( Required for PwC IT )</t>
  </si>
  <si>
    <t>RDC</t>
  </si>
  <si>
    <t>HK</t>
  </si>
  <si>
    <t>US GDC-VDC</t>
  </si>
  <si>
    <t>UK (CDCW, CDCE)</t>
  </si>
  <si>
    <t>Application Exposure ?</t>
  </si>
  <si>
    <t>Firewall Changes Required?</t>
  </si>
  <si>
    <t>Total number of users for this application?</t>
  </si>
  <si>
    <t>Mobile Application?</t>
  </si>
  <si>
    <t>Assigned BA:</t>
  </si>
  <si>
    <t>Assigned Solution Architect:</t>
  </si>
  <si>
    <t>Assigned IT PM:</t>
  </si>
  <si>
    <t>Assigned IT PSO/PSM:</t>
  </si>
  <si>
    <t>The application/system shall implement all server to server communication over an encrypted channel ( For cloud, encryption is required for DC1..DC3).</t>
  </si>
  <si>
    <t>The application/system shall implement encryption of data at rest in the hosting environment. ( For cloud, encryption is required for DC1..DC3).</t>
  </si>
  <si>
    <t xml:space="preserve">The requirements tab presents a set of security requirements or controls to mitigate risks to confidentiality, integrity and availability.  To ensure that we align with business needs the data classification is used for the selection of these controls.  Please see the instructions  tab.  This document shall be used during the requirement gathering, analysis and approval and during the design processes.  The controls are based on the PwC Information Security Policy (ISP), PwC standards and/or  industry good practices.  </t>
  </si>
  <si>
    <t>HP-SM9 Service ( Required for US/UK )</t>
  </si>
  <si>
    <t>The application/system shall use an approved PwC identity provider for  Federated Authentication (e.g. Global IdAM, SiteMinder).</t>
  </si>
  <si>
    <r>
      <t xml:space="preserve">All  code MUST be signed by a valid signing identity before it can be released into production or uploaded to any marketplace application store. 
</t>
    </r>
    <r>
      <rPr>
        <sz val="10"/>
        <color theme="1"/>
        <rFont val="Calibri"/>
        <family val="2"/>
        <scheme val="minor"/>
      </rPr>
      <t xml:space="preserve">
</t>
    </r>
  </si>
  <si>
    <t>ASA Test ID 
(test phase)</t>
  </si>
  <si>
    <t>Y</t>
  </si>
  <si>
    <t xml:space="preserve">All default passwords shall be changed. </t>
  </si>
  <si>
    <t>Static
Code
Analysis
(FOD)</t>
  </si>
  <si>
    <t>Use major authorization framework mechanism such as Java's JAAS or .NET build or Spring Security authorization capabilities,  avoid customizations.</t>
  </si>
  <si>
    <t>Review account management documentation and specifications.</t>
  </si>
  <si>
    <r>
      <t>The application/system shall implement encryption of data at rest</t>
    </r>
    <r>
      <rPr>
        <b/>
        <sz val="10"/>
        <color theme="1"/>
        <rFont val="Calibri"/>
        <family val="2"/>
        <scheme val="minor"/>
      </rPr>
      <t xml:space="preserve"> OUT</t>
    </r>
    <r>
      <rPr>
        <sz val="10"/>
        <color theme="1"/>
        <rFont val="Calibri"/>
        <family val="2"/>
        <scheme val="minor"/>
      </rPr>
      <t xml:space="preserve"> of the hosting environment.  ( e.g. backups, USB drive, etc.)</t>
    </r>
  </si>
  <si>
    <t>6.10</t>
  </si>
  <si>
    <t>Review code signing management process.</t>
  </si>
  <si>
    <t>The applications/systems shall use standard components or  shall drive standardization of these components.  These components shall have a roadmap.</t>
  </si>
  <si>
    <t>Review Qualys scan results and/or knowledge base.</t>
  </si>
  <si>
    <t>Review Detail Design for parametized queries.</t>
  </si>
  <si>
    <t>Review Detail Design for use of temporary storage for sensitive data.</t>
  </si>
  <si>
    <t>Review access control matrix for principle of least privilege.</t>
  </si>
  <si>
    <t>Review access control matrix for definition of user roles.</t>
  </si>
  <si>
    <t>Review config settings or review code or review vendor doc for added salt for hashes.</t>
  </si>
  <si>
    <t>Review list of default accounts and provide to pen-testers for default password testing.</t>
  </si>
  <si>
    <t>Review password configuration settings for compliance with policy.</t>
  </si>
  <si>
    <t>Confirm with the project team that the application components have been whitelisted.</t>
  </si>
  <si>
    <t>Confirm with the project team that the application code has been or will be scheduled for FOD.</t>
  </si>
  <si>
    <t>Review DD for shell access usage.</t>
  </si>
  <si>
    <t>Review HDL or DD for file share usage.</t>
  </si>
  <si>
    <t>Confirm with the project team that the application code has been or will be scheduled for ASA</t>
  </si>
  <si>
    <t>Review DD for usage of sensitive data in memory.</t>
  </si>
  <si>
    <t>Confirm the standard build will be used or request time service to be turned on.</t>
  </si>
  <si>
    <t>Request confirmation from the project manager that production data has been anonymized if/when used in non prod environments.</t>
  </si>
  <si>
    <t>6.0</t>
  </si>
  <si>
    <t>Confirm with the project team that only needed components will be deployed ( e.g.  For SQL Server check SSEngine, SSIS, SSAS, SSRS)</t>
  </si>
  <si>
    <t xml:space="preserve">Review Qualys scan report </t>
  </si>
  <si>
    <t>Review AppDetective scan report</t>
  </si>
  <si>
    <t>3.8.5</t>
  </si>
  <si>
    <t>3.8.22</t>
  </si>
  <si>
    <t xml:space="preserve">(A.12.5) Control of operational software
</t>
  </si>
  <si>
    <t>3.7.18</t>
  </si>
  <si>
    <t>3.7.1</t>
  </si>
  <si>
    <t>3.6.25</t>
  </si>
  <si>
    <t>3.8.9</t>
  </si>
  <si>
    <t>3.6.17</t>
  </si>
  <si>
    <t>3.8.15, 3.8.22</t>
  </si>
  <si>
    <t>3.6.9</t>
  </si>
  <si>
    <t>3.8.7</t>
  </si>
  <si>
    <t>3.8.17</t>
  </si>
  <si>
    <t>3.7.17</t>
  </si>
  <si>
    <t>If yes, please specify rules (source, destination &amp; ports):</t>
  </si>
  <si>
    <t>All cryptographic modules/algorithms must be FIPS -140-2 certified. 
http://csrc.nist.gov/groups/STM/cmvp/documents/140-1/140val-all.htm</t>
  </si>
  <si>
    <t>Review AHLD/HLD to confirm that PwC is the identity provider.</t>
  </si>
  <si>
    <t>Review AHLD/HLD for protection of credentials during transmission.</t>
  </si>
  <si>
    <t>Review AHLD/HLD for authentication process for the implementation of MFA.</t>
  </si>
  <si>
    <t>Review AHLD/HLD and/or Detail Design (DD) for encryption key management process.</t>
  </si>
  <si>
    <t>Review AHLD/HLD and/or Detail Design (DD) for usage of stored procedures.</t>
  </si>
  <si>
    <t>Review AHLD/HLD and/or Detail Design (DD) for usage of DB views.</t>
  </si>
  <si>
    <t>N/A PwC IT/UK/US/Canada as this is covered by the TDG/ARB.
Review AHLD/HLD.</t>
  </si>
  <si>
    <t>Review AHLD/HLD or DD for controls on administrative interfaces.</t>
  </si>
  <si>
    <t>Review AHLD/HLD or DD for elements that will be logged.</t>
  </si>
  <si>
    <t>Review AHLD/HLD or DD for insecure protocols.</t>
  </si>
  <si>
    <t>Review AHLD/HLD/DD to determine logged data reporting capabilities.</t>
  </si>
  <si>
    <t>Review AHLD/HLD/DD for integration with SIEM</t>
  </si>
  <si>
    <t>Review AHLD/HLD/DD for ports required by the application and relay information to the testing team.</t>
  </si>
  <si>
    <t>The application/system shall document all ports required to function and direction of traffic in a visual aid ( e.g. architecture high level design(AAHLD/HLD),  detailed design (DD) or other).</t>
  </si>
  <si>
    <t xml:space="preserve">Review  AHLD/HLD/DD to confirm tier design approach.
</t>
  </si>
  <si>
    <t>Review AHLD/HLD and/or Detail Design (DD) for security re-authentication controls</t>
  </si>
  <si>
    <t>2.1b</t>
  </si>
  <si>
    <t>ASC</t>
  </si>
  <si>
    <t xml:space="preserve">ASC Activity </t>
  </si>
  <si>
    <t xml:space="preserve">Please contact the AppSec team using JIRA: https://nis.pwcinternal.com/confluence/display/NASPD/Home+Page
</t>
  </si>
  <si>
    <t>2.1c</t>
  </si>
  <si>
    <t>Responses</t>
  </si>
  <si>
    <t>Contact information updated for JIRA, un-needed comments removed, Questions tab Responses highlighted</t>
  </si>
  <si>
    <t>Review documentation and/or request confirmation from the Operations Deployment Team for desirable environment credential differences.</t>
  </si>
  <si>
    <t>Review AHLD/HLD and/or Detail Design (DD) and related documentation for authentication framework.</t>
  </si>
  <si>
    <t xml:space="preserve">Automated log analysis to detect and alert on access violation.  
</t>
  </si>
  <si>
    <t>Review account management documentation and specifications to ensure initial randomly generated password for first time login.</t>
  </si>
  <si>
    <t>Review account management documentation and specifications to ensure initial password are delivered in a secure way.</t>
  </si>
  <si>
    <t>Review AHLD/HLD and/or Detail Design (DD) for data in transit encryption client to server.</t>
  </si>
  <si>
    <t>Review AHLD/HLD and/or Detail Design (DD) for data in transit encryption server to server.</t>
  </si>
  <si>
    <t>Review AHLD/HLD and/or Detail Design (DD) for symmetric algorithms for medium or high keys, if AES minimum 128bits key.</t>
  </si>
  <si>
    <t>Review AHLD/HLD and/or Detail Design (DD) for symmetric algorithms with big key, if AES minimum of a 256 bits key.</t>
  </si>
  <si>
    <t>2.1.d</t>
  </si>
  <si>
    <t>Review AHLD/HLD and/or Detail Design (DD) for appropriate asymmetric algorithms.</t>
  </si>
  <si>
    <t>Review AHLD/HLD and/or Detail Design (DD) for data at rest encryption in the hosting environment.</t>
  </si>
  <si>
    <t>Review AHLD/HLD and/or Detail Design (DD) for data at rest encryption out of the hosting environment.</t>
  </si>
  <si>
    <t>Review AHLD/HLD and/or Detail Design (DD) for correct hashing algorithms.</t>
  </si>
  <si>
    <t>Review AHLD/HLD and/or Detail Design (DD) for the use of column encryption for sensitive data.</t>
  </si>
  <si>
    <t>Review AHLD/HLD and/or Detail Design (DD) for access to DB objects.  Ensure app user does not have DBO, just read/write or even better execute on stored procedures and read on views.</t>
  </si>
  <si>
    <t>Review AHLD/HLD or DD to confirm that email spoofing is not possible.</t>
  </si>
  <si>
    <t>Review AHLD/HLD or DD to confirm there is no open email relay.</t>
  </si>
  <si>
    <t>Review AHLD/HLD and/or DD to confirm sound security measures for file upload functionality.</t>
  </si>
  <si>
    <t>Review AHLD/HLD/DD for traceability of user actions.</t>
  </si>
  <si>
    <t>Review AHLD/HLD/DD for database backend DCL, DDL login.</t>
  </si>
  <si>
    <t>Review AHLD/HLD/DD for file transfer logging.</t>
  </si>
  <si>
    <t>Review AHLD/HLD/DD for access change trail</t>
  </si>
  <si>
    <t>Confirm the standard build that includes malware protection is being used and policy for software update and signature update.</t>
  </si>
  <si>
    <t>Confirm the standard build that includes the standard malware protection is being used.</t>
  </si>
  <si>
    <t>Review AHLD/HLD and/or Detail Design (DD) for mobile data at rest encryption.</t>
  </si>
  <si>
    <t xml:space="preserve">Review AHLD/HLD and/or Detail Design (DD) and related documentation for mobile controls for locally stored data. </t>
  </si>
  <si>
    <t>Review AHLD/HLD and/or Detail Design (DD) for mobile code protection mechanisms.</t>
  </si>
  <si>
    <t>Review AHLD/HLD and/or Detail Design (DD) for mobile data in transit encryption.</t>
  </si>
  <si>
    <t>Review AHLD/HLD and/or Detail Design (DD) for mobile to server communication process</t>
  </si>
  <si>
    <t xml:space="preserve">Review AHLD/HLD and/or Detail Design (DD) for mobile application controls </t>
  </si>
  <si>
    <t>ASC activities enhacement 1.10, 1.11, 1.13, 2.5, 2.6, 3.3, 3.4, 3.6, 3.7, 4.21, 4.22, 5.1, 5.2, 5.3, 5.5, 5.9, 8.1, 8.3, 10.1-10.7</t>
  </si>
  <si>
    <t>Review session inactivity timeout configuration settings and re-authentication.</t>
  </si>
  <si>
    <t>Review session timeout  configuration settings and re-authentication.</t>
  </si>
  <si>
    <r>
      <t>The application/system shall implement inactivity timeout and require re-authentication triggered by the</t>
    </r>
    <r>
      <rPr>
        <b/>
        <sz val="10"/>
        <color theme="1"/>
        <rFont val="Calibri"/>
        <family val="2"/>
        <scheme val="minor"/>
      </rPr>
      <t xml:space="preserve"> inactivity timeout.</t>
    </r>
  </si>
  <si>
    <r>
      <t>The application/system shall implement session timeout and require re-authentication  triggered by the</t>
    </r>
    <r>
      <rPr>
        <b/>
        <sz val="10"/>
        <color theme="1"/>
        <rFont val="Calibri"/>
        <family val="2"/>
        <scheme val="minor"/>
      </rPr>
      <t xml:space="preserve"> session timeout</t>
    </r>
    <r>
      <rPr>
        <sz val="10"/>
        <color theme="1"/>
        <rFont val="Calibri"/>
        <family val="2"/>
        <scheme val="minor"/>
      </rPr>
      <t>.</t>
    </r>
  </si>
  <si>
    <t>Review vendor supplied accounts or default accounts and theirs configuration settings.</t>
  </si>
  <si>
    <t>Confirm the standard build that includes malware protection is being used to protect against file uploads or additional library which is properly maintain is used for for malware protection.</t>
  </si>
  <si>
    <t>Review AHLD/HLD/DD to confirm logins/logouts are being logged.</t>
  </si>
  <si>
    <t>Review AHLD/HLD/DD for integration with SIEM and confirm analysis on this data will be performed.</t>
  </si>
  <si>
    <t>When using Symmetric Encryption as a minimum use AES with 128 bits must be used, recommended 256 bits.</t>
  </si>
  <si>
    <t>Backing out DC2+ changes not in alignment with the Application Security Patterns.  Removing 1.6.0 MFA , 3.3.0 256 key length as requirements for DC2+</t>
  </si>
  <si>
    <t>2.1.e</t>
  </si>
  <si>
    <t>n</t>
  </si>
  <si>
    <t>Moved Additional Comments column</t>
  </si>
  <si>
    <t>2.1.f</t>
  </si>
  <si>
    <t>Tax Breeze</t>
  </si>
  <si>
    <t>yes</t>
  </si>
  <si>
    <t>no</t>
  </si>
  <si>
    <t>prevent reuse within 6 generations not implemented</t>
  </si>
  <si>
    <t>This is in development</t>
  </si>
  <si>
    <t xml:space="preserve">Standard SSL </t>
  </si>
  <si>
    <t>hosted on Azure</t>
  </si>
  <si>
    <t>Azure SQL DB</t>
  </si>
  <si>
    <t>Qualys Cloud platform can be deployed using Azure resource manager</t>
  </si>
  <si>
    <t>SQL Logs</t>
  </si>
  <si>
    <t>Auditing is in the implementation process</t>
  </si>
  <si>
    <t>Not sure</t>
  </si>
  <si>
    <t>not implemented yet. In development</t>
  </si>
  <si>
    <t>scenario does not exist</t>
  </si>
  <si>
    <t xml:space="preserve">Features are yet to be implemented. </t>
  </si>
  <si>
    <t>Scenario does not exist</t>
  </si>
  <si>
    <t>the only iframe used is for the chat bot</t>
  </si>
  <si>
    <t>isnt this standard behavior</t>
  </si>
  <si>
    <t>no CSR or XRSF is employed</t>
  </si>
  <si>
    <t>standard behaviour??</t>
  </si>
  <si>
    <t>No open source code used</t>
  </si>
  <si>
    <t>Logging is in the works but not fully implemented yet</t>
  </si>
  <si>
    <t>not sure</t>
  </si>
  <si>
    <t>ssl standard includes TLS</t>
  </si>
  <si>
    <t>TDE</t>
  </si>
  <si>
    <t>Standard behavior??</t>
  </si>
  <si>
    <t>TDE???</t>
  </si>
  <si>
    <t>Not sure?</t>
  </si>
  <si>
    <t>Assuming yes</t>
  </si>
  <si>
    <t>Users are allowed to create their passwords based on secure passowrd rules</t>
  </si>
  <si>
    <t>Application based security</t>
  </si>
</sst>
</file>

<file path=xl/styles.xml><?xml version="1.0" encoding="utf-8"?>
<styleSheet xmlns="http://schemas.openxmlformats.org/spreadsheetml/2006/main" xmlns:mc="http://schemas.openxmlformats.org/markup-compatibility/2006" xmlns:x14ac="http://schemas.microsoft.com/office/spreadsheetml/2009/9/ac" mc:Ignorable="x14ac">
  <fonts count="52" x14ac:knownFonts="1">
    <font>
      <sz val="11"/>
      <color theme="1"/>
      <name val="Calibri"/>
      <family val="2"/>
      <scheme val="minor"/>
    </font>
    <font>
      <b/>
      <sz val="11"/>
      <color theme="1"/>
      <name val="Calibri"/>
      <family val="2"/>
      <scheme val="minor"/>
    </font>
    <font>
      <sz val="11"/>
      <color theme="1"/>
      <name val="Arial"/>
      <family val="2"/>
    </font>
    <font>
      <sz val="10"/>
      <color theme="1"/>
      <name val="Arial"/>
      <family val="2"/>
    </font>
    <font>
      <sz val="10"/>
      <color rgb="FF000000"/>
      <name val="Arial"/>
      <family val="2"/>
    </font>
    <font>
      <i/>
      <sz val="11"/>
      <color theme="1"/>
      <name val="Arial"/>
      <family val="2"/>
    </font>
    <font>
      <b/>
      <sz val="11"/>
      <name val="Arial"/>
      <family val="2"/>
    </font>
    <font>
      <b/>
      <sz val="11"/>
      <color rgb="FFE0301E"/>
      <name val="Arial"/>
      <family val="2"/>
    </font>
    <font>
      <u/>
      <sz val="11"/>
      <color theme="10"/>
      <name val="Calibri"/>
      <family val="2"/>
      <scheme val="minor"/>
    </font>
    <font>
      <b/>
      <sz val="14"/>
      <color theme="1"/>
      <name val="Calibri"/>
      <family val="2"/>
      <scheme val="minor"/>
    </font>
    <font>
      <sz val="11"/>
      <color rgb="FF9C6500"/>
      <name val="Calibri"/>
      <family val="2"/>
      <scheme val="minor"/>
    </font>
    <font>
      <sz val="10"/>
      <color theme="1"/>
      <name val="Calibri"/>
      <family val="2"/>
      <scheme val="minor"/>
    </font>
    <font>
      <sz val="10"/>
      <name val="Calibri"/>
      <family val="2"/>
      <scheme val="minor"/>
    </font>
    <font>
      <sz val="10"/>
      <color rgb="FF9C6500"/>
      <name val="Calibri"/>
      <family val="2"/>
      <scheme val="minor"/>
    </font>
    <font>
      <b/>
      <sz val="11"/>
      <color theme="1"/>
      <name val="Arial"/>
      <family val="2"/>
    </font>
    <font>
      <b/>
      <sz val="11"/>
      <color theme="0"/>
      <name val="Calibri"/>
      <family val="2"/>
      <scheme val="minor"/>
    </font>
    <font>
      <sz val="11"/>
      <color rgb="FFFF0000"/>
      <name val="Calibri"/>
      <family val="2"/>
      <scheme val="minor"/>
    </font>
    <font>
      <b/>
      <sz val="10"/>
      <color theme="0"/>
      <name val="Calibri"/>
      <family val="2"/>
      <scheme val="minor"/>
    </font>
    <font>
      <b/>
      <sz val="11"/>
      <color rgb="FFFF0000"/>
      <name val="Calibri"/>
      <family val="2"/>
      <scheme val="minor"/>
    </font>
    <font>
      <b/>
      <sz val="14"/>
      <color theme="1"/>
      <name val="Arial"/>
      <family val="2"/>
    </font>
    <font>
      <sz val="7"/>
      <color theme="1"/>
      <name val="Times New Roman"/>
      <family val="1"/>
    </font>
    <font>
      <sz val="7"/>
      <color rgb="FF000000"/>
      <name val="Times New Roman"/>
      <family val="1"/>
    </font>
    <font>
      <b/>
      <sz val="10"/>
      <color theme="1"/>
      <name val="Arial"/>
      <family val="2"/>
    </font>
    <font>
      <b/>
      <sz val="10"/>
      <name val="Calibri"/>
      <family val="2"/>
      <scheme val="minor"/>
    </font>
    <font>
      <sz val="10"/>
      <color rgb="FFFF0000"/>
      <name val="Calibri"/>
      <family val="2"/>
      <scheme val="minor"/>
    </font>
    <font>
      <b/>
      <u/>
      <sz val="11"/>
      <color theme="1"/>
      <name val="Calibri"/>
      <family val="2"/>
      <scheme val="minor"/>
    </font>
    <font>
      <b/>
      <sz val="11"/>
      <color theme="1"/>
      <name val="Georgia"/>
      <family val="1"/>
    </font>
    <font>
      <b/>
      <sz val="10"/>
      <color theme="1"/>
      <name val="Calibri"/>
      <family val="2"/>
      <scheme val="minor"/>
    </font>
    <font>
      <u/>
      <sz val="10"/>
      <color theme="10"/>
      <name val="Calibri"/>
      <family val="2"/>
      <scheme val="minor"/>
    </font>
    <font>
      <b/>
      <sz val="10"/>
      <color rgb="FFFF0000"/>
      <name val="Calibri"/>
      <family val="2"/>
      <scheme val="minor"/>
    </font>
    <font>
      <b/>
      <sz val="12"/>
      <color theme="1"/>
      <name val="Calibri"/>
      <family val="2"/>
      <scheme val="minor"/>
    </font>
    <font>
      <sz val="9"/>
      <color indexed="81"/>
      <name val="Tahoma"/>
      <family val="2"/>
    </font>
    <font>
      <b/>
      <sz val="8"/>
      <color indexed="9"/>
      <name val="Arial"/>
      <family val="2"/>
    </font>
    <font>
      <b/>
      <sz val="9"/>
      <color indexed="9"/>
      <name val="Arial"/>
      <family val="2"/>
    </font>
    <font>
      <b/>
      <sz val="8"/>
      <name val="Arial"/>
      <family val="2"/>
    </font>
    <font>
      <sz val="8"/>
      <name val="Arial"/>
      <family val="2"/>
    </font>
    <font>
      <vertAlign val="superscript"/>
      <sz val="8"/>
      <color indexed="10"/>
      <name val="Arial"/>
      <family val="2"/>
    </font>
    <font>
      <b/>
      <vertAlign val="superscript"/>
      <sz val="8"/>
      <color indexed="10"/>
      <name val="Arial"/>
      <family val="2"/>
    </font>
    <font>
      <b/>
      <u/>
      <sz val="9"/>
      <color indexed="9"/>
      <name val="Arial"/>
      <family val="2"/>
    </font>
    <font>
      <sz val="9"/>
      <name val="Arial"/>
      <family val="2"/>
    </font>
    <font>
      <sz val="9"/>
      <color indexed="9"/>
      <name val="Arial"/>
      <family val="2"/>
    </font>
    <font>
      <b/>
      <u/>
      <sz val="10"/>
      <name val="Arial"/>
      <family val="2"/>
    </font>
    <font>
      <vertAlign val="superscript"/>
      <sz val="10"/>
      <name val="Arial"/>
      <family val="2"/>
    </font>
    <font>
      <sz val="10"/>
      <name val="Arial"/>
      <family val="2"/>
    </font>
    <font>
      <sz val="12"/>
      <color theme="1"/>
      <name val="Calibri"/>
      <family val="2"/>
      <scheme val="minor"/>
    </font>
    <font>
      <u/>
      <sz val="10"/>
      <color rgb="FFFF0000"/>
      <name val="Calibri"/>
      <family val="2"/>
      <scheme val="minor"/>
    </font>
    <font>
      <sz val="10"/>
      <color theme="1" tint="0.249977111117893"/>
      <name val="Calibri"/>
      <family val="2"/>
      <scheme val="minor"/>
    </font>
    <font>
      <u/>
      <sz val="10"/>
      <color theme="1" tint="0.249977111117893"/>
      <name val="Calibri"/>
      <family val="2"/>
      <scheme val="minor"/>
    </font>
    <font>
      <sz val="10"/>
      <color rgb="FF000000"/>
      <name val="Calibri"/>
      <family val="2"/>
      <scheme val="minor"/>
    </font>
    <font>
      <b/>
      <sz val="9"/>
      <color indexed="81"/>
      <name val="Tahoma"/>
      <family val="2"/>
    </font>
    <font>
      <b/>
      <sz val="12"/>
      <color theme="0"/>
      <name val="Calibri"/>
      <family val="2"/>
      <scheme val="minor"/>
    </font>
    <font>
      <sz val="10"/>
      <color theme="1" tint="4.9989318521683403E-2"/>
      <name val="Calibri"/>
      <family val="2"/>
      <scheme val="minor"/>
    </font>
  </fonts>
  <fills count="16">
    <fill>
      <patternFill patternType="none"/>
    </fill>
    <fill>
      <patternFill patternType="gray125"/>
    </fill>
    <fill>
      <patternFill patternType="solid">
        <fgColor theme="0" tint="-4.9989318521683403E-2"/>
        <bgColor indexed="64"/>
      </patternFill>
    </fill>
    <fill>
      <patternFill patternType="solid">
        <fgColor rgb="FFFFEB9C"/>
      </patternFill>
    </fill>
    <fill>
      <patternFill patternType="solid">
        <fgColor theme="3" tint="0.39997558519241921"/>
        <bgColor indexed="64"/>
      </patternFill>
    </fill>
    <fill>
      <patternFill patternType="solid">
        <fgColor theme="0"/>
        <bgColor indexed="64"/>
      </patternFill>
    </fill>
    <fill>
      <patternFill patternType="solid">
        <fgColor theme="6" tint="0.59999389629810485"/>
        <bgColor indexed="64"/>
      </patternFill>
    </fill>
    <fill>
      <patternFill patternType="solid">
        <fgColor theme="2"/>
        <bgColor indexed="64"/>
      </patternFill>
    </fill>
    <fill>
      <patternFill patternType="solid">
        <fgColor indexed="8"/>
        <bgColor indexed="64"/>
      </patternFill>
    </fill>
    <fill>
      <patternFill patternType="solid">
        <fgColor indexed="43"/>
        <bgColor indexed="43"/>
      </patternFill>
    </fill>
    <fill>
      <patternFill patternType="solid">
        <fgColor indexed="63"/>
        <bgColor indexed="64"/>
      </patternFill>
    </fill>
    <fill>
      <patternFill patternType="solid">
        <fgColor indexed="43"/>
        <bgColor indexed="64"/>
      </patternFill>
    </fill>
    <fill>
      <patternFill patternType="solid">
        <fgColor rgb="FFFFC000"/>
        <bgColor indexed="64"/>
      </patternFill>
    </fill>
    <fill>
      <patternFill patternType="solid">
        <fgColor rgb="FFFFFF00"/>
        <bgColor indexed="64"/>
      </patternFill>
    </fill>
    <fill>
      <patternFill patternType="solid">
        <fgColor rgb="FF0070C0"/>
        <bgColor indexed="64"/>
      </patternFill>
    </fill>
    <fill>
      <patternFill patternType="solid">
        <fgColor theme="4" tint="0.79998168889431442"/>
        <bgColor indexed="64"/>
      </patternFill>
    </fill>
  </fills>
  <borders count="46">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style="thin">
        <color auto="1"/>
      </top>
      <bottom style="hair">
        <color auto="1"/>
      </bottom>
      <diagonal/>
    </border>
    <border>
      <left style="thin">
        <color indexed="64"/>
      </left>
      <right/>
      <top style="thin">
        <color indexed="64"/>
      </top>
      <bottom style="thin">
        <color indexed="64"/>
      </bottom>
      <diagonal/>
    </border>
    <border>
      <left style="thin">
        <color auto="1"/>
      </left>
      <right style="thin">
        <color auto="1"/>
      </right>
      <top style="hair">
        <color auto="1"/>
      </top>
      <bottom style="hair">
        <color auto="1"/>
      </bottom>
      <diagonal/>
    </border>
    <border>
      <left style="thin">
        <color auto="1"/>
      </left>
      <right style="thin">
        <color indexed="64"/>
      </right>
      <top/>
      <bottom style="hair">
        <color auto="1"/>
      </bottom>
      <diagonal/>
    </border>
    <border>
      <left style="thin">
        <color auto="1"/>
      </left>
      <right style="thin">
        <color indexed="64"/>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thin">
        <color indexed="64"/>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style="thin">
        <color indexed="64"/>
      </top>
      <bottom style="medium">
        <color indexed="64"/>
      </bottom>
      <diagonal/>
    </border>
    <border>
      <left style="medium">
        <color auto="1"/>
      </left>
      <right/>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dotted">
        <color auto="1"/>
      </right>
      <top style="medium">
        <color auto="1"/>
      </top>
      <bottom style="dotted">
        <color auto="1"/>
      </bottom>
      <diagonal/>
    </border>
    <border>
      <left style="dotted">
        <color auto="1"/>
      </left>
      <right style="dotted">
        <color auto="1"/>
      </right>
      <top style="medium">
        <color auto="1"/>
      </top>
      <bottom style="dotted">
        <color auto="1"/>
      </bottom>
      <diagonal/>
    </border>
    <border>
      <left style="medium">
        <color auto="1"/>
      </left>
      <right style="dotted">
        <color auto="1"/>
      </right>
      <top style="dotted">
        <color auto="1"/>
      </top>
      <bottom style="dotted">
        <color auto="1"/>
      </bottom>
      <diagonal/>
    </border>
    <border>
      <left style="dotted">
        <color auto="1"/>
      </left>
      <right style="dotted">
        <color auto="1"/>
      </right>
      <top style="dotted">
        <color auto="1"/>
      </top>
      <bottom style="dotted">
        <color auto="1"/>
      </bottom>
      <diagonal/>
    </border>
    <border>
      <left style="medium">
        <color auto="1"/>
      </left>
      <right style="dotted">
        <color auto="1"/>
      </right>
      <top style="dotted">
        <color auto="1"/>
      </top>
      <bottom style="medium">
        <color auto="1"/>
      </bottom>
      <diagonal/>
    </border>
    <border>
      <left style="dotted">
        <color auto="1"/>
      </left>
      <right style="dotted">
        <color auto="1"/>
      </right>
      <top style="dotted">
        <color auto="1"/>
      </top>
      <bottom style="medium">
        <color auto="1"/>
      </bottom>
      <diagonal/>
    </border>
    <border>
      <left style="dotted">
        <color auto="1"/>
      </left>
      <right/>
      <top style="medium">
        <color auto="1"/>
      </top>
      <bottom style="dotted">
        <color auto="1"/>
      </bottom>
      <diagonal/>
    </border>
    <border>
      <left style="dotted">
        <color auto="1"/>
      </left>
      <right/>
      <top style="dotted">
        <color auto="1"/>
      </top>
      <bottom style="dotted">
        <color auto="1"/>
      </bottom>
      <diagonal/>
    </border>
    <border>
      <left style="dotted">
        <color auto="1"/>
      </left>
      <right/>
      <top style="dotted">
        <color auto="1"/>
      </top>
      <bottom style="medium">
        <color auto="1"/>
      </bottom>
      <diagonal/>
    </border>
    <border>
      <left style="thin">
        <color auto="1"/>
      </left>
      <right style="thin">
        <color auto="1"/>
      </right>
      <top/>
      <bottom/>
      <diagonal/>
    </border>
    <border>
      <left style="hair">
        <color auto="1"/>
      </left>
      <right style="hair">
        <color auto="1"/>
      </right>
      <top style="hair">
        <color auto="1"/>
      </top>
      <bottom style="hair">
        <color auto="1"/>
      </bottom>
      <diagonal/>
    </border>
  </borders>
  <cellStyleXfs count="4">
    <xf numFmtId="0" fontId="0" fillId="0" borderId="0"/>
    <xf numFmtId="0" fontId="8" fillId="0" borderId="0" applyNumberFormat="0" applyFill="0" applyBorder="0" applyAlignment="0" applyProtection="0"/>
    <xf numFmtId="0" fontId="10" fillId="3" borderId="0" applyNumberFormat="0" applyBorder="0" applyAlignment="0" applyProtection="0"/>
    <xf numFmtId="0" fontId="3" fillId="0" borderId="0"/>
  </cellStyleXfs>
  <cellXfs count="315">
    <xf numFmtId="0" fontId="0" fillId="0" borderId="0" xfId="0"/>
    <xf numFmtId="0" fontId="0" fillId="0" borderId="0" xfId="0" applyAlignment="1">
      <alignment horizontal="center"/>
    </xf>
    <xf numFmtId="0" fontId="1" fillId="2" borderId="4" xfId="0" applyFont="1" applyFill="1" applyBorder="1" applyAlignment="1">
      <alignment horizontal="left" indent="1"/>
    </xf>
    <xf numFmtId="0" fontId="1" fillId="2" borderId="0" xfId="0" applyFont="1" applyFill="1" applyBorder="1" applyAlignment="1">
      <alignment horizontal="center"/>
    </xf>
    <xf numFmtId="0" fontId="1" fillId="2" borderId="5" xfId="0" applyFont="1" applyFill="1" applyBorder="1" applyAlignment="1">
      <alignment horizontal="center"/>
    </xf>
    <xf numFmtId="0" fontId="0" fillId="0" borderId="0" xfId="0" applyBorder="1" applyAlignment="1">
      <alignment horizontal="center"/>
    </xf>
    <xf numFmtId="0" fontId="0" fillId="0" borderId="7" xfId="0" applyBorder="1" applyAlignment="1">
      <alignment horizontal="center"/>
    </xf>
    <xf numFmtId="0" fontId="2" fillId="0" borderId="0" xfId="0" applyFont="1" applyAlignment="1">
      <alignment vertical="center" wrapText="1"/>
    </xf>
    <xf numFmtId="0" fontId="0" fillId="0" borderId="5" xfId="0" quotePrefix="1" applyBorder="1" applyAlignment="1">
      <alignment horizontal="center"/>
    </xf>
    <xf numFmtId="0" fontId="11" fillId="0" borderId="12" xfId="0" applyFont="1" applyBorder="1" applyAlignment="1">
      <alignment horizontal="center" vertical="center" wrapText="1"/>
    </xf>
    <xf numFmtId="0" fontId="11" fillId="0" borderId="12" xfId="0" applyFont="1" applyBorder="1" applyAlignment="1">
      <alignment horizontal="center" vertical="center"/>
    </xf>
    <xf numFmtId="0" fontId="11" fillId="0" borderId="12" xfId="0" applyFont="1" applyBorder="1" applyAlignment="1">
      <alignment horizontal="center"/>
    </xf>
    <xf numFmtId="0" fontId="11" fillId="0" borderId="12" xfId="0" applyFont="1" applyBorder="1" applyAlignment="1">
      <alignment horizontal="center" wrapText="1"/>
    </xf>
    <xf numFmtId="0" fontId="12" fillId="0" borderId="12" xfId="0" applyFont="1" applyBorder="1" applyAlignment="1">
      <alignment horizontal="center"/>
    </xf>
    <xf numFmtId="0" fontId="11" fillId="0" borderId="12" xfId="2" applyFont="1" applyFill="1" applyBorder="1" applyAlignment="1">
      <alignment horizontal="center"/>
    </xf>
    <xf numFmtId="0" fontId="0" fillId="0" borderId="0" xfId="0" applyProtection="1"/>
    <xf numFmtId="0" fontId="0" fillId="0" borderId="0" xfId="0" applyFont="1" applyProtection="1"/>
    <xf numFmtId="0" fontId="0" fillId="0" borderId="0" xfId="0" applyFont="1"/>
    <xf numFmtId="0" fontId="11" fillId="5" borderId="12"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3" fillId="6" borderId="12" xfId="2" applyFont="1" applyFill="1" applyBorder="1" applyAlignment="1">
      <alignment horizontal="center" vertical="center"/>
    </xf>
    <xf numFmtId="0" fontId="11" fillId="6" borderId="12" xfId="0" applyFont="1" applyFill="1" applyBorder="1" applyAlignment="1">
      <alignment horizontal="center" vertical="center"/>
    </xf>
    <xf numFmtId="0" fontId="11" fillId="0" borderId="12" xfId="0" applyFont="1" applyBorder="1"/>
    <xf numFmtId="0" fontId="0" fillId="0" borderId="0" xfId="0"/>
    <xf numFmtId="14" fontId="0" fillId="0" borderId="0" xfId="0" applyNumberFormat="1" applyBorder="1" applyAlignment="1">
      <alignment horizontal="center"/>
    </xf>
    <xf numFmtId="0" fontId="0" fillId="0" borderId="7" xfId="0" applyBorder="1"/>
    <xf numFmtId="0" fontId="0" fillId="0" borderId="4" xfId="0" applyBorder="1" applyAlignment="1">
      <alignment horizontal="left" indent="1"/>
    </xf>
    <xf numFmtId="0" fontId="0" fillId="0" borderId="0" xfId="0"/>
    <xf numFmtId="0" fontId="0" fillId="0" borderId="4" xfId="0" applyBorder="1"/>
    <xf numFmtId="0" fontId="0" fillId="0" borderId="0" xfId="0"/>
    <xf numFmtId="0" fontId="0" fillId="0" borderId="4" xfId="0" applyBorder="1"/>
    <xf numFmtId="0" fontId="0" fillId="0" borderId="5" xfId="0" applyBorder="1"/>
    <xf numFmtId="0" fontId="3" fillId="0" borderId="0" xfId="0" applyFont="1" applyAlignment="1">
      <alignment vertical="center"/>
    </xf>
    <xf numFmtId="0" fontId="2" fillId="0" borderId="0" xfId="0" applyFont="1" applyAlignment="1">
      <alignment horizontal="center" vertical="center"/>
    </xf>
    <xf numFmtId="0" fontId="19" fillId="0" borderId="0" xfId="0" applyFont="1" applyAlignment="1">
      <alignment horizontal="left" vertical="center" indent="4"/>
    </xf>
    <xf numFmtId="0" fontId="4" fillId="0" borderId="0" xfId="0" applyFont="1" applyAlignment="1">
      <alignment vertical="center"/>
    </xf>
    <xf numFmtId="0" fontId="3" fillId="0" borderId="0" xfId="0" applyFont="1" applyAlignment="1">
      <alignment horizontal="left" vertical="center" indent="2"/>
    </xf>
    <xf numFmtId="0" fontId="3" fillId="0" borderId="0" xfId="0" applyFont="1" applyAlignment="1">
      <alignment horizontal="center" vertical="center"/>
    </xf>
    <xf numFmtId="0" fontId="2" fillId="0" borderId="0" xfId="0" applyFont="1" applyAlignment="1">
      <alignment horizontal="left" vertical="center" indent="2"/>
    </xf>
    <xf numFmtId="0" fontId="4" fillId="0" borderId="0" xfId="0" applyFont="1" applyAlignment="1">
      <alignment horizontal="left" vertical="center" indent="2"/>
    </xf>
    <xf numFmtId="0" fontId="22" fillId="0" borderId="0" xfId="0" applyFont="1" applyAlignment="1">
      <alignment horizontal="center" vertical="center"/>
    </xf>
    <xf numFmtId="0" fontId="11" fillId="6" borderId="12" xfId="0" applyFont="1" applyFill="1" applyBorder="1" applyAlignment="1">
      <alignment horizontal="center"/>
    </xf>
    <xf numFmtId="0" fontId="15" fillId="4" borderId="16" xfId="0" applyFont="1" applyFill="1" applyBorder="1" applyProtection="1"/>
    <xf numFmtId="0" fontId="15" fillId="4" borderId="17" xfId="0" applyFont="1" applyFill="1" applyBorder="1" applyAlignment="1" applyProtection="1">
      <alignment horizontal="center"/>
    </xf>
    <xf numFmtId="0" fontId="1" fillId="0" borderId="1" xfId="0" applyFont="1" applyFill="1" applyBorder="1" applyProtection="1"/>
    <xf numFmtId="0" fontId="0" fillId="0" borderId="3" xfId="0" applyFont="1" applyBorder="1" applyProtection="1"/>
    <xf numFmtId="0" fontId="1" fillId="0" borderId="4" xfId="0" applyFont="1" applyBorder="1"/>
    <xf numFmtId="0" fontId="1" fillId="0" borderId="4" xfId="0" applyFont="1" applyFill="1" applyBorder="1"/>
    <xf numFmtId="0" fontId="0" fillId="0" borderId="8" xfId="0" applyBorder="1" applyAlignment="1">
      <alignment horizontal="center"/>
    </xf>
    <xf numFmtId="0" fontId="1" fillId="0" borderId="21" xfId="0" applyFont="1" applyBorder="1"/>
    <xf numFmtId="0" fontId="23" fillId="0" borderId="12" xfId="3" applyFont="1" applyBorder="1" applyAlignment="1">
      <alignment vertical="top"/>
    </xf>
    <xf numFmtId="0" fontId="23" fillId="0" borderId="22" xfId="3" applyFont="1" applyBorder="1" applyAlignment="1">
      <alignment vertical="top"/>
    </xf>
    <xf numFmtId="0" fontId="23" fillId="0" borderId="12" xfId="3" applyFont="1" applyFill="1" applyBorder="1" applyAlignment="1">
      <alignment vertical="top"/>
    </xf>
    <xf numFmtId="0" fontId="11" fillId="0" borderId="23" xfId="3" applyFont="1" applyBorder="1" applyAlignment="1">
      <alignment vertical="top"/>
    </xf>
    <xf numFmtId="0" fontId="16" fillId="0" borderId="0" xfId="0" applyFont="1"/>
    <xf numFmtId="0" fontId="11" fillId="0" borderId="24" xfId="3" applyFont="1" applyBorder="1" applyAlignment="1">
      <alignment vertical="top"/>
    </xf>
    <xf numFmtId="0" fontId="24" fillId="0" borderId="24" xfId="3" applyFont="1" applyBorder="1" applyAlignment="1">
      <alignment vertical="top"/>
    </xf>
    <xf numFmtId="0" fontId="18" fillId="0" borderId="25" xfId="0" applyFont="1" applyBorder="1" applyAlignment="1">
      <alignment vertical="top"/>
    </xf>
    <xf numFmtId="0" fontId="0" fillId="0" borderId="0" xfId="0"/>
    <xf numFmtId="0" fontId="0" fillId="0" borderId="4" xfId="0" applyBorder="1"/>
    <xf numFmtId="0" fontId="1" fillId="0" borderId="0" xfId="0" applyFont="1"/>
    <xf numFmtId="0" fontId="0" fillId="0" borderId="0" xfId="0" applyAlignment="1">
      <alignment wrapText="1"/>
    </xf>
    <xf numFmtId="0" fontId="25" fillId="0" borderId="0" xfId="0" applyFont="1"/>
    <xf numFmtId="0" fontId="0" fillId="0" borderId="0" xfId="0"/>
    <xf numFmtId="0" fontId="0" fillId="0" borderId="0" xfId="0" applyBorder="1" applyAlignment="1">
      <alignment horizontal="left" wrapText="1" indent="1"/>
    </xf>
    <xf numFmtId="0" fontId="0" fillId="0" borderId="0" xfId="0" applyBorder="1"/>
    <xf numFmtId="0" fontId="0" fillId="0" borderId="0" xfId="0" applyBorder="1" applyAlignment="1">
      <alignment horizontal="left" wrapText="1"/>
    </xf>
    <xf numFmtId="0" fontId="0" fillId="0" borderId="5" xfId="0" applyBorder="1" applyAlignment="1">
      <alignment horizontal="left" wrapText="1"/>
    </xf>
    <xf numFmtId="0" fontId="0" fillId="0" borderId="0" xfId="0" applyBorder="1" applyAlignment="1">
      <alignment horizontal="left"/>
    </xf>
    <xf numFmtId="0" fontId="0" fillId="0" borderId="4" xfId="0" applyBorder="1" applyAlignment="1">
      <alignment horizontal="center" vertical="top"/>
    </xf>
    <xf numFmtId="0" fontId="1" fillId="2" borderId="0" xfId="0" applyFont="1" applyFill="1" applyBorder="1" applyAlignment="1"/>
    <xf numFmtId="0" fontId="0" fillId="0" borderId="0" xfId="0"/>
    <xf numFmtId="0" fontId="0" fillId="0" borderId="0" xfId="0"/>
    <xf numFmtId="0" fontId="0" fillId="0" borderId="5" xfId="0" applyBorder="1" applyAlignment="1">
      <alignment wrapText="1"/>
    </xf>
    <xf numFmtId="0" fontId="0" fillId="0" borderId="4" xfId="0" applyBorder="1" applyAlignment="1">
      <alignment wrapText="1"/>
    </xf>
    <xf numFmtId="0" fontId="0" fillId="0" borderId="0" xfId="0"/>
    <xf numFmtId="0" fontId="0" fillId="0" borderId="0" xfId="0"/>
    <xf numFmtId="0" fontId="11" fillId="0" borderId="12" xfId="0" applyFont="1" applyFill="1" applyBorder="1" applyAlignment="1">
      <alignment wrapText="1"/>
    </xf>
    <xf numFmtId="0" fontId="13" fillId="6" borderId="12" xfId="2" applyFont="1" applyFill="1" applyBorder="1" applyAlignment="1">
      <alignment horizontal="center" vertical="center" wrapText="1"/>
    </xf>
    <xf numFmtId="0" fontId="11" fillId="6" borderId="12" xfId="0" applyFont="1" applyFill="1" applyBorder="1" applyAlignment="1">
      <alignment vertical="center"/>
    </xf>
    <xf numFmtId="0" fontId="11" fillId="6" borderId="12" xfId="0" applyFont="1" applyFill="1" applyBorder="1" applyAlignment="1">
      <alignment horizontal="left"/>
    </xf>
    <xf numFmtId="0" fontId="28" fillId="6" borderId="12" xfId="1" applyFont="1" applyFill="1" applyBorder="1"/>
    <xf numFmtId="0" fontId="28" fillId="6" borderId="12" xfId="1" applyFont="1" applyFill="1" applyBorder="1" applyAlignment="1">
      <alignment vertical="center" wrapText="1"/>
    </xf>
    <xf numFmtId="0" fontId="11" fillId="0" borderId="12" xfId="0" applyFont="1" applyBorder="1" applyAlignment="1">
      <alignment vertical="center"/>
    </xf>
    <xf numFmtId="0" fontId="11" fillId="5" borderId="12" xfId="0" applyFont="1" applyFill="1" applyBorder="1" applyAlignment="1">
      <alignment vertical="center"/>
    </xf>
    <xf numFmtId="0" fontId="11" fillId="0" borderId="12" xfId="0" applyFont="1" applyFill="1" applyBorder="1" applyAlignment="1">
      <alignment horizontal="left" vertical="center" wrapText="1"/>
    </xf>
    <xf numFmtId="0" fontId="28" fillId="0" borderId="12" xfId="1" applyFont="1" applyFill="1" applyBorder="1" applyAlignment="1">
      <alignment vertical="center" wrapText="1"/>
    </xf>
    <xf numFmtId="0" fontId="28" fillId="5" borderId="12" xfId="1" applyFont="1" applyFill="1" applyBorder="1" applyAlignment="1">
      <alignment vertical="center" wrapText="1"/>
    </xf>
    <xf numFmtId="0" fontId="29" fillId="5" borderId="12" xfId="0" applyFont="1" applyFill="1" applyBorder="1" applyAlignment="1">
      <alignment horizontal="left"/>
    </xf>
    <xf numFmtId="0" fontId="11" fillId="0" borderId="12" xfId="0" applyFont="1" applyBorder="1" applyAlignment="1">
      <alignment vertical="center" wrapText="1"/>
    </xf>
    <xf numFmtId="0" fontId="11" fillId="0" borderId="12" xfId="0" applyFont="1" applyFill="1" applyBorder="1" applyAlignment="1">
      <alignment horizontal="left" vertical="center"/>
    </xf>
    <xf numFmtId="0" fontId="28" fillId="0" borderId="12" xfId="1" applyFont="1" applyFill="1" applyBorder="1"/>
    <xf numFmtId="0" fontId="29" fillId="0" borderId="12" xfId="0" applyFont="1" applyFill="1" applyBorder="1" applyAlignment="1">
      <alignment horizontal="left" vertical="center"/>
    </xf>
    <xf numFmtId="0" fontId="11" fillId="0" borderId="12" xfId="0" applyFont="1" applyFill="1" applyBorder="1" applyAlignment="1">
      <alignment vertical="center"/>
    </xf>
    <xf numFmtId="0" fontId="29" fillId="0" borderId="12" xfId="0" applyFont="1" applyFill="1" applyBorder="1" applyAlignment="1">
      <alignment horizontal="left"/>
    </xf>
    <xf numFmtId="0" fontId="11" fillId="0" borderId="12" xfId="0" applyFont="1" applyFill="1" applyBorder="1" applyAlignment="1">
      <alignment horizontal="left"/>
    </xf>
    <xf numFmtId="0" fontId="11" fillId="0" borderId="12" xfId="0" applyFont="1" applyFill="1" applyBorder="1"/>
    <xf numFmtId="0" fontId="11" fillId="0" borderId="12" xfId="0" applyFont="1" applyBorder="1" applyAlignment="1">
      <alignment horizontal="left"/>
    </xf>
    <xf numFmtId="0" fontId="29" fillId="0" borderId="12" xfId="0" applyFont="1" applyBorder="1" applyAlignment="1">
      <alignment horizontal="left"/>
    </xf>
    <xf numFmtId="0" fontId="11" fillId="0" borderId="12" xfId="0" applyFont="1" applyBorder="1" applyAlignment="1">
      <alignment horizontal="left" vertical="center"/>
    </xf>
    <xf numFmtId="0" fontId="11" fillId="0" borderId="12" xfId="0" applyFont="1" applyBorder="1" applyAlignment="1">
      <alignment horizontal="left" vertical="center" wrapText="1"/>
    </xf>
    <xf numFmtId="0" fontId="28" fillId="0" borderId="12" xfId="1" applyFont="1" applyFill="1" applyBorder="1" applyAlignment="1">
      <alignment vertical="center"/>
    </xf>
    <xf numFmtId="0" fontId="29" fillId="0" borderId="12" xfId="0" applyFont="1" applyBorder="1" applyAlignment="1">
      <alignment horizontal="left" vertical="center"/>
    </xf>
    <xf numFmtId="0" fontId="11" fillId="0" borderId="12" xfId="0" applyFont="1" applyFill="1" applyBorder="1" applyAlignment="1">
      <alignment horizontal="left" wrapText="1"/>
    </xf>
    <xf numFmtId="0" fontId="28" fillId="0" borderId="12" xfId="1" applyFont="1" applyFill="1" applyBorder="1" applyAlignment="1">
      <alignment wrapText="1"/>
    </xf>
    <xf numFmtId="3" fontId="11" fillId="6" borderId="12" xfId="0" applyNumberFormat="1" applyFont="1" applyFill="1" applyBorder="1" applyAlignment="1">
      <alignment horizontal="left" vertical="center"/>
    </xf>
    <xf numFmtId="3" fontId="29" fillId="6" borderId="12" xfId="0" applyNumberFormat="1" applyFont="1" applyFill="1" applyBorder="1" applyAlignment="1">
      <alignment horizontal="left" vertical="center"/>
    </xf>
    <xf numFmtId="0" fontId="11" fillId="0" borderId="12" xfId="0" applyFont="1" applyBorder="1" applyAlignment="1">
      <alignment wrapText="1"/>
    </xf>
    <xf numFmtId="0" fontId="13" fillId="0" borderId="12" xfId="2" applyFont="1" applyFill="1" applyBorder="1" applyAlignment="1">
      <alignment horizontal="center"/>
    </xf>
    <xf numFmtId="0" fontId="29" fillId="0" borderId="12" xfId="0" applyFont="1" applyBorder="1"/>
    <xf numFmtId="0" fontId="11" fillId="6" borderId="12" xfId="0" applyFont="1" applyFill="1" applyBorder="1" applyAlignment="1">
      <alignment horizontal="left" vertical="center"/>
    </xf>
    <xf numFmtId="0" fontId="29" fillId="6" borderId="12" xfId="0" applyFont="1" applyFill="1" applyBorder="1" applyAlignment="1">
      <alignment horizontal="left" vertical="center"/>
    </xf>
    <xf numFmtId="0" fontId="11" fillId="0" borderId="12" xfId="0" applyFont="1" applyFill="1" applyBorder="1" applyAlignment="1">
      <alignment vertical="center" wrapText="1"/>
    </xf>
    <xf numFmtId="0" fontId="27" fillId="6" borderId="12" xfId="0" applyFont="1" applyFill="1" applyBorder="1" applyAlignment="1">
      <alignment horizontal="center" vertical="center"/>
    </xf>
    <xf numFmtId="0" fontId="17" fillId="4" borderId="12" xfId="0" applyFont="1" applyFill="1" applyBorder="1" applyAlignment="1" applyProtection="1">
      <alignment horizontal="center" wrapText="1"/>
      <protection locked="0"/>
    </xf>
    <xf numFmtId="0" fontId="11" fillId="0" borderId="12" xfId="0" applyFont="1" applyBorder="1" applyProtection="1">
      <protection locked="0"/>
    </xf>
    <xf numFmtId="0" fontId="12" fillId="0" borderId="12" xfId="0" applyFont="1" applyBorder="1" applyAlignment="1">
      <alignment vertical="top" wrapText="1"/>
    </xf>
    <xf numFmtId="0" fontId="11" fillId="0" borderId="12" xfId="0" applyFont="1" applyFill="1" applyBorder="1" applyAlignment="1">
      <alignment horizontal="center"/>
    </xf>
    <xf numFmtId="0" fontId="12" fillId="6" borderId="12" xfId="0" applyFont="1" applyFill="1" applyBorder="1" applyAlignment="1">
      <alignment horizontal="left" vertical="top" wrapText="1"/>
    </xf>
    <xf numFmtId="14" fontId="0" fillId="0" borderId="7" xfId="0" applyNumberFormat="1" applyBorder="1" applyAlignment="1">
      <alignment horizontal="center"/>
    </xf>
    <xf numFmtId="0" fontId="0" fillId="0" borderId="0" xfId="0" applyFont="1" applyBorder="1" applyProtection="1">
      <protection locked="0"/>
    </xf>
    <xf numFmtId="0" fontId="15" fillId="4" borderId="0" xfId="0" applyFont="1" applyFill="1" applyProtection="1">
      <protection locked="0"/>
    </xf>
    <xf numFmtId="0" fontId="0" fillId="0" borderId="2" xfId="0" applyFont="1" applyBorder="1" applyProtection="1">
      <protection locked="0"/>
    </xf>
    <xf numFmtId="0" fontId="0" fillId="0" borderId="0" xfId="0" applyBorder="1" applyProtection="1">
      <protection locked="0"/>
    </xf>
    <xf numFmtId="0" fontId="1" fillId="0" borderId="0" xfId="0" applyFont="1" applyBorder="1" applyProtection="1">
      <protection locked="0"/>
    </xf>
    <xf numFmtId="0" fontId="0" fillId="0" borderId="0" xfId="0" applyProtection="1">
      <protection locked="0"/>
    </xf>
    <xf numFmtId="0" fontId="1" fillId="0" borderId="32" xfId="0" applyFont="1" applyBorder="1"/>
    <xf numFmtId="0" fontId="1" fillId="0" borderId="33" xfId="0" applyFont="1" applyBorder="1"/>
    <xf numFmtId="0" fontId="1" fillId="0" borderId="34" xfId="0" applyFont="1" applyBorder="1"/>
    <xf numFmtId="0" fontId="0" fillId="0" borderId="35" xfId="0" applyBorder="1" applyAlignment="1">
      <alignment horizontal="center"/>
    </xf>
    <xf numFmtId="0" fontId="0" fillId="0" borderId="36" xfId="0" applyBorder="1" applyProtection="1">
      <protection locked="0"/>
    </xf>
    <xf numFmtId="0" fontId="0" fillId="0" borderId="37" xfId="0" applyBorder="1" applyAlignment="1"/>
    <xf numFmtId="0" fontId="0" fillId="0" borderId="38" xfId="0" applyBorder="1" applyProtection="1">
      <protection locked="0"/>
    </xf>
    <xf numFmtId="0" fontId="1" fillId="0" borderId="38" xfId="0" applyFont="1" applyBorder="1" applyAlignment="1" applyProtection="1">
      <alignment vertical="center" wrapText="1"/>
      <protection locked="0"/>
    </xf>
    <xf numFmtId="0" fontId="0" fillId="0" borderId="39" xfId="0" applyBorder="1" applyAlignment="1"/>
    <xf numFmtId="0" fontId="1" fillId="0" borderId="40" xfId="0" applyFont="1" applyBorder="1" applyAlignment="1" applyProtection="1">
      <alignment vertical="center" wrapText="1"/>
      <protection locked="0"/>
    </xf>
    <xf numFmtId="0" fontId="30" fillId="0" borderId="8" xfId="0" applyFont="1" applyBorder="1" applyAlignment="1">
      <alignment horizontal="center"/>
    </xf>
    <xf numFmtId="0" fontId="11" fillId="0" borderId="12" xfId="0" applyFont="1" applyBorder="1" applyAlignment="1" applyProtection="1">
      <alignment wrapText="1"/>
      <protection locked="0"/>
    </xf>
    <xf numFmtId="0" fontId="11" fillId="5" borderId="12" xfId="0" applyFont="1" applyFill="1" applyBorder="1" applyAlignment="1">
      <alignment horizontal="left" wrapText="1"/>
    </xf>
    <xf numFmtId="0" fontId="11" fillId="0" borderId="12" xfId="0" applyFont="1" applyBorder="1" applyAlignment="1"/>
    <xf numFmtId="0" fontId="12" fillId="0" borderId="12" xfId="0" applyFont="1" applyFill="1" applyBorder="1" applyAlignment="1">
      <alignment horizontal="left" vertical="top" wrapText="1"/>
    </xf>
    <xf numFmtId="0" fontId="12" fillId="0" borderId="12" xfId="0" applyFont="1" applyFill="1" applyBorder="1" applyAlignment="1">
      <alignment vertical="top" wrapText="1"/>
    </xf>
    <xf numFmtId="0" fontId="12" fillId="0" borderId="0" xfId="0" applyFont="1" applyFill="1"/>
    <xf numFmtId="0" fontId="0" fillId="0" borderId="7" xfId="0" applyBorder="1" applyAlignment="1">
      <alignment horizontal="center" wrapText="1"/>
    </xf>
    <xf numFmtId="0" fontId="11" fillId="5" borderId="12" xfId="0" applyFont="1" applyFill="1" applyBorder="1" applyAlignment="1">
      <alignment horizontal="center"/>
    </xf>
    <xf numFmtId="0" fontId="32" fillId="8" borderId="12" xfId="0" applyFont="1" applyFill="1" applyBorder="1" applyAlignment="1">
      <alignment vertical="top" wrapText="1"/>
    </xf>
    <xf numFmtId="0" fontId="33" fillId="8" borderId="12" xfId="0" applyFont="1" applyFill="1" applyBorder="1" applyAlignment="1">
      <alignment vertical="top" wrapText="1"/>
    </xf>
    <xf numFmtId="0" fontId="34" fillId="0" borderId="12" xfId="0" applyFont="1" applyBorder="1" applyAlignment="1">
      <alignment vertical="top" wrapText="1"/>
    </xf>
    <xf numFmtId="0" fontId="35" fillId="0" borderId="12" xfId="0" applyFont="1" applyBorder="1" applyAlignment="1">
      <alignment vertical="top" wrapText="1"/>
    </xf>
    <xf numFmtId="0" fontId="34" fillId="9" borderId="12" xfId="0" applyFont="1" applyFill="1" applyBorder="1" applyAlignment="1">
      <alignment vertical="top" wrapText="1"/>
    </xf>
    <xf numFmtId="0" fontId="39" fillId="10" borderId="12" xfId="0" applyFont="1" applyFill="1" applyBorder="1"/>
    <xf numFmtId="0" fontId="40" fillId="10" borderId="12" xfId="0" applyFont="1" applyFill="1" applyBorder="1" applyAlignment="1">
      <alignment vertical="top" wrapText="1"/>
    </xf>
    <xf numFmtId="0" fontId="34" fillId="11" borderId="12" xfId="0" applyFont="1" applyFill="1" applyBorder="1" applyAlignment="1">
      <alignment vertical="top" wrapText="1"/>
    </xf>
    <xf numFmtId="0" fontId="41" fillId="0" borderId="0" xfId="0" applyFont="1"/>
    <xf numFmtId="0" fontId="35" fillId="0" borderId="0" xfId="0" applyFont="1"/>
    <xf numFmtId="0" fontId="39" fillId="0" borderId="0" xfId="0" applyFont="1"/>
    <xf numFmtId="0" fontId="42" fillId="0" borderId="0" xfId="0" applyFont="1" applyFill="1"/>
    <xf numFmtId="0" fontId="0" fillId="0" borderId="5" xfId="0" applyFill="1" applyBorder="1" applyAlignment="1">
      <alignment horizontal="left" wrapText="1"/>
    </xf>
    <xf numFmtId="0" fontId="15" fillId="4" borderId="0" xfId="0" applyFont="1" applyFill="1" applyProtection="1"/>
    <xf numFmtId="0" fontId="15" fillId="4" borderId="0" xfId="0" applyFont="1" applyFill="1" applyAlignment="1" applyProtection="1">
      <alignment wrapText="1"/>
    </xf>
    <xf numFmtId="0" fontId="0" fillId="0" borderId="2" xfId="0" applyFont="1" applyBorder="1" applyProtection="1"/>
    <xf numFmtId="0" fontId="0" fillId="0" borderId="42" xfId="0" applyBorder="1"/>
    <xf numFmtId="0" fontId="0" fillId="0" borderId="43" xfId="0" applyBorder="1"/>
    <xf numFmtId="0" fontId="0" fillId="0" borderId="8" xfId="0" applyBorder="1"/>
    <xf numFmtId="0" fontId="0" fillId="0" borderId="3" xfId="0" applyBorder="1"/>
    <xf numFmtId="0" fontId="0" fillId="0" borderId="0" xfId="0"/>
    <xf numFmtId="0" fontId="0" fillId="0" borderId="0" xfId="0" applyBorder="1" applyAlignment="1">
      <alignment horizontal="center" wrapText="1"/>
    </xf>
    <xf numFmtId="0" fontId="0" fillId="0" borderId="7" xfId="0" applyBorder="1" applyAlignment="1">
      <alignment horizontal="left" wrapText="1" indent="1"/>
    </xf>
    <xf numFmtId="0" fontId="44" fillId="0" borderId="5" xfId="0" applyFont="1" applyBorder="1" applyAlignment="1">
      <alignment horizontal="center"/>
    </xf>
    <xf numFmtId="0" fontId="8" fillId="0" borderId="12" xfId="1" applyFill="1" applyBorder="1"/>
    <xf numFmtId="0" fontId="11" fillId="0" borderId="12" xfId="0" applyFont="1" applyBorder="1" applyAlignment="1">
      <alignment horizontal="center" vertical="top" wrapText="1"/>
    </xf>
    <xf numFmtId="0" fontId="11" fillId="0" borderId="12" xfId="0" applyFont="1" applyFill="1" applyBorder="1" applyAlignment="1">
      <alignment horizontal="center" vertical="top" wrapText="1"/>
    </xf>
    <xf numFmtId="0" fontId="11" fillId="5" borderId="12" xfId="0" applyFont="1" applyFill="1" applyBorder="1" applyAlignment="1">
      <alignment horizontal="center" vertical="top" wrapText="1"/>
    </xf>
    <xf numFmtId="0" fontId="11" fillId="5" borderId="12" xfId="0" applyFont="1" applyFill="1" applyBorder="1" applyAlignment="1">
      <alignment horizontal="left" vertical="top" wrapText="1"/>
    </xf>
    <xf numFmtId="0" fontId="11" fillId="0" borderId="12" xfId="0" applyFont="1" applyFill="1" applyBorder="1" applyAlignment="1">
      <alignment horizontal="center" vertical="top"/>
    </xf>
    <xf numFmtId="0" fontId="11" fillId="0" borderId="12" xfId="0" applyFont="1" applyBorder="1" applyAlignment="1">
      <alignment horizontal="center" vertical="top"/>
    </xf>
    <xf numFmtId="0" fontId="11" fillId="6" borderId="12" xfId="0" applyFont="1" applyFill="1" applyBorder="1" applyAlignment="1">
      <alignment horizontal="center" vertical="top"/>
    </xf>
    <xf numFmtId="0" fontId="11" fillId="0" borderId="12" xfId="0" quotePrefix="1" applyFont="1" applyBorder="1" applyAlignment="1">
      <alignment horizontal="center" vertical="top"/>
    </xf>
    <xf numFmtId="0" fontId="45" fillId="5" borderId="12" xfId="1" applyFont="1" applyFill="1" applyBorder="1" applyAlignment="1">
      <alignment vertical="center" wrapText="1"/>
    </xf>
    <xf numFmtId="0" fontId="11" fillId="6" borderId="12" xfId="0" applyFont="1" applyFill="1" applyBorder="1" applyAlignment="1">
      <alignment horizontal="center" vertical="top" wrapText="1"/>
    </xf>
    <xf numFmtId="0" fontId="0" fillId="0" borderId="0" xfId="0"/>
    <xf numFmtId="0" fontId="0" fillId="0" borderId="0" xfId="0" applyBorder="1" applyAlignment="1"/>
    <xf numFmtId="0" fontId="1" fillId="2" borderId="2" xfId="0" applyFont="1" applyFill="1" applyBorder="1" applyAlignment="1"/>
    <xf numFmtId="0" fontId="0" fillId="0" borderId="0" xfId="0" applyBorder="1" applyAlignment="1">
      <alignment horizontal="left" indent="1"/>
    </xf>
    <xf numFmtId="0" fontId="46" fillId="0" borderId="12" xfId="2" applyFont="1" applyFill="1" applyBorder="1" applyAlignment="1">
      <alignment horizontal="center"/>
    </xf>
    <xf numFmtId="0" fontId="46" fillId="0" borderId="12" xfId="0" applyFont="1" applyBorder="1" applyAlignment="1">
      <alignment horizontal="center"/>
    </xf>
    <xf numFmtId="0" fontId="47" fillId="0" borderId="12" xfId="1" applyFont="1" applyFill="1" applyBorder="1" applyAlignment="1">
      <alignment vertical="center" wrapText="1"/>
    </xf>
    <xf numFmtId="0" fontId="1" fillId="0" borderId="4" xfId="0" applyFont="1" applyFill="1" applyBorder="1" applyProtection="1"/>
    <xf numFmtId="0" fontId="0" fillId="0" borderId="0" xfId="0" applyFont="1" applyBorder="1" applyProtection="1"/>
    <xf numFmtId="0" fontId="0" fillId="0" borderId="5" xfId="0" applyFont="1" applyBorder="1" applyProtection="1"/>
    <xf numFmtId="0" fontId="0" fillId="0" borderId="0" xfId="0" applyFill="1" applyBorder="1"/>
    <xf numFmtId="2" fontId="30" fillId="0" borderId="5" xfId="0" applyNumberFormat="1" applyFont="1" applyBorder="1" applyAlignment="1">
      <alignment horizontal="center"/>
    </xf>
    <xf numFmtId="0" fontId="11" fillId="0" borderId="25" xfId="0" applyFont="1" applyBorder="1" applyAlignment="1">
      <alignment horizontal="center" vertical="top"/>
    </xf>
    <xf numFmtId="0" fontId="0" fillId="0" borderId="0" xfId="0"/>
    <xf numFmtId="0" fontId="18" fillId="0" borderId="4" xfId="0" applyFont="1" applyBorder="1"/>
    <xf numFmtId="0" fontId="1" fillId="0" borderId="4" xfId="0" applyFont="1" applyBorder="1" applyAlignment="1">
      <alignment wrapText="1"/>
    </xf>
    <xf numFmtId="0" fontId="11" fillId="6" borderId="12" xfId="2" applyFont="1" applyFill="1" applyBorder="1" applyAlignment="1">
      <alignment horizontal="center" vertical="center" wrapText="1"/>
    </xf>
    <xf numFmtId="0" fontId="30" fillId="6" borderId="12" xfId="0" applyFont="1" applyFill="1" applyBorder="1" applyAlignment="1">
      <alignment vertical="center" wrapText="1"/>
    </xf>
    <xf numFmtId="0" fontId="11" fillId="0" borderId="12" xfId="0" applyFont="1" applyFill="1" applyBorder="1" applyAlignment="1">
      <alignment vertical="top" wrapText="1"/>
    </xf>
    <xf numFmtId="0" fontId="11" fillId="0" borderId="12" xfId="0" applyFont="1" applyFill="1" applyBorder="1" applyAlignment="1"/>
    <xf numFmtId="0" fontId="12" fillId="0" borderId="12" xfId="0" applyFont="1" applyFill="1" applyBorder="1" applyAlignment="1">
      <alignment horizontal="left"/>
    </xf>
    <xf numFmtId="0" fontId="12" fillId="0" borderId="0" xfId="0" applyFont="1" applyFill="1" applyAlignment="1">
      <alignment horizontal="left"/>
    </xf>
    <xf numFmtId="0" fontId="27" fillId="0" borderId="12" xfId="0" applyFont="1" applyFill="1" applyBorder="1" applyAlignment="1">
      <alignment horizontal="left"/>
    </xf>
    <xf numFmtId="0" fontId="27" fillId="0" borderId="12" xfId="0" applyFont="1" applyFill="1" applyBorder="1"/>
    <xf numFmtId="0" fontId="11" fillId="0" borderId="0" xfId="0" applyFont="1" applyFill="1" applyAlignment="1">
      <alignment horizontal="center"/>
    </xf>
    <xf numFmtId="0" fontId="0" fillId="0" borderId="0" xfId="0" applyFill="1"/>
    <xf numFmtId="0" fontId="30" fillId="6" borderId="12" xfId="2" applyFont="1" applyFill="1" applyBorder="1" applyAlignment="1">
      <alignment horizontal="center" vertical="center" wrapText="1"/>
    </xf>
    <xf numFmtId="0" fontId="30" fillId="6" borderId="12" xfId="0" applyFont="1" applyFill="1" applyBorder="1" applyAlignment="1">
      <alignment horizontal="center" vertical="center"/>
    </xf>
    <xf numFmtId="0" fontId="11" fillId="5" borderId="12" xfId="0" applyFont="1" applyFill="1" applyBorder="1" applyAlignment="1">
      <alignment vertical="top" wrapText="1"/>
    </xf>
    <xf numFmtId="0" fontId="11" fillId="0" borderId="12" xfId="0" applyFont="1" applyBorder="1" applyAlignment="1">
      <alignment vertical="top" wrapText="1"/>
    </xf>
    <xf numFmtId="0" fontId="11" fillId="0" borderId="12" xfId="0" applyFont="1" applyBorder="1" applyAlignment="1">
      <alignment horizontal="left" vertical="top" wrapText="1"/>
    </xf>
    <xf numFmtId="0" fontId="27" fillId="6" borderId="12" xfId="0" applyFont="1" applyFill="1" applyBorder="1" applyAlignment="1">
      <alignment vertical="top" wrapText="1"/>
    </xf>
    <xf numFmtId="0" fontId="0" fillId="0" borderId="0" xfId="0"/>
    <xf numFmtId="0" fontId="13" fillId="12" borderId="12" xfId="2" applyFont="1" applyFill="1" applyBorder="1" applyAlignment="1">
      <alignment horizontal="center"/>
    </xf>
    <xf numFmtId="0" fontId="11" fillId="12" borderId="12" xfId="0" applyFont="1" applyFill="1" applyBorder="1" applyAlignment="1">
      <alignment horizontal="center"/>
    </xf>
    <xf numFmtId="0" fontId="11" fillId="0" borderId="12" xfId="0" applyFont="1" applyFill="1" applyBorder="1" applyAlignment="1">
      <alignment horizontal="center" vertical="distributed"/>
    </xf>
    <xf numFmtId="0" fontId="13" fillId="12" borderId="12" xfId="2" applyFont="1" applyFill="1" applyBorder="1" applyAlignment="1">
      <alignment horizontal="center" vertical="center"/>
    </xf>
    <xf numFmtId="0" fontId="13" fillId="12" borderId="12" xfId="2" applyFont="1" applyFill="1" applyBorder="1" applyAlignment="1">
      <alignment horizontal="center" vertical="center" wrapText="1"/>
    </xf>
    <xf numFmtId="0" fontId="13" fillId="12" borderId="12" xfId="2" applyFont="1" applyFill="1" applyBorder="1" applyAlignment="1">
      <alignment horizontal="center" wrapText="1"/>
    </xf>
    <xf numFmtId="0" fontId="13" fillId="12" borderId="12" xfId="2" applyFont="1" applyFill="1" applyBorder="1"/>
    <xf numFmtId="0" fontId="11" fillId="12" borderId="12" xfId="2" applyFont="1" applyFill="1" applyBorder="1" applyAlignment="1">
      <alignment horizontal="center"/>
    </xf>
    <xf numFmtId="0" fontId="11" fillId="0" borderId="0" xfId="0" applyFont="1" applyFill="1" applyAlignment="1">
      <alignment wrapText="1"/>
    </xf>
    <xf numFmtId="0" fontId="0" fillId="0" borderId="0" xfId="0"/>
    <xf numFmtId="0" fontId="11" fillId="0" borderId="12" xfId="0" applyFont="1" applyBorder="1" applyAlignment="1">
      <alignment horizontal="left" wrapText="1"/>
    </xf>
    <xf numFmtId="0" fontId="48" fillId="0" borderId="0" xfId="0" applyFont="1" applyFill="1" applyAlignment="1">
      <alignment vertical="top" wrapText="1"/>
    </xf>
    <xf numFmtId="0" fontId="51" fillId="0" borderId="12" xfId="0" applyFont="1" applyFill="1" applyBorder="1" applyAlignment="1">
      <alignment vertical="top" wrapText="1"/>
    </xf>
    <xf numFmtId="0" fontId="11" fillId="13" borderId="12" xfId="0" applyFont="1" applyFill="1" applyBorder="1" applyAlignment="1">
      <alignment horizontal="center"/>
    </xf>
    <xf numFmtId="0" fontId="0" fillId="0" borderId="0" xfId="0" applyFill="1" applyBorder="1" applyAlignment="1">
      <alignment horizontal="center"/>
    </xf>
    <xf numFmtId="0" fontId="0" fillId="0" borderId="4" xfId="0" applyBorder="1" applyAlignment="1">
      <alignment horizontal="center" wrapText="1"/>
    </xf>
    <xf numFmtId="0" fontId="48" fillId="0" borderId="12" xfId="0" applyFont="1" applyFill="1" applyBorder="1" applyAlignment="1">
      <alignment vertical="top" wrapText="1"/>
    </xf>
    <xf numFmtId="0" fontId="48" fillId="0" borderId="12" xfId="0" applyFont="1" applyBorder="1" applyAlignment="1">
      <alignment vertical="top" wrapText="1"/>
    </xf>
    <xf numFmtId="0" fontId="11" fillId="6" borderId="12" xfId="0" applyFont="1" applyFill="1" applyBorder="1" applyAlignment="1">
      <alignment horizontal="left" wrapText="1"/>
    </xf>
    <xf numFmtId="0" fontId="11" fillId="0" borderId="12" xfId="0" quotePrefix="1" applyFont="1" applyBorder="1" applyAlignment="1">
      <alignment horizontal="center" vertical="top" wrapText="1"/>
    </xf>
    <xf numFmtId="0" fontId="11" fillId="5" borderId="44" xfId="0" applyFont="1" applyFill="1" applyBorder="1" applyAlignment="1">
      <alignment horizontal="center"/>
    </xf>
    <xf numFmtId="49" fontId="12" fillId="6" borderId="12" xfId="0" applyNumberFormat="1" applyFont="1" applyFill="1" applyBorder="1" applyAlignment="1">
      <alignment horizontal="left" vertical="top" wrapText="1"/>
    </xf>
    <xf numFmtId="49" fontId="12" fillId="0" borderId="12" xfId="0" applyNumberFormat="1" applyFont="1" applyBorder="1" applyAlignment="1">
      <alignment horizontal="left" vertical="top" wrapText="1"/>
    </xf>
    <xf numFmtId="49" fontId="12" fillId="0" borderId="12" xfId="0" applyNumberFormat="1" applyFont="1" applyFill="1" applyBorder="1" applyAlignment="1">
      <alignment horizontal="left" vertical="top" wrapText="1"/>
    </xf>
    <xf numFmtId="49" fontId="12" fillId="0" borderId="12" xfId="0" applyNumberFormat="1" applyFont="1" applyBorder="1" applyAlignment="1">
      <alignment wrapText="1"/>
    </xf>
    <xf numFmtId="49" fontId="12" fillId="0" borderId="12" xfId="0" applyNumberFormat="1" applyFont="1" applyFill="1" applyBorder="1" applyAlignment="1">
      <alignment wrapText="1"/>
    </xf>
    <xf numFmtId="49" fontId="11" fillId="0" borderId="12" xfId="0" applyNumberFormat="1" applyFont="1" applyBorder="1" applyAlignment="1">
      <alignment horizontal="center" wrapText="1"/>
    </xf>
    <xf numFmtId="49" fontId="12" fillId="0" borderId="0" xfId="0" applyNumberFormat="1" applyFont="1" applyFill="1" applyAlignment="1">
      <alignment wrapText="1"/>
    </xf>
    <xf numFmtId="49" fontId="12" fillId="0" borderId="0" xfId="0" applyNumberFormat="1" applyFont="1" applyAlignment="1">
      <alignment wrapText="1"/>
    </xf>
    <xf numFmtId="49" fontId="11" fillId="6" borderId="12" xfId="0" applyNumberFormat="1" applyFont="1" applyFill="1" applyBorder="1" applyAlignment="1">
      <alignment horizontal="center" vertical="center" wrapText="1"/>
    </xf>
    <xf numFmtId="49" fontId="11" fillId="0" borderId="12" xfId="0" applyNumberFormat="1" applyFont="1" applyBorder="1" applyAlignment="1">
      <alignment horizontal="left" wrapText="1"/>
    </xf>
    <xf numFmtId="0" fontId="11" fillId="0" borderId="44" xfId="0" applyFont="1" applyFill="1" applyBorder="1" applyAlignment="1">
      <alignment horizontal="center" vertical="top" wrapText="1"/>
    </xf>
    <xf numFmtId="0" fontId="0" fillId="0" borderId="0" xfId="0"/>
    <xf numFmtId="0" fontId="50" fillId="14" borderId="12" xfId="0" applyFont="1" applyFill="1" applyBorder="1" applyAlignment="1" applyProtection="1">
      <alignment horizontal="center" vertical="center" wrapText="1"/>
      <protection locked="0"/>
    </xf>
    <xf numFmtId="0" fontId="17" fillId="14" borderId="12" xfId="0" applyFont="1" applyFill="1" applyBorder="1" applyAlignment="1" applyProtection="1">
      <alignment horizontal="center" wrapText="1"/>
      <protection locked="0"/>
    </xf>
    <xf numFmtId="0" fontId="17" fillId="14" borderId="12" xfId="0" applyFont="1" applyFill="1" applyBorder="1" applyAlignment="1" applyProtection="1">
      <alignment horizontal="center" textRotation="90" wrapText="1"/>
      <protection locked="0"/>
    </xf>
    <xf numFmtId="0" fontId="17" fillId="14" borderId="12" xfId="0" applyFont="1" applyFill="1" applyBorder="1" applyAlignment="1" applyProtection="1">
      <alignment wrapText="1"/>
      <protection locked="0"/>
    </xf>
    <xf numFmtId="0" fontId="17" fillId="14" borderId="12" xfId="0" applyFont="1" applyFill="1" applyBorder="1" applyAlignment="1" applyProtection="1">
      <alignment horizontal="center" vertical="top" wrapText="1"/>
      <protection locked="0"/>
    </xf>
    <xf numFmtId="0" fontId="17" fillId="14" borderId="12" xfId="0" applyFont="1" applyFill="1" applyBorder="1" applyAlignment="1" applyProtection="1">
      <alignment vertical="top" wrapText="1"/>
      <protection locked="0"/>
    </xf>
    <xf numFmtId="49" fontId="17" fillId="14" borderId="12" xfId="0" applyNumberFormat="1" applyFont="1" applyFill="1" applyBorder="1" applyAlignment="1" applyProtection="1">
      <alignment horizontal="center" wrapText="1"/>
      <protection locked="0"/>
    </xf>
    <xf numFmtId="0" fontId="17" fillId="14" borderId="12" xfId="0" applyFont="1" applyFill="1" applyBorder="1" applyAlignment="1" applyProtection="1">
      <alignment horizontal="left" wrapText="1"/>
      <protection locked="0"/>
    </xf>
    <xf numFmtId="0" fontId="0" fillId="0" borderId="0" xfId="0"/>
    <xf numFmtId="0" fontId="1" fillId="15" borderId="45" xfId="0" applyFont="1" applyFill="1" applyBorder="1" applyAlignment="1" applyProtection="1">
      <alignment horizontal="center"/>
    </xf>
    <xf numFmtId="0" fontId="0" fillId="15" borderId="45" xfId="0" applyFill="1" applyBorder="1" applyAlignment="1">
      <alignment horizontal="center"/>
    </xf>
    <xf numFmtId="0" fontId="50" fillId="14" borderId="12" xfId="0" applyFont="1" applyFill="1" applyBorder="1" applyAlignment="1" applyProtection="1">
      <alignment horizontal="left" vertical="center" wrapText="1"/>
      <protection locked="0"/>
    </xf>
    <xf numFmtId="0" fontId="48" fillId="0" borderId="0" xfId="0" applyFont="1" applyAlignment="1">
      <alignment vertical="top" wrapText="1"/>
    </xf>
    <xf numFmtId="0" fontId="0" fillId="0" borderId="0" xfId="0"/>
    <xf numFmtId="0" fontId="11" fillId="0" borderId="12" xfId="0" applyFont="1" applyFill="1" applyBorder="1" applyAlignment="1">
      <alignment horizontal="center" wrapText="1"/>
    </xf>
    <xf numFmtId="0" fontId="0" fillId="0" borderId="0" xfId="0"/>
    <xf numFmtId="0" fontId="0" fillId="0" borderId="4" xfId="0" applyBorder="1" applyAlignment="1">
      <alignment vertical="top" wrapText="1"/>
    </xf>
    <xf numFmtId="0" fontId="0" fillId="0" borderId="0" xfId="0" applyBorder="1" applyAlignment="1">
      <alignment vertical="top" wrapText="1"/>
    </xf>
    <xf numFmtId="0" fontId="0" fillId="0" borderId="5" xfId="0" applyBorder="1" applyAlignment="1">
      <alignment vertical="top" wrapText="1"/>
    </xf>
    <xf numFmtId="0" fontId="0" fillId="0" borderId="6" xfId="0" applyBorder="1" applyAlignment="1">
      <alignment vertical="top" wrapText="1"/>
    </xf>
    <xf numFmtId="0" fontId="0" fillId="0" borderId="7" xfId="0" applyBorder="1" applyAlignment="1">
      <alignment vertical="top" wrapText="1"/>
    </xf>
    <xf numFmtId="0" fontId="0" fillId="0" borderId="8" xfId="0" applyBorder="1" applyAlignment="1">
      <alignment vertical="top" wrapText="1"/>
    </xf>
    <xf numFmtId="0" fontId="0" fillId="0" borderId="4" xfId="0" applyBorder="1" applyAlignment="1">
      <alignment horizontal="left" vertical="top" wrapText="1"/>
    </xf>
    <xf numFmtId="0" fontId="0" fillId="0" borderId="0" xfId="0" applyBorder="1" applyAlignment="1">
      <alignment horizontal="left" vertical="top"/>
    </xf>
    <xf numFmtId="0" fontId="0" fillId="0" borderId="5" xfId="0" applyBorder="1" applyAlignment="1">
      <alignment horizontal="left" vertical="top"/>
    </xf>
    <xf numFmtId="0" fontId="0" fillId="0" borderId="6" xfId="0" applyBorder="1" applyAlignment="1">
      <alignment vertical="top"/>
    </xf>
    <xf numFmtId="0" fontId="0" fillId="0" borderId="7" xfId="0" applyBorder="1" applyAlignment="1">
      <alignment vertical="top"/>
    </xf>
    <xf numFmtId="0" fontId="0" fillId="0" borderId="8" xfId="0" applyBorder="1" applyAlignment="1">
      <alignment vertical="top"/>
    </xf>
    <xf numFmtId="0" fontId="1" fillId="2" borderId="9" xfId="0" applyFont="1" applyFill="1" applyBorder="1" applyAlignment="1">
      <alignment horizontal="center" wrapText="1"/>
    </xf>
    <xf numFmtId="0" fontId="1" fillId="2" borderId="10" xfId="0" applyFont="1" applyFill="1" applyBorder="1" applyAlignment="1">
      <alignment horizontal="center"/>
    </xf>
    <xf numFmtId="0" fontId="1" fillId="2" borderId="11" xfId="0" applyFont="1" applyFill="1" applyBorder="1" applyAlignment="1">
      <alignment horizontal="center"/>
    </xf>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7" borderId="1" xfId="0" applyFont="1" applyFill="1" applyBorder="1"/>
    <xf numFmtId="0" fontId="1" fillId="7" borderId="2" xfId="0" applyFont="1" applyFill="1" applyBorder="1"/>
    <xf numFmtId="0" fontId="1" fillId="7" borderId="3" xfId="0" applyFont="1" applyFill="1" applyBorder="1"/>
    <xf numFmtId="0" fontId="1" fillId="0" borderId="13" xfId="0" applyFont="1" applyBorder="1" applyAlignment="1"/>
    <xf numFmtId="0" fontId="0" fillId="0" borderId="14" xfId="0" applyBorder="1" applyAlignment="1"/>
    <xf numFmtId="0" fontId="0" fillId="0" borderId="15" xfId="0" applyBorder="1" applyAlignment="1"/>
    <xf numFmtId="0" fontId="0" fillId="0" borderId="18" xfId="0" applyBorder="1" applyAlignment="1"/>
    <xf numFmtId="0" fontId="0" fillId="0" borderId="19" xfId="0" applyBorder="1" applyAlignment="1"/>
    <xf numFmtId="0" fontId="0" fillId="0" borderId="20" xfId="0" applyBorder="1" applyAlignment="1"/>
    <xf numFmtId="0" fontId="0" fillId="0" borderId="4" xfId="0" applyFill="1" applyBorder="1" applyAlignment="1"/>
    <xf numFmtId="0" fontId="0" fillId="0" borderId="0" xfId="0" applyFill="1" applyBorder="1" applyAlignment="1"/>
    <xf numFmtId="0" fontId="0" fillId="0" borderId="5" xfId="0" applyFill="1" applyBorder="1" applyAlignment="1"/>
    <xf numFmtId="0" fontId="30" fillId="2" borderId="1" xfId="0" applyFont="1" applyFill="1" applyBorder="1" applyAlignment="1"/>
    <xf numFmtId="0" fontId="30" fillId="2" borderId="2" xfId="0" applyFont="1" applyFill="1" applyBorder="1" applyAlignment="1"/>
    <xf numFmtId="0" fontId="30" fillId="2" borderId="3" xfId="0" applyFont="1" applyFill="1" applyBorder="1" applyAlignment="1"/>
    <xf numFmtId="0" fontId="1" fillId="2" borderId="1" xfId="0" applyFont="1" applyFill="1" applyBorder="1" applyAlignment="1">
      <alignment horizontal="left"/>
    </xf>
    <xf numFmtId="0" fontId="0" fillId="0" borderId="2" xfId="0" applyBorder="1" applyAlignment="1"/>
    <xf numFmtId="0" fontId="0" fillId="0" borderId="3" xfId="0" applyBorder="1" applyAlignment="1"/>
    <xf numFmtId="0" fontId="0" fillId="0" borderId="28" xfId="0" applyBorder="1" applyAlignment="1">
      <alignment horizontal="left" wrapText="1"/>
    </xf>
    <xf numFmtId="0" fontId="0" fillId="0" borderId="31" xfId="0" applyBorder="1" applyAlignment="1">
      <alignment horizontal="left"/>
    </xf>
    <xf numFmtId="0" fontId="26" fillId="2" borderId="29" xfId="0" applyFont="1" applyFill="1" applyBorder="1" applyAlignment="1">
      <alignment horizontal="left"/>
    </xf>
    <xf numFmtId="0" fontId="26" fillId="2" borderId="30" xfId="0" applyFont="1" applyFill="1" applyBorder="1" applyAlignment="1">
      <alignment horizontal="left"/>
    </xf>
    <xf numFmtId="0" fontId="0" fillId="0" borderId="4" xfId="0" applyBorder="1" applyAlignment="1"/>
    <xf numFmtId="0" fontId="0" fillId="0" borderId="5" xfId="0" applyBorder="1" applyAlignment="1"/>
    <xf numFmtId="0" fontId="0" fillId="0" borderId="0" xfId="0" applyBorder="1" applyAlignment="1"/>
    <xf numFmtId="0" fontId="0" fillId="0" borderId="0" xfId="0" applyBorder="1" applyAlignment="1">
      <alignment horizontal="left" indent="1"/>
    </xf>
    <xf numFmtId="0" fontId="1" fillId="0" borderId="41" xfId="0" applyFont="1" applyBorder="1" applyAlignment="1" applyProtection="1">
      <alignment horizontal="center" wrapText="1"/>
      <protection locked="0"/>
    </xf>
    <xf numFmtId="0" fontId="1" fillId="0" borderId="42" xfId="0" applyFont="1" applyBorder="1" applyAlignment="1" applyProtection="1">
      <alignment horizontal="center" wrapText="1"/>
      <protection locked="0"/>
    </xf>
    <xf numFmtId="0" fontId="38" fillId="10" borderId="12" xfId="0" applyFont="1" applyFill="1" applyBorder="1" applyAlignment="1">
      <alignment horizontal="left" vertical="top" wrapText="1"/>
    </xf>
    <xf numFmtId="0" fontId="19" fillId="0" borderId="0" xfId="0" applyFont="1" applyAlignment="1">
      <alignment horizontal="left" vertical="center"/>
    </xf>
    <xf numFmtId="0" fontId="0" fillId="0" borderId="0" xfId="0" applyAlignment="1"/>
    <xf numFmtId="0" fontId="18" fillId="6" borderId="22" xfId="0" applyFont="1" applyFill="1" applyBorder="1" applyAlignment="1">
      <alignment horizontal="center" vertical="top"/>
    </xf>
    <xf numFmtId="0" fontId="18" fillId="6" borderId="26" xfId="0" applyFont="1" applyFill="1" applyBorder="1" applyAlignment="1">
      <alignment horizontal="center" vertical="top"/>
    </xf>
    <xf numFmtId="0" fontId="18" fillId="6" borderId="27" xfId="0" applyFont="1" applyFill="1" applyBorder="1" applyAlignment="1">
      <alignment horizontal="center" vertical="top"/>
    </xf>
  </cellXfs>
  <cellStyles count="4">
    <cellStyle name="Hyperlink" xfId="1" builtinId="8"/>
    <cellStyle name="Neutral" xfId="2" builtinId="28"/>
    <cellStyle name="Normal" xfId="0" builtinId="0"/>
    <cellStyle name="Normal 2" xfId="3"/>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266700</xdr:colOff>
      <xdr:row>2</xdr:row>
      <xdr:rowOff>152400</xdr:rowOff>
    </xdr:from>
    <xdr:to>
      <xdr:col>11</xdr:col>
      <xdr:colOff>114300</xdr:colOff>
      <xdr:row>28</xdr:row>
      <xdr:rowOff>187960</xdr:rowOff>
    </xdr:to>
    <xdr:pic>
      <xdr:nvPicPr>
        <xdr:cNvPr id="3" name="Picture 2">
          <a:extLst>
            <a:ext uri="{FF2B5EF4-FFF2-40B4-BE49-F238E27FC236}">
              <a16:creationId xmlns:a16="http://schemas.microsoft.com/office/drawing/2014/main" xmlns="" id="{00000000-0008-0000-0600-000003000000}"/>
            </a:ext>
          </a:extLst>
        </xdr:cNvPr>
        <xdr:cNvPicPr/>
      </xdr:nvPicPr>
      <xdr:blipFill>
        <a:blip xmlns:r="http://schemas.openxmlformats.org/officeDocument/2006/relationships" r:embed="rId1"/>
        <a:stretch>
          <a:fillRect/>
        </a:stretch>
      </xdr:blipFill>
      <xdr:spPr>
        <a:xfrm>
          <a:off x="876300" y="571500"/>
          <a:ext cx="5943600" cy="49885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85726</xdr:colOff>
      <xdr:row>0</xdr:row>
      <xdr:rowOff>104776</xdr:rowOff>
    </xdr:from>
    <xdr:to>
      <xdr:col>16</xdr:col>
      <xdr:colOff>485174</xdr:colOff>
      <xdr:row>24</xdr:row>
      <xdr:rowOff>171450</xdr:rowOff>
    </xdr:to>
    <xdr:pic>
      <xdr:nvPicPr>
        <xdr:cNvPr id="2" name="Picture 1">
          <a:extLst>
            <a:ext uri="{FF2B5EF4-FFF2-40B4-BE49-F238E27FC236}">
              <a16:creationId xmlns:a16="http://schemas.microsoft.com/office/drawing/2014/main" xmlns="" id="{00000000-0008-0000-0800-000002000000}"/>
            </a:ext>
          </a:extLst>
        </xdr:cNvPr>
        <xdr:cNvPicPr>
          <a:picLocks noChangeAspect="1"/>
        </xdr:cNvPicPr>
      </xdr:nvPicPr>
      <xdr:blipFill>
        <a:blip xmlns:r="http://schemas.openxmlformats.org/officeDocument/2006/relationships" r:embed="rId1"/>
        <a:stretch>
          <a:fillRect/>
        </a:stretch>
      </xdr:blipFill>
      <xdr:spPr>
        <a:xfrm>
          <a:off x="85726" y="104776"/>
          <a:ext cx="10153048" cy="4638674"/>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usitdms.pwcinternal.com/usitdms/drl/objectId/09013881801a79c4" TargetMode="External"/><Relationship Id="rId13" Type="http://schemas.openxmlformats.org/officeDocument/2006/relationships/hyperlink" Target="http://usitdms.pwcinternal.com/usitdms/drl/objectId/09013881801e2fba" TargetMode="External"/><Relationship Id="rId18" Type="http://schemas.openxmlformats.org/officeDocument/2006/relationships/hyperlink" Target="http://usitdms.pwcinternal.com/usitdms/drl/objectId/09013881801e2fba" TargetMode="External"/><Relationship Id="rId3" Type="http://schemas.openxmlformats.org/officeDocument/2006/relationships/hyperlink" Target="https://www.owasp.org/index.php/Access_Control_Cheat_Sheet" TargetMode="External"/><Relationship Id="rId21" Type="http://schemas.openxmlformats.org/officeDocument/2006/relationships/vmlDrawing" Target="../drawings/vmlDrawing3.vml"/><Relationship Id="rId7" Type="http://schemas.openxmlformats.org/officeDocument/2006/relationships/hyperlink" Target="http://usitdms.pwcinternal.com/usitdms/drl/objectId/09013881801b918d" TargetMode="External"/><Relationship Id="rId12" Type="http://schemas.openxmlformats.org/officeDocument/2006/relationships/hyperlink" Target="http://usitdms.pwcinternal.com/usitdms/drl/objectId/09013881801e2fba" TargetMode="External"/><Relationship Id="rId17" Type="http://schemas.openxmlformats.org/officeDocument/2006/relationships/hyperlink" Target="http://usitdms.pwcinternal.com/usitdms/drl/objectId/09013881801e2fba" TargetMode="External"/><Relationship Id="rId2" Type="http://schemas.openxmlformats.org/officeDocument/2006/relationships/hyperlink" Target="http://usitdms.pwcinternal.com/usitdms/drl/objectId/09013881801e2fba" TargetMode="External"/><Relationship Id="rId16" Type="http://schemas.openxmlformats.org/officeDocument/2006/relationships/hyperlink" Target="http://usitdms.pwcinternal.com/usitdms/drl/objectId/09013881801e2fba" TargetMode="External"/><Relationship Id="rId20" Type="http://schemas.openxmlformats.org/officeDocument/2006/relationships/printerSettings" Target="../printerSettings/printerSettings4.bin"/><Relationship Id="rId1" Type="http://schemas.openxmlformats.org/officeDocument/2006/relationships/hyperlink" Target="https://www.owasp.org/index.php/Authentication_Cheat_Sheet" TargetMode="External"/><Relationship Id="rId6" Type="http://schemas.openxmlformats.org/officeDocument/2006/relationships/hyperlink" Target="http://usitdms.pwcinternal.com/usitdms/drl/objectId/09013881801b918d" TargetMode="External"/><Relationship Id="rId11" Type="http://schemas.openxmlformats.org/officeDocument/2006/relationships/hyperlink" Target="http://usitdms.pwcinternal.com/usitdms/drl/objectId/09013881801e2fba" TargetMode="External"/><Relationship Id="rId5" Type="http://schemas.openxmlformats.org/officeDocument/2006/relationships/hyperlink" Target="http://usitdms.pwcinternal.com/usitdms/drl/objectId/09013881801b918d" TargetMode="External"/><Relationship Id="rId15" Type="http://schemas.openxmlformats.org/officeDocument/2006/relationships/hyperlink" Target="http://usitdms.pwcinternal.com/usitdms/drl/objectId/09013881801e2fba" TargetMode="External"/><Relationship Id="rId10" Type="http://schemas.openxmlformats.org/officeDocument/2006/relationships/hyperlink" Target="http://usitdms.pwcinternal.com/usitdms/drl/objectId/09013881801a79c4" TargetMode="External"/><Relationship Id="rId19" Type="http://schemas.openxmlformats.org/officeDocument/2006/relationships/hyperlink" Target="http://usitdms.pwcinternal.com/usitdms/drl/objectId/09013881801e2fba" TargetMode="External"/><Relationship Id="rId4" Type="http://schemas.openxmlformats.org/officeDocument/2006/relationships/hyperlink" Target="http://www.start.umd.edu/news/study-finds-warning-banners-deter-hackers" TargetMode="External"/><Relationship Id="rId9" Type="http://schemas.openxmlformats.org/officeDocument/2006/relationships/hyperlink" Target="http://usitdms.pwcinternal.com/usitdms/drl/objectId/09013881801fb781" TargetMode="External"/><Relationship Id="rId14" Type="http://schemas.openxmlformats.org/officeDocument/2006/relationships/hyperlink" Target="http://usitdms.pwcinternal.com/usitdms/drl/objectId/09013881801e2fba" TargetMode="External"/><Relationship Id="rId2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hyperlink" Target="http://usitdms.pwcinternal.com/usitdms/drl/objectId/09013881801e2fba" TargetMode="Externa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32"/>
  <sheetViews>
    <sheetView topLeftCell="A25" workbookViewId="0">
      <selection activeCell="A7" sqref="A7:D10"/>
    </sheetView>
  </sheetViews>
  <sheetFormatPr defaultRowHeight="14.4" x14ac:dyDescent="0.3"/>
  <cols>
    <col min="1" max="1" width="119.6640625" customWidth="1"/>
    <col min="2" max="2" width="21.33203125" style="1" customWidth="1"/>
    <col min="3" max="3" width="39.5546875" style="1" customWidth="1"/>
    <col min="4" max="4" width="16.44140625" style="1" customWidth="1"/>
    <col min="5" max="5" width="10.33203125" customWidth="1"/>
  </cols>
  <sheetData>
    <row r="1" spans="1:4" ht="15.6" thickTop="1" thickBot="1" x14ac:dyDescent="0.35">
      <c r="A1" s="274" t="s">
        <v>594</v>
      </c>
      <c r="B1" s="275"/>
      <c r="C1" s="275"/>
      <c r="D1" s="276"/>
    </row>
    <row r="2" spans="1:4" ht="15.6" thickTop="1" thickBot="1" x14ac:dyDescent="0.35">
      <c r="A2" s="277"/>
      <c r="B2" s="277"/>
      <c r="C2" s="277"/>
      <c r="D2" s="277"/>
    </row>
    <row r="3" spans="1:4" x14ac:dyDescent="0.3">
      <c r="A3" s="278" t="s">
        <v>5</v>
      </c>
      <c r="B3" s="279"/>
      <c r="C3" s="279"/>
      <c r="D3" s="280"/>
    </row>
    <row r="4" spans="1:4" x14ac:dyDescent="0.3">
      <c r="A4" s="262" t="s">
        <v>275</v>
      </c>
      <c r="B4" s="263"/>
      <c r="C4" s="263"/>
      <c r="D4" s="264"/>
    </row>
    <row r="5" spans="1:4" ht="15" thickBot="1" x14ac:dyDescent="0.35">
      <c r="A5" s="271"/>
      <c r="B5" s="272"/>
      <c r="C5" s="272"/>
      <c r="D5" s="273"/>
    </row>
    <row r="6" spans="1:4" x14ac:dyDescent="0.3">
      <c r="A6" s="281" t="s">
        <v>9</v>
      </c>
      <c r="B6" s="282"/>
      <c r="C6" s="282"/>
      <c r="D6" s="283"/>
    </row>
    <row r="7" spans="1:4" x14ac:dyDescent="0.3">
      <c r="A7" s="262" t="s">
        <v>631</v>
      </c>
      <c r="B7" s="263"/>
      <c r="C7" s="263"/>
      <c r="D7" s="264"/>
    </row>
    <row r="8" spans="1:4" x14ac:dyDescent="0.3">
      <c r="A8" s="262"/>
      <c r="B8" s="263"/>
      <c r="C8" s="263"/>
      <c r="D8" s="264"/>
    </row>
    <row r="9" spans="1:4" x14ac:dyDescent="0.3">
      <c r="A9" s="262"/>
      <c r="B9" s="263"/>
      <c r="C9" s="263"/>
      <c r="D9" s="264"/>
    </row>
    <row r="10" spans="1:4" ht="15" thickBot="1" x14ac:dyDescent="0.35">
      <c r="A10" s="265"/>
      <c r="B10" s="266"/>
      <c r="C10" s="266"/>
      <c r="D10" s="267"/>
    </row>
    <row r="11" spans="1:4" ht="15.6" x14ac:dyDescent="0.3">
      <c r="A11" s="293" t="s">
        <v>565</v>
      </c>
      <c r="B11" s="294"/>
      <c r="C11" s="294"/>
      <c r="D11" s="295"/>
    </row>
    <row r="12" spans="1:4" x14ac:dyDescent="0.3">
      <c r="A12" s="268" t="s">
        <v>699</v>
      </c>
      <c r="B12" s="269"/>
      <c r="C12" s="269"/>
      <c r="D12" s="270"/>
    </row>
    <row r="13" spans="1:4" ht="15" thickBot="1" x14ac:dyDescent="0.35">
      <c r="A13" s="271"/>
      <c r="B13" s="272"/>
      <c r="C13" s="272"/>
      <c r="D13" s="273"/>
    </row>
    <row r="14" spans="1:4" x14ac:dyDescent="0.3">
      <c r="A14" s="296" t="s">
        <v>8</v>
      </c>
      <c r="B14" s="297"/>
      <c r="C14" s="297"/>
      <c r="D14" s="298"/>
    </row>
    <row r="15" spans="1:4" x14ac:dyDescent="0.3">
      <c r="A15" s="2" t="s">
        <v>9</v>
      </c>
      <c r="B15" s="3" t="s">
        <v>10</v>
      </c>
      <c r="C15" s="3" t="s">
        <v>7</v>
      </c>
      <c r="D15" s="4" t="s">
        <v>11</v>
      </c>
    </row>
    <row r="16" spans="1:4" ht="28.8" x14ac:dyDescent="0.3">
      <c r="A16" s="26" t="s">
        <v>12</v>
      </c>
      <c r="B16" s="24">
        <v>41711</v>
      </c>
      <c r="C16" s="166" t="s">
        <v>387</v>
      </c>
      <c r="D16" s="8" t="s">
        <v>13</v>
      </c>
    </row>
    <row r="17" spans="1:4" x14ac:dyDescent="0.3">
      <c r="A17" s="28" t="s">
        <v>122</v>
      </c>
      <c r="B17" s="24">
        <v>41759</v>
      </c>
      <c r="C17" s="5" t="s">
        <v>388</v>
      </c>
      <c r="D17" s="8" t="s">
        <v>121</v>
      </c>
    </row>
    <row r="18" spans="1:4" s="27" customFormat="1" x14ac:dyDescent="0.3">
      <c r="A18" s="28" t="s">
        <v>155</v>
      </c>
      <c r="B18" s="24">
        <v>41772</v>
      </c>
      <c r="C18" s="5" t="s">
        <v>388</v>
      </c>
      <c r="D18" s="8">
        <v>1.1100000000000001</v>
      </c>
    </row>
    <row r="19" spans="1:4" s="27" customFormat="1" x14ac:dyDescent="0.3">
      <c r="A19" s="28" t="s">
        <v>157</v>
      </c>
      <c r="B19" s="24">
        <v>41780</v>
      </c>
      <c r="C19" s="5" t="s">
        <v>388</v>
      </c>
      <c r="D19" s="8">
        <v>1.1200000000000001</v>
      </c>
    </row>
    <row r="20" spans="1:4" s="27" customFormat="1" x14ac:dyDescent="0.3">
      <c r="A20" s="28" t="s">
        <v>214</v>
      </c>
      <c r="B20" s="24">
        <v>41781</v>
      </c>
      <c r="C20" s="5" t="s">
        <v>213</v>
      </c>
      <c r="D20" s="8">
        <v>1.1299999999999999</v>
      </c>
    </row>
    <row r="21" spans="1:4" s="58" customFormat="1" x14ac:dyDescent="0.3">
      <c r="A21" s="59" t="s">
        <v>220</v>
      </c>
      <c r="B21" s="24">
        <v>41808</v>
      </c>
      <c r="C21" s="5" t="s">
        <v>213</v>
      </c>
      <c r="D21" s="8">
        <v>1.1399999999999999</v>
      </c>
    </row>
    <row r="22" spans="1:4" s="27" customFormat="1" ht="28.8" x14ac:dyDescent="0.3">
      <c r="A22" s="74" t="s">
        <v>390</v>
      </c>
      <c r="B22" s="24">
        <v>42262</v>
      </c>
      <c r="C22" s="166" t="s">
        <v>389</v>
      </c>
      <c r="D22" s="168">
        <v>1.1499999999999999</v>
      </c>
    </row>
    <row r="23" spans="1:4" s="165" customFormat="1" ht="29.4" thickBot="1" x14ac:dyDescent="0.35">
      <c r="A23" s="167" t="s">
        <v>415</v>
      </c>
      <c r="B23" s="119">
        <v>42430</v>
      </c>
      <c r="C23" s="143" t="s">
        <v>388</v>
      </c>
      <c r="D23" s="136">
        <v>1.1599999999999999</v>
      </c>
    </row>
    <row r="24" spans="1:4" s="180" customFormat="1" ht="100.8" x14ac:dyDescent="0.3">
      <c r="A24" s="64" t="s">
        <v>593</v>
      </c>
      <c r="B24" s="24">
        <v>42552</v>
      </c>
      <c r="C24" s="227" t="s">
        <v>614</v>
      </c>
      <c r="D24" s="191" t="s">
        <v>696</v>
      </c>
    </row>
    <row r="25" spans="1:4" s="245" customFormat="1" ht="15.6" x14ac:dyDescent="0.3">
      <c r="A25" s="64" t="s">
        <v>702</v>
      </c>
      <c r="B25" s="24">
        <v>42578</v>
      </c>
      <c r="C25" s="227" t="s">
        <v>614</v>
      </c>
      <c r="D25" s="191" t="s">
        <v>700</v>
      </c>
    </row>
    <row r="26" spans="1:4" s="254" customFormat="1" ht="15.6" x14ac:dyDescent="0.3">
      <c r="A26" s="64" t="s">
        <v>734</v>
      </c>
      <c r="B26" s="24">
        <v>42583</v>
      </c>
      <c r="C26" s="227" t="s">
        <v>614</v>
      </c>
      <c r="D26" s="191" t="s">
        <v>712</v>
      </c>
    </row>
    <row r="27" spans="1:4" s="259" customFormat="1" ht="28.8" x14ac:dyDescent="0.3">
      <c r="A27" s="64" t="s">
        <v>744</v>
      </c>
      <c r="B27" s="24">
        <v>42605</v>
      </c>
      <c r="C27" s="227" t="s">
        <v>614</v>
      </c>
      <c r="D27" s="191" t="s">
        <v>745</v>
      </c>
    </row>
    <row r="28" spans="1:4" s="261" customFormat="1" ht="16.2" thickBot="1" x14ac:dyDescent="0.35">
      <c r="A28" s="64" t="s">
        <v>747</v>
      </c>
      <c r="B28" s="24">
        <v>42801</v>
      </c>
      <c r="C28" s="227" t="s">
        <v>614</v>
      </c>
      <c r="D28" s="191" t="s">
        <v>748</v>
      </c>
    </row>
    <row r="29" spans="1:4" x14ac:dyDescent="0.3">
      <c r="A29" s="284" t="s">
        <v>55</v>
      </c>
      <c r="B29" s="285"/>
      <c r="C29" s="285"/>
      <c r="D29" s="286"/>
    </row>
    <row r="30" spans="1:4" x14ac:dyDescent="0.3">
      <c r="A30" s="287" t="s">
        <v>431</v>
      </c>
      <c r="B30" s="288"/>
      <c r="C30" s="288"/>
      <c r="D30" s="289"/>
    </row>
    <row r="31" spans="1:4" s="205" customFormat="1" x14ac:dyDescent="0.3">
      <c r="A31" s="290" t="s">
        <v>605</v>
      </c>
      <c r="B31" s="291"/>
      <c r="C31" s="291"/>
      <c r="D31" s="292"/>
    </row>
    <row r="32" spans="1:4" ht="15" thickBot="1" x14ac:dyDescent="0.35">
      <c r="A32" s="25" t="s">
        <v>595</v>
      </c>
      <c r="B32" s="6"/>
      <c r="C32" s="6"/>
      <c r="D32" s="48"/>
    </row>
  </sheetData>
  <mergeCells count="12">
    <mergeCell ref="A29:D29"/>
    <mergeCell ref="A30:D30"/>
    <mergeCell ref="A31:D31"/>
    <mergeCell ref="A11:D11"/>
    <mergeCell ref="A14:D14"/>
    <mergeCell ref="A7:D10"/>
    <mergeCell ref="A12:D13"/>
    <mergeCell ref="A1:D1"/>
    <mergeCell ref="A2:D2"/>
    <mergeCell ref="A3:D3"/>
    <mergeCell ref="A6:D6"/>
    <mergeCell ref="A4:D5"/>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0"/>
  <sheetViews>
    <sheetView zoomScaleNormal="100" workbookViewId="0">
      <selection activeCell="C8" sqref="C8"/>
    </sheetView>
  </sheetViews>
  <sheetFormatPr defaultRowHeight="14.4" x14ac:dyDescent="0.3"/>
  <cols>
    <col min="1" max="1" width="2.6640625" style="63" customWidth="1"/>
    <col min="2" max="2" width="6" style="65" customWidth="1"/>
    <col min="3" max="3" width="164.6640625" style="63" customWidth="1"/>
    <col min="4" max="4" width="166" customWidth="1"/>
    <col min="6" max="6" width="147.6640625" customWidth="1"/>
  </cols>
  <sheetData>
    <row r="1" spans="2:15" s="180" customFormat="1" ht="15" thickBot="1" x14ac:dyDescent="0.35">
      <c r="B1" s="301" t="s">
        <v>56</v>
      </c>
      <c r="C1" s="302"/>
      <c r="D1" s="70"/>
      <c r="E1" s="182"/>
      <c r="F1" s="182"/>
      <c r="G1" s="305"/>
      <c r="H1" s="305"/>
      <c r="I1" s="305"/>
      <c r="J1" s="305"/>
      <c r="K1" s="305"/>
      <c r="L1" s="305"/>
      <c r="M1" s="305"/>
      <c r="N1" s="305"/>
      <c r="O1" s="305"/>
    </row>
    <row r="2" spans="2:15" s="180" customFormat="1" ht="15" thickTop="1" x14ac:dyDescent="0.3">
      <c r="B2" s="303" t="s">
        <v>6</v>
      </c>
      <c r="C2" s="304"/>
      <c r="D2" s="181"/>
      <c r="E2" s="181"/>
      <c r="F2" s="181"/>
      <c r="G2" s="305"/>
      <c r="H2" s="305"/>
      <c r="I2" s="305"/>
      <c r="J2" s="305"/>
      <c r="K2" s="305"/>
      <c r="L2" s="305"/>
      <c r="M2" s="305"/>
      <c r="N2" s="305"/>
      <c r="O2" s="305"/>
    </row>
    <row r="3" spans="2:15" s="180" customFormat="1" x14ac:dyDescent="0.3">
      <c r="B3" s="228">
        <v>1</v>
      </c>
      <c r="C3" s="73" t="s">
        <v>608</v>
      </c>
      <c r="D3" s="64"/>
      <c r="E3" s="64"/>
      <c r="F3" s="64"/>
      <c r="G3" s="305"/>
      <c r="H3" s="305"/>
      <c r="I3" s="305"/>
      <c r="J3" s="305"/>
      <c r="K3" s="305"/>
      <c r="L3" s="305"/>
      <c r="M3" s="305"/>
      <c r="N3" s="305"/>
      <c r="O3" s="305"/>
    </row>
    <row r="4" spans="2:15" s="180" customFormat="1" ht="28.8" x14ac:dyDescent="0.3">
      <c r="B4" s="228">
        <v>2</v>
      </c>
      <c r="C4" s="67" t="s">
        <v>609</v>
      </c>
      <c r="D4" s="66"/>
      <c r="E4" s="66"/>
      <c r="F4" s="66"/>
      <c r="G4" s="305"/>
      <c r="H4" s="305"/>
      <c r="I4" s="305"/>
      <c r="J4" s="305"/>
      <c r="K4" s="305"/>
      <c r="L4" s="305"/>
      <c r="M4" s="305"/>
      <c r="N4" s="305"/>
      <c r="O4" s="305"/>
    </row>
    <row r="5" spans="2:15" s="180" customFormat="1" x14ac:dyDescent="0.3">
      <c r="B5" s="69">
        <v>3</v>
      </c>
      <c r="C5" s="67" t="s">
        <v>463</v>
      </c>
      <c r="D5" s="68"/>
      <c r="E5" s="68"/>
      <c r="F5" s="68"/>
      <c r="G5" s="305"/>
      <c r="H5" s="305"/>
      <c r="I5" s="305"/>
      <c r="J5" s="305"/>
      <c r="K5" s="305"/>
      <c r="L5" s="305"/>
      <c r="M5" s="305"/>
      <c r="N5" s="305"/>
      <c r="O5" s="305"/>
    </row>
    <row r="6" spans="2:15" s="180" customFormat="1" x14ac:dyDescent="0.3">
      <c r="B6" s="69">
        <v>4</v>
      </c>
      <c r="C6" s="67" t="s">
        <v>581</v>
      </c>
      <c r="D6" s="68"/>
      <c r="E6" s="68"/>
      <c r="F6" s="68"/>
      <c r="G6" s="305"/>
      <c r="H6" s="305"/>
      <c r="I6" s="305"/>
      <c r="J6" s="305"/>
      <c r="K6" s="305"/>
      <c r="L6" s="305"/>
      <c r="M6" s="305"/>
      <c r="N6" s="305"/>
      <c r="O6" s="305"/>
    </row>
    <row r="7" spans="2:15" s="180" customFormat="1" ht="129.6" x14ac:dyDescent="0.3">
      <c r="B7" s="69">
        <v>5</v>
      </c>
      <c r="C7" s="67" t="s">
        <v>610</v>
      </c>
      <c r="D7" s="68"/>
      <c r="E7" s="68"/>
      <c r="F7" s="68"/>
      <c r="G7" s="305"/>
      <c r="H7" s="305"/>
      <c r="I7" s="305"/>
      <c r="J7" s="305"/>
      <c r="K7" s="305"/>
      <c r="L7" s="305"/>
      <c r="M7" s="305"/>
      <c r="N7" s="305"/>
      <c r="O7" s="305"/>
    </row>
    <row r="8" spans="2:15" s="180" customFormat="1" x14ac:dyDescent="0.3">
      <c r="B8" s="69">
        <v>6</v>
      </c>
      <c r="C8" s="157" t="s">
        <v>464</v>
      </c>
      <c r="D8" s="68"/>
      <c r="E8" s="68"/>
      <c r="F8" s="68"/>
      <c r="G8" s="305"/>
      <c r="H8" s="305"/>
      <c r="I8" s="305"/>
      <c r="J8" s="305"/>
      <c r="K8" s="305"/>
      <c r="L8" s="305"/>
      <c r="M8" s="305"/>
      <c r="N8" s="305"/>
      <c r="O8" s="305"/>
    </row>
    <row r="9" spans="2:15" s="180" customFormat="1" ht="33" customHeight="1" thickBot="1" x14ac:dyDescent="0.35">
      <c r="B9" s="299" t="s">
        <v>615</v>
      </c>
      <c r="C9" s="300"/>
      <c r="D9" s="183"/>
      <c r="E9" s="183"/>
      <c r="F9" s="183"/>
      <c r="G9" s="305"/>
      <c r="H9" s="305"/>
      <c r="I9" s="305"/>
      <c r="J9" s="305"/>
      <c r="K9" s="305"/>
      <c r="L9" s="305"/>
      <c r="M9" s="305"/>
      <c r="N9" s="305"/>
      <c r="O9" s="305"/>
    </row>
    <row r="10" spans="2:15" s="180" customFormat="1" x14ac:dyDescent="0.3">
      <c r="B10" s="306" t="s">
        <v>6</v>
      </c>
      <c r="C10" s="306"/>
      <c r="D10" s="306"/>
      <c r="E10" s="306"/>
      <c r="F10" s="306"/>
      <c r="G10" s="305"/>
      <c r="H10" s="305"/>
      <c r="I10" s="305"/>
      <c r="J10" s="305"/>
      <c r="K10" s="305"/>
      <c r="L10" s="305"/>
      <c r="M10" s="305"/>
      <c r="N10" s="305"/>
      <c r="O10" s="305"/>
    </row>
  </sheetData>
  <mergeCells count="5">
    <mergeCell ref="B9:C9"/>
    <mergeCell ref="B1:C1"/>
    <mergeCell ref="B2:C2"/>
    <mergeCell ref="G1:O10"/>
    <mergeCell ref="B10:F10"/>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30"/>
  <sheetViews>
    <sheetView workbookViewId="0">
      <selection activeCell="B10" sqref="B10"/>
    </sheetView>
  </sheetViews>
  <sheetFormatPr defaultRowHeight="14.4" x14ac:dyDescent="0.3"/>
  <cols>
    <col min="1" max="1" width="59.44140625" customWidth="1"/>
    <col min="2" max="2" width="39.6640625" style="1" bestFit="1" customWidth="1"/>
    <col min="3" max="3" width="51.6640625" style="125" customWidth="1"/>
    <col min="4" max="4" width="26.5546875" customWidth="1"/>
    <col min="5" max="5" width="20" customWidth="1"/>
    <col min="26" max="26" width="39.6640625" bestFit="1" customWidth="1"/>
    <col min="27" max="27" width="41" bestFit="1" customWidth="1"/>
    <col min="28" max="28" width="22.6640625" bestFit="1" customWidth="1"/>
    <col min="29" max="29" width="23" bestFit="1" customWidth="1"/>
  </cols>
  <sheetData>
    <row r="1" spans="1:30" ht="29.4" thickBot="1" x14ac:dyDescent="0.35">
      <c r="A1" s="42" t="s">
        <v>57</v>
      </c>
      <c r="B1" s="43" t="s">
        <v>701</v>
      </c>
      <c r="C1" s="121" t="s">
        <v>6</v>
      </c>
      <c r="D1" s="159" t="s">
        <v>383</v>
      </c>
      <c r="E1" s="158" t="s">
        <v>423</v>
      </c>
      <c r="F1" s="15"/>
      <c r="G1" s="15"/>
      <c r="H1" s="15"/>
      <c r="I1" s="15"/>
      <c r="J1" s="15"/>
      <c r="K1" s="15"/>
      <c r="L1" s="15"/>
      <c r="M1" s="15"/>
      <c r="N1" s="15"/>
      <c r="O1" s="15"/>
      <c r="P1" s="15"/>
      <c r="Q1" s="15"/>
      <c r="R1" s="15"/>
      <c r="S1" s="15"/>
      <c r="T1" s="15"/>
      <c r="U1" s="15"/>
      <c r="V1" s="15"/>
      <c r="W1" s="15"/>
      <c r="X1" s="15"/>
      <c r="Y1" s="15"/>
      <c r="Z1" s="180" t="s">
        <v>419</v>
      </c>
      <c r="AB1" t="s">
        <v>466</v>
      </c>
      <c r="AC1" s="17" t="s">
        <v>484</v>
      </c>
      <c r="AD1" t="s">
        <v>2</v>
      </c>
    </row>
    <row r="2" spans="1:30" s="17" customFormat="1" x14ac:dyDescent="0.3">
      <c r="A2" s="44" t="s">
        <v>632</v>
      </c>
      <c r="B2" s="255" t="s">
        <v>6</v>
      </c>
      <c r="C2" s="122" t="s">
        <v>6</v>
      </c>
      <c r="D2" s="160" t="s">
        <v>422</v>
      </c>
      <c r="E2" s="45"/>
      <c r="F2" s="16"/>
      <c r="G2" s="16"/>
      <c r="H2" s="16"/>
      <c r="I2" s="16"/>
      <c r="J2" s="16"/>
      <c r="K2" s="16"/>
      <c r="L2" s="16"/>
      <c r="M2" s="16"/>
      <c r="N2" s="16"/>
      <c r="O2" s="16"/>
      <c r="P2" s="16"/>
      <c r="Q2" s="16"/>
      <c r="R2" s="16"/>
      <c r="S2" s="16"/>
      <c r="T2" s="16"/>
      <c r="U2" s="16"/>
      <c r="V2" s="16"/>
      <c r="W2" s="16"/>
      <c r="X2" s="16"/>
      <c r="Y2" s="16"/>
      <c r="Z2" s="180" t="s">
        <v>417</v>
      </c>
      <c r="AB2" t="s">
        <v>467</v>
      </c>
      <c r="AC2" s="17" t="s">
        <v>470</v>
      </c>
      <c r="AD2" s="17" t="s">
        <v>3</v>
      </c>
    </row>
    <row r="3" spans="1:30" s="17" customFormat="1" x14ac:dyDescent="0.3">
      <c r="A3" s="187" t="s">
        <v>616</v>
      </c>
      <c r="B3" s="255" t="s">
        <v>749</v>
      </c>
      <c r="C3" s="120"/>
      <c r="D3" s="188" t="s">
        <v>422</v>
      </c>
      <c r="E3" s="189"/>
      <c r="F3" s="16"/>
      <c r="G3" s="16"/>
      <c r="H3" s="16"/>
      <c r="I3" s="16"/>
      <c r="J3" s="16"/>
      <c r="K3" s="16"/>
      <c r="L3" s="16"/>
      <c r="M3" s="16"/>
      <c r="N3" s="16"/>
      <c r="O3" s="16"/>
      <c r="P3" s="16"/>
      <c r="Q3" s="16"/>
      <c r="R3" s="16"/>
      <c r="S3" s="16"/>
      <c r="T3" s="16"/>
      <c r="U3" s="16"/>
      <c r="V3" s="16"/>
      <c r="W3" s="16"/>
      <c r="X3" s="16"/>
      <c r="Y3" s="16"/>
      <c r="Z3" t="s">
        <v>617</v>
      </c>
      <c r="AB3" s="180" t="s">
        <v>420</v>
      </c>
      <c r="AC3" s="17" t="s">
        <v>486</v>
      </c>
      <c r="AD3" t="s">
        <v>4</v>
      </c>
    </row>
    <row r="4" spans="1:30" ht="15" customHeight="1" x14ac:dyDescent="0.3">
      <c r="A4" s="47" t="s">
        <v>596</v>
      </c>
      <c r="B4" s="256" t="s">
        <v>429</v>
      </c>
      <c r="C4" s="120" t="s">
        <v>285</v>
      </c>
      <c r="D4" s="65" t="s">
        <v>384</v>
      </c>
      <c r="E4" s="31"/>
      <c r="Z4" t="s">
        <v>619</v>
      </c>
      <c r="AB4" t="s">
        <v>6</v>
      </c>
      <c r="AC4" s="17" t="s">
        <v>479</v>
      </c>
      <c r="AD4" t="s">
        <v>22</v>
      </c>
    </row>
    <row r="5" spans="1:30" ht="15" customHeight="1" x14ac:dyDescent="0.3">
      <c r="A5" s="46" t="s">
        <v>621</v>
      </c>
      <c r="B5" s="256" t="s">
        <v>467</v>
      </c>
      <c r="C5" s="120" t="s">
        <v>6</v>
      </c>
      <c r="D5" s="65" t="s">
        <v>384</v>
      </c>
      <c r="E5" s="31"/>
      <c r="Z5" t="s">
        <v>618</v>
      </c>
      <c r="AC5" s="17" t="s">
        <v>478</v>
      </c>
      <c r="AD5" t="s">
        <v>1</v>
      </c>
    </row>
    <row r="6" spans="1:30" ht="15" customHeight="1" x14ac:dyDescent="0.3">
      <c r="A6" s="47" t="s">
        <v>622</v>
      </c>
      <c r="B6" s="256" t="s">
        <v>14</v>
      </c>
      <c r="C6" s="120" t="s">
        <v>678</v>
      </c>
      <c r="D6" s="65" t="s">
        <v>384</v>
      </c>
      <c r="E6" s="31"/>
      <c r="Z6" t="s">
        <v>620</v>
      </c>
      <c r="AC6" s="17" t="s">
        <v>487</v>
      </c>
    </row>
    <row r="7" spans="1:30" ht="15" customHeight="1" x14ac:dyDescent="0.3">
      <c r="A7" s="47" t="s">
        <v>278</v>
      </c>
      <c r="B7" s="256" t="s">
        <v>1</v>
      </c>
      <c r="C7" s="120" t="s">
        <v>6</v>
      </c>
      <c r="D7" s="65" t="s">
        <v>385</v>
      </c>
      <c r="E7" s="31"/>
      <c r="Z7" t="s">
        <v>429</v>
      </c>
      <c r="AA7" t="s">
        <v>6</v>
      </c>
      <c r="AC7" s="193" t="s">
        <v>468</v>
      </c>
    </row>
    <row r="8" spans="1:30" ht="15" customHeight="1" x14ac:dyDescent="0.3">
      <c r="A8" s="47" t="s">
        <v>477</v>
      </c>
      <c r="B8" s="256" t="s">
        <v>465</v>
      </c>
      <c r="C8" s="120" t="s">
        <v>6</v>
      </c>
      <c r="D8" s="65" t="s">
        <v>384</v>
      </c>
      <c r="E8" s="31"/>
      <c r="Z8" s="180" t="s">
        <v>416</v>
      </c>
      <c r="AA8" t="s">
        <v>421</v>
      </c>
      <c r="AC8" s="17" t="s">
        <v>481</v>
      </c>
    </row>
    <row r="9" spans="1:30" x14ac:dyDescent="0.3">
      <c r="A9" s="46" t="s">
        <v>623</v>
      </c>
      <c r="B9" s="256" t="s">
        <v>494</v>
      </c>
      <c r="C9" s="120" t="s">
        <v>6</v>
      </c>
      <c r="D9" s="65" t="s">
        <v>382</v>
      </c>
      <c r="E9" s="31"/>
      <c r="Z9" t="s">
        <v>418</v>
      </c>
      <c r="AA9" t="s">
        <v>243</v>
      </c>
      <c r="AC9" s="17" t="s">
        <v>480</v>
      </c>
    </row>
    <row r="10" spans="1:30" s="212" customFormat="1" x14ac:dyDescent="0.3">
      <c r="A10" s="46" t="s">
        <v>624</v>
      </c>
      <c r="B10" s="256" t="s">
        <v>15</v>
      </c>
      <c r="C10" s="120"/>
      <c r="D10" s="190" t="s">
        <v>382</v>
      </c>
      <c r="E10" s="31"/>
      <c r="Z10" t="s">
        <v>412</v>
      </c>
      <c r="AC10" s="17" t="s">
        <v>483</v>
      </c>
    </row>
    <row r="11" spans="1:30" s="222" customFormat="1" x14ac:dyDescent="0.3">
      <c r="A11" s="46" t="s">
        <v>612</v>
      </c>
      <c r="B11" s="256"/>
      <c r="C11" s="120"/>
      <c r="D11" s="190" t="s">
        <v>382</v>
      </c>
      <c r="E11" s="31"/>
      <c r="AC11" s="17" t="s">
        <v>485</v>
      </c>
    </row>
    <row r="12" spans="1:30" x14ac:dyDescent="0.3">
      <c r="A12" s="46" t="s">
        <v>627</v>
      </c>
      <c r="B12" s="256"/>
      <c r="C12" s="123"/>
      <c r="D12" s="65" t="s">
        <v>382</v>
      </c>
      <c r="E12" s="31"/>
      <c r="AA12" t="s">
        <v>244</v>
      </c>
      <c r="AC12" s="17" t="s">
        <v>469</v>
      </c>
    </row>
    <row r="13" spans="1:30" x14ac:dyDescent="0.3">
      <c r="A13" s="46" t="s">
        <v>628</v>
      </c>
      <c r="B13" s="256"/>
      <c r="C13" s="124" t="s">
        <v>6</v>
      </c>
      <c r="D13" s="190" t="s">
        <v>382</v>
      </c>
      <c r="E13" s="31"/>
      <c r="AA13" t="s">
        <v>353</v>
      </c>
      <c r="AC13" s="17" t="s">
        <v>482</v>
      </c>
    </row>
    <row r="14" spans="1:30" s="76" customFormat="1" x14ac:dyDescent="0.3">
      <c r="A14" s="46" t="s">
        <v>626</v>
      </c>
      <c r="B14" s="256"/>
      <c r="C14" s="123"/>
      <c r="D14" s="190" t="s">
        <v>382</v>
      </c>
      <c r="E14" s="31"/>
      <c r="AA14" s="76" t="s">
        <v>492</v>
      </c>
      <c r="AC14" s="17" t="s">
        <v>488</v>
      </c>
    </row>
    <row r="15" spans="1:30" s="23" customFormat="1" x14ac:dyDescent="0.3">
      <c r="A15" s="46" t="s">
        <v>625</v>
      </c>
      <c r="B15" s="256"/>
      <c r="C15" s="123"/>
      <c r="D15" s="65" t="s">
        <v>382</v>
      </c>
      <c r="E15" s="31"/>
      <c r="AA15" s="23" t="s">
        <v>493</v>
      </c>
      <c r="AC15" s="17" t="s">
        <v>465</v>
      </c>
    </row>
    <row r="16" spans="1:30" s="72" customFormat="1" x14ac:dyDescent="0.3">
      <c r="A16" s="195" t="s">
        <v>592</v>
      </c>
      <c r="B16" s="256"/>
      <c r="C16" s="123"/>
      <c r="D16" s="65"/>
      <c r="E16" s="31"/>
      <c r="AA16" s="165" t="s">
        <v>494</v>
      </c>
    </row>
    <row r="17" spans="1:27" s="72" customFormat="1" x14ac:dyDescent="0.3">
      <c r="A17" s="194"/>
      <c r="B17" s="5"/>
      <c r="C17" s="123"/>
      <c r="D17" s="65"/>
      <c r="E17" s="31"/>
      <c r="AA17" s="165" t="s">
        <v>495</v>
      </c>
    </row>
    <row r="18" spans="1:27" s="72" customFormat="1" x14ac:dyDescent="0.3">
      <c r="A18" s="59"/>
      <c r="B18" s="5"/>
      <c r="C18" s="123"/>
      <c r="D18" s="65"/>
      <c r="E18" s="31"/>
      <c r="AA18" s="165" t="s">
        <v>496</v>
      </c>
    </row>
    <row r="19" spans="1:27" s="72" customFormat="1" x14ac:dyDescent="0.3">
      <c r="A19" s="59"/>
      <c r="B19" s="5"/>
      <c r="C19" s="123"/>
      <c r="D19" s="65"/>
      <c r="E19" s="31"/>
      <c r="AA19" s="165" t="s">
        <v>6</v>
      </c>
    </row>
    <row r="20" spans="1:27" s="72" customFormat="1" x14ac:dyDescent="0.3">
      <c r="A20" s="59"/>
      <c r="B20" s="5"/>
      <c r="C20" s="123"/>
      <c r="D20" s="65"/>
      <c r="E20" s="31"/>
    </row>
    <row r="21" spans="1:27" x14ac:dyDescent="0.3">
      <c r="A21" s="28"/>
      <c r="B21" s="5"/>
      <c r="C21" s="123"/>
      <c r="D21" s="65"/>
      <c r="E21" s="31"/>
      <c r="AA21" t="s">
        <v>14</v>
      </c>
    </row>
    <row r="22" spans="1:27" s="29" customFormat="1" x14ac:dyDescent="0.3">
      <c r="A22" s="30"/>
      <c r="B22" s="5"/>
      <c r="C22" s="123"/>
      <c r="D22" s="65"/>
      <c r="E22" s="31"/>
      <c r="AA22" s="29" t="s">
        <v>15</v>
      </c>
    </row>
    <row r="23" spans="1:27" s="29" customFormat="1" x14ac:dyDescent="0.3">
      <c r="A23" s="30"/>
      <c r="B23" s="5"/>
      <c r="C23" s="123"/>
      <c r="D23" s="65"/>
      <c r="E23" s="31"/>
    </row>
    <row r="24" spans="1:27" s="29" customFormat="1" x14ac:dyDescent="0.3">
      <c r="A24" s="30"/>
      <c r="B24" s="5"/>
      <c r="C24" s="123"/>
      <c r="D24" s="65"/>
      <c r="E24" s="31"/>
    </row>
    <row r="25" spans="1:27" x14ac:dyDescent="0.3">
      <c r="A25" s="28"/>
      <c r="B25" s="5"/>
      <c r="C25" s="123"/>
      <c r="D25" s="65"/>
      <c r="E25" s="31"/>
    </row>
    <row r="26" spans="1:27" ht="75.75" customHeight="1" thickBot="1" x14ac:dyDescent="0.35">
      <c r="A26" s="28"/>
      <c r="B26" s="5"/>
      <c r="C26" s="123"/>
      <c r="D26" s="65"/>
      <c r="E26" s="31"/>
    </row>
    <row r="27" spans="1:27" x14ac:dyDescent="0.3">
      <c r="A27" s="49" t="s">
        <v>163</v>
      </c>
      <c r="B27" s="129"/>
      <c r="C27" s="130"/>
      <c r="D27" s="307" t="s">
        <v>175</v>
      </c>
      <c r="E27" s="164"/>
    </row>
    <row r="28" spans="1:27" ht="15" customHeight="1" x14ac:dyDescent="0.3">
      <c r="A28" s="126" t="s">
        <v>173</v>
      </c>
      <c r="B28" s="131"/>
      <c r="C28" s="132"/>
      <c r="D28" s="308"/>
      <c r="E28" s="31"/>
    </row>
    <row r="29" spans="1:27" ht="15" customHeight="1" x14ac:dyDescent="0.3">
      <c r="A29" s="127" t="s">
        <v>174</v>
      </c>
      <c r="B29" s="131"/>
      <c r="C29" s="133"/>
      <c r="D29" s="161"/>
      <c r="E29" s="31"/>
    </row>
    <row r="30" spans="1:27" ht="15" thickBot="1" x14ac:dyDescent="0.35">
      <c r="A30" s="128" t="s">
        <v>176</v>
      </c>
      <c r="B30" s="134"/>
      <c r="C30" s="135"/>
      <c r="D30" s="162"/>
      <c r="E30" s="163"/>
    </row>
  </sheetData>
  <sortState ref="AC1:AC15">
    <sortCondition ref="AC1:AC15"/>
  </sortState>
  <dataConsolidate/>
  <mergeCells count="1">
    <mergeCell ref="D27:D28"/>
  </mergeCells>
  <dataValidations count="6">
    <dataValidation type="list" allowBlank="1" showInputMessage="1" showErrorMessage="1" promptTitle="Please select" sqref="B5">
      <formula1>$AB$1:$AB$4</formula1>
    </dataValidation>
    <dataValidation type="list" allowBlank="1" showInputMessage="1" showErrorMessage="1" sqref="B9">
      <formula1>$AA$13:$AA$18</formula1>
    </dataValidation>
    <dataValidation type="list" allowBlank="1" showErrorMessage="1" sqref="B7">
      <formula1>$AD$1:$AD$6</formula1>
    </dataValidation>
    <dataValidation type="list" allowBlank="1" showInputMessage="1" showErrorMessage="1" sqref="B6 B10">
      <formula1>$AA$21:$AA$23</formula1>
    </dataValidation>
    <dataValidation type="list" allowBlank="1" showInputMessage="1" showErrorMessage="1" sqref="B8">
      <formula1>$AC$1:$AC$16</formula1>
    </dataValidation>
    <dataValidation type="list" allowBlank="1" showInputMessage="1" showErrorMessage="1" promptTitle="Select an answer" sqref="B4">
      <formula1>$Z$1:$Z$11</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R121"/>
  <sheetViews>
    <sheetView tabSelected="1" zoomScale="94" zoomScaleNormal="94" workbookViewId="0">
      <pane ySplit="1" topLeftCell="A69" activePane="bottomLeft" state="frozen"/>
      <selection pane="bottomLeft" activeCell="P8" sqref="P8"/>
    </sheetView>
  </sheetViews>
  <sheetFormatPr defaultColWidth="9.33203125" defaultRowHeight="13.8" x14ac:dyDescent="0.3"/>
  <cols>
    <col min="1" max="1" width="9.44140625" style="175" bestFit="1" customWidth="1"/>
    <col min="2" max="2" width="114" style="107" customWidth="1"/>
    <col min="3" max="4" width="3" style="11" hidden="1" customWidth="1"/>
    <col min="5" max="6" width="4.44140625" style="11" hidden="1" customWidth="1"/>
    <col min="7" max="7" width="4.44140625" style="11" customWidth="1"/>
    <col min="8" max="8" width="2.6640625" style="11" hidden="1" customWidth="1"/>
    <col min="9" max="9" width="4.33203125" style="11" customWidth="1"/>
    <col min="10" max="10" width="5.6640625" style="11" hidden="1" customWidth="1"/>
    <col min="11" max="11" width="15.33203125" style="22" customWidth="1"/>
    <col min="12" max="12" width="20.5546875" style="22" bestFit="1" customWidth="1"/>
    <col min="13" max="13" width="17.33203125" style="22" customWidth="1"/>
    <col min="14" max="14" width="10.44140625" style="22" bestFit="1" customWidth="1"/>
    <col min="15" max="15" width="13.5546875" style="170" customWidth="1"/>
    <col min="16" max="16" width="10.33203125" style="170" customWidth="1"/>
    <col min="17" max="17" width="67.33203125" style="139" customWidth="1"/>
    <col min="18" max="18" width="13.33203125" style="11" bestFit="1" customWidth="1"/>
    <col min="19" max="19" width="36" style="239" customWidth="1"/>
    <col min="20" max="20" width="88.33203125" style="97" bestFit="1" customWidth="1"/>
    <col min="21" max="21" width="72.6640625" style="22" customWidth="1"/>
    <col min="22" max="22" width="81" style="22" bestFit="1" customWidth="1"/>
    <col min="23" max="23" width="46.6640625" style="97" hidden="1" customWidth="1"/>
    <col min="24" max="43" width="9.33203125" style="22"/>
    <col min="44" max="44" width="30.44140625" style="22" customWidth="1"/>
    <col min="45" max="16384" width="9.33203125" style="22"/>
  </cols>
  <sheetData>
    <row r="1" spans="1:44" s="115" customFormat="1" ht="96" customHeight="1" x14ac:dyDescent="0.3">
      <c r="A1" s="246" t="s">
        <v>25</v>
      </c>
      <c r="B1" s="257" t="s">
        <v>20</v>
      </c>
      <c r="C1" s="247" t="s">
        <v>239</v>
      </c>
      <c r="D1" s="247" t="s">
        <v>240</v>
      </c>
      <c r="E1" s="247" t="s">
        <v>241</v>
      </c>
      <c r="F1" s="247" t="s">
        <v>237</v>
      </c>
      <c r="G1" s="247" t="s">
        <v>242</v>
      </c>
      <c r="H1" s="248" t="s">
        <v>611</v>
      </c>
      <c r="I1" s="248" t="s">
        <v>473</v>
      </c>
      <c r="J1" s="248" t="s">
        <v>583</v>
      </c>
      <c r="K1" s="249" t="s">
        <v>238</v>
      </c>
      <c r="L1" s="249" t="s">
        <v>16</v>
      </c>
      <c r="M1" s="249" t="s">
        <v>287</v>
      </c>
      <c r="N1" s="250" t="s">
        <v>638</v>
      </c>
      <c r="O1" s="250" t="s">
        <v>635</v>
      </c>
      <c r="P1" s="250" t="s">
        <v>697</v>
      </c>
      <c r="Q1" s="251" t="s">
        <v>698</v>
      </c>
      <c r="R1" s="247" t="s">
        <v>21</v>
      </c>
      <c r="S1" s="252" t="s">
        <v>391</v>
      </c>
      <c r="T1" s="253" t="s">
        <v>59</v>
      </c>
      <c r="U1" s="253" t="s">
        <v>60</v>
      </c>
      <c r="V1" s="247" t="s">
        <v>19</v>
      </c>
      <c r="W1" s="114" t="s">
        <v>156</v>
      </c>
      <c r="AP1" s="115" t="s">
        <v>14</v>
      </c>
      <c r="AQ1" s="115" t="s">
        <v>282</v>
      </c>
      <c r="AR1" s="137" t="s">
        <v>293</v>
      </c>
    </row>
    <row r="2" spans="1:44" s="83" customFormat="1" ht="15.6" x14ac:dyDescent="0.3">
      <c r="A2" s="206" t="s">
        <v>30</v>
      </c>
      <c r="B2" s="197" t="s">
        <v>550</v>
      </c>
      <c r="C2" s="78" t="s">
        <v>6</v>
      </c>
      <c r="D2" s="19" t="s">
        <v>23</v>
      </c>
      <c r="E2" s="19" t="s">
        <v>23</v>
      </c>
      <c r="F2" s="19" t="s">
        <v>23</v>
      </c>
      <c r="G2" s="19" t="s">
        <v>23</v>
      </c>
      <c r="H2" s="19"/>
      <c r="I2" s="19"/>
      <c r="J2" s="19"/>
      <c r="K2" s="79"/>
      <c r="L2" s="79"/>
      <c r="M2" s="79"/>
      <c r="N2" s="79"/>
      <c r="O2" s="179"/>
      <c r="P2" s="179"/>
      <c r="Q2" s="79"/>
      <c r="R2" s="41"/>
      <c r="S2" s="234"/>
      <c r="T2" s="80" t="s">
        <v>6</v>
      </c>
      <c r="U2" s="81" t="s">
        <v>6</v>
      </c>
      <c r="V2" s="82" t="s">
        <v>6</v>
      </c>
      <c r="W2" s="80" t="s">
        <v>6</v>
      </c>
      <c r="AP2" s="83" t="s">
        <v>15</v>
      </c>
      <c r="AQ2" s="83" t="s">
        <v>283</v>
      </c>
      <c r="AR2" s="83" t="s">
        <v>430</v>
      </c>
    </row>
    <row r="3" spans="1:44" s="83" customFormat="1" ht="41.4" x14ac:dyDescent="0.3">
      <c r="A3" s="175" t="s">
        <v>31</v>
      </c>
      <c r="B3" s="208" t="s">
        <v>633</v>
      </c>
      <c r="C3" s="217" t="s">
        <v>746</v>
      </c>
      <c r="D3" s="18" t="s">
        <v>23</v>
      </c>
      <c r="E3" s="18" t="s">
        <v>23</v>
      </c>
      <c r="F3" s="18" t="s">
        <v>23</v>
      </c>
      <c r="G3" s="18" t="s">
        <v>23</v>
      </c>
      <c r="H3" s="18"/>
      <c r="I3" s="18">
        <v>2</v>
      </c>
      <c r="J3" s="18" t="s">
        <v>6</v>
      </c>
      <c r="K3" s="84" t="s">
        <v>15</v>
      </c>
      <c r="L3" s="84"/>
      <c r="M3" s="84" t="s">
        <v>244</v>
      </c>
      <c r="N3" s="83" t="s">
        <v>15</v>
      </c>
      <c r="O3" s="170" t="s">
        <v>393</v>
      </c>
      <c r="P3" s="170" t="s">
        <v>636</v>
      </c>
      <c r="Q3" s="138" t="s">
        <v>680</v>
      </c>
      <c r="R3" s="144">
        <v>3.7</v>
      </c>
      <c r="S3" s="235" t="s">
        <v>231</v>
      </c>
      <c r="T3" s="186" t="s">
        <v>413</v>
      </c>
      <c r="U3" s="178" t="s">
        <v>414</v>
      </c>
      <c r="V3" s="87"/>
      <c r="W3" s="88"/>
      <c r="AP3" s="83" t="s">
        <v>181</v>
      </c>
      <c r="AQ3" s="83" t="s">
        <v>244</v>
      </c>
      <c r="AR3" s="83" t="s">
        <v>288</v>
      </c>
    </row>
    <row r="4" spans="1:44" s="83" customFormat="1" x14ac:dyDescent="0.3">
      <c r="A4" s="10" t="s">
        <v>548</v>
      </c>
      <c r="B4" s="209" t="s">
        <v>516</v>
      </c>
      <c r="C4" s="217" t="s">
        <v>746</v>
      </c>
      <c r="D4" s="9" t="s">
        <v>23</v>
      </c>
      <c r="E4" s="9" t="s">
        <v>23</v>
      </c>
      <c r="F4" s="9" t="s">
        <v>23</v>
      </c>
      <c r="G4" s="9" t="s">
        <v>23</v>
      </c>
      <c r="H4" s="9"/>
      <c r="I4" s="9" t="s">
        <v>490</v>
      </c>
      <c r="J4" s="9" t="s">
        <v>6</v>
      </c>
      <c r="K4" s="84" t="s">
        <v>14</v>
      </c>
      <c r="M4" s="84" t="s">
        <v>244</v>
      </c>
      <c r="N4" s="83" t="s">
        <v>15</v>
      </c>
      <c r="O4" s="170">
        <v>7.1</v>
      </c>
      <c r="P4" s="170" t="s">
        <v>636</v>
      </c>
      <c r="Q4" s="138" t="s">
        <v>681</v>
      </c>
      <c r="R4" s="144">
        <v>3.7</v>
      </c>
      <c r="S4" s="235" t="s">
        <v>231</v>
      </c>
      <c r="T4" s="90" t="s">
        <v>58</v>
      </c>
      <c r="U4" s="91" t="s">
        <v>70</v>
      </c>
      <c r="V4" s="86"/>
      <c r="W4" s="92"/>
      <c r="AR4" s="83" t="s">
        <v>291</v>
      </c>
    </row>
    <row r="5" spans="1:44" s="83" customFormat="1" ht="107.25" customHeight="1" x14ac:dyDescent="0.3">
      <c r="A5" s="175" t="s">
        <v>32</v>
      </c>
      <c r="B5" s="209" t="s">
        <v>586</v>
      </c>
      <c r="C5" s="217" t="s">
        <v>746</v>
      </c>
      <c r="D5" s="9" t="s">
        <v>23</v>
      </c>
      <c r="E5" s="9" t="s">
        <v>23</v>
      </c>
      <c r="F5" s="9" t="s">
        <v>23</v>
      </c>
      <c r="G5" s="9" t="s">
        <v>23</v>
      </c>
      <c r="H5" s="9"/>
      <c r="I5" s="9">
        <v>2</v>
      </c>
      <c r="J5" s="9" t="s">
        <v>6</v>
      </c>
      <c r="K5" s="84" t="s">
        <v>15</v>
      </c>
      <c r="L5" s="83" t="s">
        <v>752</v>
      </c>
      <c r="M5" s="84" t="s">
        <v>244</v>
      </c>
      <c r="N5" s="83" t="s">
        <v>15</v>
      </c>
      <c r="O5" s="170">
        <v>1.6</v>
      </c>
      <c r="P5" s="170" t="s">
        <v>636</v>
      </c>
      <c r="Q5" s="138" t="s">
        <v>652</v>
      </c>
      <c r="R5" s="144">
        <v>3.7</v>
      </c>
      <c r="S5" s="235" t="s">
        <v>231</v>
      </c>
      <c r="T5" s="90"/>
      <c r="U5" s="93"/>
      <c r="V5" s="86"/>
      <c r="W5" s="92" t="s">
        <v>6</v>
      </c>
      <c r="AR5" s="83" t="s">
        <v>292</v>
      </c>
    </row>
    <row r="6" spans="1:44" s="83" customFormat="1" ht="27.6" x14ac:dyDescent="0.3">
      <c r="A6" s="175" t="s">
        <v>33</v>
      </c>
      <c r="B6" s="210" t="s">
        <v>637</v>
      </c>
      <c r="C6" s="217" t="s">
        <v>746</v>
      </c>
      <c r="D6" s="9" t="s">
        <v>23</v>
      </c>
      <c r="E6" s="9" t="s">
        <v>23</v>
      </c>
      <c r="F6" s="9" t="s">
        <v>23</v>
      </c>
      <c r="G6" s="9" t="s">
        <v>23</v>
      </c>
      <c r="H6" s="9"/>
      <c r="I6" s="9">
        <v>5</v>
      </c>
      <c r="J6" s="9" t="s">
        <v>6</v>
      </c>
      <c r="K6" s="84" t="s">
        <v>14</v>
      </c>
      <c r="L6" s="83" t="s">
        <v>6</v>
      </c>
      <c r="M6" s="84" t="s">
        <v>244</v>
      </c>
      <c r="N6" s="83" t="s">
        <v>15</v>
      </c>
      <c r="O6" s="170">
        <v>1.6</v>
      </c>
      <c r="P6" s="170" t="s">
        <v>636</v>
      </c>
      <c r="Q6" s="138" t="s">
        <v>651</v>
      </c>
      <c r="R6" s="144">
        <v>3.7</v>
      </c>
      <c r="S6" s="235" t="s">
        <v>231</v>
      </c>
      <c r="T6" s="90"/>
      <c r="U6" s="93"/>
      <c r="V6" s="86"/>
      <c r="W6" s="92" t="s">
        <v>6</v>
      </c>
      <c r="AR6" s="83" t="s">
        <v>294</v>
      </c>
    </row>
    <row r="7" spans="1:44" s="83" customFormat="1" x14ac:dyDescent="0.3">
      <c r="A7" s="175" t="s">
        <v>34</v>
      </c>
      <c r="B7" s="209" t="s">
        <v>499</v>
      </c>
      <c r="C7" s="217" t="s">
        <v>746</v>
      </c>
      <c r="D7" s="9" t="s">
        <v>23</v>
      </c>
      <c r="E7" s="9" t="s">
        <v>23</v>
      </c>
      <c r="F7" s="9" t="s">
        <v>23</v>
      </c>
      <c r="G7" s="9" t="s">
        <v>23</v>
      </c>
      <c r="H7" s="9"/>
      <c r="I7" s="9" t="s">
        <v>490</v>
      </c>
      <c r="J7" s="9" t="s">
        <v>6</v>
      </c>
      <c r="K7" s="84" t="s">
        <v>750</v>
      </c>
      <c r="M7" s="84" t="s">
        <v>244</v>
      </c>
      <c r="N7" s="83" t="s">
        <v>14</v>
      </c>
      <c r="O7" s="170" t="s">
        <v>394</v>
      </c>
      <c r="P7" s="170" t="s">
        <v>201</v>
      </c>
      <c r="Q7" s="138" t="s">
        <v>6</v>
      </c>
      <c r="R7" s="144">
        <v>3.7</v>
      </c>
      <c r="S7" s="235" t="s">
        <v>231</v>
      </c>
      <c r="T7" s="90"/>
      <c r="U7" s="93"/>
      <c r="V7" s="86"/>
      <c r="W7" s="92" t="s">
        <v>61</v>
      </c>
      <c r="AR7" s="83" t="s">
        <v>296</v>
      </c>
    </row>
    <row r="8" spans="1:44" s="83" customFormat="1" ht="55.2" x14ac:dyDescent="0.3">
      <c r="A8" s="175" t="s">
        <v>35</v>
      </c>
      <c r="B8" s="209" t="s">
        <v>517</v>
      </c>
      <c r="C8" s="216" t="s">
        <v>746</v>
      </c>
      <c r="D8" s="216" t="s">
        <v>746</v>
      </c>
      <c r="E8" s="216" t="s">
        <v>746</v>
      </c>
      <c r="F8" s="216" t="s">
        <v>746</v>
      </c>
      <c r="G8" s="10" t="s">
        <v>23</v>
      </c>
      <c r="H8" s="10"/>
      <c r="I8" s="10">
        <v>2</v>
      </c>
      <c r="J8" s="10" t="s">
        <v>6</v>
      </c>
      <c r="K8" s="84" t="s">
        <v>751</v>
      </c>
      <c r="L8" s="83" t="s">
        <v>753</v>
      </c>
      <c r="M8" s="84" t="s">
        <v>244</v>
      </c>
      <c r="N8" s="83" t="s">
        <v>15</v>
      </c>
      <c r="O8" s="170">
        <v>1.8</v>
      </c>
      <c r="P8" s="170" t="s">
        <v>636</v>
      </c>
      <c r="Q8" s="138" t="s">
        <v>682</v>
      </c>
      <c r="R8" s="144">
        <v>3.7</v>
      </c>
      <c r="S8" s="235" t="s">
        <v>231</v>
      </c>
      <c r="T8" s="90" t="s">
        <v>58</v>
      </c>
      <c r="U8" s="91" t="s">
        <v>70</v>
      </c>
      <c r="V8" s="86"/>
      <c r="W8" s="92" t="s">
        <v>76</v>
      </c>
      <c r="AR8" s="83" t="s">
        <v>295</v>
      </c>
    </row>
    <row r="9" spans="1:44" s="83" customFormat="1" ht="124.2" x14ac:dyDescent="0.3">
      <c r="A9" s="175" t="s">
        <v>36</v>
      </c>
      <c r="B9" s="209" t="s">
        <v>521</v>
      </c>
      <c r="C9" s="216" t="s">
        <v>746</v>
      </c>
      <c r="D9" s="10" t="s">
        <v>23</v>
      </c>
      <c r="E9" s="10" t="s">
        <v>23</v>
      </c>
      <c r="F9" s="10" t="s">
        <v>23</v>
      </c>
      <c r="G9" s="10" t="s">
        <v>23</v>
      </c>
      <c r="H9" s="10"/>
      <c r="I9" s="10" t="s">
        <v>491</v>
      </c>
      <c r="J9" s="10" t="s">
        <v>6</v>
      </c>
      <c r="K9" s="84" t="s">
        <v>14</v>
      </c>
      <c r="L9" s="83" t="s">
        <v>754</v>
      </c>
      <c r="M9" s="84" t="s">
        <v>283</v>
      </c>
      <c r="N9" s="83" t="s">
        <v>14</v>
      </c>
      <c r="O9" s="170" t="s">
        <v>395</v>
      </c>
      <c r="P9" s="170" t="s">
        <v>201</v>
      </c>
      <c r="Q9" s="138" t="s">
        <v>6</v>
      </c>
      <c r="R9" s="144">
        <v>3.7</v>
      </c>
      <c r="S9" s="235" t="s">
        <v>231</v>
      </c>
      <c r="T9" s="90" t="s">
        <v>62</v>
      </c>
      <c r="U9" s="93" t="s">
        <v>63</v>
      </c>
      <c r="V9" s="86"/>
      <c r="W9" s="92" t="s">
        <v>6</v>
      </c>
      <c r="AR9" s="83" t="s">
        <v>297</v>
      </c>
    </row>
    <row r="10" spans="1:44" s="83" customFormat="1" ht="27.6" x14ac:dyDescent="0.3">
      <c r="A10" s="175" t="s">
        <v>37</v>
      </c>
      <c r="B10" s="209" t="s">
        <v>522</v>
      </c>
      <c r="C10" s="216" t="s">
        <v>746</v>
      </c>
      <c r="D10" s="10" t="s">
        <v>23</v>
      </c>
      <c r="E10" s="10" t="s">
        <v>23</v>
      </c>
      <c r="F10" s="10" t="s">
        <v>23</v>
      </c>
      <c r="G10" s="10" t="s">
        <v>23</v>
      </c>
      <c r="H10" s="10"/>
      <c r="I10" s="10">
        <v>2</v>
      </c>
      <c r="J10" s="10" t="s">
        <v>6</v>
      </c>
      <c r="K10" s="84" t="s">
        <v>14</v>
      </c>
      <c r="M10" s="84" t="s">
        <v>283</v>
      </c>
      <c r="N10" s="83" t="s">
        <v>14</v>
      </c>
      <c r="O10" s="170">
        <v>9.1999999999999993</v>
      </c>
      <c r="P10" s="170" t="s">
        <v>201</v>
      </c>
      <c r="Q10" s="138" t="s">
        <v>6</v>
      </c>
      <c r="R10" s="144">
        <v>3.7</v>
      </c>
      <c r="S10" s="235" t="s">
        <v>231</v>
      </c>
      <c r="T10" s="90"/>
      <c r="U10" s="93"/>
      <c r="V10" s="86"/>
      <c r="W10" s="92"/>
      <c r="AR10" s="83" t="s">
        <v>298</v>
      </c>
    </row>
    <row r="11" spans="1:44" s="83" customFormat="1" x14ac:dyDescent="0.3">
      <c r="A11" s="175" t="s">
        <v>38</v>
      </c>
      <c r="B11" s="209" t="s">
        <v>518</v>
      </c>
      <c r="C11" s="216" t="s">
        <v>746</v>
      </c>
      <c r="D11" s="10" t="s">
        <v>23</v>
      </c>
      <c r="E11" s="10" t="s">
        <v>23</v>
      </c>
      <c r="F11" s="10" t="s">
        <v>23</v>
      </c>
      <c r="G11" s="10" t="s">
        <v>23</v>
      </c>
      <c r="H11" s="10"/>
      <c r="I11" s="10">
        <v>2</v>
      </c>
      <c r="J11" s="10" t="s">
        <v>6</v>
      </c>
      <c r="K11" s="84" t="s">
        <v>14</v>
      </c>
      <c r="M11" s="84" t="s">
        <v>244</v>
      </c>
      <c r="N11" s="83" t="s">
        <v>15</v>
      </c>
      <c r="O11" s="170">
        <v>1.6</v>
      </c>
      <c r="P11" s="170" t="s">
        <v>201</v>
      </c>
      <c r="Q11" s="138" t="s">
        <v>6</v>
      </c>
      <c r="R11" s="144">
        <v>3.7</v>
      </c>
      <c r="S11" s="235" t="s">
        <v>231</v>
      </c>
      <c r="T11" s="90"/>
      <c r="U11" s="93"/>
      <c r="V11" s="86"/>
      <c r="W11" s="92" t="s">
        <v>61</v>
      </c>
      <c r="AR11" s="83" t="s">
        <v>299</v>
      </c>
    </row>
    <row r="12" spans="1:44" s="83" customFormat="1" ht="27.6" x14ac:dyDescent="0.3">
      <c r="A12" s="175" t="s">
        <v>39</v>
      </c>
      <c r="B12" s="209" t="s">
        <v>737</v>
      </c>
      <c r="C12" s="216" t="s">
        <v>746</v>
      </c>
      <c r="D12" s="10" t="s">
        <v>501</v>
      </c>
      <c r="E12" s="10" t="s">
        <v>502</v>
      </c>
      <c r="F12" s="10" t="s">
        <v>502</v>
      </c>
      <c r="G12" s="10" t="s">
        <v>502</v>
      </c>
      <c r="H12" s="10"/>
      <c r="I12" s="10">
        <v>2</v>
      </c>
      <c r="J12" s="10" t="s">
        <v>6</v>
      </c>
      <c r="K12" s="84" t="s">
        <v>14</v>
      </c>
      <c r="M12" s="84" t="s">
        <v>244</v>
      </c>
      <c r="N12" s="83" t="s">
        <v>15</v>
      </c>
      <c r="O12" s="170">
        <v>2.2000000000000002</v>
      </c>
      <c r="P12" s="170" t="s">
        <v>636</v>
      </c>
      <c r="Q12" s="138" t="s">
        <v>735</v>
      </c>
      <c r="R12" s="144">
        <v>3.7</v>
      </c>
      <c r="S12" s="235" t="s">
        <v>231</v>
      </c>
      <c r="T12" s="85" t="s">
        <v>78</v>
      </c>
      <c r="U12" s="77" t="s">
        <v>79</v>
      </c>
      <c r="V12" s="86"/>
      <c r="W12" s="94" t="s">
        <v>6</v>
      </c>
      <c r="AR12" s="83" t="s">
        <v>300</v>
      </c>
    </row>
    <row r="13" spans="1:44" s="83" customFormat="1" ht="27.6" x14ac:dyDescent="0.3">
      <c r="A13" s="175" t="s">
        <v>40</v>
      </c>
      <c r="B13" s="209" t="s">
        <v>738</v>
      </c>
      <c r="C13" s="216" t="s">
        <v>746</v>
      </c>
      <c r="D13" s="10" t="s">
        <v>500</v>
      </c>
      <c r="E13" s="10" t="s">
        <v>500</v>
      </c>
      <c r="F13" s="10" t="s">
        <v>500</v>
      </c>
      <c r="G13" s="10" t="s">
        <v>503</v>
      </c>
      <c r="H13" s="10"/>
      <c r="I13" s="10">
        <v>2</v>
      </c>
      <c r="J13" s="10" t="s">
        <v>6</v>
      </c>
      <c r="K13" s="84" t="s">
        <v>14</v>
      </c>
      <c r="M13" s="84" t="s">
        <v>244</v>
      </c>
      <c r="N13" s="83" t="s">
        <v>14</v>
      </c>
      <c r="O13" s="170" t="s">
        <v>396</v>
      </c>
      <c r="P13" s="170" t="s">
        <v>636</v>
      </c>
      <c r="Q13" s="138" t="s">
        <v>736</v>
      </c>
      <c r="R13" s="144">
        <v>3.7</v>
      </c>
      <c r="S13" s="235" t="s">
        <v>231</v>
      </c>
      <c r="T13" s="85" t="s">
        <v>78</v>
      </c>
      <c r="U13" s="77" t="s">
        <v>79</v>
      </c>
      <c r="V13" s="86"/>
      <c r="W13" s="94" t="s">
        <v>6</v>
      </c>
      <c r="AR13" s="83" t="s">
        <v>301</v>
      </c>
    </row>
    <row r="14" spans="1:44" s="83" customFormat="1" ht="41.4" x14ac:dyDescent="0.3">
      <c r="A14" s="175" t="s">
        <v>112</v>
      </c>
      <c r="B14" s="198" t="s">
        <v>585</v>
      </c>
      <c r="C14" s="213" t="s">
        <v>746</v>
      </c>
      <c r="D14" s="11" t="s">
        <v>23</v>
      </c>
      <c r="E14" s="11" t="s">
        <v>23</v>
      </c>
      <c r="F14" s="11" t="s">
        <v>23</v>
      </c>
      <c r="G14" s="11" t="s">
        <v>23</v>
      </c>
      <c r="H14" s="11"/>
      <c r="I14" s="11"/>
      <c r="J14" s="11" t="s">
        <v>6</v>
      </c>
      <c r="K14" s="84" t="s">
        <v>14</v>
      </c>
      <c r="M14" s="84" t="s">
        <v>244</v>
      </c>
      <c r="N14" s="83" t="s">
        <v>15</v>
      </c>
      <c r="O14" s="171">
        <v>1.5</v>
      </c>
      <c r="P14" s="172" t="s">
        <v>201</v>
      </c>
      <c r="Q14" s="138" t="s">
        <v>6</v>
      </c>
      <c r="R14" s="144">
        <v>3.7</v>
      </c>
      <c r="S14" s="235" t="s">
        <v>231</v>
      </c>
      <c r="T14" s="95"/>
      <c r="U14" s="96" t="s">
        <v>6</v>
      </c>
      <c r="V14" s="91" t="s">
        <v>26</v>
      </c>
      <c r="W14" s="94" t="s">
        <v>6</v>
      </c>
    </row>
    <row r="15" spans="1:44" ht="41.4" x14ac:dyDescent="0.3">
      <c r="A15" s="174" t="s">
        <v>114</v>
      </c>
      <c r="B15" s="116" t="s">
        <v>504</v>
      </c>
      <c r="C15" s="214" t="s">
        <v>746</v>
      </c>
      <c r="D15" s="11" t="s">
        <v>23</v>
      </c>
      <c r="E15" s="11" t="s">
        <v>23</v>
      </c>
      <c r="F15" s="11" t="s">
        <v>23</v>
      </c>
      <c r="G15" s="11" t="s">
        <v>23</v>
      </c>
      <c r="I15" s="11">
        <v>5</v>
      </c>
      <c r="J15" s="11" t="s">
        <v>6</v>
      </c>
      <c r="K15" s="84" t="s">
        <v>14</v>
      </c>
      <c r="M15" s="84" t="s">
        <v>244</v>
      </c>
      <c r="N15" s="22" t="s">
        <v>15</v>
      </c>
      <c r="O15" s="170">
        <v>1.6</v>
      </c>
      <c r="P15" s="170" t="s">
        <v>636</v>
      </c>
      <c r="Q15" s="138" t="s">
        <v>739</v>
      </c>
      <c r="R15" s="144">
        <v>3.7</v>
      </c>
      <c r="S15" s="235" t="s">
        <v>233</v>
      </c>
    </row>
    <row r="16" spans="1:44" ht="27.6" x14ac:dyDescent="0.3">
      <c r="A16" s="174" t="s">
        <v>115</v>
      </c>
      <c r="B16" s="141" t="s">
        <v>564</v>
      </c>
      <c r="C16" s="214" t="s">
        <v>746</v>
      </c>
      <c r="D16" s="11" t="s">
        <v>23</v>
      </c>
      <c r="E16" s="11" t="s">
        <v>23</v>
      </c>
      <c r="F16" s="11" t="s">
        <v>23</v>
      </c>
      <c r="G16" s="11" t="s">
        <v>23</v>
      </c>
      <c r="H16" s="11" t="s">
        <v>6</v>
      </c>
      <c r="I16" s="11">
        <v>2</v>
      </c>
      <c r="J16" s="11" t="s">
        <v>6</v>
      </c>
      <c r="K16" s="84" t="s">
        <v>14</v>
      </c>
      <c r="M16" s="84" t="s">
        <v>244</v>
      </c>
      <c r="N16" s="22" t="s">
        <v>15</v>
      </c>
      <c r="O16" s="170" t="s">
        <v>397</v>
      </c>
      <c r="P16" s="170" t="s">
        <v>636</v>
      </c>
      <c r="Q16" s="103" t="s">
        <v>650</v>
      </c>
      <c r="R16" s="144">
        <v>3.7</v>
      </c>
      <c r="S16" s="235" t="s">
        <v>234</v>
      </c>
    </row>
    <row r="17" spans="1:23" ht="27.6" x14ac:dyDescent="0.3">
      <c r="A17" s="174" t="s">
        <v>116</v>
      </c>
      <c r="B17" s="141" t="s">
        <v>577</v>
      </c>
      <c r="C17" s="214" t="s">
        <v>746</v>
      </c>
      <c r="D17" s="11" t="s">
        <v>23</v>
      </c>
      <c r="E17" s="11" t="s">
        <v>23</v>
      </c>
      <c r="F17" s="11" t="s">
        <v>23</v>
      </c>
      <c r="G17" s="11" t="s">
        <v>23</v>
      </c>
      <c r="H17" s="11" t="s">
        <v>6</v>
      </c>
      <c r="I17" s="11">
        <v>2</v>
      </c>
      <c r="J17" s="11" t="s">
        <v>6</v>
      </c>
      <c r="K17" s="84" t="s">
        <v>14</v>
      </c>
      <c r="M17" s="84" t="s">
        <v>244</v>
      </c>
      <c r="N17" s="22" t="s">
        <v>15</v>
      </c>
      <c r="O17" s="172" t="s">
        <v>401</v>
      </c>
      <c r="P17" s="172" t="s">
        <v>201</v>
      </c>
      <c r="Q17" s="138" t="s">
        <v>6</v>
      </c>
      <c r="R17" s="144">
        <v>3.7</v>
      </c>
      <c r="S17" s="235" t="s">
        <v>234</v>
      </c>
    </row>
    <row r="18" spans="1:23" s="96" customFormat="1" ht="27.6" x14ac:dyDescent="0.3">
      <c r="A18" s="174" t="s">
        <v>246</v>
      </c>
      <c r="B18" s="198" t="s">
        <v>519</v>
      </c>
      <c r="C18" s="214" t="s">
        <v>746</v>
      </c>
      <c r="D18" s="117" t="s">
        <v>23</v>
      </c>
      <c r="E18" s="117" t="s">
        <v>23</v>
      </c>
      <c r="F18" s="117" t="s">
        <v>23</v>
      </c>
      <c r="G18" s="117" t="s">
        <v>23</v>
      </c>
      <c r="H18" s="117"/>
      <c r="I18" s="117"/>
      <c r="J18" s="117" t="s">
        <v>6</v>
      </c>
      <c r="K18" s="84" t="s">
        <v>14</v>
      </c>
      <c r="M18" s="93"/>
      <c r="O18" s="171"/>
      <c r="P18" s="170" t="s">
        <v>636</v>
      </c>
      <c r="Q18" s="103" t="s">
        <v>703</v>
      </c>
      <c r="R18" s="144"/>
      <c r="S18" s="236"/>
      <c r="T18" s="95"/>
      <c r="W18" s="95"/>
    </row>
    <row r="19" spans="1:23" s="83" customFormat="1" ht="15.6" x14ac:dyDescent="0.3">
      <c r="A19" s="206" t="s">
        <v>284</v>
      </c>
      <c r="B19" s="197" t="s">
        <v>551</v>
      </c>
      <c r="C19" s="78"/>
      <c r="D19" s="19" t="s">
        <v>23</v>
      </c>
      <c r="E19" s="19" t="s">
        <v>23</v>
      </c>
      <c r="F19" s="19" t="s">
        <v>23</v>
      </c>
      <c r="G19" s="19" t="s">
        <v>23</v>
      </c>
      <c r="H19" s="19"/>
      <c r="I19" s="19"/>
      <c r="J19" s="19"/>
      <c r="K19" s="79"/>
      <c r="L19" s="79"/>
      <c r="M19" s="79"/>
      <c r="N19" s="79"/>
      <c r="O19" s="179"/>
      <c r="P19" s="179"/>
      <c r="Q19" s="79"/>
      <c r="R19" s="41"/>
      <c r="S19" s="234"/>
      <c r="T19" s="80"/>
      <c r="U19" s="81" t="s">
        <v>6</v>
      </c>
      <c r="V19" s="82" t="s">
        <v>27</v>
      </c>
      <c r="W19" s="80"/>
    </row>
    <row r="20" spans="1:23" s="83" customFormat="1" ht="27.6" x14ac:dyDescent="0.3">
      <c r="A20" s="174" t="s">
        <v>304</v>
      </c>
      <c r="B20" s="209" t="s">
        <v>113</v>
      </c>
      <c r="C20" s="217" t="s">
        <v>746</v>
      </c>
      <c r="D20" s="9" t="s">
        <v>23</v>
      </c>
      <c r="E20" s="9" t="s">
        <v>23</v>
      </c>
      <c r="F20" s="9" t="s">
        <v>23</v>
      </c>
      <c r="G20" s="9" t="s">
        <v>23</v>
      </c>
      <c r="H20" s="9" t="s">
        <v>6</v>
      </c>
      <c r="I20" s="9">
        <v>7</v>
      </c>
      <c r="J20" s="9" t="s">
        <v>6</v>
      </c>
      <c r="K20" s="84" t="s">
        <v>14</v>
      </c>
      <c r="M20" s="84" t="s">
        <v>244</v>
      </c>
      <c r="N20" s="83" t="s">
        <v>15</v>
      </c>
      <c r="O20" s="170">
        <v>2.2999999999999998</v>
      </c>
      <c r="P20" s="170" t="s">
        <v>636</v>
      </c>
      <c r="Q20" s="138" t="s">
        <v>649</v>
      </c>
      <c r="R20" s="144">
        <v>3.7</v>
      </c>
      <c r="S20" s="235" t="s">
        <v>231</v>
      </c>
      <c r="T20" s="100" t="s">
        <v>74</v>
      </c>
      <c r="U20" s="86" t="s">
        <v>75</v>
      </c>
      <c r="V20" s="101"/>
      <c r="W20" s="102" t="s">
        <v>6</v>
      </c>
    </row>
    <row r="21" spans="1:23" s="83" customFormat="1" x14ac:dyDescent="0.3">
      <c r="A21" s="174" t="s">
        <v>305</v>
      </c>
      <c r="B21" s="209" t="s">
        <v>119</v>
      </c>
      <c r="C21" s="217" t="s">
        <v>746</v>
      </c>
      <c r="D21" s="9" t="s">
        <v>23</v>
      </c>
      <c r="E21" s="9" t="s">
        <v>23</v>
      </c>
      <c r="F21" s="9" t="s">
        <v>23</v>
      </c>
      <c r="G21" s="9" t="s">
        <v>23</v>
      </c>
      <c r="H21" s="9" t="s">
        <v>6</v>
      </c>
      <c r="I21" s="9">
        <v>7</v>
      </c>
      <c r="J21" s="9" t="s">
        <v>6</v>
      </c>
      <c r="K21" s="84" t="s">
        <v>14</v>
      </c>
      <c r="M21" s="84" t="s">
        <v>244</v>
      </c>
      <c r="N21" s="83" t="s">
        <v>15</v>
      </c>
      <c r="O21" s="170" t="s">
        <v>399</v>
      </c>
      <c r="P21" s="170" t="s">
        <v>201</v>
      </c>
      <c r="Q21" s="138" t="s">
        <v>6</v>
      </c>
      <c r="R21" s="144">
        <v>3.7</v>
      </c>
      <c r="S21" s="235" t="s">
        <v>231</v>
      </c>
      <c r="T21" s="99"/>
      <c r="U21" s="93"/>
      <c r="V21" s="101"/>
      <c r="W21" s="102" t="s">
        <v>61</v>
      </c>
    </row>
    <row r="22" spans="1:23" s="83" customFormat="1" ht="54.75" customHeight="1" x14ac:dyDescent="0.3">
      <c r="A22" s="174" t="s">
        <v>306</v>
      </c>
      <c r="B22" s="209" t="s">
        <v>639</v>
      </c>
      <c r="C22" s="217" t="s">
        <v>746</v>
      </c>
      <c r="D22" s="9" t="s">
        <v>23</v>
      </c>
      <c r="E22" s="9" t="s">
        <v>23</v>
      </c>
      <c r="F22" s="9" t="s">
        <v>23</v>
      </c>
      <c r="G22" s="9" t="s">
        <v>23</v>
      </c>
      <c r="H22" s="9" t="s">
        <v>6</v>
      </c>
      <c r="I22" s="9">
        <v>7</v>
      </c>
      <c r="J22" s="9" t="s">
        <v>6</v>
      </c>
      <c r="K22" s="84" t="s">
        <v>181</v>
      </c>
      <c r="L22" s="83" t="s">
        <v>779</v>
      </c>
      <c r="M22" s="84" t="s">
        <v>283</v>
      </c>
      <c r="N22" s="83" t="s">
        <v>15</v>
      </c>
      <c r="O22" s="173" t="s">
        <v>566</v>
      </c>
      <c r="P22" s="170" t="s">
        <v>636</v>
      </c>
      <c r="Q22" s="138" t="s">
        <v>704</v>
      </c>
      <c r="R22" s="144">
        <v>3.7</v>
      </c>
      <c r="S22" s="235" t="s">
        <v>231</v>
      </c>
      <c r="T22" s="103" t="s">
        <v>71</v>
      </c>
      <c r="U22" s="104" t="s">
        <v>72</v>
      </c>
      <c r="V22" s="101"/>
      <c r="W22" s="102"/>
    </row>
    <row r="23" spans="1:23" s="83" customFormat="1" ht="27.6" x14ac:dyDescent="0.3">
      <c r="A23" s="174" t="s">
        <v>307</v>
      </c>
      <c r="B23" s="209" t="s">
        <v>28</v>
      </c>
      <c r="C23" s="217" t="s">
        <v>746</v>
      </c>
      <c r="D23" s="9" t="s">
        <v>23</v>
      </c>
      <c r="E23" s="9" t="s">
        <v>23</v>
      </c>
      <c r="F23" s="9" t="s">
        <v>23</v>
      </c>
      <c r="G23" s="9" t="s">
        <v>23</v>
      </c>
      <c r="H23" s="9" t="s">
        <v>6</v>
      </c>
      <c r="I23" s="9">
        <v>7</v>
      </c>
      <c r="J23" s="9" t="s">
        <v>6</v>
      </c>
      <c r="K23" s="84" t="s">
        <v>14</v>
      </c>
      <c r="M23" s="84" t="s">
        <v>244</v>
      </c>
      <c r="N23" s="83" t="s">
        <v>15</v>
      </c>
      <c r="O23" s="170" t="s">
        <v>400</v>
      </c>
      <c r="P23" s="170" t="s">
        <v>636</v>
      </c>
      <c r="Q23" s="138" t="s">
        <v>648</v>
      </c>
      <c r="R23" s="144">
        <v>3.7</v>
      </c>
      <c r="S23" s="235" t="s">
        <v>231</v>
      </c>
      <c r="T23" s="99"/>
      <c r="U23" s="93"/>
      <c r="V23" s="101"/>
      <c r="W23" s="102" t="s">
        <v>6</v>
      </c>
    </row>
    <row r="24" spans="1:23" s="83" customFormat="1" x14ac:dyDescent="0.3">
      <c r="A24" s="176"/>
      <c r="B24" s="211" t="s">
        <v>578</v>
      </c>
      <c r="C24" s="20"/>
      <c r="D24" s="21" t="s">
        <v>23</v>
      </c>
      <c r="E24" s="21" t="s">
        <v>23</v>
      </c>
      <c r="F24" s="21" t="s">
        <v>23</v>
      </c>
      <c r="G24" s="21" t="s">
        <v>23</v>
      </c>
      <c r="H24" s="21"/>
      <c r="I24" s="21"/>
      <c r="J24" s="21"/>
      <c r="K24" s="79"/>
      <c r="L24" s="79"/>
      <c r="M24" s="79"/>
      <c r="N24" s="79"/>
      <c r="O24" s="179"/>
      <c r="P24" s="179"/>
      <c r="Q24" s="231"/>
      <c r="R24" s="41"/>
      <c r="S24" s="234"/>
      <c r="T24" s="105"/>
      <c r="U24" s="79" t="s">
        <v>6</v>
      </c>
      <c r="V24" s="79" t="s">
        <v>6</v>
      </c>
      <c r="W24" s="106"/>
    </row>
    <row r="25" spans="1:23" ht="27.6" x14ac:dyDescent="0.3">
      <c r="A25" s="175" t="s">
        <v>309</v>
      </c>
      <c r="B25" s="209" t="s">
        <v>77</v>
      </c>
      <c r="C25" s="213" t="s">
        <v>746</v>
      </c>
      <c r="D25" s="11" t="s">
        <v>23</v>
      </c>
      <c r="E25" s="11" t="s">
        <v>23</v>
      </c>
      <c r="F25" s="11" t="s">
        <v>23</v>
      </c>
      <c r="G25" s="11" t="s">
        <v>23</v>
      </c>
      <c r="H25" s="11" t="s">
        <v>6</v>
      </c>
      <c r="J25" s="11" t="s">
        <v>6</v>
      </c>
      <c r="K25" s="84" t="s">
        <v>14</v>
      </c>
      <c r="M25" s="84" t="s">
        <v>244</v>
      </c>
      <c r="N25" s="22" t="s">
        <v>15</v>
      </c>
      <c r="O25" s="170">
        <v>1.6</v>
      </c>
      <c r="P25" s="170" t="s">
        <v>636</v>
      </c>
      <c r="Q25" s="138" t="s">
        <v>640</v>
      </c>
      <c r="R25" s="144">
        <v>3.7</v>
      </c>
      <c r="S25" s="235" t="s">
        <v>231</v>
      </c>
      <c r="T25" s="95"/>
      <c r="U25" s="96" t="s">
        <v>6</v>
      </c>
      <c r="V25" s="96"/>
      <c r="W25" s="94" t="s">
        <v>6</v>
      </c>
    </row>
    <row r="26" spans="1:23" ht="27.6" x14ac:dyDescent="0.3">
      <c r="A26" s="175" t="s">
        <v>97</v>
      </c>
      <c r="B26" s="116" t="s">
        <v>505</v>
      </c>
      <c r="C26" s="213" t="s">
        <v>746</v>
      </c>
      <c r="D26" s="13" t="s">
        <v>23</v>
      </c>
      <c r="E26" s="13" t="s">
        <v>23</v>
      </c>
      <c r="F26" s="13" t="s">
        <v>23</v>
      </c>
      <c r="G26" s="13" t="s">
        <v>23</v>
      </c>
      <c r="H26" s="13" t="s">
        <v>6</v>
      </c>
      <c r="I26" s="13"/>
      <c r="J26" s="13" t="s">
        <v>6</v>
      </c>
      <c r="K26" s="84" t="s">
        <v>15</v>
      </c>
      <c r="L26" s="22" t="s">
        <v>778</v>
      </c>
      <c r="M26" s="84" t="s">
        <v>244</v>
      </c>
      <c r="N26" s="22" t="s">
        <v>15</v>
      </c>
      <c r="O26" s="170">
        <v>1.6</v>
      </c>
      <c r="P26" s="170" t="s">
        <v>636</v>
      </c>
      <c r="Q26" s="138" t="s">
        <v>706</v>
      </c>
      <c r="R26" s="144">
        <v>3.7</v>
      </c>
      <c r="S26" s="235" t="s">
        <v>231</v>
      </c>
      <c r="T26" s="95"/>
      <c r="U26" s="96"/>
      <c r="V26" s="96"/>
      <c r="W26" s="94" t="s">
        <v>61</v>
      </c>
    </row>
    <row r="27" spans="1:23" ht="27.6" x14ac:dyDescent="0.3">
      <c r="A27" s="175" t="s">
        <v>96</v>
      </c>
      <c r="B27" s="116" t="s">
        <v>506</v>
      </c>
      <c r="C27" s="213" t="s">
        <v>746</v>
      </c>
      <c r="D27" s="13" t="s">
        <v>23</v>
      </c>
      <c r="E27" s="13" t="s">
        <v>23</v>
      </c>
      <c r="F27" s="13" t="s">
        <v>23</v>
      </c>
      <c r="G27" s="13" t="s">
        <v>23</v>
      </c>
      <c r="H27" s="13" t="s">
        <v>6</v>
      </c>
      <c r="I27" s="13"/>
      <c r="J27" s="13" t="s">
        <v>6</v>
      </c>
      <c r="K27" s="84" t="s">
        <v>14</v>
      </c>
      <c r="M27" s="84" t="s">
        <v>244</v>
      </c>
      <c r="N27" s="22" t="s">
        <v>15</v>
      </c>
      <c r="O27" s="170">
        <v>1.6</v>
      </c>
      <c r="P27" s="170" t="s">
        <v>636</v>
      </c>
      <c r="Q27" s="138" t="s">
        <v>707</v>
      </c>
      <c r="R27" s="144">
        <v>3.7</v>
      </c>
      <c r="S27" s="235" t="s">
        <v>231</v>
      </c>
      <c r="T27" s="95"/>
      <c r="U27" s="96"/>
      <c r="V27" s="96"/>
      <c r="W27" s="94" t="s">
        <v>6</v>
      </c>
    </row>
    <row r="28" spans="1:23" s="83" customFormat="1" ht="15.6" x14ac:dyDescent="0.3">
      <c r="A28" s="206" t="s">
        <v>87</v>
      </c>
      <c r="B28" s="197" t="s">
        <v>552</v>
      </c>
      <c r="C28" s="78"/>
      <c r="D28" s="19" t="s">
        <v>6</v>
      </c>
      <c r="E28" s="19" t="s">
        <v>23</v>
      </c>
      <c r="F28" s="19" t="s">
        <v>23</v>
      </c>
      <c r="G28" s="19" t="s">
        <v>23</v>
      </c>
      <c r="H28" s="19" t="s">
        <v>6</v>
      </c>
      <c r="I28" s="19"/>
      <c r="J28" s="19"/>
      <c r="K28" s="79"/>
      <c r="L28" s="79"/>
      <c r="M28" s="79"/>
      <c r="N28" s="79"/>
      <c r="O28" s="179"/>
      <c r="P28" s="179"/>
      <c r="Q28" s="79" t="s">
        <v>6</v>
      </c>
      <c r="R28" s="41"/>
      <c r="S28" s="234"/>
      <c r="T28" s="80"/>
      <c r="U28" s="81" t="s">
        <v>29</v>
      </c>
      <c r="V28" s="82"/>
      <c r="W28" s="80"/>
    </row>
    <row r="29" spans="1:23" ht="27.6" x14ac:dyDescent="0.3">
      <c r="A29" s="175" t="s">
        <v>88</v>
      </c>
      <c r="B29" s="209" t="s">
        <v>0</v>
      </c>
      <c r="C29" s="218" t="s">
        <v>746</v>
      </c>
      <c r="D29" s="218" t="s">
        <v>746</v>
      </c>
      <c r="E29" s="12" t="s">
        <v>23</v>
      </c>
      <c r="F29" s="12" t="s">
        <v>23</v>
      </c>
      <c r="G29" s="12" t="s">
        <v>23</v>
      </c>
      <c r="H29" s="12" t="s">
        <v>6</v>
      </c>
      <c r="I29" s="12"/>
      <c r="J29" s="12" t="s">
        <v>6</v>
      </c>
      <c r="K29" s="84" t="s">
        <v>14</v>
      </c>
      <c r="M29" s="84" t="s">
        <v>244</v>
      </c>
      <c r="N29" s="22" t="s">
        <v>15</v>
      </c>
      <c r="O29" s="170">
        <v>7.1</v>
      </c>
      <c r="P29" s="170" t="s">
        <v>636</v>
      </c>
      <c r="Q29" s="138" t="s">
        <v>708</v>
      </c>
      <c r="R29" s="144" t="s">
        <v>319</v>
      </c>
      <c r="S29" s="237" t="s">
        <v>247</v>
      </c>
      <c r="T29" s="90" t="s">
        <v>58</v>
      </c>
      <c r="U29" s="91" t="s">
        <v>70</v>
      </c>
      <c r="V29" s="96" t="s">
        <v>6</v>
      </c>
      <c r="W29" s="94" t="s">
        <v>6</v>
      </c>
    </row>
    <row r="30" spans="1:23" ht="27.6" x14ac:dyDescent="0.3">
      <c r="A30" s="175" t="s">
        <v>90</v>
      </c>
      <c r="B30" s="209" t="s">
        <v>629</v>
      </c>
      <c r="C30" s="218" t="s">
        <v>746</v>
      </c>
      <c r="D30" s="218" t="s">
        <v>746</v>
      </c>
      <c r="E30" s="218" t="s">
        <v>746</v>
      </c>
      <c r="F30" s="12" t="s">
        <v>23</v>
      </c>
      <c r="G30" s="12" t="s">
        <v>23</v>
      </c>
      <c r="H30" s="12"/>
      <c r="I30" s="12"/>
      <c r="J30" s="12" t="s">
        <v>6</v>
      </c>
      <c r="K30" s="84" t="s">
        <v>181</v>
      </c>
      <c r="L30" s="22" t="s">
        <v>777</v>
      </c>
      <c r="M30" s="84" t="s">
        <v>244</v>
      </c>
      <c r="N30" s="22" t="s">
        <v>15</v>
      </c>
      <c r="O30" s="170" t="s">
        <v>6</v>
      </c>
      <c r="P30" s="170" t="s">
        <v>636</v>
      </c>
      <c r="Q30" s="138" t="s">
        <v>709</v>
      </c>
      <c r="R30" s="144" t="s">
        <v>319</v>
      </c>
      <c r="S30" s="237" t="s">
        <v>247</v>
      </c>
      <c r="T30" s="90" t="s">
        <v>58</v>
      </c>
      <c r="U30" s="91" t="s">
        <v>70</v>
      </c>
      <c r="V30" s="96" t="s">
        <v>6</v>
      </c>
      <c r="W30" s="94" t="s">
        <v>6</v>
      </c>
    </row>
    <row r="31" spans="1:23" ht="27.6" x14ac:dyDescent="0.3">
      <c r="A31" s="175" t="s">
        <v>89</v>
      </c>
      <c r="B31" s="209" t="s">
        <v>311</v>
      </c>
      <c r="C31" s="219" t="s">
        <v>746</v>
      </c>
      <c r="D31" s="219" t="s">
        <v>746</v>
      </c>
      <c r="E31" s="219" t="s">
        <v>746</v>
      </c>
      <c r="F31" s="14"/>
      <c r="G31" s="11" t="s">
        <v>23</v>
      </c>
      <c r="H31" s="12"/>
      <c r="I31" s="117"/>
      <c r="J31" s="11" t="s">
        <v>6</v>
      </c>
      <c r="K31" s="84" t="s">
        <v>181</v>
      </c>
      <c r="L31" s="22" t="s">
        <v>776</v>
      </c>
      <c r="M31" s="84" t="s">
        <v>244</v>
      </c>
      <c r="N31" s="22" t="s">
        <v>14</v>
      </c>
      <c r="O31" s="232" t="s">
        <v>642</v>
      </c>
      <c r="P31" s="170" t="s">
        <v>636</v>
      </c>
      <c r="Q31" s="138" t="s">
        <v>711</v>
      </c>
      <c r="R31" s="144" t="s">
        <v>319</v>
      </c>
      <c r="S31" s="237" t="s">
        <v>247</v>
      </c>
      <c r="T31" s="90" t="s">
        <v>58</v>
      </c>
      <c r="U31" s="91" t="s">
        <v>70</v>
      </c>
      <c r="V31" s="96"/>
      <c r="W31" s="94" t="s">
        <v>6</v>
      </c>
    </row>
    <row r="32" spans="1:23" ht="27.6" hidden="1" x14ac:dyDescent="0.3">
      <c r="A32" s="175" t="s">
        <v>91</v>
      </c>
      <c r="B32" s="209" t="s">
        <v>743</v>
      </c>
      <c r="C32" s="218" t="s">
        <v>746</v>
      </c>
      <c r="D32" s="12" t="s">
        <v>23</v>
      </c>
      <c r="E32" s="12" t="s">
        <v>23</v>
      </c>
      <c r="F32" s="14" t="s">
        <v>23</v>
      </c>
      <c r="G32" s="219" t="s">
        <v>746</v>
      </c>
      <c r="H32" s="12"/>
      <c r="I32" s="260" t="s">
        <v>6</v>
      </c>
      <c r="J32" s="12" t="s">
        <v>6</v>
      </c>
      <c r="K32" s="84"/>
      <c r="M32" s="84" t="s">
        <v>244</v>
      </c>
      <c r="N32" s="22" t="s">
        <v>14</v>
      </c>
      <c r="O32" s="232" t="s">
        <v>642</v>
      </c>
      <c r="P32" s="170" t="s">
        <v>636</v>
      </c>
      <c r="Q32" s="138" t="s">
        <v>710</v>
      </c>
      <c r="R32" s="144" t="s">
        <v>319</v>
      </c>
      <c r="S32" s="237" t="s">
        <v>247</v>
      </c>
      <c r="T32" s="90" t="s">
        <v>58</v>
      </c>
      <c r="U32" s="91" t="s">
        <v>70</v>
      </c>
      <c r="V32" s="96"/>
      <c r="W32" s="94"/>
    </row>
    <row r="33" spans="1:23" ht="27.6" x14ac:dyDescent="0.3">
      <c r="A33" s="175" t="s">
        <v>92</v>
      </c>
      <c r="B33" s="209" t="s">
        <v>312</v>
      </c>
      <c r="C33" s="218" t="s">
        <v>746</v>
      </c>
      <c r="D33" s="218" t="s">
        <v>746</v>
      </c>
      <c r="E33" s="12" t="s">
        <v>23</v>
      </c>
      <c r="F33" s="12" t="s">
        <v>23</v>
      </c>
      <c r="G33" s="12" t="s">
        <v>23</v>
      </c>
      <c r="H33" s="12"/>
      <c r="I33" s="12"/>
      <c r="J33" s="12" t="s">
        <v>6</v>
      </c>
      <c r="K33" s="84" t="s">
        <v>181</v>
      </c>
      <c r="M33" s="84" t="s">
        <v>244</v>
      </c>
      <c r="N33" s="22" t="s">
        <v>14</v>
      </c>
      <c r="O33" s="232" t="s">
        <v>642</v>
      </c>
      <c r="P33" s="170" t="s">
        <v>636</v>
      </c>
      <c r="Q33" s="138" t="s">
        <v>713</v>
      </c>
      <c r="R33" s="144" t="s">
        <v>319</v>
      </c>
      <c r="S33" s="237" t="s">
        <v>247</v>
      </c>
      <c r="T33" s="90" t="s">
        <v>58</v>
      </c>
      <c r="U33" s="91" t="s">
        <v>70</v>
      </c>
      <c r="V33" s="96"/>
      <c r="W33" s="94" t="s">
        <v>83</v>
      </c>
    </row>
    <row r="34" spans="1:23" ht="27.6" x14ac:dyDescent="0.3">
      <c r="A34" s="175" t="s">
        <v>93</v>
      </c>
      <c r="B34" s="209" t="s">
        <v>630</v>
      </c>
      <c r="C34" s="218" t="s">
        <v>746</v>
      </c>
      <c r="D34" s="218" t="s">
        <v>746</v>
      </c>
      <c r="E34" s="218" t="s">
        <v>746</v>
      </c>
      <c r="F34" s="12" t="s">
        <v>23</v>
      </c>
      <c r="G34" s="12" t="s">
        <v>23</v>
      </c>
      <c r="H34" s="12"/>
      <c r="I34" s="12"/>
      <c r="J34" s="12" t="s">
        <v>6</v>
      </c>
      <c r="K34" s="84" t="s">
        <v>14</v>
      </c>
      <c r="L34" s="22" t="s">
        <v>775</v>
      </c>
      <c r="M34" s="84" t="s">
        <v>244</v>
      </c>
      <c r="N34" s="22" t="s">
        <v>15</v>
      </c>
      <c r="O34" s="172" t="s">
        <v>401</v>
      </c>
      <c r="P34" s="170" t="s">
        <v>636</v>
      </c>
      <c r="Q34" s="138" t="s">
        <v>714</v>
      </c>
      <c r="R34" s="144" t="s">
        <v>319</v>
      </c>
      <c r="S34" s="237" t="s">
        <v>247</v>
      </c>
      <c r="T34" s="90" t="s">
        <v>58</v>
      </c>
      <c r="U34" s="91" t="s">
        <v>70</v>
      </c>
      <c r="V34" s="96" t="s">
        <v>6</v>
      </c>
      <c r="W34" s="94" t="s">
        <v>6</v>
      </c>
    </row>
    <row r="35" spans="1:23" ht="27.6" x14ac:dyDescent="0.3">
      <c r="A35" s="175" t="s">
        <v>86</v>
      </c>
      <c r="B35" s="209" t="s">
        <v>641</v>
      </c>
      <c r="C35" s="218" t="s">
        <v>746</v>
      </c>
      <c r="D35" s="218" t="s">
        <v>746</v>
      </c>
      <c r="E35" s="218" t="s">
        <v>746</v>
      </c>
      <c r="F35" s="12" t="s">
        <v>23</v>
      </c>
      <c r="G35" s="12" t="s">
        <v>23</v>
      </c>
      <c r="H35" s="12"/>
      <c r="I35" s="12"/>
      <c r="J35" s="12" t="s">
        <v>6</v>
      </c>
      <c r="K35" s="84" t="s">
        <v>181</v>
      </c>
      <c r="M35" s="84" t="s">
        <v>244</v>
      </c>
      <c r="N35" s="22" t="s">
        <v>15</v>
      </c>
      <c r="O35" s="170" t="s">
        <v>6</v>
      </c>
      <c r="P35" s="170" t="s">
        <v>636</v>
      </c>
      <c r="Q35" s="138" t="s">
        <v>715</v>
      </c>
      <c r="R35" s="144" t="s">
        <v>319</v>
      </c>
      <c r="S35" s="237" t="s">
        <v>247</v>
      </c>
      <c r="T35" s="90" t="s">
        <v>58</v>
      </c>
      <c r="U35" s="91" t="s">
        <v>70</v>
      </c>
      <c r="V35" s="96" t="s">
        <v>6</v>
      </c>
      <c r="W35" s="94" t="s">
        <v>6</v>
      </c>
    </row>
    <row r="36" spans="1:23" ht="27.6" x14ac:dyDescent="0.3">
      <c r="A36" s="175" t="s">
        <v>94</v>
      </c>
      <c r="B36" s="209" t="s">
        <v>424</v>
      </c>
      <c r="C36" s="213" t="s">
        <v>746</v>
      </c>
      <c r="D36" s="213" t="s">
        <v>746</v>
      </c>
      <c r="E36" s="11" t="s">
        <v>23</v>
      </c>
      <c r="F36" s="11" t="s">
        <v>23</v>
      </c>
      <c r="G36" s="11" t="s">
        <v>23</v>
      </c>
      <c r="H36" s="12"/>
      <c r="I36" s="117"/>
      <c r="J36" s="11" t="s">
        <v>6</v>
      </c>
      <c r="K36" s="84" t="s">
        <v>14</v>
      </c>
      <c r="M36" s="84" t="s">
        <v>244</v>
      </c>
      <c r="N36" s="22" t="s">
        <v>14</v>
      </c>
      <c r="O36" s="170" t="s">
        <v>6</v>
      </c>
      <c r="P36" s="170" t="s">
        <v>636</v>
      </c>
      <c r="Q36" s="138" t="s">
        <v>716</v>
      </c>
      <c r="R36" s="144" t="s">
        <v>319</v>
      </c>
      <c r="S36" s="237" t="s">
        <v>247</v>
      </c>
      <c r="T36" s="90" t="s">
        <v>58</v>
      </c>
      <c r="U36" s="91" t="s">
        <v>70</v>
      </c>
      <c r="V36" s="96"/>
      <c r="W36" s="94" t="s">
        <v>84</v>
      </c>
    </row>
    <row r="37" spans="1:23" s="96" customFormat="1" ht="27.6" x14ac:dyDescent="0.3">
      <c r="A37" s="174" t="s">
        <v>315</v>
      </c>
      <c r="B37" s="198" t="s">
        <v>111</v>
      </c>
      <c r="C37" s="14" t="s">
        <v>23</v>
      </c>
      <c r="D37" s="14" t="s">
        <v>23</v>
      </c>
      <c r="E37" s="117" t="s">
        <v>23</v>
      </c>
      <c r="F37" s="117" t="s">
        <v>23</v>
      </c>
      <c r="G37" s="117" t="s">
        <v>23</v>
      </c>
      <c r="H37" s="12"/>
      <c r="I37" s="117"/>
      <c r="J37" s="117" t="s">
        <v>6</v>
      </c>
      <c r="K37" s="84" t="s">
        <v>14</v>
      </c>
      <c r="M37" s="93" t="s">
        <v>244</v>
      </c>
      <c r="N37" s="96" t="s">
        <v>15</v>
      </c>
      <c r="O37" s="171">
        <v>7</v>
      </c>
      <c r="P37" s="171" t="s">
        <v>201</v>
      </c>
      <c r="Q37" s="103" t="s">
        <v>6</v>
      </c>
      <c r="R37" s="144" t="s">
        <v>319</v>
      </c>
      <c r="S37" s="238" t="s">
        <v>247</v>
      </c>
      <c r="T37" s="95"/>
      <c r="U37" s="91"/>
      <c r="W37" s="94"/>
    </row>
    <row r="38" spans="1:23" ht="27.6" x14ac:dyDescent="0.3">
      <c r="A38" s="175" t="s">
        <v>95</v>
      </c>
      <c r="B38" s="209" t="s">
        <v>679</v>
      </c>
      <c r="C38" s="14" t="s">
        <v>23</v>
      </c>
      <c r="D38" s="14" t="s">
        <v>23</v>
      </c>
      <c r="E38" s="11" t="s">
        <v>23</v>
      </c>
      <c r="F38" s="11" t="s">
        <v>23</v>
      </c>
      <c r="G38" s="11" t="s">
        <v>23</v>
      </c>
      <c r="H38" s="12"/>
      <c r="J38" s="11" t="s">
        <v>6</v>
      </c>
      <c r="K38" s="84" t="s">
        <v>14</v>
      </c>
      <c r="L38" s="22" t="s">
        <v>774</v>
      </c>
      <c r="M38" s="84" t="s">
        <v>244</v>
      </c>
      <c r="N38" s="22" t="s">
        <v>14</v>
      </c>
      <c r="O38" s="170">
        <v>7</v>
      </c>
      <c r="P38" s="170" t="s">
        <v>201</v>
      </c>
      <c r="Q38" s="138" t="s">
        <v>6</v>
      </c>
      <c r="R38" s="144" t="s">
        <v>319</v>
      </c>
      <c r="S38" s="237" t="s">
        <v>247</v>
      </c>
      <c r="T38" s="95"/>
      <c r="U38" s="91"/>
      <c r="V38" s="96"/>
      <c r="W38" s="94"/>
    </row>
    <row r="39" spans="1:23" ht="27.6" x14ac:dyDescent="0.3">
      <c r="A39" s="175" t="s">
        <v>110</v>
      </c>
      <c r="B39" s="209" t="s">
        <v>313</v>
      </c>
      <c r="C39" s="108"/>
      <c r="D39" s="108"/>
      <c r="F39" s="11" t="s">
        <v>23</v>
      </c>
      <c r="G39" s="11" t="s">
        <v>23</v>
      </c>
      <c r="H39" s="12"/>
      <c r="J39" s="11" t="s">
        <v>6</v>
      </c>
      <c r="K39" s="84" t="s">
        <v>14</v>
      </c>
      <c r="L39" s="22" t="s">
        <v>773</v>
      </c>
      <c r="M39" s="84" t="s">
        <v>244</v>
      </c>
      <c r="N39" s="22" t="s">
        <v>15</v>
      </c>
      <c r="O39" s="172" t="s">
        <v>401</v>
      </c>
      <c r="P39" s="172" t="s">
        <v>636</v>
      </c>
      <c r="Q39" s="138" t="s">
        <v>717</v>
      </c>
      <c r="R39" s="144" t="s">
        <v>319</v>
      </c>
      <c r="S39" s="237" t="s">
        <v>247</v>
      </c>
      <c r="T39" s="95"/>
      <c r="U39" s="91"/>
      <c r="V39" s="96"/>
      <c r="W39" s="94"/>
    </row>
    <row r="40" spans="1:23" ht="15" customHeight="1" x14ac:dyDescent="0.3">
      <c r="A40" s="175" t="s">
        <v>392</v>
      </c>
      <c r="B40" s="209" t="s">
        <v>567</v>
      </c>
      <c r="C40" s="184" t="s">
        <v>23</v>
      </c>
      <c r="D40" s="184" t="s">
        <v>23</v>
      </c>
      <c r="E40" s="185" t="s">
        <v>23</v>
      </c>
      <c r="F40" s="11" t="s">
        <v>23</v>
      </c>
      <c r="G40" s="11" t="s">
        <v>23</v>
      </c>
      <c r="H40" s="12"/>
      <c r="J40" s="11" t="s">
        <v>6</v>
      </c>
      <c r="K40" s="84" t="s">
        <v>14</v>
      </c>
      <c r="L40" s="22" t="s">
        <v>772</v>
      </c>
      <c r="M40" s="84" t="s">
        <v>244</v>
      </c>
      <c r="N40" s="22" t="s">
        <v>15</v>
      </c>
      <c r="O40" s="232" t="s">
        <v>642</v>
      </c>
      <c r="P40" s="170" t="s">
        <v>201</v>
      </c>
      <c r="Q40" s="138" t="s">
        <v>289</v>
      </c>
      <c r="R40" s="144" t="s">
        <v>319</v>
      </c>
      <c r="S40" s="237" t="s">
        <v>247</v>
      </c>
      <c r="T40" s="95"/>
      <c r="U40" s="91"/>
      <c r="V40" s="96"/>
      <c r="W40" s="94"/>
    </row>
    <row r="41" spans="1:23" ht="55.2" x14ac:dyDescent="0.3">
      <c r="A41" s="175" t="s">
        <v>427</v>
      </c>
      <c r="B41" s="229" t="s">
        <v>587</v>
      </c>
      <c r="C41" s="184" t="s">
        <v>23</v>
      </c>
      <c r="D41" s="184" t="s">
        <v>23</v>
      </c>
      <c r="E41" s="185" t="s">
        <v>23</v>
      </c>
      <c r="F41" s="11" t="s">
        <v>23</v>
      </c>
      <c r="G41" s="11" t="s">
        <v>23</v>
      </c>
      <c r="K41" s="84" t="s">
        <v>181</v>
      </c>
      <c r="L41" s="22" t="s">
        <v>771</v>
      </c>
      <c r="M41" s="84"/>
      <c r="O41" s="232" t="s">
        <v>642</v>
      </c>
      <c r="Q41" s="138"/>
      <c r="R41" s="144" t="s">
        <v>665</v>
      </c>
      <c r="S41" s="237"/>
      <c r="T41" s="95"/>
      <c r="U41" s="91"/>
      <c r="V41" s="96"/>
      <c r="W41" s="94"/>
    </row>
    <row r="42" spans="1:23" ht="27.6" x14ac:dyDescent="0.3">
      <c r="A42" s="175" t="s">
        <v>475</v>
      </c>
      <c r="B42" s="230" t="s">
        <v>476</v>
      </c>
      <c r="C42" s="213" t="s">
        <v>746</v>
      </c>
      <c r="D42" s="184" t="s">
        <v>23</v>
      </c>
      <c r="E42" s="185" t="s">
        <v>23</v>
      </c>
      <c r="F42" s="11" t="s">
        <v>23</v>
      </c>
      <c r="G42" s="11" t="s">
        <v>23</v>
      </c>
      <c r="K42" s="84" t="s">
        <v>14</v>
      </c>
      <c r="M42" s="84"/>
      <c r="O42" s="232" t="s">
        <v>642</v>
      </c>
      <c r="P42" s="172" t="s">
        <v>636</v>
      </c>
      <c r="Q42" s="138" t="s">
        <v>683</v>
      </c>
      <c r="R42" s="233" t="s">
        <v>665</v>
      </c>
      <c r="S42" s="237" t="s">
        <v>247</v>
      </c>
      <c r="T42" s="95"/>
      <c r="U42" s="91"/>
      <c r="V42" s="96"/>
      <c r="W42" s="94"/>
    </row>
    <row r="43" spans="1:23" ht="27.6" x14ac:dyDescent="0.3">
      <c r="A43" s="175" t="s">
        <v>498</v>
      </c>
      <c r="B43" s="224" t="s">
        <v>579</v>
      </c>
      <c r="C43" s="184" t="s">
        <v>23</v>
      </c>
      <c r="D43" s="184" t="s">
        <v>23</v>
      </c>
      <c r="E43" s="185" t="s">
        <v>23</v>
      </c>
      <c r="F43" s="11" t="s">
        <v>23</v>
      </c>
      <c r="G43" s="11" t="s">
        <v>23</v>
      </c>
      <c r="K43" s="84" t="s">
        <v>181</v>
      </c>
      <c r="L43" s="22" t="s">
        <v>771</v>
      </c>
      <c r="M43" s="84"/>
      <c r="O43" s="232" t="s">
        <v>642</v>
      </c>
      <c r="P43" s="170" t="s">
        <v>201</v>
      </c>
      <c r="Q43" s="138"/>
      <c r="R43" s="144"/>
      <c r="S43" s="237"/>
      <c r="T43" s="95"/>
      <c r="U43" s="91"/>
      <c r="V43" s="96"/>
      <c r="W43" s="94"/>
    </row>
    <row r="44" spans="1:23" s="83" customFormat="1" ht="15.6" x14ac:dyDescent="0.3">
      <c r="A44" s="206" t="s">
        <v>41</v>
      </c>
      <c r="B44" s="197" t="s">
        <v>607</v>
      </c>
      <c r="C44" s="196" t="s">
        <v>23</v>
      </c>
      <c r="D44" s="19" t="s">
        <v>23</v>
      </c>
      <c r="E44" s="19" t="s">
        <v>23</v>
      </c>
      <c r="F44" s="19" t="s">
        <v>23</v>
      </c>
      <c r="G44" s="19" t="s">
        <v>23</v>
      </c>
      <c r="H44" s="19"/>
      <c r="I44" s="19"/>
      <c r="J44" s="19"/>
      <c r="K44" s="79"/>
      <c r="L44" s="79"/>
      <c r="M44" s="79"/>
      <c r="N44" s="79"/>
      <c r="O44" s="179"/>
      <c r="P44" s="179"/>
      <c r="Q44" s="79"/>
      <c r="R44" s="41"/>
      <c r="S44" s="234"/>
      <c r="T44" s="80"/>
      <c r="U44" s="81"/>
      <c r="V44" s="82"/>
      <c r="W44" s="80"/>
    </row>
    <row r="45" spans="1:23" ht="69" x14ac:dyDescent="0.3">
      <c r="A45" s="177" t="s">
        <v>42</v>
      </c>
      <c r="B45" s="209" t="s">
        <v>568</v>
      </c>
      <c r="C45" s="14" t="s">
        <v>23</v>
      </c>
      <c r="D45" s="11" t="s">
        <v>23</v>
      </c>
      <c r="E45" s="11" t="s">
        <v>23</v>
      </c>
      <c r="F45" s="11" t="s">
        <v>23</v>
      </c>
      <c r="G45" s="11" t="s">
        <v>23</v>
      </c>
      <c r="H45" s="11" t="s">
        <v>6</v>
      </c>
      <c r="I45" s="11" t="s">
        <v>489</v>
      </c>
      <c r="J45" s="11" t="s">
        <v>6</v>
      </c>
      <c r="K45" s="84" t="s">
        <v>14</v>
      </c>
      <c r="L45" s="22" t="s">
        <v>770</v>
      </c>
      <c r="M45" s="84" t="s">
        <v>283</v>
      </c>
      <c r="N45" s="22" t="s">
        <v>14</v>
      </c>
      <c r="O45" s="171" t="s">
        <v>6</v>
      </c>
      <c r="P45" s="170" t="s">
        <v>201</v>
      </c>
      <c r="Q45" s="103" t="s">
        <v>6</v>
      </c>
      <c r="R45" s="117">
        <v>3.8</v>
      </c>
      <c r="S45" s="235" t="s">
        <v>228</v>
      </c>
      <c r="T45" s="103" t="s">
        <v>73</v>
      </c>
      <c r="U45" s="104" t="s">
        <v>80</v>
      </c>
      <c r="W45" s="94"/>
    </row>
    <row r="46" spans="1:23" ht="41.4" x14ac:dyDescent="0.3">
      <c r="A46" s="175" t="s">
        <v>81</v>
      </c>
      <c r="B46" s="209" t="s">
        <v>425</v>
      </c>
      <c r="C46" s="14" t="s">
        <v>23</v>
      </c>
      <c r="D46" s="11" t="s">
        <v>23</v>
      </c>
      <c r="E46" s="11" t="s">
        <v>23</v>
      </c>
      <c r="F46" s="11" t="s">
        <v>23</v>
      </c>
      <c r="G46" s="11" t="s">
        <v>23</v>
      </c>
      <c r="H46" s="11" t="s">
        <v>6</v>
      </c>
      <c r="J46" s="11" t="s">
        <v>6</v>
      </c>
      <c r="K46" s="84" t="s">
        <v>181</v>
      </c>
      <c r="M46" s="84" t="s">
        <v>283</v>
      </c>
      <c r="N46" s="22" t="s">
        <v>15</v>
      </c>
      <c r="P46" s="172" t="s">
        <v>636</v>
      </c>
      <c r="Q46" s="103" t="s">
        <v>643</v>
      </c>
      <c r="R46" s="117">
        <v>3.8</v>
      </c>
      <c r="S46" s="235" t="s">
        <v>228</v>
      </c>
      <c r="T46" s="95" t="s">
        <v>65</v>
      </c>
      <c r="U46" s="169" t="s">
        <v>68</v>
      </c>
      <c r="V46" s="96"/>
      <c r="W46" s="94"/>
    </row>
    <row r="47" spans="1:23" ht="15" customHeight="1" x14ac:dyDescent="0.3">
      <c r="A47" s="175" t="s">
        <v>106</v>
      </c>
      <c r="B47" s="209" t="s">
        <v>507</v>
      </c>
      <c r="C47" s="11" t="s">
        <v>23</v>
      </c>
      <c r="D47" s="11" t="s">
        <v>23</v>
      </c>
      <c r="E47" s="11" t="s">
        <v>23</v>
      </c>
      <c r="F47" s="11" t="s">
        <v>23</v>
      </c>
      <c r="G47" s="11" t="s">
        <v>23</v>
      </c>
      <c r="H47" s="11" t="s">
        <v>6</v>
      </c>
      <c r="J47" s="11" t="s">
        <v>6</v>
      </c>
      <c r="K47" s="84"/>
      <c r="M47" s="84" t="s">
        <v>283</v>
      </c>
      <c r="N47" s="22" t="s">
        <v>15</v>
      </c>
      <c r="O47" s="170" t="s">
        <v>402</v>
      </c>
      <c r="P47" s="170" t="s">
        <v>636</v>
      </c>
      <c r="Q47" s="138" t="s">
        <v>684</v>
      </c>
      <c r="R47" s="117">
        <v>3.8</v>
      </c>
      <c r="S47" s="235" t="s">
        <v>228</v>
      </c>
      <c r="T47" s="22" t="s">
        <v>67</v>
      </c>
      <c r="U47" s="91" t="s">
        <v>69</v>
      </c>
      <c r="V47" s="96"/>
      <c r="W47" s="109" t="s">
        <v>64</v>
      </c>
    </row>
    <row r="48" spans="1:23" ht="15" customHeight="1" x14ac:dyDescent="0.3">
      <c r="A48" s="175" t="s">
        <v>82</v>
      </c>
      <c r="B48" s="198" t="s">
        <v>66</v>
      </c>
      <c r="C48" s="11" t="s">
        <v>23</v>
      </c>
      <c r="D48" s="11" t="s">
        <v>23</v>
      </c>
      <c r="E48" s="11" t="s">
        <v>23</v>
      </c>
      <c r="F48" s="11" t="s">
        <v>23</v>
      </c>
      <c r="G48" s="11" t="s">
        <v>23</v>
      </c>
      <c r="H48" s="11" t="s">
        <v>6</v>
      </c>
      <c r="J48" s="11" t="s">
        <v>6</v>
      </c>
      <c r="K48" s="84" t="s">
        <v>14</v>
      </c>
      <c r="M48" s="84" t="s">
        <v>283</v>
      </c>
      <c r="N48" s="22" t="s">
        <v>15</v>
      </c>
      <c r="O48" s="170" t="s">
        <v>402</v>
      </c>
      <c r="P48" s="170" t="s">
        <v>636</v>
      </c>
      <c r="Q48" s="138" t="s">
        <v>718</v>
      </c>
      <c r="R48" s="117">
        <v>3.8</v>
      </c>
      <c r="S48" s="235" t="s">
        <v>228</v>
      </c>
      <c r="T48" s="22" t="s">
        <v>67</v>
      </c>
      <c r="U48" s="91" t="s">
        <v>69</v>
      </c>
      <c r="V48" s="96"/>
      <c r="W48" s="109" t="s">
        <v>64</v>
      </c>
    </row>
    <row r="49" spans="1:23" ht="15" customHeight="1" x14ac:dyDescent="0.3">
      <c r="A49" s="175" t="s">
        <v>98</v>
      </c>
      <c r="B49" s="198" t="s">
        <v>508</v>
      </c>
      <c r="C49" s="11" t="s">
        <v>23</v>
      </c>
      <c r="D49" s="11" t="s">
        <v>23</v>
      </c>
      <c r="E49" s="11" t="s">
        <v>23</v>
      </c>
      <c r="F49" s="11" t="s">
        <v>23</v>
      </c>
      <c r="G49" s="11" t="s">
        <v>23</v>
      </c>
      <c r="H49" s="11" t="s">
        <v>6</v>
      </c>
      <c r="J49" s="11" t="s">
        <v>6</v>
      </c>
      <c r="K49" s="84" t="s">
        <v>14</v>
      </c>
      <c r="M49" s="84" t="s">
        <v>283</v>
      </c>
      <c r="N49" s="22" t="s">
        <v>15</v>
      </c>
      <c r="O49" s="170" t="s">
        <v>402</v>
      </c>
      <c r="P49" s="170" t="s">
        <v>636</v>
      </c>
      <c r="Q49" s="138" t="s">
        <v>685</v>
      </c>
      <c r="R49" s="117">
        <v>3.8</v>
      </c>
      <c r="S49" s="235" t="s">
        <v>228</v>
      </c>
      <c r="T49" s="22" t="s">
        <v>67</v>
      </c>
      <c r="U49" s="91" t="s">
        <v>69</v>
      </c>
      <c r="V49" s="96"/>
      <c r="W49" s="109" t="s">
        <v>64</v>
      </c>
    </row>
    <row r="50" spans="1:23" ht="31.5" customHeight="1" x14ac:dyDescent="0.3">
      <c r="A50" s="175" t="s">
        <v>99</v>
      </c>
      <c r="B50" s="209" t="s">
        <v>509</v>
      </c>
      <c r="C50" s="11" t="s">
        <v>23</v>
      </c>
      <c r="D50" s="11" t="s">
        <v>23</v>
      </c>
      <c r="E50" s="11" t="s">
        <v>23</v>
      </c>
      <c r="F50" s="11" t="s">
        <v>23</v>
      </c>
      <c r="G50" s="11" t="s">
        <v>23</v>
      </c>
      <c r="H50" s="11" t="s">
        <v>6</v>
      </c>
      <c r="J50" s="11" t="s">
        <v>6</v>
      </c>
      <c r="K50" s="84" t="s">
        <v>14</v>
      </c>
      <c r="L50" s="22" t="s">
        <v>769</v>
      </c>
      <c r="M50" s="84" t="s">
        <v>283</v>
      </c>
      <c r="N50" s="22" t="s">
        <v>14</v>
      </c>
      <c r="O50" s="171" t="s">
        <v>6</v>
      </c>
      <c r="P50" s="172" t="s">
        <v>201</v>
      </c>
      <c r="Q50" s="138" t="s">
        <v>6</v>
      </c>
      <c r="R50" s="117">
        <v>3.8</v>
      </c>
      <c r="S50" s="235" t="s">
        <v>228</v>
      </c>
      <c r="T50" s="107"/>
      <c r="U50" s="91"/>
      <c r="V50" s="96"/>
      <c r="W50" s="94" t="s">
        <v>61</v>
      </c>
    </row>
    <row r="51" spans="1:23" ht="41.4" x14ac:dyDescent="0.3">
      <c r="A51" s="175" t="s">
        <v>100</v>
      </c>
      <c r="B51" s="209" t="s">
        <v>510</v>
      </c>
      <c r="C51" s="11" t="s">
        <v>23</v>
      </c>
      <c r="D51" s="11" t="s">
        <v>23</v>
      </c>
      <c r="E51" s="11" t="s">
        <v>23</v>
      </c>
      <c r="F51" s="11" t="s">
        <v>23</v>
      </c>
      <c r="G51" s="11" t="s">
        <v>23</v>
      </c>
      <c r="H51" s="11" t="s">
        <v>6</v>
      </c>
      <c r="I51" s="11" t="s">
        <v>6</v>
      </c>
      <c r="J51" s="11" t="s">
        <v>6</v>
      </c>
      <c r="K51" s="84" t="s">
        <v>14</v>
      </c>
      <c r="M51" s="84" t="s">
        <v>283</v>
      </c>
      <c r="N51" s="22" t="s">
        <v>14</v>
      </c>
      <c r="O51" s="170" t="s">
        <v>403</v>
      </c>
      <c r="P51" s="170" t="s">
        <v>201</v>
      </c>
      <c r="Q51" s="138" t="s">
        <v>6</v>
      </c>
      <c r="R51" s="117">
        <v>3.8</v>
      </c>
      <c r="S51" s="235" t="s">
        <v>228</v>
      </c>
      <c r="T51" s="107"/>
      <c r="U51" s="91"/>
      <c r="V51" s="96"/>
      <c r="W51" s="94" t="s">
        <v>61</v>
      </c>
    </row>
    <row r="52" spans="1:23" ht="55.2" x14ac:dyDescent="0.3">
      <c r="A52" s="175" t="s">
        <v>101</v>
      </c>
      <c r="B52" s="116" t="s">
        <v>222</v>
      </c>
      <c r="C52" s="11" t="s">
        <v>23</v>
      </c>
      <c r="D52" s="11" t="s">
        <v>23</v>
      </c>
      <c r="E52" s="11" t="s">
        <v>23</v>
      </c>
      <c r="F52" s="11" t="s">
        <v>23</v>
      </c>
      <c r="G52" s="11" t="s">
        <v>23</v>
      </c>
      <c r="H52" s="11" t="s">
        <v>6</v>
      </c>
      <c r="J52" s="11" t="s">
        <v>6</v>
      </c>
      <c r="K52" s="84" t="s">
        <v>14</v>
      </c>
      <c r="M52" s="84" t="s">
        <v>283</v>
      </c>
      <c r="N52" s="22" t="s">
        <v>15</v>
      </c>
      <c r="O52" s="172" t="s">
        <v>6</v>
      </c>
      <c r="P52" s="172" t="s">
        <v>636</v>
      </c>
      <c r="Q52" s="95" t="s">
        <v>647</v>
      </c>
      <c r="R52" s="117">
        <v>3.8</v>
      </c>
      <c r="S52" s="235" t="s">
        <v>228</v>
      </c>
    </row>
    <row r="53" spans="1:23" ht="41.4" x14ac:dyDescent="0.3">
      <c r="A53" s="175" t="s">
        <v>102</v>
      </c>
      <c r="B53" s="116" t="s">
        <v>511</v>
      </c>
      <c r="C53" s="11" t="s">
        <v>23</v>
      </c>
      <c r="D53" s="11" t="s">
        <v>23</v>
      </c>
      <c r="E53" s="11" t="s">
        <v>23</v>
      </c>
      <c r="F53" s="11" t="s">
        <v>23</v>
      </c>
      <c r="G53" s="11" t="s">
        <v>23</v>
      </c>
      <c r="H53" s="11" t="s">
        <v>6</v>
      </c>
      <c r="I53" s="11" t="s">
        <v>6</v>
      </c>
      <c r="J53" s="11" t="s">
        <v>6</v>
      </c>
      <c r="K53" s="84" t="s">
        <v>14</v>
      </c>
      <c r="M53" s="84" t="s">
        <v>283</v>
      </c>
      <c r="N53" s="22" t="s">
        <v>15</v>
      </c>
      <c r="O53" s="170" t="s">
        <v>404</v>
      </c>
      <c r="P53" s="170" t="s">
        <v>201</v>
      </c>
      <c r="Q53" s="138" t="s">
        <v>6</v>
      </c>
      <c r="R53" s="117">
        <v>3.8</v>
      </c>
      <c r="S53" s="235" t="s">
        <v>228</v>
      </c>
    </row>
    <row r="54" spans="1:23" ht="96.6" x14ac:dyDescent="0.3">
      <c r="A54" s="175" t="s">
        <v>103</v>
      </c>
      <c r="B54" s="116" t="s">
        <v>223</v>
      </c>
      <c r="C54" s="11" t="s">
        <v>23</v>
      </c>
      <c r="D54" s="11" t="s">
        <v>23</v>
      </c>
      <c r="E54" s="11" t="s">
        <v>23</v>
      </c>
      <c r="F54" s="11" t="s">
        <v>23</v>
      </c>
      <c r="G54" s="11" t="s">
        <v>23</v>
      </c>
      <c r="H54" s="11" t="s">
        <v>6</v>
      </c>
      <c r="J54" s="11" t="s">
        <v>6</v>
      </c>
      <c r="K54" s="84" t="s">
        <v>14</v>
      </c>
      <c r="L54" s="22" t="s">
        <v>768</v>
      </c>
      <c r="M54" s="84" t="s">
        <v>283</v>
      </c>
      <c r="N54" s="22" t="s">
        <v>15</v>
      </c>
      <c r="O54" s="170">
        <v>7</v>
      </c>
      <c r="P54" s="170" t="s">
        <v>201</v>
      </c>
      <c r="Q54" s="138" t="s">
        <v>6</v>
      </c>
      <c r="R54" s="117">
        <v>3.8</v>
      </c>
      <c r="S54" s="235" t="s">
        <v>229</v>
      </c>
    </row>
    <row r="55" spans="1:23" ht="41.4" hidden="1" x14ac:dyDescent="0.3">
      <c r="A55" s="175" t="s">
        <v>104</v>
      </c>
      <c r="B55" s="209" t="s">
        <v>644</v>
      </c>
      <c r="C55" s="11" t="s">
        <v>23</v>
      </c>
      <c r="D55" s="11" t="s">
        <v>23</v>
      </c>
      <c r="E55" s="11" t="s">
        <v>23</v>
      </c>
      <c r="F55" s="11" t="s">
        <v>23</v>
      </c>
      <c r="G55" s="11" t="s">
        <v>23</v>
      </c>
      <c r="H55" s="11" t="s">
        <v>6</v>
      </c>
      <c r="I55" s="11" t="s">
        <v>23</v>
      </c>
      <c r="J55" s="11" t="s">
        <v>23</v>
      </c>
      <c r="K55" s="84"/>
      <c r="M55" s="84" t="s">
        <v>283</v>
      </c>
      <c r="N55" s="22" t="s">
        <v>14</v>
      </c>
      <c r="O55" s="172" t="s">
        <v>181</v>
      </c>
      <c r="P55" s="172" t="s">
        <v>636</v>
      </c>
      <c r="Q55" s="138" t="s">
        <v>686</v>
      </c>
      <c r="R55" s="117">
        <v>3.8</v>
      </c>
      <c r="S55" s="235" t="s">
        <v>229</v>
      </c>
      <c r="T55" s="95"/>
      <c r="U55" s="96"/>
      <c r="V55" s="96"/>
      <c r="W55" s="94"/>
    </row>
    <row r="56" spans="1:23" s="96" customFormat="1" ht="41.4" x14ac:dyDescent="0.3">
      <c r="A56" s="174" t="s">
        <v>105</v>
      </c>
      <c r="B56" s="141" t="s">
        <v>513</v>
      </c>
      <c r="C56" s="117" t="s">
        <v>23</v>
      </c>
      <c r="D56" s="117" t="s">
        <v>23</v>
      </c>
      <c r="E56" s="117" t="s">
        <v>23</v>
      </c>
      <c r="F56" s="117" t="s">
        <v>23</v>
      </c>
      <c r="G56" s="117" t="s">
        <v>23</v>
      </c>
      <c r="H56" s="117" t="s">
        <v>6</v>
      </c>
      <c r="I56" s="117">
        <v>9</v>
      </c>
      <c r="J56" s="117" t="s">
        <v>6</v>
      </c>
      <c r="K56" s="84"/>
      <c r="M56" s="93" t="s">
        <v>283</v>
      </c>
      <c r="N56" s="96" t="s">
        <v>14</v>
      </c>
      <c r="O56" s="172" t="s">
        <v>6</v>
      </c>
      <c r="P56" s="172" t="s">
        <v>636</v>
      </c>
      <c r="Q56" s="103" t="s">
        <v>645</v>
      </c>
      <c r="R56" s="117">
        <v>3.8</v>
      </c>
      <c r="S56" s="236" t="s">
        <v>229</v>
      </c>
      <c r="T56" s="95"/>
      <c r="W56" s="95"/>
    </row>
    <row r="57" spans="1:23" ht="55.2" x14ac:dyDescent="0.3">
      <c r="A57" s="175" t="s">
        <v>107</v>
      </c>
      <c r="B57" s="116" t="s">
        <v>514</v>
      </c>
      <c r="C57" s="11" t="s">
        <v>23</v>
      </c>
      <c r="D57" s="11" t="s">
        <v>23</v>
      </c>
      <c r="E57" s="11" t="s">
        <v>23</v>
      </c>
      <c r="F57" s="11" t="s">
        <v>23</v>
      </c>
      <c r="G57" s="11" t="s">
        <v>23</v>
      </c>
      <c r="H57" s="11" t="s">
        <v>6</v>
      </c>
      <c r="J57" s="11" t="s">
        <v>6</v>
      </c>
      <c r="K57" s="84" t="s">
        <v>14</v>
      </c>
      <c r="L57" s="22" t="s">
        <v>767</v>
      </c>
      <c r="M57" s="84" t="s">
        <v>283</v>
      </c>
      <c r="N57" s="22" t="s">
        <v>14</v>
      </c>
      <c r="O57" s="170" t="s">
        <v>405</v>
      </c>
      <c r="P57" s="172" t="s">
        <v>201</v>
      </c>
      <c r="Q57" s="138" t="s">
        <v>6</v>
      </c>
      <c r="R57" s="117">
        <v>3.8</v>
      </c>
      <c r="S57" s="235" t="s">
        <v>228</v>
      </c>
    </row>
    <row r="58" spans="1:23" ht="41.4" x14ac:dyDescent="0.3">
      <c r="A58" s="175" t="s">
        <v>227</v>
      </c>
      <c r="B58" s="116" t="s">
        <v>245</v>
      </c>
      <c r="C58" s="11" t="s">
        <v>23</v>
      </c>
      <c r="D58" s="11" t="s">
        <v>23</v>
      </c>
      <c r="E58" s="11" t="s">
        <v>23</v>
      </c>
      <c r="F58" s="11" t="s">
        <v>23</v>
      </c>
      <c r="G58" s="11" t="s">
        <v>23</v>
      </c>
      <c r="H58" s="11" t="s">
        <v>6</v>
      </c>
      <c r="J58" s="11" t="s">
        <v>6</v>
      </c>
      <c r="K58" s="84" t="s">
        <v>14</v>
      </c>
      <c r="L58" s="22" t="s">
        <v>766</v>
      </c>
      <c r="M58" s="84" t="s">
        <v>283</v>
      </c>
      <c r="N58" s="22" t="s">
        <v>15</v>
      </c>
      <c r="O58" s="170">
        <v>1.3</v>
      </c>
      <c r="P58" s="170" t="s">
        <v>201</v>
      </c>
      <c r="Q58" s="138" t="s">
        <v>6</v>
      </c>
      <c r="R58" s="117">
        <v>3.8</v>
      </c>
      <c r="S58" s="235" t="s">
        <v>229</v>
      </c>
    </row>
    <row r="59" spans="1:23" ht="41.4" x14ac:dyDescent="0.3">
      <c r="A59" s="175" t="s">
        <v>248</v>
      </c>
      <c r="B59" s="116" t="s">
        <v>556</v>
      </c>
      <c r="C59" s="213" t="s">
        <v>746</v>
      </c>
      <c r="D59" s="11" t="s">
        <v>23</v>
      </c>
      <c r="E59" s="11" t="s">
        <v>23</v>
      </c>
      <c r="F59" s="11" t="s">
        <v>23</v>
      </c>
      <c r="G59" s="11" t="s">
        <v>23</v>
      </c>
      <c r="H59" s="11" t="s">
        <v>6</v>
      </c>
      <c r="J59" s="11" t="s">
        <v>6</v>
      </c>
      <c r="K59" s="84" t="s">
        <v>14</v>
      </c>
      <c r="M59" s="84" t="s">
        <v>283</v>
      </c>
      <c r="N59" s="22" t="s">
        <v>15</v>
      </c>
      <c r="O59" s="170">
        <v>1.5</v>
      </c>
      <c r="P59" s="170" t="s">
        <v>201</v>
      </c>
      <c r="Q59" s="138" t="s">
        <v>6</v>
      </c>
      <c r="R59" s="117">
        <v>3.8</v>
      </c>
      <c r="S59" s="235" t="s">
        <v>229</v>
      </c>
    </row>
    <row r="60" spans="1:23" ht="193.2" x14ac:dyDescent="0.3">
      <c r="A60" s="174" t="s">
        <v>249</v>
      </c>
      <c r="B60" s="116" t="s">
        <v>569</v>
      </c>
      <c r="C60" s="11" t="s">
        <v>23</v>
      </c>
      <c r="D60" s="11" t="s">
        <v>23</v>
      </c>
      <c r="E60" s="11" t="s">
        <v>23</v>
      </c>
      <c r="F60" s="11" t="s">
        <v>23</v>
      </c>
      <c r="G60" s="11" t="s">
        <v>23</v>
      </c>
      <c r="H60" s="11" t="s">
        <v>6</v>
      </c>
      <c r="I60" s="11">
        <v>3</v>
      </c>
      <c r="J60" s="11" t="s">
        <v>6</v>
      </c>
      <c r="K60" s="84" t="s">
        <v>750</v>
      </c>
      <c r="L60" s="22" t="s">
        <v>765</v>
      </c>
      <c r="M60" s="84" t="s">
        <v>283</v>
      </c>
      <c r="N60" s="22" t="s">
        <v>15</v>
      </c>
      <c r="O60" s="170">
        <v>6.14</v>
      </c>
      <c r="P60" s="170" t="s">
        <v>201</v>
      </c>
      <c r="Q60" s="138" t="s">
        <v>6</v>
      </c>
      <c r="R60" s="117">
        <v>3.8</v>
      </c>
      <c r="S60" s="235" t="s">
        <v>228</v>
      </c>
    </row>
    <row r="61" spans="1:23" ht="55.2" x14ac:dyDescent="0.3">
      <c r="A61" s="175" t="s">
        <v>250</v>
      </c>
      <c r="B61" s="116" t="s">
        <v>515</v>
      </c>
      <c r="C61" s="11" t="s">
        <v>23</v>
      </c>
      <c r="D61" s="11" t="s">
        <v>23</v>
      </c>
      <c r="E61" s="11" t="s">
        <v>23</v>
      </c>
      <c r="F61" s="11" t="s">
        <v>23</v>
      </c>
      <c r="G61" s="11" t="s">
        <v>23</v>
      </c>
      <c r="H61" s="11" t="s">
        <v>6</v>
      </c>
      <c r="I61" s="11">
        <v>10</v>
      </c>
      <c r="J61" s="11" t="s">
        <v>6</v>
      </c>
      <c r="K61" s="84" t="s">
        <v>14</v>
      </c>
      <c r="L61" s="22" t="s">
        <v>762</v>
      </c>
      <c r="M61" s="84" t="s">
        <v>283</v>
      </c>
      <c r="N61" s="22" t="s">
        <v>14</v>
      </c>
      <c r="O61" s="170">
        <v>5.6</v>
      </c>
      <c r="P61" s="170" t="s">
        <v>201</v>
      </c>
      <c r="Q61" s="138" t="s">
        <v>6</v>
      </c>
      <c r="R61" s="117">
        <v>3.8</v>
      </c>
      <c r="S61" s="235" t="s">
        <v>228</v>
      </c>
    </row>
    <row r="62" spans="1:23" ht="41.4" x14ac:dyDescent="0.3">
      <c r="A62" s="175" t="s">
        <v>251</v>
      </c>
      <c r="B62" s="141" t="s">
        <v>224</v>
      </c>
      <c r="C62" s="213" t="s">
        <v>746</v>
      </c>
      <c r="D62" s="11" t="s">
        <v>23</v>
      </c>
      <c r="E62" s="11" t="s">
        <v>23</v>
      </c>
      <c r="F62" s="11" t="s">
        <v>23</v>
      </c>
      <c r="G62" s="11" t="s">
        <v>23</v>
      </c>
      <c r="J62" s="11" t="s">
        <v>6</v>
      </c>
      <c r="K62" s="84"/>
      <c r="M62" s="84" t="s">
        <v>283</v>
      </c>
      <c r="N62" s="22" t="s">
        <v>15</v>
      </c>
      <c r="O62" s="170" t="s">
        <v>406</v>
      </c>
      <c r="P62" s="170" t="s">
        <v>201</v>
      </c>
      <c r="Q62" s="138" t="s">
        <v>6</v>
      </c>
      <c r="R62" s="117">
        <v>3.8</v>
      </c>
      <c r="S62" s="235" t="s">
        <v>228</v>
      </c>
    </row>
    <row r="63" spans="1:23" ht="55.2" x14ac:dyDescent="0.3">
      <c r="A63" s="175" t="s">
        <v>252</v>
      </c>
      <c r="B63" s="116" t="s">
        <v>302</v>
      </c>
      <c r="C63" s="11" t="s">
        <v>23</v>
      </c>
      <c r="D63" s="11" t="s">
        <v>23</v>
      </c>
      <c r="E63" s="11" t="s">
        <v>23</v>
      </c>
      <c r="F63" s="11" t="s">
        <v>23</v>
      </c>
      <c r="G63" s="11" t="s">
        <v>23</v>
      </c>
      <c r="H63" s="11" t="s">
        <v>6</v>
      </c>
      <c r="I63" s="11">
        <v>1</v>
      </c>
      <c r="J63" s="11" t="s">
        <v>6</v>
      </c>
      <c r="K63" s="84" t="s">
        <v>14</v>
      </c>
      <c r="M63" s="84" t="s">
        <v>283</v>
      </c>
      <c r="N63" s="22" t="s">
        <v>14</v>
      </c>
      <c r="O63" s="170" t="s">
        <v>402</v>
      </c>
      <c r="P63" s="170" t="s">
        <v>636</v>
      </c>
      <c r="Q63" s="138" t="s">
        <v>646</v>
      </c>
      <c r="R63" s="117">
        <v>3.8</v>
      </c>
      <c r="S63" s="235" t="s">
        <v>228</v>
      </c>
    </row>
    <row r="64" spans="1:23" ht="41.4" x14ac:dyDescent="0.3">
      <c r="A64" s="175" t="s">
        <v>253</v>
      </c>
      <c r="B64" s="116" t="s">
        <v>570</v>
      </c>
      <c r="C64" s="11" t="s">
        <v>23</v>
      </c>
      <c r="D64" s="11" t="s">
        <v>23</v>
      </c>
      <c r="E64" s="11" t="s">
        <v>23</v>
      </c>
      <c r="F64" s="11" t="s">
        <v>23</v>
      </c>
      <c r="G64" s="11" t="s">
        <v>23</v>
      </c>
      <c r="H64" s="11" t="s">
        <v>6</v>
      </c>
      <c r="I64" s="11">
        <v>6</v>
      </c>
      <c r="J64" s="11" t="s">
        <v>6</v>
      </c>
      <c r="K64" s="84" t="s">
        <v>14</v>
      </c>
      <c r="M64" s="84" t="s">
        <v>283</v>
      </c>
      <c r="N64" s="22" t="s">
        <v>14</v>
      </c>
      <c r="O64" s="170" t="s">
        <v>407</v>
      </c>
      <c r="P64" s="170" t="s">
        <v>201</v>
      </c>
      <c r="Q64" s="138" t="s">
        <v>6</v>
      </c>
      <c r="R64" s="117">
        <v>3.8</v>
      </c>
      <c r="S64" s="235" t="s">
        <v>228</v>
      </c>
    </row>
    <row r="65" spans="1:23" ht="41.4" x14ac:dyDescent="0.3">
      <c r="A65" s="175" t="s">
        <v>254</v>
      </c>
      <c r="B65" s="116" t="s">
        <v>225</v>
      </c>
      <c r="C65" s="11" t="s">
        <v>23</v>
      </c>
      <c r="D65" s="11" t="s">
        <v>23</v>
      </c>
      <c r="E65" s="11" t="s">
        <v>23</v>
      </c>
      <c r="F65" s="11" t="s">
        <v>23</v>
      </c>
      <c r="G65" s="11" t="s">
        <v>23</v>
      </c>
      <c r="H65" s="11" t="s">
        <v>6</v>
      </c>
      <c r="I65" s="11">
        <v>10</v>
      </c>
      <c r="J65" s="11" t="s">
        <v>6</v>
      </c>
      <c r="K65" s="84" t="s">
        <v>14</v>
      </c>
      <c r="M65" s="84" t="s">
        <v>283</v>
      </c>
      <c r="N65" s="22" t="s">
        <v>15</v>
      </c>
      <c r="O65" s="170">
        <v>6.16</v>
      </c>
      <c r="P65" s="170" t="s">
        <v>636</v>
      </c>
      <c r="Q65" s="138" t="s">
        <v>720</v>
      </c>
      <c r="R65" s="117">
        <v>3.8</v>
      </c>
      <c r="S65" s="235" t="s">
        <v>228</v>
      </c>
    </row>
    <row r="66" spans="1:23" ht="41.4" x14ac:dyDescent="0.3">
      <c r="A66" s="175" t="s">
        <v>255</v>
      </c>
      <c r="B66" s="141" t="s">
        <v>314</v>
      </c>
      <c r="C66" s="11" t="s">
        <v>23</v>
      </c>
      <c r="D66" s="11" t="s">
        <v>23</v>
      </c>
      <c r="E66" s="11" t="s">
        <v>23</v>
      </c>
      <c r="F66" s="11" t="s">
        <v>23</v>
      </c>
      <c r="G66" s="11" t="s">
        <v>23</v>
      </c>
      <c r="H66" s="11" t="s">
        <v>6</v>
      </c>
      <c r="J66" s="11" t="s">
        <v>6</v>
      </c>
      <c r="K66" s="84" t="s">
        <v>14</v>
      </c>
      <c r="L66" s="22" t="s">
        <v>764</v>
      </c>
      <c r="M66" s="84" t="s">
        <v>283</v>
      </c>
      <c r="N66" s="22" t="s">
        <v>15</v>
      </c>
      <c r="O66" s="170">
        <v>5.3</v>
      </c>
      <c r="P66" s="170" t="s">
        <v>636</v>
      </c>
      <c r="Q66" s="138" t="s">
        <v>719</v>
      </c>
      <c r="R66" s="117">
        <v>3.8</v>
      </c>
      <c r="S66" s="235" t="s">
        <v>228</v>
      </c>
    </row>
    <row r="67" spans="1:23" s="96" customFormat="1" ht="110.4" x14ac:dyDescent="0.3">
      <c r="A67" s="175" t="s">
        <v>256</v>
      </c>
      <c r="B67" s="141" t="s">
        <v>571</v>
      </c>
      <c r="C67" s="117" t="s">
        <v>23</v>
      </c>
      <c r="D67" s="117" t="s">
        <v>23</v>
      </c>
      <c r="E67" s="117" t="s">
        <v>23</v>
      </c>
      <c r="F67" s="117" t="s">
        <v>23</v>
      </c>
      <c r="G67" s="117" t="s">
        <v>23</v>
      </c>
      <c r="H67" s="117" t="s">
        <v>6</v>
      </c>
      <c r="I67" s="117"/>
      <c r="J67" s="117" t="s">
        <v>6</v>
      </c>
      <c r="K67" s="84" t="s">
        <v>15</v>
      </c>
      <c r="L67" s="96" t="s">
        <v>763</v>
      </c>
      <c r="M67" s="93" t="s">
        <v>283</v>
      </c>
      <c r="N67" s="96" t="s">
        <v>15</v>
      </c>
      <c r="O67" s="171">
        <v>5.5</v>
      </c>
      <c r="P67" s="171" t="s">
        <v>636</v>
      </c>
      <c r="Q67" s="103" t="s">
        <v>721</v>
      </c>
      <c r="R67" s="117">
        <v>3.8</v>
      </c>
      <c r="S67" s="236" t="s">
        <v>228</v>
      </c>
      <c r="T67" s="95"/>
      <c r="W67" s="95"/>
    </row>
    <row r="68" spans="1:23" s="96" customFormat="1" ht="96.6" hidden="1" x14ac:dyDescent="0.3">
      <c r="A68" s="175" t="s">
        <v>257</v>
      </c>
      <c r="B68" s="198" t="s">
        <v>634</v>
      </c>
      <c r="C68" s="117" t="s">
        <v>23</v>
      </c>
      <c r="D68" s="117" t="s">
        <v>23</v>
      </c>
      <c r="E68" s="117" t="s">
        <v>23</v>
      </c>
      <c r="F68" s="117" t="s">
        <v>23</v>
      </c>
      <c r="G68" s="117" t="s">
        <v>23</v>
      </c>
      <c r="H68" s="117" t="s">
        <v>6</v>
      </c>
      <c r="I68" s="117"/>
      <c r="J68" s="226" t="s">
        <v>23</v>
      </c>
      <c r="K68" s="84"/>
      <c r="M68" s="93" t="s">
        <v>283</v>
      </c>
      <c r="N68" s="96" t="s">
        <v>15</v>
      </c>
      <c r="O68" s="172" t="s">
        <v>6</v>
      </c>
      <c r="P68" s="172" t="s">
        <v>636</v>
      </c>
      <c r="Q68" s="103" t="s">
        <v>643</v>
      </c>
      <c r="R68" s="117">
        <v>3.8</v>
      </c>
      <c r="S68" s="236" t="s">
        <v>228</v>
      </c>
      <c r="T68" s="95"/>
      <c r="W68" s="95"/>
    </row>
    <row r="69" spans="1:23" ht="41.4" x14ac:dyDescent="0.3">
      <c r="A69" s="175" t="s">
        <v>258</v>
      </c>
      <c r="B69" s="225" t="s">
        <v>576</v>
      </c>
      <c r="C69" s="11" t="s">
        <v>23</v>
      </c>
      <c r="D69" s="11" t="s">
        <v>23</v>
      </c>
      <c r="E69" s="11" t="s">
        <v>23</v>
      </c>
      <c r="F69" s="11" t="s">
        <v>23</v>
      </c>
      <c r="G69" s="11" t="s">
        <v>23</v>
      </c>
      <c r="H69" s="11" t="s">
        <v>6</v>
      </c>
      <c r="J69" s="11" t="s">
        <v>6</v>
      </c>
      <c r="K69" s="84" t="s">
        <v>14</v>
      </c>
      <c r="M69" s="84" t="s">
        <v>283</v>
      </c>
      <c r="N69" s="22" t="s">
        <v>15</v>
      </c>
      <c r="O69" s="170">
        <v>5.0999999999999996</v>
      </c>
      <c r="P69" s="170" t="s">
        <v>201</v>
      </c>
      <c r="Q69" s="138" t="s">
        <v>6</v>
      </c>
      <c r="R69" s="117">
        <v>3.8</v>
      </c>
      <c r="S69" s="235" t="s">
        <v>228</v>
      </c>
    </row>
    <row r="70" spans="1:23" ht="41.4" x14ac:dyDescent="0.3">
      <c r="A70" s="175" t="s">
        <v>259</v>
      </c>
      <c r="B70" s="116" t="s">
        <v>572</v>
      </c>
      <c r="C70" s="11" t="s">
        <v>23</v>
      </c>
      <c r="D70" s="11" t="s">
        <v>23</v>
      </c>
      <c r="E70" s="11" t="s">
        <v>23</v>
      </c>
      <c r="F70" s="11" t="s">
        <v>23</v>
      </c>
      <c r="G70" s="11" t="s">
        <v>23</v>
      </c>
      <c r="H70" s="11" t="s">
        <v>6</v>
      </c>
      <c r="J70" s="11" t="s">
        <v>6</v>
      </c>
      <c r="K70" s="84" t="s">
        <v>14</v>
      </c>
      <c r="M70" s="84" t="s">
        <v>283</v>
      </c>
      <c r="N70" s="22" t="s">
        <v>14</v>
      </c>
      <c r="O70" s="170" t="s">
        <v>408</v>
      </c>
      <c r="P70" s="170" t="s">
        <v>201</v>
      </c>
      <c r="Q70" s="138" t="s">
        <v>6</v>
      </c>
      <c r="R70" s="117">
        <v>3.8</v>
      </c>
      <c r="S70" s="235" t="s">
        <v>228</v>
      </c>
    </row>
    <row r="71" spans="1:23" ht="41.4" x14ac:dyDescent="0.3">
      <c r="A71" s="174" t="s">
        <v>286</v>
      </c>
      <c r="B71" s="116" t="s">
        <v>520</v>
      </c>
      <c r="C71" s="11" t="s">
        <v>23</v>
      </c>
      <c r="D71" s="11" t="s">
        <v>23</v>
      </c>
      <c r="E71" s="11" t="s">
        <v>23</v>
      </c>
      <c r="F71" s="11" t="s">
        <v>23</v>
      </c>
      <c r="G71" s="11" t="s">
        <v>23</v>
      </c>
      <c r="H71" s="11" t="s">
        <v>6</v>
      </c>
      <c r="J71" s="11" t="s">
        <v>6</v>
      </c>
      <c r="K71" s="84" t="s">
        <v>181</v>
      </c>
      <c r="L71" s="22" t="s">
        <v>762</v>
      </c>
      <c r="M71" s="84" t="s">
        <v>283</v>
      </c>
      <c r="N71" s="22" t="s">
        <v>15</v>
      </c>
      <c r="O71" s="170">
        <v>9.4</v>
      </c>
      <c r="P71" s="170" t="s">
        <v>201</v>
      </c>
      <c r="Q71" s="138" t="s">
        <v>6</v>
      </c>
      <c r="R71" s="117">
        <v>3.8</v>
      </c>
      <c r="S71" s="235" t="s">
        <v>228</v>
      </c>
    </row>
    <row r="72" spans="1:23" ht="41.4" x14ac:dyDescent="0.3">
      <c r="A72" s="174" t="s">
        <v>260</v>
      </c>
      <c r="B72" s="116" t="s">
        <v>554</v>
      </c>
      <c r="C72" s="11" t="s">
        <v>23</v>
      </c>
      <c r="D72" s="11" t="s">
        <v>23</v>
      </c>
      <c r="E72" s="11" t="s">
        <v>23</v>
      </c>
      <c r="F72" s="11" t="s">
        <v>23</v>
      </c>
      <c r="G72" s="11" t="s">
        <v>23</v>
      </c>
      <c r="H72" s="11" t="s">
        <v>6</v>
      </c>
      <c r="J72" s="11" t="s">
        <v>6</v>
      </c>
      <c r="K72" s="84" t="s">
        <v>14</v>
      </c>
      <c r="M72" s="84" t="s">
        <v>283</v>
      </c>
      <c r="N72" s="22" t="s">
        <v>14</v>
      </c>
      <c r="O72" s="170" t="s">
        <v>409</v>
      </c>
      <c r="P72" s="170" t="s">
        <v>201</v>
      </c>
      <c r="Q72" s="138" t="s">
        <v>6</v>
      </c>
      <c r="R72" s="117">
        <v>3.8</v>
      </c>
      <c r="S72" s="235" t="s">
        <v>228</v>
      </c>
    </row>
    <row r="73" spans="1:23" ht="27.6" x14ac:dyDescent="0.3">
      <c r="A73" s="174" t="s">
        <v>549</v>
      </c>
      <c r="B73" s="116" t="s">
        <v>553</v>
      </c>
      <c r="C73" s="11" t="s">
        <v>23</v>
      </c>
      <c r="D73" s="11" t="s">
        <v>23</v>
      </c>
      <c r="E73" s="11" t="s">
        <v>23</v>
      </c>
      <c r="F73" s="11" t="s">
        <v>23</v>
      </c>
      <c r="G73" s="11" t="s">
        <v>23</v>
      </c>
      <c r="H73" s="11" t="s">
        <v>6</v>
      </c>
      <c r="I73" s="11">
        <v>7</v>
      </c>
      <c r="J73" s="11" t="s">
        <v>6</v>
      </c>
      <c r="K73" s="84" t="s">
        <v>181</v>
      </c>
      <c r="L73" s="22" t="s">
        <v>761</v>
      </c>
      <c r="M73" s="84" t="s">
        <v>283</v>
      </c>
      <c r="N73" s="22" t="s">
        <v>15</v>
      </c>
      <c r="O73" s="172">
        <v>1.8</v>
      </c>
      <c r="P73" s="172" t="s">
        <v>636</v>
      </c>
      <c r="Q73" s="138" t="s">
        <v>687</v>
      </c>
      <c r="R73" s="117">
        <v>3.8</v>
      </c>
      <c r="S73" s="235" t="s">
        <v>235</v>
      </c>
    </row>
    <row r="74" spans="1:23" s="96" customFormat="1" ht="41.4" x14ac:dyDescent="0.3">
      <c r="A74" s="174" t="s">
        <v>265</v>
      </c>
      <c r="B74" s="141" t="s">
        <v>588</v>
      </c>
      <c r="C74" s="117" t="s">
        <v>23</v>
      </c>
      <c r="D74" s="117" t="s">
        <v>23</v>
      </c>
      <c r="E74" s="117" t="s">
        <v>23</v>
      </c>
      <c r="F74" s="117" t="s">
        <v>23</v>
      </c>
      <c r="G74" s="117" t="s">
        <v>23</v>
      </c>
      <c r="H74" s="117" t="s">
        <v>6</v>
      </c>
      <c r="I74" s="117">
        <v>6</v>
      </c>
      <c r="J74" s="117" t="s">
        <v>6</v>
      </c>
      <c r="K74" s="84" t="s">
        <v>14</v>
      </c>
      <c r="M74" s="93" t="s">
        <v>283</v>
      </c>
      <c r="N74" s="96" t="s">
        <v>14</v>
      </c>
      <c r="O74" s="171" t="s">
        <v>411</v>
      </c>
      <c r="P74" s="171" t="s">
        <v>636</v>
      </c>
      <c r="Q74" s="138" t="s">
        <v>688</v>
      </c>
      <c r="R74" s="117">
        <v>3.8</v>
      </c>
      <c r="S74" s="236" t="s">
        <v>230</v>
      </c>
      <c r="T74" s="95"/>
      <c r="W74" s="95"/>
    </row>
    <row r="75" spans="1:23" ht="27.6" x14ac:dyDescent="0.3">
      <c r="A75" s="175" t="s">
        <v>261</v>
      </c>
      <c r="B75" s="209" t="s">
        <v>428</v>
      </c>
      <c r="C75" s="11" t="s">
        <v>23</v>
      </c>
      <c r="D75" s="11" t="s">
        <v>23</v>
      </c>
      <c r="E75" s="11" t="s">
        <v>23</v>
      </c>
      <c r="F75" s="11" t="s">
        <v>23</v>
      </c>
      <c r="G75" s="11" t="s">
        <v>23</v>
      </c>
      <c r="H75" s="11" t="s">
        <v>6</v>
      </c>
      <c r="J75" s="11" t="s">
        <v>6</v>
      </c>
      <c r="K75" s="84" t="s">
        <v>181</v>
      </c>
      <c r="L75" s="22" t="s">
        <v>760</v>
      </c>
      <c r="M75" s="84"/>
      <c r="N75" s="22" t="s">
        <v>15</v>
      </c>
      <c r="O75" s="170" t="s">
        <v>181</v>
      </c>
      <c r="P75" s="170" t="s">
        <v>636</v>
      </c>
      <c r="Q75" s="138" t="s">
        <v>653</v>
      </c>
      <c r="W75" s="98"/>
    </row>
    <row r="76" spans="1:23" x14ac:dyDescent="0.3">
      <c r="A76" s="175" t="s">
        <v>262</v>
      </c>
      <c r="B76" s="209" t="s">
        <v>523</v>
      </c>
      <c r="C76" s="11" t="s">
        <v>23</v>
      </c>
      <c r="D76" s="11" t="s">
        <v>23</v>
      </c>
      <c r="E76" s="11" t="s">
        <v>23</v>
      </c>
      <c r="F76" s="11" t="s">
        <v>23</v>
      </c>
      <c r="G76" s="11" t="s">
        <v>23</v>
      </c>
      <c r="H76" s="11" t="s">
        <v>6</v>
      </c>
      <c r="J76" s="11" t="s">
        <v>6</v>
      </c>
      <c r="K76" s="84" t="s">
        <v>15</v>
      </c>
      <c r="M76" s="84"/>
      <c r="O76" s="170">
        <v>1.1000000000000001</v>
      </c>
      <c r="P76" s="170" t="s">
        <v>201</v>
      </c>
      <c r="Q76" s="138"/>
      <c r="R76" s="11" t="s">
        <v>677</v>
      </c>
      <c r="W76" s="98"/>
    </row>
    <row r="77" spans="1:23" ht="27.6" x14ac:dyDescent="0.3">
      <c r="A77" s="175" t="s">
        <v>263</v>
      </c>
      <c r="B77" s="209" t="s">
        <v>472</v>
      </c>
      <c r="C77" s="11" t="s">
        <v>23</v>
      </c>
      <c r="D77" s="11" t="s">
        <v>23</v>
      </c>
      <c r="E77" s="11" t="s">
        <v>23</v>
      </c>
      <c r="F77" s="11" t="s">
        <v>23</v>
      </c>
      <c r="G77" s="11" t="s">
        <v>23</v>
      </c>
      <c r="H77" s="11" t="s">
        <v>6</v>
      </c>
      <c r="I77" s="11">
        <v>9</v>
      </c>
      <c r="J77" s="11" t="s">
        <v>6</v>
      </c>
      <c r="K77" s="84" t="s">
        <v>15</v>
      </c>
      <c r="M77" s="84"/>
      <c r="O77" s="244"/>
      <c r="P77" s="170" t="s">
        <v>636</v>
      </c>
      <c r="Q77" s="138" t="s">
        <v>654</v>
      </c>
      <c r="R77" s="11" t="s">
        <v>666</v>
      </c>
      <c r="S77" s="239" t="s">
        <v>667</v>
      </c>
      <c r="W77" s="98"/>
    </row>
    <row r="78" spans="1:23" x14ac:dyDescent="0.3">
      <c r="A78" s="175" t="s">
        <v>563</v>
      </c>
      <c r="B78" s="209" t="s">
        <v>524</v>
      </c>
      <c r="C78" s="11" t="s">
        <v>23</v>
      </c>
      <c r="D78" s="11" t="s">
        <v>23</v>
      </c>
      <c r="E78" s="11" t="s">
        <v>23</v>
      </c>
      <c r="F78" s="11" t="s">
        <v>23</v>
      </c>
      <c r="G78" s="11" t="s">
        <v>23</v>
      </c>
      <c r="H78" s="11" t="s">
        <v>6</v>
      </c>
      <c r="J78" s="11" t="s">
        <v>6</v>
      </c>
      <c r="K78" s="84" t="s">
        <v>14</v>
      </c>
      <c r="M78" s="84"/>
      <c r="P78" s="170" t="s">
        <v>636</v>
      </c>
      <c r="Q78" s="138" t="s">
        <v>655</v>
      </c>
      <c r="R78" s="11" t="s">
        <v>668</v>
      </c>
      <c r="W78" s="98"/>
    </row>
    <row r="79" spans="1:23" x14ac:dyDescent="0.3">
      <c r="A79" s="175" t="s">
        <v>264</v>
      </c>
      <c r="B79" s="209" t="s">
        <v>525</v>
      </c>
      <c r="C79" s="11" t="s">
        <v>23</v>
      </c>
      <c r="D79" s="11" t="s">
        <v>23</v>
      </c>
      <c r="E79" s="11" t="s">
        <v>23</v>
      </c>
      <c r="F79" s="11" t="s">
        <v>23</v>
      </c>
      <c r="G79" s="11" t="s">
        <v>23</v>
      </c>
      <c r="H79" s="11" t="s">
        <v>580</v>
      </c>
      <c r="I79" s="11">
        <v>9</v>
      </c>
      <c r="J79" s="11" t="s">
        <v>6</v>
      </c>
      <c r="K79" s="84" t="s">
        <v>14</v>
      </c>
      <c r="M79" s="84"/>
      <c r="P79" s="170" t="s">
        <v>636</v>
      </c>
      <c r="Q79" s="138" t="s">
        <v>689</v>
      </c>
      <c r="R79" s="11" t="s">
        <v>668</v>
      </c>
      <c r="W79" s="98"/>
    </row>
    <row r="80" spans="1:23" hidden="1" x14ac:dyDescent="0.3">
      <c r="A80" s="175" t="s">
        <v>265</v>
      </c>
      <c r="B80" s="209" t="s">
        <v>526</v>
      </c>
      <c r="C80" s="11" t="s">
        <v>23</v>
      </c>
      <c r="D80" s="11" t="s">
        <v>23</v>
      </c>
      <c r="E80" s="11" t="s">
        <v>23</v>
      </c>
      <c r="F80" s="11" t="s">
        <v>23</v>
      </c>
      <c r="G80" s="11" t="s">
        <v>23</v>
      </c>
      <c r="H80" s="11" t="s">
        <v>6</v>
      </c>
      <c r="J80" s="11" t="s">
        <v>23</v>
      </c>
      <c r="K80" s="84"/>
      <c r="M80" s="84"/>
      <c r="P80" s="170" t="s">
        <v>636</v>
      </c>
      <c r="Q80" s="138" t="s">
        <v>656</v>
      </c>
      <c r="R80" s="11" t="s">
        <v>669</v>
      </c>
      <c r="W80" s="98"/>
    </row>
    <row r="81" spans="1:23" ht="27.6" x14ac:dyDescent="0.3">
      <c r="A81" s="192" t="s">
        <v>266</v>
      </c>
      <c r="B81" s="258" t="s">
        <v>597</v>
      </c>
      <c r="D81" s="11" t="s">
        <v>23</v>
      </c>
      <c r="E81" s="11" t="s">
        <v>23</v>
      </c>
      <c r="F81" s="11" t="s">
        <v>23</v>
      </c>
      <c r="G81" s="11" t="s">
        <v>23</v>
      </c>
      <c r="H81" s="11" t="s">
        <v>6</v>
      </c>
      <c r="J81" s="11" t="s">
        <v>6</v>
      </c>
      <c r="K81" s="84" t="s">
        <v>15</v>
      </c>
      <c r="M81" s="84"/>
      <c r="P81" s="170" t="s">
        <v>636</v>
      </c>
      <c r="Q81" s="138" t="s">
        <v>657</v>
      </c>
      <c r="R81" s="11" t="s">
        <v>670</v>
      </c>
      <c r="W81" s="98"/>
    </row>
    <row r="82" spans="1:23" x14ac:dyDescent="0.3">
      <c r="A82" s="175" t="s">
        <v>386</v>
      </c>
      <c r="B82" s="209" t="s">
        <v>527</v>
      </c>
      <c r="C82" s="11" t="s">
        <v>23</v>
      </c>
      <c r="D82" s="11" t="s">
        <v>23</v>
      </c>
      <c r="E82" s="11" t="s">
        <v>23</v>
      </c>
      <c r="F82" s="11" t="s">
        <v>23</v>
      </c>
      <c r="G82" s="11" t="s">
        <v>23</v>
      </c>
      <c r="H82" s="11" t="s">
        <v>6</v>
      </c>
      <c r="I82" s="11">
        <v>4</v>
      </c>
      <c r="J82" s="11" t="s">
        <v>6</v>
      </c>
      <c r="K82" s="84" t="s">
        <v>14</v>
      </c>
      <c r="O82" s="170">
        <v>2.5</v>
      </c>
      <c r="P82" s="170" t="s">
        <v>201</v>
      </c>
    </row>
    <row r="83" spans="1:23" ht="96.6" x14ac:dyDescent="0.3">
      <c r="A83" s="175" t="s">
        <v>426</v>
      </c>
      <c r="B83" s="198" t="s">
        <v>589</v>
      </c>
      <c r="C83" s="214" t="s">
        <v>746</v>
      </c>
      <c r="D83" s="11" t="s">
        <v>23</v>
      </c>
      <c r="E83" s="11" t="s">
        <v>23</v>
      </c>
      <c r="F83" s="11" t="s">
        <v>23</v>
      </c>
      <c r="G83" s="11" t="s">
        <v>23</v>
      </c>
      <c r="H83" s="11" t="s">
        <v>6</v>
      </c>
      <c r="J83" s="11" t="s">
        <v>6</v>
      </c>
      <c r="K83" s="84" t="s">
        <v>14</v>
      </c>
      <c r="M83" s="84"/>
      <c r="P83" s="170" t="s">
        <v>636</v>
      </c>
      <c r="Q83" s="138" t="s">
        <v>658</v>
      </c>
      <c r="T83" s="223" t="s">
        <v>584</v>
      </c>
      <c r="W83" s="98"/>
    </row>
    <row r="84" spans="1:23" x14ac:dyDescent="0.3">
      <c r="B84" s="77"/>
      <c r="K84" s="84"/>
      <c r="M84" s="84"/>
      <c r="Q84" s="138"/>
      <c r="W84" s="98"/>
    </row>
    <row r="85" spans="1:23" s="83" customFormat="1" ht="15.6" x14ac:dyDescent="0.3">
      <c r="A85" s="206" t="s">
        <v>43</v>
      </c>
      <c r="B85" s="197" t="s">
        <v>555</v>
      </c>
      <c r="C85" s="78" t="s">
        <v>23</v>
      </c>
      <c r="D85" s="19" t="s">
        <v>23</v>
      </c>
      <c r="E85" s="19" t="s">
        <v>23</v>
      </c>
      <c r="F85" s="19" t="s">
        <v>23</v>
      </c>
      <c r="G85" s="19" t="s">
        <v>23</v>
      </c>
      <c r="H85" s="19"/>
      <c r="I85" s="19"/>
      <c r="J85" s="19"/>
      <c r="K85" s="79"/>
      <c r="L85" s="79"/>
      <c r="M85" s="79"/>
      <c r="N85" s="79"/>
      <c r="O85" s="179"/>
      <c r="P85" s="179"/>
      <c r="Q85" s="79"/>
      <c r="R85" s="41"/>
      <c r="S85" s="234"/>
      <c r="T85" s="80"/>
      <c r="U85" s="81"/>
      <c r="V85" s="82"/>
      <c r="W85" s="80"/>
    </row>
    <row r="86" spans="1:23" s="96" customFormat="1" x14ac:dyDescent="0.3">
      <c r="A86" s="215" t="s">
        <v>44</v>
      </c>
      <c r="B86" s="77" t="s">
        <v>535</v>
      </c>
      <c r="C86" s="220" t="s">
        <v>746</v>
      </c>
      <c r="D86" s="117" t="s">
        <v>23</v>
      </c>
      <c r="E86" s="117" t="s">
        <v>23</v>
      </c>
      <c r="F86" s="117" t="s">
        <v>23</v>
      </c>
      <c r="G86" s="117" t="s">
        <v>23</v>
      </c>
      <c r="H86" s="117" t="s">
        <v>6</v>
      </c>
      <c r="I86" s="117"/>
      <c r="J86" s="117" t="s">
        <v>6</v>
      </c>
      <c r="K86" s="84" t="s">
        <v>14</v>
      </c>
      <c r="M86" s="93" t="s">
        <v>244</v>
      </c>
      <c r="N86" s="96" t="s">
        <v>15</v>
      </c>
      <c r="O86" s="170" t="s">
        <v>6</v>
      </c>
      <c r="P86" s="170" t="s">
        <v>636</v>
      </c>
      <c r="Q86" s="103" t="s">
        <v>741</v>
      </c>
      <c r="R86" s="117" t="s">
        <v>320</v>
      </c>
      <c r="S86" s="236" t="s">
        <v>230</v>
      </c>
      <c r="T86" s="90" t="s">
        <v>58</v>
      </c>
      <c r="U86" s="91" t="s">
        <v>70</v>
      </c>
      <c r="W86" s="94"/>
    </row>
    <row r="87" spans="1:23" s="96" customFormat="1" x14ac:dyDescent="0.3">
      <c r="A87" s="174" t="s">
        <v>45</v>
      </c>
      <c r="B87" s="77" t="s">
        <v>528</v>
      </c>
      <c r="C87" s="220" t="s">
        <v>746</v>
      </c>
      <c r="D87" s="117" t="s">
        <v>23</v>
      </c>
      <c r="E87" s="117" t="s">
        <v>23</v>
      </c>
      <c r="F87" s="117" t="s">
        <v>23</v>
      </c>
      <c r="G87" s="117" t="s">
        <v>23</v>
      </c>
      <c r="H87" s="117" t="s">
        <v>6</v>
      </c>
      <c r="I87" s="117"/>
      <c r="J87" s="117" t="s">
        <v>6</v>
      </c>
      <c r="K87" s="84" t="s">
        <v>15</v>
      </c>
      <c r="L87" s="96" t="s">
        <v>759</v>
      </c>
      <c r="M87" s="93"/>
      <c r="O87" s="170"/>
      <c r="P87" s="170" t="s">
        <v>636</v>
      </c>
      <c r="Q87" s="103" t="s">
        <v>722</v>
      </c>
      <c r="R87" s="117" t="s">
        <v>671</v>
      </c>
      <c r="S87" s="236"/>
      <c r="T87" s="90"/>
      <c r="U87" s="91"/>
      <c r="W87" s="94"/>
    </row>
    <row r="88" spans="1:23" s="96" customFormat="1" x14ac:dyDescent="0.3">
      <c r="A88" s="174" t="s">
        <v>46</v>
      </c>
      <c r="B88" s="77" t="s">
        <v>529</v>
      </c>
      <c r="C88" s="220" t="s">
        <v>746</v>
      </c>
      <c r="D88" s="117" t="s">
        <v>23</v>
      </c>
      <c r="E88" s="117" t="s">
        <v>23</v>
      </c>
      <c r="F88" s="117" t="s">
        <v>23</v>
      </c>
      <c r="G88" s="117" t="s">
        <v>23</v>
      </c>
      <c r="H88" s="117" t="s">
        <v>6</v>
      </c>
      <c r="I88" s="117"/>
      <c r="J88" s="117" t="s">
        <v>6</v>
      </c>
      <c r="K88" s="84" t="s">
        <v>15</v>
      </c>
      <c r="L88" s="96" t="s">
        <v>759</v>
      </c>
      <c r="M88" s="93"/>
      <c r="O88" s="170"/>
      <c r="P88" s="170" t="s">
        <v>636</v>
      </c>
      <c r="Q88" s="103" t="s">
        <v>725</v>
      </c>
      <c r="R88" s="117" t="s">
        <v>671</v>
      </c>
      <c r="S88" s="236"/>
      <c r="T88" s="90"/>
      <c r="U88" s="91"/>
      <c r="W88" s="94"/>
    </row>
    <row r="89" spans="1:23" s="96" customFormat="1" ht="27.6" x14ac:dyDescent="0.3">
      <c r="A89" s="174" t="s">
        <v>109</v>
      </c>
      <c r="B89" s="77" t="s">
        <v>530</v>
      </c>
      <c r="C89" s="220" t="s">
        <v>746</v>
      </c>
      <c r="D89" s="117" t="s">
        <v>23</v>
      </c>
      <c r="E89" s="117" t="s">
        <v>23</v>
      </c>
      <c r="F89" s="117" t="s">
        <v>23</v>
      </c>
      <c r="G89" s="117" t="s">
        <v>23</v>
      </c>
      <c r="H89" s="117" t="s">
        <v>6</v>
      </c>
      <c r="I89" s="117"/>
      <c r="J89" s="117" t="s">
        <v>6</v>
      </c>
      <c r="K89" s="84" t="s">
        <v>14</v>
      </c>
      <c r="M89" s="93"/>
      <c r="O89" s="170"/>
      <c r="P89" s="170" t="s">
        <v>636</v>
      </c>
      <c r="Q89" s="103" t="s">
        <v>690</v>
      </c>
      <c r="R89" s="117" t="s">
        <v>672</v>
      </c>
      <c r="S89" s="236"/>
      <c r="T89" s="90"/>
      <c r="U89" s="91"/>
      <c r="W89" s="94"/>
    </row>
    <row r="90" spans="1:23" s="96" customFormat="1" ht="40.200000000000003" customHeight="1" x14ac:dyDescent="0.3">
      <c r="A90" s="174" t="s">
        <v>310</v>
      </c>
      <c r="B90" s="77" t="s">
        <v>531</v>
      </c>
      <c r="C90" s="213" t="s">
        <v>746</v>
      </c>
      <c r="D90" s="108"/>
      <c r="E90" s="108"/>
      <c r="F90" s="117" t="s">
        <v>23</v>
      </c>
      <c r="G90" s="117" t="s">
        <v>23</v>
      </c>
      <c r="H90" s="117" t="s">
        <v>6</v>
      </c>
      <c r="I90" s="117"/>
      <c r="J90" s="117" t="s">
        <v>6</v>
      </c>
      <c r="K90" s="84" t="s">
        <v>14</v>
      </c>
      <c r="L90" s="96" t="s">
        <v>758</v>
      </c>
      <c r="M90" s="93" t="s">
        <v>244</v>
      </c>
      <c r="N90" s="96" t="s">
        <v>15</v>
      </c>
      <c r="O90" s="170" t="s">
        <v>6</v>
      </c>
      <c r="P90" s="170" t="s">
        <v>636</v>
      </c>
      <c r="Q90" s="103" t="s">
        <v>723</v>
      </c>
      <c r="R90" s="117" t="s">
        <v>320</v>
      </c>
      <c r="S90" s="236" t="s">
        <v>230</v>
      </c>
      <c r="T90" s="95"/>
      <c r="U90" s="91"/>
      <c r="W90" s="94" t="s">
        <v>61</v>
      </c>
    </row>
    <row r="91" spans="1:23" x14ac:dyDescent="0.3">
      <c r="A91" s="175" t="s">
        <v>318</v>
      </c>
      <c r="B91" s="77" t="s">
        <v>154</v>
      </c>
      <c r="C91" s="214" t="s">
        <v>746</v>
      </c>
      <c r="D91" s="11" t="s">
        <v>23</v>
      </c>
      <c r="E91" s="11" t="s">
        <v>23</v>
      </c>
      <c r="F91" s="11" t="s">
        <v>23</v>
      </c>
      <c r="G91" s="11" t="s">
        <v>23</v>
      </c>
      <c r="H91" s="117" t="s">
        <v>6</v>
      </c>
      <c r="J91" s="11" t="s">
        <v>6</v>
      </c>
      <c r="K91" s="84" t="s">
        <v>14</v>
      </c>
      <c r="M91" s="84" t="s">
        <v>244</v>
      </c>
      <c r="N91" s="22" t="s">
        <v>15</v>
      </c>
      <c r="O91" s="170" t="s">
        <v>6</v>
      </c>
      <c r="P91" s="170" t="s">
        <v>636</v>
      </c>
      <c r="Q91" s="138" t="s">
        <v>659</v>
      </c>
      <c r="R91" s="117" t="s">
        <v>320</v>
      </c>
      <c r="S91" s="235" t="s">
        <v>230</v>
      </c>
      <c r="T91" s="95"/>
      <c r="U91" s="91"/>
      <c r="V91" s="96"/>
      <c r="W91" s="94"/>
    </row>
    <row r="92" spans="1:23" s="96" customFormat="1" x14ac:dyDescent="0.3">
      <c r="A92" s="174" t="s">
        <v>533</v>
      </c>
      <c r="B92" s="77" t="s">
        <v>573</v>
      </c>
      <c r="C92" s="214" t="s">
        <v>746</v>
      </c>
      <c r="D92" s="117" t="s">
        <v>23</v>
      </c>
      <c r="E92" s="117" t="s">
        <v>23</v>
      </c>
      <c r="F92" s="117" t="s">
        <v>23</v>
      </c>
      <c r="G92" s="117" t="s">
        <v>23</v>
      </c>
      <c r="H92" s="117" t="s">
        <v>6</v>
      </c>
      <c r="I92" s="117"/>
      <c r="J92" s="117" t="s">
        <v>6</v>
      </c>
      <c r="K92" s="84"/>
      <c r="M92" s="93" t="s">
        <v>244</v>
      </c>
      <c r="N92" s="96" t="s">
        <v>15</v>
      </c>
      <c r="O92" s="170" t="s">
        <v>6</v>
      </c>
      <c r="P92" s="170" t="s">
        <v>636</v>
      </c>
      <c r="Q92" s="103" t="s">
        <v>724</v>
      </c>
      <c r="R92" s="117" t="s">
        <v>320</v>
      </c>
      <c r="S92" s="240" t="s">
        <v>268</v>
      </c>
      <c r="T92" s="95"/>
      <c r="U92" s="91"/>
      <c r="W92" s="94"/>
    </row>
    <row r="93" spans="1:23" s="96" customFormat="1" ht="27.6" x14ac:dyDescent="0.3">
      <c r="A93" s="174" t="s">
        <v>534</v>
      </c>
      <c r="B93" s="77" t="s">
        <v>532</v>
      </c>
      <c r="C93" s="117" t="s">
        <v>23</v>
      </c>
      <c r="D93" s="117" t="s">
        <v>23</v>
      </c>
      <c r="E93" s="117" t="s">
        <v>23</v>
      </c>
      <c r="F93" s="117" t="s">
        <v>23</v>
      </c>
      <c r="G93" s="117" t="s">
        <v>23</v>
      </c>
      <c r="H93" s="117" t="s">
        <v>6</v>
      </c>
      <c r="I93" s="117"/>
      <c r="J93" s="117" t="s">
        <v>6</v>
      </c>
      <c r="K93" s="84" t="s">
        <v>15</v>
      </c>
      <c r="M93" s="93" t="s">
        <v>283</v>
      </c>
      <c r="N93" s="96" t="s">
        <v>15</v>
      </c>
      <c r="O93" s="170" t="s">
        <v>6</v>
      </c>
      <c r="P93" s="170" t="s">
        <v>636</v>
      </c>
      <c r="Q93" s="103" t="s">
        <v>691</v>
      </c>
      <c r="R93" s="117" t="s">
        <v>320</v>
      </c>
      <c r="S93" s="240"/>
      <c r="T93" s="95"/>
      <c r="U93" s="91"/>
      <c r="W93" s="94"/>
    </row>
    <row r="94" spans="1:23" s="96" customFormat="1" ht="27.6" x14ac:dyDescent="0.3">
      <c r="A94" s="174" t="s">
        <v>606</v>
      </c>
      <c r="B94" s="77" t="s">
        <v>705</v>
      </c>
      <c r="C94" s="117"/>
      <c r="D94" s="117"/>
      <c r="E94" s="117"/>
      <c r="F94" s="117" t="s">
        <v>23</v>
      </c>
      <c r="G94" s="117" t="s">
        <v>23</v>
      </c>
      <c r="H94" s="117"/>
      <c r="I94" s="117"/>
      <c r="J94" s="117"/>
      <c r="K94" s="84" t="s">
        <v>15</v>
      </c>
      <c r="M94" s="93"/>
      <c r="O94" s="170"/>
      <c r="P94" s="170" t="s">
        <v>636</v>
      </c>
      <c r="Q94" s="103" t="s">
        <v>742</v>
      </c>
      <c r="R94" s="117"/>
      <c r="S94" s="240"/>
      <c r="T94" s="95"/>
      <c r="U94" s="91"/>
      <c r="W94" s="94"/>
    </row>
    <row r="95" spans="1:23" s="96" customFormat="1" x14ac:dyDescent="0.3">
      <c r="A95" s="174"/>
      <c r="B95" s="77"/>
      <c r="C95" s="117"/>
      <c r="D95" s="117"/>
      <c r="E95" s="117"/>
      <c r="F95" s="117"/>
      <c r="G95" s="117"/>
      <c r="H95" s="117"/>
      <c r="I95" s="117"/>
      <c r="J95" s="117"/>
      <c r="K95" s="84"/>
      <c r="M95" s="93"/>
      <c r="O95" s="170"/>
      <c r="P95" s="170"/>
      <c r="Q95" s="103"/>
      <c r="R95" s="117"/>
      <c r="S95" s="240"/>
      <c r="T95" s="95"/>
      <c r="U95" s="91"/>
      <c r="W95" s="94"/>
    </row>
    <row r="96" spans="1:23" s="83" customFormat="1" ht="15.6" x14ac:dyDescent="0.3">
      <c r="A96" s="206" t="s">
        <v>117</v>
      </c>
      <c r="B96" s="197" t="s">
        <v>557</v>
      </c>
      <c r="C96" s="78"/>
      <c r="D96" s="19" t="s">
        <v>23</v>
      </c>
      <c r="E96" s="19" t="s">
        <v>23</v>
      </c>
      <c r="F96" s="19" t="s">
        <v>23</v>
      </c>
      <c r="G96" s="19" t="s">
        <v>23</v>
      </c>
      <c r="H96" s="19"/>
      <c r="I96" s="19"/>
      <c r="J96" s="19" t="s">
        <v>6</v>
      </c>
      <c r="K96" s="79"/>
      <c r="L96" s="79"/>
      <c r="M96" s="79"/>
      <c r="N96" s="79"/>
      <c r="O96" s="179"/>
      <c r="P96" s="179"/>
      <c r="Q96" s="79"/>
      <c r="R96" s="41"/>
      <c r="S96" s="234"/>
      <c r="T96" s="80"/>
      <c r="U96" s="81"/>
      <c r="V96" s="82"/>
      <c r="W96" s="80"/>
    </row>
    <row r="97" spans="1:23" s="83" customFormat="1" ht="40.200000000000003" customHeight="1" x14ac:dyDescent="0.3">
      <c r="A97" s="175" t="s">
        <v>118</v>
      </c>
      <c r="B97" s="112" t="s">
        <v>108</v>
      </c>
      <c r="C97" s="213" t="s">
        <v>746</v>
      </c>
      <c r="D97" s="11" t="s">
        <v>23</v>
      </c>
      <c r="E97" s="11" t="s">
        <v>23</v>
      </c>
      <c r="F97" s="11" t="s">
        <v>23</v>
      </c>
      <c r="G97" s="11" t="s">
        <v>23</v>
      </c>
      <c r="H97" s="11" t="s">
        <v>6</v>
      </c>
      <c r="I97" s="11"/>
      <c r="J97" s="11" t="s">
        <v>6</v>
      </c>
      <c r="K97" s="84" t="s">
        <v>15</v>
      </c>
      <c r="L97" s="89" t="s">
        <v>85</v>
      </c>
      <c r="M97" s="84" t="s">
        <v>283</v>
      </c>
      <c r="N97" s="83" t="s">
        <v>15</v>
      </c>
      <c r="O97" s="172" t="s">
        <v>6</v>
      </c>
      <c r="P97" s="172" t="s">
        <v>636</v>
      </c>
      <c r="Q97" s="138" t="s">
        <v>660</v>
      </c>
      <c r="R97" s="11" t="s">
        <v>18</v>
      </c>
      <c r="S97" s="241" t="s">
        <v>272</v>
      </c>
      <c r="T97" s="95" t="s">
        <v>6</v>
      </c>
      <c r="U97" s="96" t="s">
        <v>6</v>
      </c>
      <c r="V97" s="93"/>
      <c r="W97" s="109" t="s">
        <v>6</v>
      </c>
    </row>
    <row r="98" spans="1:23" s="83" customFormat="1" ht="25.2" customHeight="1" x14ac:dyDescent="0.3">
      <c r="A98" s="207" t="s">
        <v>47</v>
      </c>
      <c r="B98" s="197" t="s">
        <v>558</v>
      </c>
      <c r="C98" s="113" t="s">
        <v>226</v>
      </c>
      <c r="D98" s="21" t="s">
        <v>23</v>
      </c>
      <c r="E98" s="21" t="s">
        <v>23</v>
      </c>
      <c r="F98" s="21" t="s">
        <v>23</v>
      </c>
      <c r="G98" s="21" t="s">
        <v>23</v>
      </c>
      <c r="H98" s="21"/>
      <c r="I98" s="21"/>
      <c r="J98" s="21"/>
      <c r="K98" s="79"/>
      <c r="L98" s="79"/>
      <c r="M98" s="84"/>
      <c r="O98" s="179"/>
      <c r="P98" s="179"/>
      <c r="Q98" s="231"/>
      <c r="R98" s="21"/>
      <c r="S98" s="242"/>
      <c r="T98" s="110"/>
      <c r="U98" s="79"/>
      <c r="V98" s="79"/>
      <c r="W98" s="111"/>
    </row>
    <row r="99" spans="1:23" ht="40.200000000000003" customHeight="1" x14ac:dyDescent="0.3">
      <c r="A99" s="175" t="s">
        <v>48</v>
      </c>
      <c r="B99" s="107" t="s">
        <v>303</v>
      </c>
      <c r="C99" s="11" t="s">
        <v>23</v>
      </c>
      <c r="D99" s="11" t="s">
        <v>23</v>
      </c>
      <c r="E99" s="11" t="s">
        <v>23</v>
      </c>
      <c r="F99" s="11" t="s">
        <v>23</v>
      </c>
      <c r="G99" s="11" t="s">
        <v>23</v>
      </c>
      <c r="H99" s="11" t="s">
        <v>6</v>
      </c>
      <c r="I99" s="11">
        <v>5</v>
      </c>
      <c r="J99" s="11" t="s">
        <v>6</v>
      </c>
      <c r="K99" s="84" t="s">
        <v>14</v>
      </c>
      <c r="M99" s="84" t="s">
        <v>244</v>
      </c>
      <c r="N99" s="22" t="s">
        <v>15</v>
      </c>
      <c r="O99" s="232" t="s">
        <v>661</v>
      </c>
      <c r="P99" s="170" t="s">
        <v>636</v>
      </c>
      <c r="Q99" s="138" t="s">
        <v>662</v>
      </c>
      <c r="R99" s="117" t="s">
        <v>321</v>
      </c>
      <c r="S99" s="243" t="s">
        <v>273</v>
      </c>
      <c r="T99" s="95"/>
      <c r="U99" s="96"/>
      <c r="V99" s="96"/>
      <c r="W99" s="94" t="s">
        <v>6</v>
      </c>
    </row>
    <row r="100" spans="1:23" ht="40.200000000000003" customHeight="1" x14ac:dyDescent="0.3">
      <c r="A100" s="175" t="s">
        <v>49</v>
      </c>
      <c r="B100" s="107" t="s">
        <v>120</v>
      </c>
      <c r="C100" s="11" t="s">
        <v>23</v>
      </c>
      <c r="D100" s="11" t="s">
        <v>23</v>
      </c>
      <c r="E100" s="11" t="s">
        <v>23</v>
      </c>
      <c r="F100" s="11" t="s">
        <v>23</v>
      </c>
      <c r="G100" s="11" t="s">
        <v>23</v>
      </c>
      <c r="H100" s="11" t="s">
        <v>6</v>
      </c>
      <c r="I100" s="11">
        <v>5</v>
      </c>
      <c r="J100" s="11" t="s">
        <v>6</v>
      </c>
      <c r="K100" s="84" t="s">
        <v>14</v>
      </c>
      <c r="M100" s="84" t="s">
        <v>244</v>
      </c>
      <c r="N100" s="22" t="s">
        <v>15</v>
      </c>
      <c r="O100" s="170">
        <v>6.5</v>
      </c>
      <c r="P100" s="170" t="s">
        <v>636</v>
      </c>
      <c r="Q100" s="138" t="s">
        <v>692</v>
      </c>
      <c r="R100" s="117" t="s">
        <v>321</v>
      </c>
      <c r="S100" s="243" t="s">
        <v>273</v>
      </c>
      <c r="T100" s="95"/>
      <c r="U100" s="96"/>
      <c r="V100" s="96"/>
      <c r="W100" s="94" t="s">
        <v>6</v>
      </c>
    </row>
    <row r="101" spans="1:23" ht="40.200000000000003" customHeight="1" x14ac:dyDescent="0.3">
      <c r="A101" s="175" t="s">
        <v>50</v>
      </c>
      <c r="B101" s="107" t="s">
        <v>693</v>
      </c>
      <c r="C101" s="11" t="s">
        <v>23</v>
      </c>
      <c r="D101" s="11" t="s">
        <v>23</v>
      </c>
      <c r="E101" s="11" t="s">
        <v>23</v>
      </c>
      <c r="F101" s="11" t="s">
        <v>23</v>
      </c>
      <c r="G101" s="11" t="s">
        <v>23</v>
      </c>
      <c r="H101" s="11" t="s">
        <v>6</v>
      </c>
      <c r="J101" s="11" t="s">
        <v>6</v>
      </c>
      <c r="K101" s="84" t="s">
        <v>14</v>
      </c>
      <c r="M101" s="84" t="s">
        <v>244</v>
      </c>
      <c r="N101" s="22" t="s">
        <v>15</v>
      </c>
      <c r="O101" s="170">
        <v>6.5</v>
      </c>
      <c r="P101" s="170" t="s">
        <v>636</v>
      </c>
      <c r="Q101" s="138" t="s">
        <v>692</v>
      </c>
      <c r="R101" s="117" t="s">
        <v>321</v>
      </c>
      <c r="S101" s="243" t="s">
        <v>273</v>
      </c>
      <c r="T101" s="95"/>
      <c r="U101" s="96"/>
      <c r="V101" s="96"/>
      <c r="W101" s="94" t="s">
        <v>61</v>
      </c>
    </row>
    <row r="102" spans="1:23" x14ac:dyDescent="0.3">
      <c r="A102" s="175" t="s">
        <v>536</v>
      </c>
      <c r="B102" s="107" t="s">
        <v>613</v>
      </c>
      <c r="C102" s="11" t="s">
        <v>23</v>
      </c>
      <c r="D102" s="11" t="s">
        <v>23</v>
      </c>
      <c r="E102" s="11" t="s">
        <v>23</v>
      </c>
      <c r="F102" s="11" t="s">
        <v>23</v>
      </c>
      <c r="G102" s="11" t="s">
        <v>23</v>
      </c>
      <c r="H102" s="11" t="s">
        <v>6</v>
      </c>
      <c r="I102" s="11" t="s">
        <v>497</v>
      </c>
      <c r="J102" s="11" t="s">
        <v>6</v>
      </c>
      <c r="K102" s="84" t="s">
        <v>15</v>
      </c>
      <c r="L102" s="22" t="s">
        <v>757</v>
      </c>
      <c r="M102" s="84"/>
      <c r="P102" s="170" t="s">
        <v>636</v>
      </c>
      <c r="Q102" s="138" t="s">
        <v>663</v>
      </c>
      <c r="R102" s="11" t="s">
        <v>673</v>
      </c>
      <c r="W102" s="98"/>
    </row>
    <row r="103" spans="1:23" x14ac:dyDescent="0.3">
      <c r="A103" s="175" t="s">
        <v>537</v>
      </c>
      <c r="B103" s="107" t="s">
        <v>538</v>
      </c>
      <c r="C103" s="11" t="s">
        <v>23</v>
      </c>
      <c r="D103" s="11" t="s">
        <v>23</v>
      </c>
      <c r="E103" s="11" t="s">
        <v>23</v>
      </c>
      <c r="F103" s="11" t="s">
        <v>23</v>
      </c>
      <c r="G103" s="11" t="s">
        <v>23</v>
      </c>
      <c r="H103" s="11" t="s">
        <v>6</v>
      </c>
      <c r="I103" s="11" t="s">
        <v>497</v>
      </c>
      <c r="J103" s="11" t="s">
        <v>6</v>
      </c>
      <c r="K103" s="84" t="s">
        <v>15</v>
      </c>
      <c r="L103" s="22" t="s">
        <v>756</v>
      </c>
      <c r="M103" s="84"/>
      <c r="P103" s="170" t="s">
        <v>636</v>
      </c>
      <c r="Q103" s="138" t="s">
        <v>664</v>
      </c>
      <c r="R103" s="11" t="s">
        <v>673</v>
      </c>
      <c r="W103" s="98"/>
    </row>
    <row r="104" spans="1:23" s="83" customFormat="1" ht="15.6" x14ac:dyDescent="0.3">
      <c r="A104" s="206" t="s">
        <v>51</v>
      </c>
      <c r="B104" s="197" t="s">
        <v>559</v>
      </c>
      <c r="C104" s="78" t="s">
        <v>23</v>
      </c>
      <c r="D104" s="19" t="s">
        <v>23</v>
      </c>
      <c r="E104" s="19" t="s">
        <v>23</v>
      </c>
      <c r="F104" s="19" t="s">
        <v>23</v>
      </c>
      <c r="G104" s="19" t="s">
        <v>23</v>
      </c>
      <c r="H104" s="19"/>
      <c r="I104" s="19"/>
      <c r="J104" s="19"/>
      <c r="K104" s="79"/>
      <c r="L104" s="79"/>
      <c r="M104" s="79"/>
      <c r="N104" s="79"/>
      <c r="O104" s="179"/>
      <c r="P104" s="179"/>
      <c r="Q104" s="79"/>
      <c r="R104" s="41"/>
      <c r="S104" s="234"/>
      <c r="T104" s="80"/>
      <c r="U104" s="81"/>
      <c r="V104" s="82"/>
      <c r="W104" s="80" t="s">
        <v>6</v>
      </c>
    </row>
    <row r="105" spans="1:23" s="96" customFormat="1" ht="27.6" x14ac:dyDescent="0.3">
      <c r="A105" s="174" t="s">
        <v>52</v>
      </c>
      <c r="B105" s="77" t="s">
        <v>541</v>
      </c>
      <c r="C105" s="117" t="s">
        <v>23</v>
      </c>
      <c r="D105" s="117" t="s">
        <v>23</v>
      </c>
      <c r="E105" s="117" t="s">
        <v>23</v>
      </c>
      <c r="F105" s="117" t="s">
        <v>23</v>
      </c>
      <c r="G105" s="117" t="s">
        <v>23</v>
      </c>
      <c r="H105" s="11" t="s">
        <v>6</v>
      </c>
      <c r="I105" s="117"/>
      <c r="J105" s="117" t="s">
        <v>6</v>
      </c>
      <c r="K105" s="84" t="s">
        <v>181</v>
      </c>
      <c r="L105" s="96" t="s">
        <v>755</v>
      </c>
      <c r="M105" s="93" t="s">
        <v>244</v>
      </c>
      <c r="N105" s="96" t="s">
        <v>15</v>
      </c>
      <c r="O105" s="171" t="s">
        <v>6</v>
      </c>
      <c r="P105" s="171" t="s">
        <v>636</v>
      </c>
      <c r="Q105" s="103" t="s">
        <v>727</v>
      </c>
      <c r="R105" s="117" t="s">
        <v>17</v>
      </c>
      <c r="S105" s="240" t="s">
        <v>274</v>
      </c>
      <c r="T105" s="95"/>
      <c r="W105" s="95" t="s">
        <v>6</v>
      </c>
    </row>
    <row r="106" spans="1:23" s="96" customFormat="1" ht="41.4" x14ac:dyDescent="0.3">
      <c r="A106" s="174" t="s">
        <v>317</v>
      </c>
      <c r="B106" s="77" t="s">
        <v>316</v>
      </c>
      <c r="C106" s="117" t="s">
        <v>23</v>
      </c>
      <c r="D106" s="117" t="s">
        <v>23</v>
      </c>
      <c r="E106" s="117" t="s">
        <v>23</v>
      </c>
      <c r="F106" s="117" t="s">
        <v>23</v>
      </c>
      <c r="G106" s="117" t="s">
        <v>23</v>
      </c>
      <c r="H106" s="11" t="s">
        <v>6</v>
      </c>
      <c r="I106" s="117"/>
      <c r="J106" s="117" t="s">
        <v>6</v>
      </c>
      <c r="K106" s="84" t="s">
        <v>181</v>
      </c>
      <c r="L106" s="96" t="s">
        <v>755</v>
      </c>
      <c r="M106" s="93" t="s">
        <v>283</v>
      </c>
      <c r="N106" s="96" t="s">
        <v>14</v>
      </c>
      <c r="O106" s="171">
        <v>5.5</v>
      </c>
      <c r="P106" s="171" t="s">
        <v>636</v>
      </c>
      <c r="Q106" s="103" t="s">
        <v>740</v>
      </c>
      <c r="R106" s="117" t="s">
        <v>17</v>
      </c>
      <c r="S106" s="240" t="s">
        <v>274</v>
      </c>
      <c r="T106" s="95"/>
      <c r="W106" s="95"/>
    </row>
    <row r="107" spans="1:23" s="96" customFormat="1" ht="27.6" x14ac:dyDescent="0.3">
      <c r="A107" s="174" t="s">
        <v>540</v>
      </c>
      <c r="B107" s="77" t="s">
        <v>539</v>
      </c>
      <c r="C107" s="117" t="s">
        <v>23</v>
      </c>
      <c r="D107" s="117" t="s">
        <v>23</v>
      </c>
      <c r="E107" s="117" t="s">
        <v>23</v>
      </c>
      <c r="F107" s="117" t="s">
        <v>23</v>
      </c>
      <c r="G107" s="117" t="s">
        <v>23</v>
      </c>
      <c r="H107" s="11" t="s">
        <v>6</v>
      </c>
      <c r="I107" s="117"/>
      <c r="J107" s="117" t="s">
        <v>6</v>
      </c>
      <c r="K107" s="84" t="s">
        <v>181</v>
      </c>
      <c r="L107" s="96" t="s">
        <v>755</v>
      </c>
      <c r="M107" s="93"/>
      <c r="O107" s="171"/>
      <c r="P107" s="171" t="s">
        <v>636</v>
      </c>
      <c r="Q107" s="103" t="s">
        <v>726</v>
      </c>
      <c r="R107" s="117" t="s">
        <v>17</v>
      </c>
      <c r="S107" s="240"/>
      <c r="T107" s="95"/>
      <c r="W107" s="95"/>
    </row>
    <row r="108" spans="1:23" s="83" customFormat="1" ht="15.6" hidden="1" x14ac:dyDescent="0.3">
      <c r="A108" s="206" t="s">
        <v>151</v>
      </c>
      <c r="B108" s="197" t="s">
        <v>560</v>
      </c>
      <c r="C108" s="196" t="s">
        <v>23</v>
      </c>
      <c r="D108" s="19" t="s">
        <v>23</v>
      </c>
      <c r="E108" s="19" t="s">
        <v>23</v>
      </c>
      <c r="F108" s="19" t="s">
        <v>23</v>
      </c>
      <c r="G108" s="19" t="s">
        <v>23</v>
      </c>
      <c r="H108" s="19"/>
      <c r="I108" s="19"/>
      <c r="J108" s="19" t="s">
        <v>23</v>
      </c>
      <c r="K108" s="79"/>
      <c r="L108" s="79"/>
      <c r="M108" s="79"/>
      <c r="N108" s="79"/>
      <c r="O108" s="179"/>
      <c r="P108" s="179"/>
      <c r="Q108" s="79"/>
      <c r="R108" s="41"/>
      <c r="S108" s="234"/>
      <c r="T108" s="80"/>
      <c r="U108" s="81"/>
      <c r="V108" s="82"/>
      <c r="W108" s="80"/>
    </row>
    <row r="109" spans="1:23" ht="61.5" hidden="1" customHeight="1" x14ac:dyDescent="0.3">
      <c r="A109" s="175" t="s">
        <v>152</v>
      </c>
      <c r="B109" s="77" t="s">
        <v>590</v>
      </c>
      <c r="C109" s="11" t="s">
        <v>23</v>
      </c>
      <c r="D109" s="11" t="s">
        <v>23</v>
      </c>
      <c r="E109" s="11" t="s">
        <v>23</v>
      </c>
      <c r="F109" s="11" t="s">
        <v>23</v>
      </c>
      <c r="G109" s="11" t="s">
        <v>23</v>
      </c>
      <c r="J109" s="11" t="s">
        <v>23</v>
      </c>
      <c r="K109" s="84"/>
      <c r="M109" s="84" t="s">
        <v>244</v>
      </c>
      <c r="N109" s="22" t="s">
        <v>15</v>
      </c>
      <c r="O109" s="170" t="s">
        <v>410</v>
      </c>
      <c r="P109" s="170" t="s">
        <v>636</v>
      </c>
      <c r="Q109" s="138" t="s">
        <v>694</v>
      </c>
      <c r="R109" s="11" t="s">
        <v>153</v>
      </c>
      <c r="S109" s="241" t="s">
        <v>267</v>
      </c>
      <c r="T109" s="223" t="s">
        <v>591</v>
      </c>
    </row>
    <row r="110" spans="1:23" s="83" customFormat="1" ht="15.6" hidden="1" x14ac:dyDescent="0.3">
      <c r="A110" s="206" t="s">
        <v>433</v>
      </c>
      <c r="B110" s="197" t="s">
        <v>561</v>
      </c>
      <c r="C110" s="19"/>
      <c r="D110" s="19"/>
      <c r="E110" s="19"/>
      <c r="F110" s="19"/>
      <c r="G110" s="19"/>
      <c r="H110" s="19" t="s">
        <v>23</v>
      </c>
      <c r="I110" s="19"/>
      <c r="J110" s="19" t="s">
        <v>23</v>
      </c>
      <c r="K110" s="79"/>
      <c r="L110" s="79"/>
      <c r="M110" s="79"/>
      <c r="N110" s="79"/>
      <c r="O110" s="179"/>
      <c r="P110" s="179"/>
      <c r="Q110" s="79"/>
      <c r="R110" s="41"/>
      <c r="S110" s="234"/>
      <c r="T110" s="80"/>
      <c r="U110" s="81"/>
      <c r="V110" s="82"/>
      <c r="W110" s="80"/>
    </row>
    <row r="111" spans="1:23" hidden="1" x14ac:dyDescent="0.3">
      <c r="A111" s="175" t="s">
        <v>434</v>
      </c>
      <c r="B111" s="107" t="s">
        <v>544</v>
      </c>
      <c r="C111" s="214" t="s">
        <v>746</v>
      </c>
      <c r="D111" s="11" t="s">
        <v>23</v>
      </c>
      <c r="E111" s="11" t="s">
        <v>23</v>
      </c>
      <c r="F111" s="11" t="s">
        <v>23</v>
      </c>
      <c r="G111" s="11" t="s">
        <v>23</v>
      </c>
      <c r="H111" s="11" t="s">
        <v>23</v>
      </c>
      <c r="I111" s="11">
        <v>6</v>
      </c>
      <c r="J111" s="11" t="s">
        <v>23</v>
      </c>
      <c r="K111" s="84"/>
      <c r="P111" s="170" t="s">
        <v>636</v>
      </c>
      <c r="Q111" s="138" t="s">
        <v>728</v>
      </c>
      <c r="R111" s="11" t="s">
        <v>674</v>
      </c>
    </row>
    <row r="112" spans="1:23" ht="27.6" hidden="1" x14ac:dyDescent="0.3">
      <c r="A112" s="175" t="s">
        <v>435</v>
      </c>
      <c r="B112" s="107" t="s">
        <v>474</v>
      </c>
      <c r="C112" s="214" t="s">
        <v>746</v>
      </c>
      <c r="D112" s="11" t="s">
        <v>23</v>
      </c>
      <c r="E112" s="11" t="s">
        <v>23</v>
      </c>
      <c r="F112" s="11" t="s">
        <v>23</v>
      </c>
      <c r="G112" s="11" t="s">
        <v>23</v>
      </c>
      <c r="H112" s="11" t="s">
        <v>23</v>
      </c>
      <c r="J112" s="11" t="s">
        <v>23</v>
      </c>
      <c r="K112" s="84"/>
      <c r="P112" s="170" t="s">
        <v>636</v>
      </c>
      <c r="Q112" s="107" t="s">
        <v>729</v>
      </c>
    </row>
    <row r="113" spans="1:23" hidden="1" x14ac:dyDescent="0.3">
      <c r="A113" s="175" t="s">
        <v>436</v>
      </c>
      <c r="B113" s="107" t="s">
        <v>574</v>
      </c>
      <c r="C113" s="214" t="s">
        <v>746</v>
      </c>
      <c r="D113" s="11" t="s">
        <v>23</v>
      </c>
      <c r="E113" s="11" t="s">
        <v>23</v>
      </c>
      <c r="F113" s="11" t="s">
        <v>23</v>
      </c>
      <c r="G113" s="11" t="s">
        <v>23</v>
      </c>
      <c r="H113" s="11" t="s">
        <v>23</v>
      </c>
      <c r="I113" s="11">
        <v>6</v>
      </c>
      <c r="J113" s="11" t="s">
        <v>23</v>
      </c>
      <c r="K113" s="84"/>
      <c r="P113" s="170" t="s">
        <v>636</v>
      </c>
      <c r="Q113" s="139" t="s">
        <v>730</v>
      </c>
      <c r="R113" s="11" t="s">
        <v>675</v>
      </c>
    </row>
    <row r="114" spans="1:23" hidden="1" x14ac:dyDescent="0.3">
      <c r="A114" s="175" t="s">
        <v>438</v>
      </c>
      <c r="B114" s="107" t="s">
        <v>575</v>
      </c>
      <c r="C114" s="214" t="s">
        <v>746</v>
      </c>
      <c r="D114" s="11" t="s">
        <v>23</v>
      </c>
      <c r="E114" s="11" t="s">
        <v>23</v>
      </c>
      <c r="F114" s="11" t="s">
        <v>23</v>
      </c>
      <c r="G114" s="11" t="s">
        <v>23</v>
      </c>
      <c r="H114" s="11" t="s">
        <v>23</v>
      </c>
      <c r="I114" s="11">
        <v>6</v>
      </c>
      <c r="J114" s="11" t="s">
        <v>23</v>
      </c>
      <c r="K114" s="84"/>
      <c r="P114" s="170" t="s">
        <v>636</v>
      </c>
      <c r="Q114" s="138" t="s">
        <v>731</v>
      </c>
      <c r="R114" s="11" t="s">
        <v>676</v>
      </c>
    </row>
    <row r="115" spans="1:23" hidden="1" x14ac:dyDescent="0.3">
      <c r="A115" s="175" t="s">
        <v>440</v>
      </c>
      <c r="B115" s="107" t="s">
        <v>512</v>
      </c>
      <c r="C115" s="214" t="s">
        <v>746</v>
      </c>
      <c r="D115" s="11" t="s">
        <v>23</v>
      </c>
      <c r="E115" s="11" t="s">
        <v>23</v>
      </c>
      <c r="F115" s="11" t="s">
        <v>23</v>
      </c>
      <c r="G115" s="11" t="s">
        <v>23</v>
      </c>
      <c r="H115" s="11" t="s">
        <v>23</v>
      </c>
      <c r="J115" s="11" t="s">
        <v>23</v>
      </c>
      <c r="K115" s="84"/>
      <c r="P115" s="170" t="s">
        <v>636</v>
      </c>
      <c r="Q115" s="139" t="s">
        <v>733</v>
      </c>
    </row>
    <row r="116" spans="1:23" hidden="1" x14ac:dyDescent="0.3">
      <c r="A116" s="175" t="s">
        <v>442</v>
      </c>
      <c r="B116" s="107" t="s">
        <v>545</v>
      </c>
      <c r="C116" s="214" t="s">
        <v>746</v>
      </c>
      <c r="D116" s="11" t="s">
        <v>23</v>
      </c>
      <c r="E116" s="11" t="s">
        <v>23</v>
      </c>
      <c r="F116" s="11" t="s">
        <v>23</v>
      </c>
      <c r="G116" s="11" t="s">
        <v>23</v>
      </c>
      <c r="H116" s="11" t="s">
        <v>23</v>
      </c>
      <c r="J116" s="11" t="s">
        <v>23</v>
      </c>
      <c r="K116" s="84"/>
      <c r="P116" s="170" t="s">
        <v>636</v>
      </c>
      <c r="Q116" s="107" t="s">
        <v>695</v>
      </c>
    </row>
    <row r="117" spans="1:23" ht="27.6" hidden="1" x14ac:dyDescent="0.3">
      <c r="A117" s="175" t="s">
        <v>445</v>
      </c>
      <c r="B117" s="141" t="s">
        <v>562</v>
      </c>
      <c r="C117" s="214" t="s">
        <v>746</v>
      </c>
      <c r="D117" s="11" t="s">
        <v>23</v>
      </c>
      <c r="E117" s="11" t="s">
        <v>23</v>
      </c>
      <c r="F117" s="11" t="s">
        <v>23</v>
      </c>
      <c r="G117" s="11" t="s">
        <v>23</v>
      </c>
      <c r="H117" s="11" t="s">
        <v>23</v>
      </c>
      <c r="J117" s="11" t="s">
        <v>23</v>
      </c>
      <c r="K117" s="84"/>
      <c r="P117" s="170" t="s">
        <v>636</v>
      </c>
      <c r="Q117" s="107" t="s">
        <v>732</v>
      </c>
    </row>
    <row r="118" spans="1:23" s="96" customFormat="1" ht="41.4" hidden="1" x14ac:dyDescent="0.3">
      <c r="A118" s="174" t="s">
        <v>446</v>
      </c>
      <c r="B118" s="141" t="s">
        <v>547</v>
      </c>
      <c r="C118" s="214" t="s">
        <v>746</v>
      </c>
      <c r="D118" s="117" t="s">
        <v>23</v>
      </c>
      <c r="E118" s="117" t="s">
        <v>23</v>
      </c>
      <c r="F118" s="117" t="s">
        <v>23</v>
      </c>
      <c r="G118" s="117" t="s">
        <v>23</v>
      </c>
      <c r="H118" s="117" t="s">
        <v>23</v>
      </c>
      <c r="I118" s="117"/>
      <c r="J118" s="117" t="s">
        <v>23</v>
      </c>
      <c r="K118" s="84"/>
      <c r="M118" s="93" t="s">
        <v>244</v>
      </c>
      <c r="N118" s="96" t="s">
        <v>15</v>
      </c>
      <c r="O118" s="170" t="s">
        <v>398</v>
      </c>
      <c r="P118" s="170" t="s">
        <v>201</v>
      </c>
      <c r="Q118" s="103" t="s">
        <v>6</v>
      </c>
      <c r="R118" s="144">
        <v>3.7</v>
      </c>
      <c r="S118" s="236" t="s">
        <v>231</v>
      </c>
      <c r="T118" s="95"/>
      <c r="W118" s="95"/>
    </row>
    <row r="121" spans="1:23" x14ac:dyDescent="0.3">
      <c r="B121" s="107" t="s">
        <v>6</v>
      </c>
    </row>
  </sheetData>
  <dataConsolidate/>
  <conditionalFormatting sqref="B52:B54 B56:B74 B118 B15:B18">
    <cfRule type="containsText" dxfId="5" priority="9" operator="containsText" text="Bank">
      <formula>NOT(ISERROR(SEARCH("Bank",B15)))</formula>
    </cfRule>
    <cfRule type="containsText" dxfId="4" priority="10" operator="containsText" text="BOAC">
      <formula>NOT(ISERROR(SEARCH("BOAC",B15)))</formula>
    </cfRule>
  </conditionalFormatting>
  <conditionalFormatting sqref="B117">
    <cfRule type="containsText" dxfId="3" priority="1" operator="containsText" text="Bank">
      <formula>NOT(ISERROR(SEARCH("Bank",B117)))</formula>
    </cfRule>
    <cfRule type="containsText" dxfId="2" priority="2" operator="containsText" text="BOAC">
      <formula>NOT(ISERROR(SEARCH("BOAC",B117)))</formula>
    </cfRule>
  </conditionalFormatting>
  <dataValidations count="2">
    <dataValidation type="list" allowBlank="1" showInputMessage="1" showErrorMessage="1" sqref="M83:M109 M118 M3:M23 M25:M81">
      <formula1>$AQ$1:$AQ$3</formula1>
    </dataValidation>
    <dataValidation type="list" allowBlank="1" showInputMessage="1" showErrorMessage="1" sqref="K111:K118 K20:K23 K3:K18 K25:K27 K29:K43 K45:K84 K86:K95 K97 K99:K103 K105:K107 K109">
      <formula1>$AP$1:$AP$4</formula1>
    </dataValidation>
  </dataValidations>
  <hyperlinks>
    <hyperlink ref="V2" r:id="rId1" display="https://www.owasp.org/index.php/Authentication_Cheat_Sheet"/>
    <hyperlink ref="U2" r:id="rId2" display="http://usitdms.pwcinternal.com/usitdms/drl/objectId/09013881801e2fba"/>
    <hyperlink ref="V19" r:id="rId3" display="https://www.owasp.org/index.php/Access_Control_Cheat_Sheet"/>
    <hyperlink ref="V14" r:id="rId4" display="http://www.start.umd.edu/news/study-finds-warning-banners-deter-hackers"/>
    <hyperlink ref="U47" r:id="rId5"/>
    <hyperlink ref="U48" r:id="rId6"/>
    <hyperlink ref="U49" r:id="rId7"/>
    <hyperlink ref="U45" r:id="rId8" display="http://usitdms.pwcinternal.com/usitdms/drl/objectId/09013881801a79c4"/>
    <hyperlink ref="U20" r:id="rId9" display="http://usitdms.pwcinternal.com/usitdms/drl/objectId/09013881801fb781"/>
    <hyperlink ref="U22" r:id="rId10" display="http://usitdms.pwcinternal.com/usitdms/drl/objectId/09013881801a79c4"/>
    <hyperlink ref="U29" r:id="rId11"/>
    <hyperlink ref="U30" r:id="rId12"/>
    <hyperlink ref="U31" r:id="rId13"/>
    <hyperlink ref="U32" r:id="rId14"/>
    <hyperlink ref="U33" r:id="rId15"/>
    <hyperlink ref="U34" r:id="rId16"/>
    <hyperlink ref="U35" r:id="rId17"/>
    <hyperlink ref="U36" r:id="rId18"/>
    <hyperlink ref="U86" r:id="rId19"/>
  </hyperlinks>
  <pageMargins left="0.7" right="0.7" top="0.75" bottom="0.75" header="0.3" footer="0.3"/>
  <pageSetup orientation="portrait" r:id="rId20"/>
  <legacyDrawing r:id="rId2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31"/>
  <sheetViews>
    <sheetView zoomScale="81" zoomScaleNormal="81" workbookViewId="0">
      <selection activeCell="A21" sqref="A1:XFD1048576"/>
    </sheetView>
  </sheetViews>
  <sheetFormatPr defaultColWidth="37" defaultRowHeight="14.4" x14ac:dyDescent="0.3"/>
  <cols>
    <col min="3" max="3" width="27.33203125" customWidth="1"/>
    <col min="4" max="4" width="22.33203125" customWidth="1"/>
    <col min="5" max="5" width="20" customWidth="1"/>
    <col min="6" max="6" width="26.33203125" customWidth="1"/>
    <col min="7" max="7" width="28" customWidth="1"/>
  </cols>
  <sheetData>
    <row r="1" spans="1:7" ht="36" x14ac:dyDescent="0.3">
      <c r="A1" s="145" t="s">
        <v>322</v>
      </c>
      <c r="B1" s="145" t="s">
        <v>9</v>
      </c>
      <c r="C1" s="146" t="s">
        <v>323</v>
      </c>
      <c r="D1" s="146" t="s">
        <v>324</v>
      </c>
      <c r="E1" s="146" t="s">
        <v>325</v>
      </c>
      <c r="F1" s="146" t="s">
        <v>326</v>
      </c>
      <c r="G1" s="146" t="s">
        <v>327</v>
      </c>
    </row>
    <row r="2" spans="1:7" ht="21.6" x14ac:dyDescent="0.3">
      <c r="A2" s="147" t="s">
        <v>328</v>
      </c>
      <c r="B2" s="148" t="s">
        <v>329</v>
      </c>
      <c r="C2" s="149" t="s">
        <v>330</v>
      </c>
      <c r="D2" s="149" t="s">
        <v>598</v>
      </c>
      <c r="E2" s="149" t="s">
        <v>331</v>
      </c>
      <c r="F2" s="149" t="s">
        <v>331</v>
      </c>
      <c r="G2" s="149" t="s">
        <v>332</v>
      </c>
    </row>
    <row r="3" spans="1:7" ht="20.399999999999999" x14ac:dyDescent="0.3">
      <c r="A3" s="147" t="s">
        <v>333</v>
      </c>
      <c r="B3" s="148" t="s">
        <v>334</v>
      </c>
      <c r="C3" s="149" t="s">
        <v>15</v>
      </c>
      <c r="D3" s="149" t="s">
        <v>15</v>
      </c>
      <c r="E3" s="149" t="s">
        <v>14</v>
      </c>
      <c r="F3" s="149" t="s">
        <v>14</v>
      </c>
      <c r="G3" s="149" t="s">
        <v>14</v>
      </c>
    </row>
    <row r="4" spans="1:7" ht="20.399999999999999" x14ac:dyDescent="0.3">
      <c r="A4" s="147" t="s">
        <v>335</v>
      </c>
      <c r="B4" s="148" t="s">
        <v>336</v>
      </c>
      <c r="C4" s="149" t="s">
        <v>599</v>
      </c>
      <c r="D4" s="149" t="s">
        <v>600</v>
      </c>
      <c r="E4" s="149" t="s">
        <v>600</v>
      </c>
      <c r="F4" s="149" t="s">
        <v>600</v>
      </c>
      <c r="G4" s="149" t="s">
        <v>600</v>
      </c>
    </row>
    <row r="5" spans="1:7" ht="20.399999999999999" x14ac:dyDescent="0.3">
      <c r="A5" s="147" t="s">
        <v>337</v>
      </c>
      <c r="B5" s="148" t="s">
        <v>338</v>
      </c>
      <c r="C5" s="149" t="s">
        <v>601</v>
      </c>
      <c r="D5" s="149" t="s">
        <v>368</v>
      </c>
      <c r="E5" s="149" t="s">
        <v>368</v>
      </c>
      <c r="F5" s="149" t="s">
        <v>368</v>
      </c>
      <c r="G5" s="149" t="s">
        <v>368</v>
      </c>
    </row>
    <row r="6" spans="1:7" ht="20.399999999999999" x14ac:dyDescent="0.3">
      <c r="A6" s="147" t="s">
        <v>339</v>
      </c>
      <c r="B6" s="148" t="s">
        <v>340</v>
      </c>
      <c r="C6" s="149" t="s">
        <v>341</v>
      </c>
      <c r="D6" s="149" t="s">
        <v>341</v>
      </c>
      <c r="E6" s="149" t="s">
        <v>341</v>
      </c>
      <c r="F6" s="149" t="s">
        <v>368</v>
      </c>
      <c r="G6" s="149" t="s">
        <v>368</v>
      </c>
    </row>
    <row r="7" spans="1:7" ht="30.6" x14ac:dyDescent="0.3">
      <c r="A7" s="147" t="s">
        <v>342</v>
      </c>
      <c r="B7" s="148" t="s">
        <v>343</v>
      </c>
      <c r="C7" s="149" t="s">
        <v>181</v>
      </c>
      <c r="D7" s="149" t="s">
        <v>14</v>
      </c>
      <c r="E7" s="149" t="s">
        <v>14</v>
      </c>
      <c r="F7" s="149" t="s">
        <v>14</v>
      </c>
      <c r="G7" s="149" t="s">
        <v>15</v>
      </c>
    </row>
    <row r="8" spans="1:7" x14ac:dyDescent="0.3">
      <c r="A8" s="147" t="s">
        <v>344</v>
      </c>
      <c r="B8" s="148" t="s">
        <v>345</v>
      </c>
      <c r="C8" s="149" t="s">
        <v>346</v>
      </c>
      <c r="D8" s="149" t="s">
        <v>347</v>
      </c>
      <c r="E8" s="149" t="s">
        <v>348</v>
      </c>
      <c r="F8" s="149" t="s">
        <v>349</v>
      </c>
      <c r="G8" s="149" t="s">
        <v>350</v>
      </c>
    </row>
    <row r="9" spans="1:7" x14ac:dyDescent="0.3">
      <c r="A9" s="147" t="s">
        <v>351</v>
      </c>
      <c r="B9" s="148" t="s">
        <v>352</v>
      </c>
      <c r="C9" s="149" t="s">
        <v>353</v>
      </c>
      <c r="D9" s="149" t="s">
        <v>346</v>
      </c>
      <c r="E9" s="149" t="s">
        <v>346</v>
      </c>
      <c r="F9" s="149" t="s">
        <v>346</v>
      </c>
      <c r="G9" s="149" t="s">
        <v>354</v>
      </c>
    </row>
    <row r="10" spans="1:7" ht="20.399999999999999" x14ac:dyDescent="0.3">
      <c r="A10" s="147" t="s">
        <v>355</v>
      </c>
      <c r="B10" s="148" t="s">
        <v>356</v>
      </c>
      <c r="C10" s="149" t="s">
        <v>353</v>
      </c>
      <c r="D10" s="149" t="s">
        <v>353</v>
      </c>
      <c r="E10" s="149" t="s">
        <v>353</v>
      </c>
      <c r="F10" s="149" t="s">
        <v>602</v>
      </c>
      <c r="G10" s="149" t="s">
        <v>603</v>
      </c>
    </row>
    <row r="11" spans="1:7" ht="30.6" x14ac:dyDescent="0.3">
      <c r="A11" s="147" t="s">
        <v>357</v>
      </c>
      <c r="B11" s="148" t="s">
        <v>358</v>
      </c>
      <c r="C11" s="149" t="s">
        <v>14</v>
      </c>
      <c r="D11" s="149" t="s">
        <v>14</v>
      </c>
      <c r="E11" s="149" t="s">
        <v>14</v>
      </c>
      <c r="F11" s="149" t="s">
        <v>14</v>
      </c>
      <c r="G11" s="149" t="s">
        <v>604</v>
      </c>
    </row>
    <row r="12" spans="1:7" ht="20.399999999999999" x14ac:dyDescent="0.3">
      <c r="A12" s="147" t="s">
        <v>359</v>
      </c>
      <c r="B12" s="148" t="s">
        <v>360</v>
      </c>
      <c r="C12" s="149" t="s">
        <v>14</v>
      </c>
      <c r="D12" s="149" t="s">
        <v>14</v>
      </c>
      <c r="E12" s="149" t="s">
        <v>14</v>
      </c>
      <c r="F12" s="149" t="s">
        <v>14</v>
      </c>
      <c r="G12" s="149" t="s">
        <v>15</v>
      </c>
    </row>
    <row r="13" spans="1:7" x14ac:dyDescent="0.3">
      <c r="A13" s="309" t="s">
        <v>361</v>
      </c>
      <c r="B13" s="309"/>
      <c r="C13" s="150"/>
      <c r="D13" s="150"/>
      <c r="E13" s="150"/>
      <c r="F13" s="150"/>
      <c r="G13" s="151"/>
    </row>
    <row r="14" spans="1:7" ht="36" x14ac:dyDescent="0.3">
      <c r="A14" s="145" t="s">
        <v>322</v>
      </c>
      <c r="B14" s="145" t="s">
        <v>9</v>
      </c>
      <c r="C14" s="146" t="s">
        <v>323</v>
      </c>
      <c r="D14" s="146" t="s">
        <v>362</v>
      </c>
      <c r="E14" s="146" t="s">
        <v>363</v>
      </c>
      <c r="F14" s="146" t="s">
        <v>326</v>
      </c>
      <c r="G14" s="146" t="s">
        <v>364</v>
      </c>
    </row>
    <row r="15" spans="1:7" ht="20.399999999999999" x14ac:dyDescent="0.3">
      <c r="A15" s="147" t="s">
        <v>365</v>
      </c>
      <c r="B15" s="148" t="s">
        <v>366</v>
      </c>
      <c r="C15" s="152" t="s">
        <v>367</v>
      </c>
      <c r="D15" s="152" t="s">
        <v>367</v>
      </c>
      <c r="E15" s="152" t="s">
        <v>367</v>
      </c>
      <c r="F15" s="152" t="s">
        <v>367</v>
      </c>
      <c r="G15" s="152" t="s">
        <v>367</v>
      </c>
    </row>
    <row r="16" spans="1:7" ht="20.399999999999999" x14ac:dyDescent="0.3">
      <c r="A16" s="147" t="s">
        <v>337</v>
      </c>
      <c r="B16" s="148" t="s">
        <v>338</v>
      </c>
      <c r="C16" s="152" t="s">
        <v>368</v>
      </c>
      <c r="D16" s="152" t="s">
        <v>368</v>
      </c>
      <c r="E16" s="152" t="s">
        <v>368</v>
      </c>
      <c r="F16" s="152" t="s">
        <v>368</v>
      </c>
      <c r="G16" s="152" t="s">
        <v>368</v>
      </c>
    </row>
    <row r="19" spans="1:2" s="155" customFormat="1" ht="13.2" x14ac:dyDescent="0.25">
      <c r="A19" s="153" t="s">
        <v>369</v>
      </c>
      <c r="B19" s="154"/>
    </row>
    <row r="20" spans="1:2" s="155" customFormat="1" ht="15.6" x14ac:dyDescent="0.25">
      <c r="A20" s="156" t="s">
        <v>370</v>
      </c>
      <c r="B20" s="154"/>
    </row>
    <row r="21" spans="1:2" s="155" customFormat="1" ht="15.6" x14ac:dyDescent="0.25">
      <c r="A21" s="156" t="s">
        <v>371</v>
      </c>
      <c r="B21" s="154"/>
    </row>
    <row r="22" spans="1:2" s="155" customFormat="1" ht="15.6" x14ac:dyDescent="0.25">
      <c r="A22" s="156" t="s">
        <v>372</v>
      </c>
      <c r="B22" s="154"/>
    </row>
    <row r="23" spans="1:2" s="155" customFormat="1" ht="15.6" x14ac:dyDescent="0.25">
      <c r="A23" s="156" t="s">
        <v>373</v>
      </c>
      <c r="B23" s="154"/>
    </row>
    <row r="24" spans="1:2" s="155" customFormat="1" ht="15.6" x14ac:dyDescent="0.25">
      <c r="A24" s="156" t="s">
        <v>374</v>
      </c>
      <c r="B24" s="154"/>
    </row>
    <row r="25" spans="1:2" s="155" customFormat="1" ht="15.6" x14ac:dyDescent="0.25">
      <c r="A25" s="156" t="s">
        <v>375</v>
      </c>
      <c r="B25" s="154"/>
    </row>
    <row r="26" spans="1:2" s="155" customFormat="1" ht="15.6" x14ac:dyDescent="0.25">
      <c r="A26" s="156" t="s">
        <v>376</v>
      </c>
      <c r="B26" s="154"/>
    </row>
    <row r="27" spans="1:2" s="155" customFormat="1" ht="15.6" x14ac:dyDescent="0.25">
      <c r="A27" s="156" t="s">
        <v>377</v>
      </c>
      <c r="B27" s="154"/>
    </row>
    <row r="28" spans="1:2" s="155" customFormat="1" ht="15.6" x14ac:dyDescent="0.25">
      <c r="A28" s="156" t="s">
        <v>378</v>
      </c>
      <c r="B28" s="154"/>
    </row>
    <row r="29" spans="1:2" s="155" customFormat="1" ht="15.6" x14ac:dyDescent="0.25">
      <c r="A29" s="156" t="s">
        <v>379</v>
      </c>
      <c r="B29" s="154"/>
    </row>
    <row r="30" spans="1:2" s="155" customFormat="1" ht="15.6" x14ac:dyDescent="0.25">
      <c r="A30" s="156" t="s">
        <v>380</v>
      </c>
      <c r="B30" s="154"/>
    </row>
    <row r="31" spans="1:2" s="155" customFormat="1" ht="15.6" x14ac:dyDescent="0.25">
      <c r="A31" s="156" t="s">
        <v>381</v>
      </c>
      <c r="B31" s="154"/>
    </row>
  </sheetData>
  <mergeCells count="1">
    <mergeCell ref="A13:B1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7"/>
  <sheetViews>
    <sheetView topLeftCell="B1" workbookViewId="0">
      <selection activeCell="B4" sqref="B4"/>
    </sheetView>
  </sheetViews>
  <sheetFormatPr defaultRowHeight="50.1" customHeight="1" x14ac:dyDescent="0.3"/>
  <cols>
    <col min="1" max="1" width="9" bestFit="1" customWidth="1"/>
    <col min="2" max="2" width="159.33203125" bestFit="1" customWidth="1"/>
  </cols>
  <sheetData>
    <row r="1" spans="1:2" ht="50.1" customHeight="1" x14ac:dyDescent="0.3">
      <c r="A1" s="7" t="s">
        <v>2</v>
      </c>
      <c r="B1" s="7" t="s">
        <v>54</v>
      </c>
    </row>
    <row r="2" spans="1:2" ht="50.1" customHeight="1" x14ac:dyDescent="0.3">
      <c r="A2" s="7" t="s">
        <v>3</v>
      </c>
      <c r="B2" s="7" t="s">
        <v>158</v>
      </c>
    </row>
    <row r="3" spans="1:2" ht="50.1" customHeight="1" x14ac:dyDescent="0.3">
      <c r="A3" s="7" t="s">
        <v>4</v>
      </c>
      <c r="B3" s="7" t="s">
        <v>159</v>
      </c>
    </row>
    <row r="4" spans="1:2" ht="55.2" x14ac:dyDescent="0.3">
      <c r="A4" s="7" t="s">
        <v>546</v>
      </c>
      <c r="B4" s="7" t="s">
        <v>53</v>
      </c>
    </row>
    <row r="5" spans="1:2" ht="50.1" customHeight="1" x14ac:dyDescent="0.3">
      <c r="A5" s="7" t="s">
        <v>1</v>
      </c>
      <c r="B5" s="7" t="s">
        <v>160</v>
      </c>
    </row>
    <row r="7" spans="1:2" ht="50.1" customHeight="1" x14ac:dyDescent="0.3">
      <c r="B7" s="61" t="s">
        <v>236</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60"/>
  <sheetViews>
    <sheetView workbookViewId="0">
      <selection activeCell="N11" sqref="N11"/>
    </sheetView>
  </sheetViews>
  <sheetFormatPr defaultColWidth="9.33203125" defaultRowHeight="14.4" x14ac:dyDescent="0.3"/>
  <cols>
    <col min="1" max="1" width="9.33203125" style="27" customWidth="1"/>
    <col min="2" max="16384" width="9.33203125" style="27"/>
  </cols>
  <sheetData>
    <row r="1" spans="1:6" ht="17.399999999999999" x14ac:dyDescent="0.3">
      <c r="A1" s="310" t="s">
        <v>123</v>
      </c>
      <c r="B1" s="311"/>
      <c r="C1" s="311"/>
      <c r="D1" s="311"/>
      <c r="E1" s="311"/>
      <c r="F1" s="311"/>
    </row>
    <row r="2" spans="1:6" x14ac:dyDescent="0.3">
      <c r="A2" s="32" t="s">
        <v>124</v>
      </c>
    </row>
    <row r="3" spans="1:6" x14ac:dyDescent="0.3">
      <c r="A3" s="33"/>
    </row>
    <row r="20" spans="1:1" s="75" customFormat="1" x14ac:dyDescent="0.3"/>
    <row r="21" spans="1:1" s="75" customFormat="1" x14ac:dyDescent="0.3"/>
    <row r="22" spans="1:1" s="75" customFormat="1" x14ac:dyDescent="0.3"/>
    <row r="23" spans="1:1" s="75" customFormat="1" x14ac:dyDescent="0.3"/>
    <row r="24" spans="1:1" s="75" customFormat="1" x14ac:dyDescent="0.3"/>
    <row r="31" spans="1:1" x14ac:dyDescent="0.3">
      <c r="A31" s="32" t="s">
        <v>125</v>
      </c>
    </row>
    <row r="32" spans="1:1" ht="17.399999999999999" x14ac:dyDescent="0.3">
      <c r="A32" s="34" t="s">
        <v>126</v>
      </c>
    </row>
    <row r="33" spans="1:1" x14ac:dyDescent="0.3">
      <c r="A33" s="35" t="s">
        <v>127</v>
      </c>
    </row>
    <row r="34" spans="1:1" x14ac:dyDescent="0.3">
      <c r="A34" s="36" t="s">
        <v>128</v>
      </c>
    </row>
    <row r="35" spans="1:1" x14ac:dyDescent="0.3">
      <c r="A35" s="36" t="s">
        <v>129</v>
      </c>
    </row>
    <row r="36" spans="1:1" x14ac:dyDescent="0.3">
      <c r="A36" s="36" t="s">
        <v>130</v>
      </c>
    </row>
    <row r="37" spans="1:1" x14ac:dyDescent="0.3">
      <c r="A37" s="36" t="s">
        <v>131</v>
      </c>
    </row>
    <row r="38" spans="1:1" x14ac:dyDescent="0.3">
      <c r="A38" s="36" t="s">
        <v>132</v>
      </c>
    </row>
    <row r="39" spans="1:1" x14ac:dyDescent="0.3">
      <c r="A39" s="37"/>
    </row>
    <row r="40" spans="1:1" ht="17.399999999999999" x14ac:dyDescent="0.3">
      <c r="A40" s="34" t="s">
        <v>133</v>
      </c>
    </row>
    <row r="41" spans="1:1" x14ac:dyDescent="0.3">
      <c r="A41" s="32" t="s">
        <v>134</v>
      </c>
    </row>
    <row r="42" spans="1:1" x14ac:dyDescent="0.3">
      <c r="A42" s="38" t="s">
        <v>135</v>
      </c>
    </row>
    <row r="43" spans="1:1" x14ac:dyDescent="0.3">
      <c r="A43" s="38" t="s">
        <v>136</v>
      </c>
    </row>
    <row r="44" spans="1:1" x14ac:dyDescent="0.3">
      <c r="A44" s="39" t="s">
        <v>137</v>
      </c>
    </row>
    <row r="45" spans="1:1" x14ac:dyDescent="0.3">
      <c r="A45" s="36" t="s">
        <v>138</v>
      </c>
    </row>
    <row r="46" spans="1:1" x14ac:dyDescent="0.3">
      <c r="A46" s="36" t="s">
        <v>139</v>
      </c>
    </row>
    <row r="47" spans="1:1" x14ac:dyDescent="0.3">
      <c r="A47" s="40"/>
    </row>
    <row r="48" spans="1:1" ht="17.399999999999999" x14ac:dyDescent="0.3">
      <c r="A48" s="34" t="s">
        <v>140</v>
      </c>
    </row>
    <row r="49" spans="1:1" x14ac:dyDescent="0.3">
      <c r="A49" s="35" t="s">
        <v>141</v>
      </c>
    </row>
    <row r="50" spans="1:1" x14ac:dyDescent="0.3">
      <c r="A50" s="38" t="s">
        <v>142</v>
      </c>
    </row>
    <row r="51" spans="1:1" x14ac:dyDescent="0.3">
      <c r="A51" s="36" t="s">
        <v>143</v>
      </c>
    </row>
    <row r="52" spans="1:1" x14ac:dyDescent="0.3">
      <c r="A52" s="36" t="s">
        <v>144</v>
      </c>
    </row>
    <row r="53" spans="1:1" x14ac:dyDescent="0.3">
      <c r="A53" s="36" t="s">
        <v>145</v>
      </c>
    </row>
    <row r="54" spans="1:1" x14ac:dyDescent="0.3">
      <c r="A54" s="36" t="s">
        <v>146</v>
      </c>
    </row>
    <row r="55" spans="1:1" x14ac:dyDescent="0.3">
      <c r="A55" s="32"/>
    </row>
    <row r="56" spans="1:1" ht="17.399999999999999" x14ac:dyDescent="0.3">
      <c r="A56" s="34" t="s">
        <v>147</v>
      </c>
    </row>
    <row r="57" spans="1:1" x14ac:dyDescent="0.3">
      <c r="A57" s="39" t="s">
        <v>148</v>
      </c>
    </row>
    <row r="58" spans="1:1" x14ac:dyDescent="0.3">
      <c r="A58" s="39" t="s">
        <v>149</v>
      </c>
    </row>
    <row r="59" spans="1:1" x14ac:dyDescent="0.3">
      <c r="A59" s="35" t="s">
        <v>150</v>
      </c>
    </row>
    <row r="60" spans="1:1" x14ac:dyDescent="0.3">
      <c r="A60" s="35" t="s">
        <v>161</v>
      </c>
    </row>
  </sheetData>
  <mergeCells count="1">
    <mergeCell ref="A1:F1"/>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19"/>
  <sheetViews>
    <sheetView topLeftCell="B1" workbookViewId="0">
      <pane ySplit="1" topLeftCell="A2" activePane="bottomLeft" state="frozen"/>
      <selection pane="bottomLeft" activeCell="B14" sqref="B14"/>
    </sheetView>
  </sheetViews>
  <sheetFormatPr defaultRowHeight="14.4" x14ac:dyDescent="0.3"/>
  <cols>
    <col min="2" max="2" width="193.5546875" style="61" customWidth="1"/>
  </cols>
  <sheetData>
    <row r="1" spans="1:35" s="83" customFormat="1" ht="15.6" x14ac:dyDescent="0.3">
      <c r="A1" s="196" t="s">
        <v>433</v>
      </c>
      <c r="B1" s="197" t="s">
        <v>432</v>
      </c>
      <c r="C1" s="78"/>
      <c r="D1" s="19"/>
      <c r="E1" s="19"/>
      <c r="F1" s="19"/>
      <c r="G1" s="19"/>
      <c r="H1" s="19"/>
      <c r="I1" s="19"/>
      <c r="J1" s="19"/>
      <c r="K1" s="19"/>
      <c r="L1" s="19"/>
      <c r="M1" s="19"/>
      <c r="N1" s="19"/>
      <c r="O1" s="19"/>
      <c r="P1" s="19"/>
      <c r="Q1" s="19"/>
      <c r="R1" s="19"/>
      <c r="S1" s="19"/>
      <c r="T1" s="79"/>
      <c r="U1" s="79"/>
      <c r="V1" s="79"/>
      <c r="W1" s="179"/>
      <c r="X1" s="79"/>
      <c r="Y1" s="41"/>
      <c r="Z1" s="118"/>
      <c r="AA1" s="80"/>
      <c r="AB1" s="81"/>
      <c r="AC1" s="82"/>
      <c r="AD1" s="79"/>
      <c r="AE1" s="80"/>
    </row>
    <row r="2" spans="1:35" s="96" customFormat="1" ht="27.6" x14ac:dyDescent="0.3">
      <c r="A2" s="117" t="s">
        <v>434</v>
      </c>
      <c r="B2" s="77" t="s">
        <v>543</v>
      </c>
      <c r="C2" s="117"/>
      <c r="D2" s="117"/>
      <c r="E2" s="117"/>
      <c r="F2" s="117"/>
      <c r="G2" s="117"/>
      <c r="H2" s="117"/>
      <c r="I2" s="117"/>
      <c r="J2" s="117" t="s">
        <v>6</v>
      </c>
      <c r="K2" s="117"/>
      <c r="L2" s="117" t="s">
        <v>6</v>
      </c>
      <c r="M2" s="117" t="s">
        <v>6</v>
      </c>
      <c r="N2" s="117"/>
      <c r="O2" s="117"/>
      <c r="P2" s="117"/>
      <c r="Q2" s="117"/>
      <c r="R2" s="117"/>
      <c r="S2" s="117"/>
      <c r="W2" s="171"/>
      <c r="X2" s="199"/>
      <c r="Y2" s="95" t="s">
        <v>279</v>
      </c>
      <c r="Z2" s="200" t="s">
        <v>267</v>
      </c>
      <c r="AA2" s="95"/>
      <c r="AE2" s="95"/>
    </row>
    <row r="3" spans="1:35" s="96" customFormat="1" ht="13.8" x14ac:dyDescent="0.3">
      <c r="A3" s="117" t="s">
        <v>435</v>
      </c>
      <c r="B3" s="77" t="s">
        <v>437</v>
      </c>
      <c r="C3" s="117"/>
      <c r="D3" s="117"/>
      <c r="E3" s="117"/>
      <c r="F3" s="117"/>
      <c r="G3" s="117"/>
      <c r="H3" s="117"/>
      <c r="I3" s="117"/>
      <c r="J3" s="117"/>
      <c r="K3" s="117"/>
      <c r="L3" s="117"/>
      <c r="M3" s="117"/>
      <c r="N3" s="117"/>
      <c r="O3" s="117"/>
      <c r="P3" s="117"/>
      <c r="Q3" s="117"/>
      <c r="R3" s="117"/>
      <c r="S3" s="117"/>
      <c r="W3" s="171"/>
      <c r="X3" s="199"/>
      <c r="Y3" s="95" t="s">
        <v>276</v>
      </c>
      <c r="Z3" s="200" t="s">
        <v>267</v>
      </c>
      <c r="AA3" s="95"/>
      <c r="AE3" s="95"/>
    </row>
    <row r="4" spans="1:35" s="96" customFormat="1" ht="41.4" x14ac:dyDescent="0.3">
      <c r="A4" s="117" t="s">
        <v>436</v>
      </c>
      <c r="B4" s="77" t="s">
        <v>542</v>
      </c>
      <c r="C4" s="117"/>
      <c r="D4" s="117"/>
      <c r="E4" s="117"/>
      <c r="F4" s="117"/>
      <c r="G4" s="117"/>
      <c r="H4" s="117"/>
      <c r="I4" s="117"/>
      <c r="J4" s="117"/>
      <c r="K4" s="117"/>
      <c r="L4" s="117"/>
      <c r="M4" s="117"/>
      <c r="N4" s="117"/>
      <c r="O4" s="117"/>
      <c r="P4" s="117"/>
      <c r="Q4" s="117"/>
      <c r="R4" s="117"/>
      <c r="S4" s="117"/>
      <c r="W4" s="171"/>
      <c r="X4" s="199"/>
      <c r="Y4" s="95" t="s">
        <v>276</v>
      </c>
      <c r="Z4" s="200" t="s">
        <v>267</v>
      </c>
      <c r="AA4" s="95"/>
      <c r="AE4" s="95"/>
    </row>
    <row r="5" spans="1:35" s="96" customFormat="1" ht="13.8" x14ac:dyDescent="0.3">
      <c r="A5" s="117" t="s">
        <v>438</v>
      </c>
      <c r="B5" s="77" t="s">
        <v>439</v>
      </c>
      <c r="C5" s="117"/>
      <c r="D5" s="117"/>
      <c r="E5" s="117"/>
      <c r="F5" s="117"/>
      <c r="G5" s="117"/>
      <c r="H5" s="117"/>
      <c r="I5" s="117"/>
      <c r="J5" s="117"/>
      <c r="K5" s="117"/>
      <c r="L5" s="117"/>
      <c r="M5" s="117"/>
      <c r="N5" s="117"/>
      <c r="O5" s="117"/>
      <c r="P5" s="117"/>
      <c r="Q5" s="117"/>
      <c r="R5" s="117"/>
      <c r="S5" s="117"/>
      <c r="W5" s="171"/>
      <c r="X5" s="199"/>
      <c r="Y5" s="95" t="s">
        <v>276</v>
      </c>
      <c r="Z5" s="200" t="s">
        <v>267</v>
      </c>
      <c r="AA5" s="95"/>
      <c r="AE5" s="95"/>
    </row>
    <row r="6" spans="1:35" s="96" customFormat="1" ht="13.8" x14ac:dyDescent="0.3">
      <c r="A6" s="117" t="s">
        <v>440</v>
      </c>
      <c r="B6" s="77" t="s">
        <v>441</v>
      </c>
      <c r="C6" s="117"/>
      <c r="D6" s="117"/>
      <c r="E6" s="117"/>
      <c r="F6" s="117"/>
      <c r="G6" s="117"/>
      <c r="H6" s="117"/>
      <c r="I6" s="117"/>
      <c r="J6" s="117"/>
      <c r="K6" s="117"/>
      <c r="L6" s="117"/>
      <c r="M6" s="117"/>
      <c r="N6" s="117"/>
      <c r="O6" s="117"/>
      <c r="P6" s="117"/>
      <c r="Q6" s="117"/>
      <c r="R6" s="117"/>
      <c r="S6" s="117"/>
      <c r="W6" s="171"/>
      <c r="X6" s="199"/>
      <c r="Y6" s="95" t="s">
        <v>277</v>
      </c>
      <c r="Z6" s="200" t="s">
        <v>268</v>
      </c>
      <c r="AA6" s="95"/>
      <c r="AE6" s="95"/>
    </row>
    <row r="7" spans="1:35" s="96" customFormat="1" ht="13.8" x14ac:dyDescent="0.3">
      <c r="A7" s="117" t="s">
        <v>442</v>
      </c>
      <c r="B7" s="103" t="s">
        <v>443</v>
      </c>
      <c r="C7" s="117"/>
      <c r="D7" s="117"/>
      <c r="E7" s="117"/>
      <c r="F7" s="117"/>
      <c r="G7" s="117"/>
      <c r="H7" s="117"/>
      <c r="I7" s="117"/>
      <c r="J7" s="117"/>
      <c r="K7" s="117"/>
      <c r="L7" s="117"/>
      <c r="M7" s="117"/>
      <c r="N7" s="117"/>
      <c r="O7" s="117"/>
      <c r="P7" s="117"/>
      <c r="Q7" s="117"/>
      <c r="R7" s="117"/>
      <c r="S7" s="117"/>
      <c r="W7" s="171"/>
      <c r="X7" s="199"/>
      <c r="Y7" s="95" t="s">
        <v>277</v>
      </c>
      <c r="Z7" s="200" t="s">
        <v>268</v>
      </c>
      <c r="AA7" s="95"/>
      <c r="AE7" s="95"/>
    </row>
    <row r="8" spans="1:35" s="96" customFormat="1" ht="18.75" customHeight="1" x14ac:dyDescent="0.3">
      <c r="A8" s="117" t="s">
        <v>445</v>
      </c>
      <c r="B8" s="77" t="s">
        <v>444</v>
      </c>
      <c r="C8" s="117"/>
      <c r="D8" s="117"/>
      <c r="E8" s="117"/>
      <c r="F8" s="117"/>
      <c r="G8" s="117"/>
      <c r="H8" s="117"/>
      <c r="I8" s="117"/>
      <c r="J8" s="117"/>
      <c r="K8" s="117"/>
      <c r="L8" s="117"/>
      <c r="M8" s="117"/>
      <c r="N8" s="117"/>
      <c r="O8" s="117"/>
      <c r="P8" s="117"/>
      <c r="Q8" s="117"/>
      <c r="R8" s="117"/>
      <c r="S8" s="117"/>
      <c r="W8" s="171"/>
      <c r="X8" s="199"/>
      <c r="Y8" s="103" t="s">
        <v>281</v>
      </c>
      <c r="Z8" s="200" t="s">
        <v>267</v>
      </c>
      <c r="AA8" s="95"/>
      <c r="AE8" s="95"/>
    </row>
    <row r="9" spans="1:35" s="96" customFormat="1" ht="18" customHeight="1" x14ac:dyDescent="0.3">
      <c r="A9" s="117" t="s">
        <v>446</v>
      </c>
      <c r="B9" s="77" t="s">
        <v>453</v>
      </c>
      <c r="C9" s="117"/>
      <c r="D9" s="117"/>
      <c r="E9" s="117"/>
      <c r="F9" s="117"/>
      <c r="G9" s="117"/>
      <c r="H9" s="117"/>
      <c r="I9" s="117"/>
      <c r="J9" s="117"/>
      <c r="K9" s="117"/>
      <c r="L9" s="117"/>
      <c r="M9" s="117"/>
      <c r="N9" s="117"/>
      <c r="O9" s="117"/>
      <c r="P9" s="117"/>
      <c r="Q9" s="117"/>
      <c r="R9" s="117"/>
      <c r="S9" s="117"/>
      <c r="W9" s="171"/>
      <c r="X9" s="199"/>
      <c r="Y9" s="103" t="s">
        <v>281</v>
      </c>
      <c r="Z9" s="200" t="s">
        <v>267</v>
      </c>
      <c r="AA9" s="95"/>
      <c r="AE9" s="95"/>
    </row>
    <row r="10" spans="1:35" s="96" customFormat="1" ht="21.75" customHeight="1" x14ac:dyDescent="0.3">
      <c r="A10" s="117" t="s">
        <v>448</v>
      </c>
      <c r="B10" s="77" t="s">
        <v>447</v>
      </c>
      <c r="C10" s="117"/>
      <c r="D10" s="117"/>
      <c r="E10" s="117"/>
      <c r="F10" s="117"/>
      <c r="G10" s="117"/>
      <c r="H10" s="117"/>
      <c r="I10" s="117"/>
      <c r="J10" s="117"/>
      <c r="K10" s="117"/>
      <c r="L10" s="117"/>
      <c r="M10" s="117"/>
      <c r="N10" s="117"/>
      <c r="O10" s="117"/>
      <c r="P10" s="117"/>
      <c r="Q10" s="117"/>
      <c r="R10" s="117"/>
      <c r="S10" s="117"/>
      <c r="W10" s="171"/>
      <c r="X10" s="199"/>
      <c r="Y10" s="103" t="s">
        <v>281</v>
      </c>
      <c r="Z10" s="95" t="s">
        <v>270</v>
      </c>
      <c r="AA10" s="95"/>
      <c r="AE10" s="95"/>
    </row>
    <row r="11" spans="1:35" s="96" customFormat="1" ht="13.8" x14ac:dyDescent="0.3">
      <c r="A11" s="117" t="s">
        <v>449</v>
      </c>
      <c r="B11" s="77" t="s">
        <v>221</v>
      </c>
      <c r="C11" s="117"/>
      <c r="D11" s="117"/>
      <c r="E11" s="117"/>
      <c r="F11" s="117"/>
      <c r="G11" s="117"/>
      <c r="H11" s="117"/>
      <c r="I11" s="117"/>
      <c r="J11" s="117"/>
      <c r="K11" s="117"/>
      <c r="L11" s="117"/>
      <c r="M11" s="117"/>
      <c r="N11" s="117"/>
      <c r="O11" s="117"/>
      <c r="P11" s="117"/>
      <c r="Q11" s="117"/>
      <c r="R11" s="117"/>
      <c r="S11" s="117"/>
      <c r="W11" s="171"/>
      <c r="X11" s="199"/>
      <c r="Y11" s="95" t="s">
        <v>280</v>
      </c>
      <c r="Z11" s="201" t="s">
        <v>271</v>
      </c>
      <c r="AA11" s="95"/>
      <c r="AE11" s="95"/>
    </row>
    <row r="12" spans="1:35" s="96" customFormat="1" ht="13.8" x14ac:dyDescent="0.3">
      <c r="A12" s="117" t="s">
        <v>451</v>
      </c>
      <c r="B12" s="77" t="s">
        <v>450</v>
      </c>
      <c r="C12" s="117"/>
      <c r="D12" s="117"/>
      <c r="E12" s="117"/>
      <c r="F12" s="117"/>
      <c r="G12" s="117"/>
      <c r="H12" s="117"/>
      <c r="I12" s="117"/>
      <c r="J12" s="117"/>
      <c r="K12" s="117"/>
      <c r="L12" s="117"/>
      <c r="M12" s="117"/>
      <c r="N12" s="117"/>
      <c r="O12" s="117"/>
      <c r="P12" s="117"/>
      <c r="Q12" s="117"/>
      <c r="R12" s="117"/>
      <c r="S12" s="117"/>
      <c r="W12" s="171"/>
      <c r="X12" s="199"/>
      <c r="Y12" s="202">
        <v>3.9</v>
      </c>
      <c r="Z12" s="201" t="s">
        <v>269</v>
      </c>
      <c r="AA12" s="202"/>
      <c r="AB12" s="203"/>
      <c r="AC12" s="203"/>
      <c r="AD12" s="203"/>
      <c r="AE12" s="202"/>
      <c r="AF12" s="203"/>
      <c r="AG12" s="203"/>
      <c r="AH12" s="203"/>
      <c r="AI12" s="203"/>
    </row>
    <row r="13" spans="1:35" s="96" customFormat="1" ht="57.75" customHeight="1" x14ac:dyDescent="0.3">
      <c r="A13" s="117" t="s">
        <v>452</v>
      </c>
      <c r="B13" s="141" t="s">
        <v>454</v>
      </c>
      <c r="C13" s="117"/>
      <c r="D13" s="117"/>
      <c r="E13" s="117"/>
      <c r="F13" s="117"/>
      <c r="G13" s="117"/>
      <c r="H13" s="117"/>
      <c r="I13" s="117"/>
      <c r="J13" s="117"/>
      <c r="K13" s="117"/>
      <c r="L13" s="117"/>
      <c r="M13" s="117"/>
      <c r="N13" s="117"/>
      <c r="O13" s="117"/>
      <c r="P13" s="117"/>
      <c r="Q13" s="117"/>
      <c r="R13" s="117"/>
      <c r="S13" s="117"/>
      <c r="W13" s="171"/>
      <c r="X13" s="199"/>
      <c r="Y13" s="95"/>
      <c r="Z13" s="140" t="s">
        <v>232</v>
      </c>
      <c r="AA13" s="95"/>
      <c r="AE13" s="95"/>
    </row>
    <row r="14" spans="1:35" s="96" customFormat="1" ht="39.75" customHeight="1" x14ac:dyDescent="0.3">
      <c r="A14" s="117" t="s">
        <v>455</v>
      </c>
      <c r="B14" s="77" t="s">
        <v>471</v>
      </c>
      <c r="C14" s="117"/>
      <c r="D14" s="117"/>
      <c r="E14" s="117"/>
      <c r="F14" s="117"/>
      <c r="G14" s="117"/>
      <c r="H14" s="117"/>
      <c r="I14" s="117"/>
      <c r="J14" s="117"/>
      <c r="K14" s="117"/>
      <c r="L14" s="117"/>
      <c r="M14" s="117"/>
      <c r="N14" s="117"/>
      <c r="O14" s="117"/>
      <c r="P14" s="117"/>
      <c r="Q14" s="117"/>
      <c r="R14" s="117"/>
      <c r="S14" s="117"/>
      <c r="W14" s="171"/>
      <c r="X14" s="199"/>
      <c r="Y14" s="93" t="s">
        <v>244</v>
      </c>
      <c r="Z14" s="103" t="s">
        <v>290</v>
      </c>
      <c r="AA14" s="103" t="s">
        <v>293</v>
      </c>
      <c r="AB14" s="95" t="s">
        <v>153</v>
      </c>
      <c r="AC14" s="142" t="s">
        <v>267</v>
      </c>
      <c r="AD14" s="95"/>
      <c r="AH14" s="95"/>
    </row>
    <row r="15" spans="1:35" s="96" customFormat="1" x14ac:dyDescent="0.3">
      <c r="A15" s="204" t="s">
        <v>456</v>
      </c>
      <c r="B15" s="221" t="s">
        <v>308</v>
      </c>
      <c r="C15" s="117"/>
      <c r="D15" s="117"/>
      <c r="E15" s="117"/>
      <c r="F15" s="117"/>
      <c r="G15" s="117"/>
      <c r="H15" s="117"/>
      <c r="I15" s="117"/>
      <c r="J15" s="117"/>
      <c r="K15" s="117"/>
      <c r="L15" s="117"/>
      <c r="M15" s="117"/>
      <c r="N15" s="117"/>
      <c r="O15" s="117"/>
      <c r="P15" s="117"/>
      <c r="Q15" s="117"/>
      <c r="R15" s="117"/>
      <c r="S15" s="117"/>
      <c r="W15" s="171"/>
      <c r="X15" s="199"/>
      <c r="Y15" s="205"/>
      <c r="Z15" s="205"/>
      <c r="AA15" s="205"/>
      <c r="AB15" s="205"/>
      <c r="AC15" s="205"/>
      <c r="AD15" s="205"/>
      <c r="AE15" s="205"/>
      <c r="AF15" s="205"/>
      <c r="AG15" s="205"/>
      <c r="AH15" s="205"/>
      <c r="AI15" s="205"/>
    </row>
    <row r="16" spans="1:35" s="96" customFormat="1" ht="65.25" customHeight="1" x14ac:dyDescent="0.3">
      <c r="A16" s="117" t="s">
        <v>458</v>
      </c>
      <c r="B16" s="77" t="s">
        <v>582</v>
      </c>
      <c r="C16" s="117"/>
      <c r="D16" s="117"/>
      <c r="E16" s="117"/>
      <c r="F16" s="117"/>
      <c r="G16" s="117"/>
      <c r="H16" s="117"/>
      <c r="I16" s="117"/>
      <c r="J16" s="117"/>
      <c r="K16" s="117"/>
      <c r="L16" s="117"/>
      <c r="M16" s="117"/>
      <c r="N16" s="117"/>
      <c r="O16" s="117"/>
      <c r="P16" s="117"/>
      <c r="Q16" s="117"/>
      <c r="R16" s="117"/>
      <c r="S16" s="117"/>
      <c r="W16" s="171"/>
      <c r="X16" s="199"/>
      <c r="Y16" s="93" t="s">
        <v>244</v>
      </c>
      <c r="Z16" s="103" t="s">
        <v>293</v>
      </c>
      <c r="AA16" s="103"/>
      <c r="AB16" s="95"/>
      <c r="AC16" s="140" t="s">
        <v>230</v>
      </c>
      <c r="AD16" s="90" t="s">
        <v>58</v>
      </c>
      <c r="AE16" s="91" t="s">
        <v>70</v>
      </c>
      <c r="AH16" s="94"/>
    </row>
    <row r="17" spans="1:34" s="96" customFormat="1" ht="21" customHeight="1" x14ac:dyDescent="0.3">
      <c r="A17" s="117" t="s">
        <v>459</v>
      </c>
      <c r="B17" s="77" t="s">
        <v>154</v>
      </c>
      <c r="C17" s="117"/>
      <c r="D17" s="117"/>
      <c r="E17" s="117"/>
      <c r="F17" s="117"/>
      <c r="G17" s="117"/>
      <c r="H17" s="117"/>
      <c r="I17" s="117"/>
      <c r="J17" s="117"/>
      <c r="K17" s="117"/>
      <c r="L17" s="117"/>
      <c r="M17" s="117"/>
      <c r="N17" s="117"/>
      <c r="O17" s="117"/>
      <c r="P17" s="117"/>
      <c r="Q17" s="117"/>
      <c r="R17" s="117"/>
      <c r="S17" s="117"/>
      <c r="W17" s="171"/>
      <c r="X17" s="199"/>
      <c r="Y17" s="93" t="s">
        <v>244</v>
      </c>
      <c r="Z17" s="103" t="s">
        <v>293</v>
      </c>
      <c r="AA17" s="103"/>
      <c r="AB17" s="95"/>
      <c r="AC17" s="140" t="s">
        <v>230</v>
      </c>
      <c r="AD17" s="95"/>
      <c r="AE17" s="91"/>
      <c r="AH17" s="94"/>
    </row>
    <row r="18" spans="1:34" s="96" customFormat="1" ht="13.8" x14ac:dyDescent="0.3">
      <c r="A18" s="174" t="s">
        <v>460</v>
      </c>
      <c r="B18" s="77" t="s">
        <v>457</v>
      </c>
      <c r="C18" s="117"/>
      <c r="D18" s="117"/>
      <c r="E18" s="117"/>
      <c r="F18" s="117"/>
      <c r="G18" s="117"/>
      <c r="H18" s="117"/>
      <c r="I18" s="117"/>
      <c r="J18" s="117"/>
      <c r="K18" s="117"/>
      <c r="L18" s="117"/>
      <c r="M18" s="117"/>
      <c r="N18" s="117"/>
      <c r="O18" s="117"/>
      <c r="P18" s="117"/>
      <c r="Q18" s="117"/>
      <c r="R18" s="117"/>
      <c r="S18" s="117"/>
      <c r="W18" s="171"/>
      <c r="X18" s="199"/>
      <c r="Y18" s="117"/>
      <c r="Z18" s="117"/>
      <c r="AA18" s="95"/>
      <c r="AE18" s="95"/>
    </row>
    <row r="19" spans="1:34" s="96" customFormat="1" ht="13.8" x14ac:dyDescent="0.3">
      <c r="A19" s="174" t="s">
        <v>461</v>
      </c>
      <c r="B19" s="77" t="s">
        <v>462</v>
      </c>
      <c r="C19" s="117"/>
      <c r="D19" s="117"/>
      <c r="E19" s="117"/>
      <c r="F19" s="117"/>
      <c r="G19" s="117"/>
      <c r="H19" s="117"/>
      <c r="I19" s="117"/>
      <c r="J19" s="117"/>
      <c r="K19" s="117"/>
      <c r="L19" s="117"/>
      <c r="M19" s="117"/>
      <c r="N19" s="117"/>
      <c r="O19" s="117"/>
      <c r="P19" s="117"/>
      <c r="Q19" s="117"/>
      <c r="R19" s="117"/>
      <c r="S19" s="117"/>
      <c r="W19" s="171"/>
      <c r="X19" s="199"/>
      <c r="Y19" s="117"/>
      <c r="Z19" s="117"/>
      <c r="AA19" s="95"/>
      <c r="AE19" s="95"/>
    </row>
  </sheetData>
  <conditionalFormatting sqref="B13">
    <cfRule type="containsText" dxfId="1" priority="1" operator="containsText" text="Bank">
      <formula>NOT(ISERROR(SEARCH("Bank",B13)))</formula>
    </cfRule>
    <cfRule type="containsText" dxfId="0" priority="2" operator="containsText" text="BOAC">
      <formula>NOT(ISERROR(SEARCH("BOAC",B13)))</formula>
    </cfRule>
  </conditionalFormatting>
  <dataValidations count="2">
    <dataValidation type="list" allowBlank="1" showInputMessage="1" showErrorMessage="1" sqref="Y14 Y16:Y17">
      <formula1>$AO$1:$AO$3</formula1>
    </dataValidation>
    <dataValidation type="list" allowBlank="1" showInputMessage="1" showErrorMessage="1" sqref="C1:U1">
      <formula1>$AX$1:$AX$3</formula1>
    </dataValidation>
  </dataValidations>
  <hyperlinks>
    <hyperlink ref="AE16" r:id="rId1"/>
  </hyperlinks>
  <pageMargins left="0.7" right="0.7" top="0.75" bottom="0.75" header="0.3" footer="0.3"/>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
  <sheetViews>
    <sheetView topLeftCell="B22" workbookViewId="0">
      <selection activeCell="T18" sqref="T18"/>
    </sheetView>
  </sheetViews>
  <sheetFormatPr defaultRowHeight="14.4" x14ac:dyDescent="0.3"/>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08"/>
  <sheetViews>
    <sheetView workbookViewId="0"/>
  </sheetViews>
  <sheetFormatPr defaultRowHeight="14.4" x14ac:dyDescent="0.3"/>
  <cols>
    <col min="1" max="1" width="5" bestFit="1" customWidth="1"/>
    <col min="2" max="2" width="3.33203125" bestFit="1" customWidth="1"/>
    <col min="3" max="3" width="6.5546875" bestFit="1" customWidth="1"/>
    <col min="4" max="4" width="12.44140625" bestFit="1" customWidth="1"/>
    <col min="5" max="5" width="15.6640625" bestFit="1" customWidth="1"/>
    <col min="6" max="6" width="14.33203125" customWidth="1"/>
    <col min="7" max="7" width="14.33203125" bestFit="1" customWidth="1"/>
    <col min="8" max="8" width="14.5546875" customWidth="1"/>
    <col min="9" max="9" width="15" customWidth="1"/>
    <col min="10" max="10" width="12.6640625" bestFit="1" customWidth="1"/>
    <col min="11" max="11" width="15.6640625" bestFit="1" customWidth="1"/>
    <col min="12" max="12" width="13.6640625" bestFit="1" customWidth="1"/>
    <col min="13" max="13" width="14.6640625" bestFit="1" customWidth="1"/>
    <col min="14" max="14" width="18.33203125" bestFit="1" customWidth="1"/>
    <col min="15" max="15" width="7.5546875" style="54" bestFit="1" customWidth="1"/>
  </cols>
  <sheetData>
    <row r="1" spans="1:15" x14ac:dyDescent="0.3">
      <c r="A1" s="50" t="s">
        <v>162</v>
      </c>
      <c r="B1" s="50" t="s">
        <v>164</v>
      </c>
      <c r="C1" s="50" t="s">
        <v>7</v>
      </c>
      <c r="D1" s="50" t="s">
        <v>166</v>
      </c>
      <c r="E1" s="50" t="s">
        <v>165</v>
      </c>
      <c r="F1" s="51" t="s">
        <v>167</v>
      </c>
      <c r="G1" s="52" t="s">
        <v>168</v>
      </c>
      <c r="H1" s="52" t="s">
        <v>20</v>
      </c>
      <c r="I1" s="52" t="s">
        <v>219</v>
      </c>
      <c r="J1" s="52" t="s">
        <v>21</v>
      </c>
      <c r="K1" s="52" t="s">
        <v>59</v>
      </c>
      <c r="L1" s="52" t="s">
        <v>60</v>
      </c>
      <c r="M1" s="52" t="s">
        <v>19</v>
      </c>
      <c r="N1" s="52" t="s">
        <v>16</v>
      </c>
      <c r="O1" s="57" t="s">
        <v>170</v>
      </c>
    </row>
    <row r="2" spans="1:15" x14ac:dyDescent="0.3">
      <c r="A2" s="55">
        <f>Questions!$B$30</f>
        <v>0</v>
      </c>
      <c r="B2" s="55" t="str">
        <f>Questions!$B$7</f>
        <v>DC3</v>
      </c>
      <c r="C2" s="55">
        <f>Questions!$B$28</f>
        <v>0</v>
      </c>
      <c r="D2" s="55">
        <f>Questions!$B$29</f>
        <v>0</v>
      </c>
      <c r="E2" s="55" t="s">
        <v>171</v>
      </c>
      <c r="F2" s="55" t="s">
        <v>172</v>
      </c>
      <c r="G2" s="55" t="str">
        <f>IF(Requirements!A2="","",Requirements!A2)</f>
        <v>1.0.0</v>
      </c>
      <c r="H2" s="55" t="str">
        <f>IF(Requirements!B2="","",Requirements!B2)</f>
        <v>AUTHENTICATION</v>
      </c>
      <c r="I2" s="55" t="str">
        <f>IF(Requirements!K2="","",Requirements!K2)</f>
        <v/>
      </c>
      <c r="J2" s="55" t="str">
        <f>IF(Requirements!R2="","",Requirements!R2)</f>
        <v/>
      </c>
      <c r="K2" s="55" t="str">
        <f>IF(Requirements!T2="","",Requirements!T2)</f>
        <v xml:space="preserve"> </v>
      </c>
      <c r="L2" s="55" t="str">
        <f>IF(Requirements!U2="","",Requirements!U2)</f>
        <v xml:space="preserve"> </v>
      </c>
      <c r="M2" s="55" t="str">
        <f>IF(Requirements!V2="","",Requirements!V2)</f>
        <v xml:space="preserve"> </v>
      </c>
      <c r="N2" s="55" t="str">
        <f>IF(Requirements!L2="","",Requirements!L2)</f>
        <v/>
      </c>
      <c r="O2" s="56" t="b">
        <f>IF(ISNUMBER(LEFT(Requirements!A2,1)*1),AND(I2&lt;&gt;"N/A",OR(AND(B2="DC0",Requirements!C2="x"),AND(B2="DC1",Requirements!D2="x"),AND(B2="DC2",Requirements!E2="x"),AND(B2="DC2+",Requirements!F2="x"),AND(B2="DC3",Requirements!G2="x")),MID(Requirements!A2,FIND(".",Requirements!A2)+1,1)&lt;&gt;"0"),FALSE)</f>
        <v>0</v>
      </c>
    </row>
    <row r="3" spans="1:15" x14ac:dyDescent="0.3">
      <c r="A3" s="53">
        <f>Questions!$B$30</f>
        <v>0</v>
      </c>
      <c r="B3" s="53" t="str">
        <f>Questions!$B$7</f>
        <v>DC3</v>
      </c>
      <c r="C3" s="53">
        <f>Questions!$B$28</f>
        <v>0</v>
      </c>
      <c r="D3" s="53">
        <f>Questions!$B$29</f>
        <v>0</v>
      </c>
      <c r="E3" s="53" t="s">
        <v>171</v>
      </c>
      <c r="F3" s="53" t="s">
        <v>172</v>
      </c>
      <c r="G3" s="53" t="str">
        <f>IF(Requirements!A3="","",Requirements!A3)</f>
        <v>1.1.0</v>
      </c>
      <c r="H3" s="53" t="str">
        <f>IF(Requirements!B3="","",Requirements!B3)</f>
        <v>The application/system shall use an approved PwC identity provider for  Federated Authentication (e.g. Global IdAM, SiteMinder).</v>
      </c>
      <c r="I3" s="53" t="str">
        <f>IF(Requirements!K3="","",Requirements!K3)</f>
        <v>No</v>
      </c>
      <c r="J3" s="53">
        <f>IF(Requirements!R3="","",Requirements!R3)</f>
        <v>3.7</v>
      </c>
      <c r="K3" s="53" t="str">
        <f>IF(Requirements!T3="","",Requirements!T3)</f>
        <v xml:space="preserve">PwC IT - Global IT IdAM Integration Guide
PwC UK US External Partner Federation and SSO Capabilities
UK/US IT Standard: Design Standard: Java Design Standard </v>
      </c>
      <c r="L3" s="53" t="str">
        <f>IF(Requirements!U3="","",Requirements!U3)</f>
        <v>https://pwc-spark.com/docs/DOC-422074
http://usitdms.pwcinternal.com/usitdms/drl/objectId/0b01388180007ef6
http://usitdms.pwcinternal.com/usitdms/drl/objectId/09013881801a3c93</v>
      </c>
      <c r="M3" s="53" t="str">
        <f>IF(Requirements!V3="","",Requirements!V3)</f>
        <v/>
      </c>
      <c r="N3" s="53" t="str">
        <f>IF(Requirements!L3="","",Requirements!L3)</f>
        <v/>
      </c>
      <c r="O3" s="56" t="b">
        <f>IF(ISNUMBER(LEFT(Requirements!A3,1)*1),AND(I3&lt;&gt;"N/A",OR(AND(B3="DC0",Requirements!C3="x"),AND(B3="DC1",Requirements!D3="x"),AND(B3="DC2",Requirements!E3="x"),AND(B3="DC2+",Requirements!F3="x"),AND(B3="DC3",Requirements!G3="x")),MID(Requirements!A3,FIND(".",Requirements!A3)+1,1)&lt;&gt;"0"),FALSE)</f>
        <v>1</v>
      </c>
    </row>
    <row r="4" spans="1:15" x14ac:dyDescent="0.3">
      <c r="A4" s="53">
        <f>Questions!$B$30</f>
        <v>0</v>
      </c>
      <c r="B4" s="53" t="str">
        <f>Questions!$B$7</f>
        <v>DC3</v>
      </c>
      <c r="C4" s="53">
        <f>Questions!$B$28</f>
        <v>0</v>
      </c>
      <c r="D4" s="53">
        <f>Questions!$B$29</f>
        <v>0</v>
      </c>
      <c r="E4" s="53" t="s">
        <v>171</v>
      </c>
      <c r="F4" s="53" t="s">
        <v>172</v>
      </c>
      <c r="G4" s="53" t="e">
        <f>IF(Requirements!#REF!="","",Requirements!#REF!)</f>
        <v>#REF!</v>
      </c>
      <c r="H4" s="53" t="str">
        <f>IF(Requirements!B4="","",Requirements!B4)</f>
        <v>All authentication credentials and tokens must be transmitted over an encrypted channel</v>
      </c>
      <c r="I4" s="53" t="str">
        <f>IF(Requirements!K4="","",Requirements!K4)</f>
        <v>Yes</v>
      </c>
      <c r="J4" s="53">
        <f>IF(Requirements!R4="","",Requirements!R4)</f>
        <v>3.7</v>
      </c>
      <c r="K4" s="53" t="str">
        <f>IF(Requirements!T4="","",Requirements!T4)</f>
        <v>UK/US IT Standard Design Standard: Application Security Patterns</v>
      </c>
      <c r="L4" s="53" t="str">
        <f>IF(Requirements!U4="","",Requirements!U4)</f>
        <v>http://usitdms.pwcinternal.com/usitdms/drl/objectId/09013881801e2fba</v>
      </c>
      <c r="M4" s="53" t="str">
        <f>IF(Requirements!V4="","",Requirements!V4)</f>
        <v/>
      </c>
      <c r="N4" s="53" t="str">
        <f>IF(Requirements!L4="","",Requirements!L4)</f>
        <v/>
      </c>
      <c r="O4" s="56" t="b">
        <f>IF(ISNUMBER(LEFT(Requirements!#REF!,1)*1),AND(I4&lt;&gt;"N/A",OR(AND(B4="DC0",Requirements!C4="x"),AND(B4="DC1",Requirements!D4="x"),AND(B4="DC2",Requirements!E4="x"),AND(B4="DC2+",Requirements!F4="x"),AND(B4="DC3",Requirements!G4="x")),MID(Requirements!#REF!,FIND(".",Requirements!#REF!)+1,1)&lt;&gt;"0"),FALSE)</f>
        <v>0</v>
      </c>
    </row>
    <row r="5" spans="1:15" x14ac:dyDescent="0.3">
      <c r="A5" s="53">
        <f>Questions!$B$30</f>
        <v>0</v>
      </c>
      <c r="B5" s="53" t="str">
        <f>Questions!$B$7</f>
        <v>DC3</v>
      </c>
      <c r="C5" s="53">
        <f>Questions!$B$28</f>
        <v>0</v>
      </c>
      <c r="D5" s="53">
        <f>Questions!$B$29</f>
        <v>0</v>
      </c>
      <c r="E5" s="53" t="s">
        <v>171</v>
      </c>
      <c r="F5" s="53" t="s">
        <v>172</v>
      </c>
      <c r="G5" s="53" t="e">
        <f>IF(Requirements!#REF!="","",Requirements!#REF!)</f>
        <v>#REF!</v>
      </c>
      <c r="H5" s="53" t="str">
        <f>IF(Requirements!B5="","",Requirements!B5)</f>
        <v>All password requirements specified in the ISP and supplements must be followed.  This includes password complexity,   characters sets used, one way encryption for storage (hashing),  required length for all accounts. 
- password minimum length of 8 chars
- password must be change every 90 days ( 180 days is acceptable for external users)
- prevent re-use within six generations
- when password is entered is must be echo suppressed
- lockout mechanism after a number of  failed attempts ( mobile 10, otherwise 5 or less)</v>
      </c>
      <c r="I5" s="53" t="str">
        <f>IF(Requirements!K5="","",Requirements!K5)</f>
        <v>No</v>
      </c>
      <c r="J5" s="53">
        <f>IF(Requirements!R5="","",Requirements!R5)</f>
        <v>3.7</v>
      </c>
      <c r="K5" s="53" t="str">
        <f>IF(Requirements!T5="","",Requirements!T5)</f>
        <v/>
      </c>
      <c r="L5" s="53" t="str">
        <f>IF(Requirements!U5="","",Requirements!U5)</f>
        <v/>
      </c>
      <c r="M5" s="53" t="str">
        <f>IF(Requirements!V5="","",Requirements!V5)</f>
        <v/>
      </c>
      <c r="N5" s="53" t="str">
        <f>IF(Requirements!L5="","",Requirements!L5)</f>
        <v>prevent reuse within 6 generations not implemented</v>
      </c>
      <c r="O5" s="56" t="b">
        <f>IF(ISNUMBER(LEFT(Requirements!#REF!,1)*1),AND(I5&lt;&gt;"N/A",OR(AND(B5="DC0",Requirements!C5="x"),AND(B5="DC1",Requirements!D5="x"),AND(B5="DC2",Requirements!E5="x"),AND(B5="DC2+",Requirements!F5="x"),AND(B5="DC3",Requirements!G5="x")),MID(Requirements!#REF!,FIND(".",Requirements!#REF!)+1,1)&lt;&gt;"0"),FALSE)</f>
        <v>0</v>
      </c>
    </row>
    <row r="6" spans="1:15" x14ac:dyDescent="0.3">
      <c r="A6" s="53">
        <f>Questions!$B$30</f>
        <v>0</v>
      </c>
      <c r="B6" s="53" t="str">
        <f>Questions!$B$7</f>
        <v>DC3</v>
      </c>
      <c r="C6" s="53">
        <f>Questions!$B$28</f>
        <v>0</v>
      </c>
      <c r="D6" s="53">
        <f>Questions!$B$29</f>
        <v>0</v>
      </c>
      <c r="E6" s="53" t="s">
        <v>171</v>
      </c>
      <c r="F6" s="53" t="s">
        <v>172</v>
      </c>
      <c r="G6" s="53" t="str">
        <f>IF(Requirements!A5="","",Requirements!A5)</f>
        <v>1.3.0</v>
      </c>
      <c r="H6" s="53" t="e">
        <f>IF(Requirements!#REF!="","",Requirements!#REF!)</f>
        <v>#REF!</v>
      </c>
      <c r="I6" s="53" t="e">
        <f>IF(Requirements!#REF!="","",Requirements!#REF!)</f>
        <v>#REF!</v>
      </c>
      <c r="J6" s="53" t="e">
        <f>IF(Requirements!#REF!="","",Requirements!#REF!)</f>
        <v>#REF!</v>
      </c>
      <c r="K6" s="53" t="e">
        <f>IF(Requirements!#REF!="","",Requirements!#REF!)</f>
        <v>#REF!</v>
      </c>
      <c r="L6" s="53" t="e">
        <f>IF(Requirements!#REF!="","",Requirements!#REF!)</f>
        <v>#REF!</v>
      </c>
      <c r="M6" s="53" t="e">
        <f>IF(Requirements!#REF!="","",Requirements!#REF!)</f>
        <v>#REF!</v>
      </c>
      <c r="N6" s="53" t="e">
        <f>IF(Requirements!#REF!="","",Requirements!#REF!)</f>
        <v>#REF!</v>
      </c>
      <c r="O6" s="56" t="e">
        <f>IF(ISNUMBER(LEFT(Requirements!A5,1)*1),AND(I6&lt;&gt;"N/A",OR(AND(B6="DC0",Requirements!#REF!="x"),AND(B6="DC1",Requirements!#REF!="x"),AND(B6="DC2",Requirements!#REF!="x"),AND(B6="DC2+",Requirements!#REF!="x"),AND(B6="DC3",Requirements!#REF!="x")),MID(Requirements!A5,FIND(".",Requirements!A5)+1,1)&lt;&gt;"0"),FALSE)</f>
        <v>#REF!</v>
      </c>
    </row>
    <row r="7" spans="1:15" x14ac:dyDescent="0.3">
      <c r="A7" s="53">
        <f>Questions!$B$30</f>
        <v>0</v>
      </c>
      <c r="B7" s="53" t="str">
        <f>Questions!$B$7</f>
        <v>DC3</v>
      </c>
      <c r="C7" s="53">
        <f>Questions!$B$28</f>
        <v>0</v>
      </c>
      <c r="D7" s="53">
        <f>Questions!$B$29</f>
        <v>0</v>
      </c>
      <c r="E7" s="53" t="s">
        <v>171</v>
      </c>
      <c r="F7" s="53" t="s">
        <v>172</v>
      </c>
      <c r="G7" s="53" t="str">
        <f>IF(Requirements!A6="","",Requirements!A6)</f>
        <v>1.4.0</v>
      </c>
      <c r="H7" s="53" t="e">
        <f>IF(Requirements!#REF!="","",Requirements!#REF!)</f>
        <v>#REF!</v>
      </c>
      <c r="I7" s="53" t="e">
        <f>IF(Requirements!#REF!="","",Requirements!#REF!)</f>
        <v>#REF!</v>
      </c>
      <c r="J7" s="53" t="e">
        <f>IF(Requirements!#REF!="","",Requirements!#REF!)</f>
        <v>#REF!</v>
      </c>
      <c r="K7" s="53" t="e">
        <f>IF(Requirements!#REF!="","",Requirements!#REF!)</f>
        <v>#REF!</v>
      </c>
      <c r="L7" s="53" t="e">
        <f>IF(Requirements!#REF!="","",Requirements!#REF!)</f>
        <v>#REF!</v>
      </c>
      <c r="M7" s="53" t="e">
        <f>IF(Requirements!#REF!="","",Requirements!#REF!)</f>
        <v>#REF!</v>
      </c>
      <c r="N7" s="53" t="e">
        <f>IF(Requirements!#REF!="","",Requirements!#REF!)</f>
        <v>#REF!</v>
      </c>
      <c r="O7" s="56" t="e">
        <f>IF(ISNUMBER(LEFT(Requirements!A6,1)*1),AND(I7&lt;&gt;"N/A",OR(AND(B7="DC0",Requirements!#REF!="x"),AND(B7="DC1",Requirements!#REF!="x"),AND(B7="DC2",Requirements!#REF!="x"),AND(B7="DC2+",Requirements!#REF!="x"),AND(B7="DC3",Requirements!#REF!="x")),MID(Requirements!A6,FIND(".",Requirements!A6)+1,1)&lt;&gt;"0"),FALSE)</f>
        <v>#REF!</v>
      </c>
    </row>
    <row r="8" spans="1:15" x14ac:dyDescent="0.3">
      <c r="A8" s="53">
        <f>Questions!$B$30</f>
        <v>0</v>
      </c>
      <c r="B8" s="53" t="str">
        <f>Questions!$B$7</f>
        <v>DC3</v>
      </c>
      <c r="C8" s="53">
        <f>Questions!$B$28</f>
        <v>0</v>
      </c>
      <c r="D8" s="53">
        <f>Questions!$B$29</f>
        <v>0</v>
      </c>
      <c r="E8" s="53" t="s">
        <v>171</v>
      </c>
      <c r="F8" s="53" t="s">
        <v>172</v>
      </c>
      <c r="G8" s="53" t="e">
        <f>IF(Requirements!#REF!="","",Requirements!#REF!)</f>
        <v>#REF!</v>
      </c>
      <c r="H8" s="53" t="e">
        <f>IF(Requirements!#REF!="","",Requirements!#REF!)</f>
        <v>#REF!</v>
      </c>
      <c r="I8" s="53" t="e">
        <f>IF(Requirements!#REF!="","",Requirements!#REF!)</f>
        <v>#REF!</v>
      </c>
      <c r="J8" s="53" t="e">
        <f>IF(Requirements!#REF!="","",Requirements!#REF!)</f>
        <v>#REF!</v>
      </c>
      <c r="K8" s="53" t="e">
        <f>IF(Requirements!#REF!="","",Requirements!#REF!)</f>
        <v>#REF!</v>
      </c>
      <c r="L8" s="53" t="e">
        <f>IF(Requirements!#REF!="","",Requirements!#REF!)</f>
        <v>#REF!</v>
      </c>
      <c r="M8" s="53" t="e">
        <f>IF(Requirements!#REF!="","",Requirements!#REF!)</f>
        <v>#REF!</v>
      </c>
      <c r="N8" s="53" t="e">
        <f>IF(Requirements!#REF!="","",Requirements!#REF!)</f>
        <v>#REF!</v>
      </c>
      <c r="O8" s="56" t="b">
        <f>IF(ISNUMBER(LEFT(Requirements!#REF!,1)*1),AND(I8&lt;&gt;"N/A",OR(AND(B8="DC0",Requirements!#REF!="x"),AND(B8="DC1",Requirements!#REF!="x"),AND(B8="DC2",Requirements!#REF!="x"),AND(B8="DC2+",Requirements!#REF!="x"),AND(B8="DC3",Requirements!#REF!="x")),MID(Requirements!#REF!,FIND(".",Requirements!#REF!)+1,1)&lt;&gt;"0"),FALSE)</f>
        <v>0</v>
      </c>
    </row>
    <row r="9" spans="1:15" x14ac:dyDescent="0.3">
      <c r="A9" s="53">
        <f>Questions!$B$30</f>
        <v>0</v>
      </c>
      <c r="B9" s="53" t="str">
        <f>Questions!$B$7</f>
        <v>DC3</v>
      </c>
      <c r="C9" s="53">
        <f>Questions!$B$28</f>
        <v>0</v>
      </c>
      <c r="D9" s="53">
        <f>Questions!$B$29</f>
        <v>0</v>
      </c>
      <c r="E9" s="53" t="s">
        <v>171</v>
      </c>
      <c r="F9" s="53" t="s">
        <v>172</v>
      </c>
      <c r="G9" s="53" t="e">
        <f>IF(Requirements!#REF!="","",Requirements!#REF!)</f>
        <v>#REF!</v>
      </c>
      <c r="H9" s="53" t="e">
        <f>IF(Requirements!#REF!="","",Requirements!#REF!)</f>
        <v>#REF!</v>
      </c>
      <c r="I9" s="53" t="e">
        <f>IF(Requirements!#REF!="","",Requirements!#REF!)</f>
        <v>#REF!</v>
      </c>
      <c r="J9" s="53" t="e">
        <f>IF(Requirements!#REF!="","",Requirements!#REF!)</f>
        <v>#REF!</v>
      </c>
      <c r="K9" s="53" t="e">
        <f>IF(Requirements!#REF!="","",Requirements!#REF!)</f>
        <v>#REF!</v>
      </c>
      <c r="L9" s="53" t="e">
        <f>IF(Requirements!#REF!="","",Requirements!#REF!)</f>
        <v>#REF!</v>
      </c>
      <c r="M9" s="53" t="e">
        <f>IF(Requirements!#REF!="","",Requirements!#REF!)</f>
        <v>#REF!</v>
      </c>
      <c r="N9" s="53" t="e">
        <f>IF(Requirements!#REF!="","",Requirements!#REF!)</f>
        <v>#REF!</v>
      </c>
      <c r="O9" s="56" t="b">
        <f>IF(ISNUMBER(LEFT(Requirements!#REF!,1)*1),AND(I9&lt;&gt;"N/A",OR(AND(B9="DC0",Requirements!#REF!="x"),AND(B9="DC1",Requirements!#REF!="x"),AND(B9="DC2",Requirements!#REF!="x"),AND(B9="DC2+",Requirements!#REF!="x"),AND(B9="DC3",Requirements!#REF!="x")),MID(Requirements!#REF!,FIND(".",Requirements!#REF!)+1,1)&lt;&gt;"0"),FALSE)</f>
        <v>0</v>
      </c>
    </row>
    <row r="10" spans="1:15" x14ac:dyDescent="0.3">
      <c r="A10" s="53">
        <f>Questions!$B$30</f>
        <v>0</v>
      </c>
      <c r="B10" s="53" t="str">
        <f>Questions!$B$7</f>
        <v>DC3</v>
      </c>
      <c r="C10" s="53">
        <f>Questions!$B$28</f>
        <v>0</v>
      </c>
      <c r="D10" s="53">
        <f>Questions!$B$29</f>
        <v>0</v>
      </c>
      <c r="E10" s="53" t="s">
        <v>171</v>
      </c>
      <c r="F10" s="53" t="s">
        <v>172</v>
      </c>
      <c r="G10" s="53" t="e">
        <f>IF(Requirements!#REF!="","",Requirements!#REF!)</f>
        <v>#REF!</v>
      </c>
      <c r="H10" s="53" t="str">
        <f>IF(Requirements!B6="","",Requirements!B6)</f>
        <v xml:space="preserve">All default passwords shall be changed. </v>
      </c>
      <c r="I10" s="53" t="str">
        <f>IF(Requirements!K6="","",Requirements!K6)</f>
        <v>Yes</v>
      </c>
      <c r="J10" s="53">
        <f>IF(Requirements!R6="","",Requirements!R6)</f>
        <v>3.7</v>
      </c>
      <c r="K10" s="53" t="str">
        <f>IF(Requirements!T6="","",Requirements!T6)</f>
        <v/>
      </c>
      <c r="L10" s="53" t="str">
        <f>IF(Requirements!U6="","",Requirements!U6)</f>
        <v/>
      </c>
      <c r="M10" s="53" t="str">
        <f>IF(Requirements!V6="","",Requirements!V6)</f>
        <v/>
      </c>
      <c r="N10" s="53" t="str">
        <f>IF(Requirements!L6="","",Requirements!L6)</f>
        <v xml:space="preserve"> </v>
      </c>
      <c r="O10" s="56" t="b">
        <f>IF(ISNUMBER(LEFT(Requirements!#REF!,1)*1),AND(I10&lt;&gt;"N/A",OR(AND(B10="DC0",Requirements!C6="x"),AND(B10="DC1",Requirements!D6="x"),AND(B10="DC2",Requirements!E6="x"),AND(B10="DC2+",Requirements!F6="x"),AND(B10="DC3",Requirements!G6="x")),MID(Requirements!#REF!,FIND(".",Requirements!#REF!)+1,1)&lt;&gt;"0"),FALSE)</f>
        <v>0</v>
      </c>
    </row>
    <row r="11" spans="1:15" x14ac:dyDescent="0.3">
      <c r="A11" s="53">
        <f>Questions!$B$30</f>
        <v>0</v>
      </c>
      <c r="B11" s="53" t="str">
        <f>Questions!$B$7</f>
        <v>DC3</v>
      </c>
      <c r="C11" s="53">
        <f>Questions!$B$28</f>
        <v>0</v>
      </c>
      <c r="D11" s="53">
        <f>Questions!$B$29</f>
        <v>0</v>
      </c>
      <c r="E11" s="53" t="s">
        <v>171</v>
      </c>
      <c r="F11" s="53" t="s">
        <v>172</v>
      </c>
      <c r="G11" s="53" t="e">
        <f>IF(Requirements!#REF!="","",Requirements!#REF!)</f>
        <v>#REF!</v>
      </c>
      <c r="H11" s="53" t="str">
        <f>IF(Requirements!B7="","",Requirements!B7)</f>
        <v>Credentials stored in configuration files, in the registry or any other location must be encrypted</v>
      </c>
      <c r="I11" s="53" t="str">
        <f>IF(Requirements!K7="","",Requirements!K7)</f>
        <v>yes</v>
      </c>
      <c r="J11" s="53">
        <f>IF(Requirements!R7="","",Requirements!R7)</f>
        <v>3.7</v>
      </c>
      <c r="K11" s="53" t="str">
        <f>IF(Requirements!T7="","",Requirements!T7)</f>
        <v/>
      </c>
      <c r="L11" s="53" t="str">
        <f>IF(Requirements!U7="","",Requirements!U7)</f>
        <v/>
      </c>
      <c r="M11" s="53" t="str">
        <f>IF(Requirements!V7="","",Requirements!V7)</f>
        <v/>
      </c>
      <c r="N11" s="53" t="str">
        <f>IF(Requirements!L7="","",Requirements!L7)</f>
        <v/>
      </c>
      <c r="O11" s="56" t="b">
        <f>IF(ISNUMBER(LEFT(Requirements!#REF!,1)*1),AND(I11&lt;&gt;"N/A",OR(AND(B11="DC0",Requirements!C7="x"),AND(B11="DC1",Requirements!D7="x"),AND(B11="DC2",Requirements!E7="x"),AND(B11="DC2+",Requirements!F7="x"),AND(B11="DC3",Requirements!G7="x")),MID(Requirements!#REF!,FIND(".",Requirements!#REF!)+1,1)&lt;&gt;"0"),FALSE)</f>
        <v>0</v>
      </c>
    </row>
    <row r="12" spans="1:15" x14ac:dyDescent="0.3">
      <c r="A12" s="53">
        <f>Questions!$B$30</f>
        <v>0</v>
      </c>
      <c r="B12" s="53" t="str">
        <f>Questions!$B$7</f>
        <v>DC3</v>
      </c>
      <c r="C12" s="53">
        <f>Questions!$B$28</f>
        <v>0</v>
      </c>
      <c r="D12" s="53">
        <f>Questions!$B$29</f>
        <v>0</v>
      </c>
      <c r="E12" s="53" t="s">
        <v>171</v>
      </c>
      <c r="F12" s="53" t="s">
        <v>172</v>
      </c>
      <c r="G12" s="53" t="str">
        <f>IF(Requirements!A7="","",Requirements!A7)</f>
        <v>1.5.0</v>
      </c>
      <c r="H12" s="53" t="str">
        <f>IF(Requirements!B8="","",Requirements!B8)</f>
        <v>The application/system shall use multi factor authentication. 
Select two of the following three: (something you have,  something you know,  something you are)
(A cert and a password or a card and a pin or retina and password or finger-print and password, finger-print and cert or card and bio)
** if externally hosted strong recommendation is to use dual factor for DC2 as well.</v>
      </c>
      <c r="I12" s="53" t="str">
        <f>IF(Requirements!K8="","",Requirements!K8)</f>
        <v>no</v>
      </c>
      <c r="J12" s="53">
        <f>IF(Requirements!R8="","",Requirements!R8)</f>
        <v>3.7</v>
      </c>
      <c r="K12" s="53" t="str">
        <f>IF(Requirements!T8="","",Requirements!T8)</f>
        <v>UK/US IT Standard Design Standard: Application Security Patterns</v>
      </c>
      <c r="L12" s="53" t="str">
        <f>IF(Requirements!U8="","",Requirements!U8)</f>
        <v>http://usitdms.pwcinternal.com/usitdms/drl/objectId/09013881801e2fba</v>
      </c>
      <c r="M12" s="53" t="str">
        <f>IF(Requirements!V8="","",Requirements!V8)</f>
        <v/>
      </c>
      <c r="N12" s="53" t="str">
        <f>IF(Requirements!L8="","",Requirements!L8)</f>
        <v>This is in development</v>
      </c>
      <c r="O12" s="56" t="b">
        <f>IF(ISNUMBER(LEFT(Requirements!A7,1)*1),AND(I12&lt;&gt;"N/A",OR(AND(B12="DC0",Requirements!C8="x"),AND(B12="DC1",Requirements!D8="x"),AND(B12="DC2",Requirements!E8="x"),AND(B12="DC2+",Requirements!F8="x"),AND(B12="DC3",Requirements!G8="x")),MID(Requirements!A7,FIND(".",Requirements!A7)+1,1)&lt;&gt;"0"),FALSE)</f>
        <v>1</v>
      </c>
    </row>
    <row r="13" spans="1:15" x14ac:dyDescent="0.3">
      <c r="A13" s="53">
        <f>Questions!$B$30</f>
        <v>0</v>
      </c>
      <c r="B13" s="53" t="str">
        <f>Questions!$B$7</f>
        <v>DC3</v>
      </c>
      <c r="C13" s="53">
        <f>Questions!$B$28</f>
        <v>0</v>
      </c>
      <c r="D13" s="53">
        <f>Questions!$B$29</f>
        <v>0</v>
      </c>
      <c r="E13" s="53" t="s">
        <v>171</v>
      </c>
      <c r="F13" s="53" t="s">
        <v>172</v>
      </c>
      <c r="G13" s="53" t="str">
        <f>IF(Requirements!A8="","",Requirements!A8)</f>
        <v>1.6.0</v>
      </c>
      <c r="H13" s="53" t="str">
        <f>IF(Requirements!B9="","",Requirements!B9)</f>
        <v xml:space="preserve">Session cookies can be used as long as all sessions are HTTPS and sessionID length is 128 bits  minimum and:
    The HTTPSOnly, Secure flags must be turned on.
    Limit the amount of sensitive information stored in the cookie.
    Limit the subdomains and paths to prevent interception by another application.
    Enforce TLS so the cookie isn’t sent in cleartext.
    MUST have the domain restricted to the most discreet host and path feasible. 
    MUST NOT allow a cookie to be replayed. 
    MUST NOT contain unencrypted Confidential data
</v>
      </c>
      <c r="I13" s="53" t="str">
        <f>IF(Requirements!K9="","",Requirements!K9)</f>
        <v>Yes</v>
      </c>
      <c r="J13" s="53">
        <f>IF(Requirements!R9="","",Requirements!R9)</f>
        <v>3.7</v>
      </c>
      <c r="K13" s="53" t="str">
        <f>IF(Requirements!T9="","",Requirements!T9)</f>
        <v>Wikipedia</v>
      </c>
      <c r="L13" s="53" t="str">
        <f>IF(Requirements!U9="","",Requirements!U9)</f>
        <v>http://en.wikipedia.org/wiki/HTTP_cookie#Secure_cookie</v>
      </c>
      <c r="M13" s="53" t="str">
        <f>IF(Requirements!V9="","",Requirements!V9)</f>
        <v/>
      </c>
      <c r="N13" s="53" t="str">
        <f>IF(Requirements!L9="","",Requirements!L9)</f>
        <v xml:space="preserve">Standard SSL </v>
      </c>
      <c r="O13" s="56" t="b">
        <f>IF(ISNUMBER(LEFT(Requirements!A8,1)*1),AND(I13&lt;&gt;"N/A",OR(AND(B13="DC0",Requirements!C9="x"),AND(B13="DC1",Requirements!D9="x"),AND(B13="DC2",Requirements!E9="x"),AND(B13="DC2+",Requirements!F9="x"),AND(B13="DC3",Requirements!G9="x")),MID(Requirements!A8,FIND(".",Requirements!A8)+1,1)&lt;&gt;"0"),FALSE)</f>
        <v>1</v>
      </c>
    </row>
    <row r="14" spans="1:15" x14ac:dyDescent="0.3">
      <c r="A14" s="53">
        <f>Questions!$B$30</f>
        <v>0</v>
      </c>
      <c r="B14" s="53" t="str">
        <f>Questions!$B$7</f>
        <v>DC3</v>
      </c>
      <c r="C14" s="53">
        <f>Questions!$B$28</f>
        <v>0</v>
      </c>
      <c r="D14" s="53">
        <f>Questions!$B$29</f>
        <v>0</v>
      </c>
      <c r="E14" s="53" t="s">
        <v>171</v>
      </c>
      <c r="F14" s="53" t="s">
        <v>172</v>
      </c>
      <c r="G14" s="53" t="e">
        <f>IF(Requirements!#REF!="","",Requirements!#REF!)</f>
        <v>#REF!</v>
      </c>
      <c r="H14" s="53" t="str">
        <f>IF(Requirements!B10="","",Requirements!B10)</f>
        <v xml:space="preserve">If a persistent cookie is used for authentication it will be require to comply with session time policy and will need to be encrypted at rest with
the public key of the token provider. </v>
      </c>
      <c r="I14" s="53" t="str">
        <f>IF(Requirements!K10="","",Requirements!K10)</f>
        <v>Yes</v>
      </c>
      <c r="J14" s="53">
        <f>IF(Requirements!R10="","",Requirements!R10)</f>
        <v>3.7</v>
      </c>
      <c r="K14" s="53" t="str">
        <f>IF(Requirements!T10="","",Requirements!T10)</f>
        <v/>
      </c>
      <c r="L14" s="53" t="str">
        <f>IF(Requirements!U10="","",Requirements!U10)</f>
        <v/>
      </c>
      <c r="M14" s="53" t="str">
        <f>IF(Requirements!V10="","",Requirements!V10)</f>
        <v/>
      </c>
      <c r="N14" s="53" t="str">
        <f>IF(Requirements!L10="","",Requirements!L10)</f>
        <v/>
      </c>
      <c r="O14" s="56" t="b">
        <f>IF(ISNUMBER(LEFT(Requirements!#REF!,1)*1),AND(I14&lt;&gt;"N/A",OR(AND(B14="DC0",Requirements!C10="x"),AND(B14="DC1",Requirements!D10="x"),AND(B14="DC2",Requirements!E10="x"),AND(B14="DC2+",Requirements!F10="x"),AND(B14="DC3",Requirements!G10="x")),MID(Requirements!#REF!,FIND(".",Requirements!#REF!)+1,1)&lt;&gt;"0"),FALSE)</f>
        <v>0</v>
      </c>
    </row>
    <row r="15" spans="1:15" x14ac:dyDescent="0.3">
      <c r="A15" s="53">
        <f>Questions!$B$30</f>
        <v>0</v>
      </c>
      <c r="B15" s="53" t="str">
        <f>Questions!$B$7</f>
        <v>DC3</v>
      </c>
      <c r="C15" s="53">
        <f>Questions!$B$28</f>
        <v>0</v>
      </c>
      <c r="D15" s="53">
        <f>Questions!$B$29</f>
        <v>0</v>
      </c>
      <c r="E15" s="53" t="s">
        <v>171</v>
      </c>
      <c r="F15" s="53" t="s">
        <v>172</v>
      </c>
      <c r="G15" s="53" t="str">
        <f>IF(Requirements!A9="","",Requirements!A9)</f>
        <v>1.7.0</v>
      </c>
      <c r="H15" s="53" t="str">
        <f>IF(Requirements!B11="","",Requirements!B11)</f>
        <v>The application/system shall provide secure password reset functions.</v>
      </c>
      <c r="I15" s="53" t="str">
        <f>IF(Requirements!K11="","",Requirements!K11)</f>
        <v>Yes</v>
      </c>
      <c r="J15" s="53">
        <f>IF(Requirements!R11="","",Requirements!R11)</f>
        <v>3.7</v>
      </c>
      <c r="K15" s="53" t="str">
        <f>IF(Requirements!T11="","",Requirements!T11)</f>
        <v/>
      </c>
      <c r="L15" s="53" t="str">
        <f>IF(Requirements!U11="","",Requirements!U11)</f>
        <v/>
      </c>
      <c r="M15" s="53" t="str">
        <f>IF(Requirements!V11="","",Requirements!V11)</f>
        <v/>
      </c>
      <c r="N15" s="53" t="str">
        <f>IF(Requirements!L11="","",Requirements!L11)</f>
        <v/>
      </c>
      <c r="O15" s="56" t="b">
        <f>IF(ISNUMBER(LEFT(Requirements!A9,1)*1),AND(I15&lt;&gt;"N/A",OR(AND(B15="DC0",Requirements!C11="x"),AND(B15="DC1",Requirements!D11="x"),AND(B15="DC2",Requirements!E11="x"),AND(B15="DC2+",Requirements!F11="x"),AND(B15="DC3",Requirements!G11="x")),MID(Requirements!A9,FIND(".",Requirements!A9)+1,1)&lt;&gt;"0"),FALSE)</f>
        <v>1</v>
      </c>
    </row>
    <row r="16" spans="1:15" x14ac:dyDescent="0.3">
      <c r="A16" s="53">
        <f>Questions!$B$30</f>
        <v>0</v>
      </c>
      <c r="B16" s="53" t="str">
        <f>Questions!$B$7</f>
        <v>DC3</v>
      </c>
      <c r="C16" s="53">
        <f>Questions!$B$28</f>
        <v>0</v>
      </c>
      <c r="D16" s="53">
        <f>Questions!$B$29</f>
        <v>0</v>
      </c>
      <c r="E16" s="53" t="s">
        <v>171</v>
      </c>
      <c r="F16" s="53" t="s">
        <v>172</v>
      </c>
      <c r="G16" s="53" t="str">
        <f>IF(Requirements!A10="","",Requirements!A10)</f>
        <v>1.8.0</v>
      </c>
      <c r="H16" s="53" t="e">
        <f>IF(Requirements!#REF!="","",Requirements!#REF!)</f>
        <v>#REF!</v>
      </c>
      <c r="I16" s="53" t="e">
        <f>IF(Requirements!#REF!="","",Requirements!#REF!)</f>
        <v>#REF!</v>
      </c>
      <c r="J16" s="53" t="e">
        <f>IF(Requirements!#REF!="","",Requirements!#REF!)</f>
        <v>#REF!</v>
      </c>
      <c r="K16" s="53" t="e">
        <f>IF(Requirements!#REF!="","",Requirements!#REF!)</f>
        <v>#REF!</v>
      </c>
      <c r="L16" s="53" t="e">
        <f>IF(Requirements!#REF!="","",Requirements!#REF!)</f>
        <v>#REF!</v>
      </c>
      <c r="M16" s="53" t="e">
        <f>IF(Requirements!#REF!="","",Requirements!#REF!)</f>
        <v>#REF!</v>
      </c>
      <c r="N16" s="53" t="e">
        <f>IF(Requirements!#REF!="","",Requirements!#REF!)</f>
        <v>#REF!</v>
      </c>
      <c r="O16" s="56" t="e">
        <f>IF(ISNUMBER(LEFT(Requirements!A10,1)*1),AND(I16&lt;&gt;"N/A",OR(AND(B16="DC0",Requirements!#REF!="x"),AND(B16="DC1",Requirements!#REF!="x"),AND(B16="DC2",Requirements!#REF!="x"),AND(B16="DC2+",Requirements!#REF!="x"),AND(B16="DC3",Requirements!#REF!="x")),MID(Requirements!A10,FIND(".",Requirements!A10)+1,1)&lt;&gt;"0"),FALSE)</f>
        <v>#REF!</v>
      </c>
    </row>
    <row r="17" spans="1:15" x14ac:dyDescent="0.3">
      <c r="A17" s="53">
        <f>Questions!$B$30</f>
        <v>0</v>
      </c>
      <c r="B17" s="53" t="str">
        <f>Questions!$B$7</f>
        <v>DC3</v>
      </c>
      <c r="C17" s="53">
        <f>Questions!$B$28</f>
        <v>0</v>
      </c>
      <c r="D17" s="53">
        <f>Questions!$B$29</f>
        <v>0</v>
      </c>
      <c r="E17" s="53" t="s">
        <v>171</v>
      </c>
      <c r="F17" s="53" t="s">
        <v>172</v>
      </c>
      <c r="G17" s="53" t="str">
        <f>IF(Requirements!A11="","",Requirements!A11)</f>
        <v>1.9.0</v>
      </c>
      <c r="H17" s="53" t="e">
        <f>IF(Requirements!#REF!="","",Requirements!#REF!)</f>
        <v>#REF!</v>
      </c>
      <c r="I17" s="53" t="e">
        <f>IF(Requirements!#REF!="","",Requirements!#REF!)</f>
        <v>#REF!</v>
      </c>
      <c r="J17" s="53" t="e">
        <f>IF(Requirements!#REF!="","",Requirements!#REF!)</f>
        <v>#REF!</v>
      </c>
      <c r="K17" s="53" t="e">
        <f>IF(Requirements!#REF!="","",Requirements!#REF!)</f>
        <v>#REF!</v>
      </c>
      <c r="L17" s="53" t="e">
        <f>IF(Requirements!#REF!="","",Requirements!#REF!)</f>
        <v>#REF!</v>
      </c>
      <c r="M17" s="53" t="e">
        <f>IF(Requirements!#REF!="","",Requirements!#REF!)</f>
        <v>#REF!</v>
      </c>
      <c r="N17" s="53" t="e">
        <f>IF(Requirements!#REF!="","",Requirements!#REF!)</f>
        <v>#REF!</v>
      </c>
      <c r="O17" s="56" t="e">
        <f>IF(ISNUMBER(LEFT(Requirements!A11,1)*1),AND(I17&lt;&gt;"N/A",OR(AND(B17="DC0",Requirements!#REF!="x"),AND(B17="DC1",Requirements!#REF!="x"),AND(B17="DC2",Requirements!#REF!="x"),AND(B17="DC2+",Requirements!#REF!="x"),AND(B17="DC3",Requirements!#REF!="x")),MID(Requirements!A11,FIND(".",Requirements!A11)+1,1)&lt;&gt;"0"),FALSE)</f>
        <v>#REF!</v>
      </c>
    </row>
    <row r="18" spans="1:15" x14ac:dyDescent="0.3">
      <c r="A18" s="53">
        <f>Questions!$B$30</f>
        <v>0</v>
      </c>
      <c r="B18" s="53" t="str">
        <f>Questions!$B$7</f>
        <v>DC3</v>
      </c>
      <c r="C18" s="53">
        <f>Questions!$B$28</f>
        <v>0</v>
      </c>
      <c r="D18" s="53">
        <f>Questions!$B$29</f>
        <v>0</v>
      </c>
      <c r="E18" s="53" t="s">
        <v>171</v>
      </c>
      <c r="F18" s="53" t="s">
        <v>172</v>
      </c>
      <c r="G18" s="53" t="str">
        <f>IF(Requirements!A12="","",Requirements!A12)</f>
        <v>1.10.0</v>
      </c>
      <c r="H18" s="53" t="str">
        <f>IF(Requirements!B12="","",Requirements!B12)</f>
        <v>The application/system shall implement inactivity timeout and require re-authentication triggered by the inactivity timeout.</v>
      </c>
      <c r="I18" s="53" t="str">
        <f>IF(Requirements!K12="","",Requirements!K12)</f>
        <v>Yes</v>
      </c>
      <c r="J18" s="53">
        <f>IF(Requirements!R12="","",Requirements!R12)</f>
        <v>3.7</v>
      </c>
      <c r="K18" s="53" t="str">
        <f>IF(Requirements!T12="","",Requirements!T12)</f>
        <v>UK/US IT Standard Design Standard: Application Security Patterns
UK/US IT Standard Design Standard: Application Security Selection Criteria</v>
      </c>
      <c r="L18" s="53" t="str">
        <f>IF(Requirements!U12="","",Requirements!U12)</f>
        <v>http://usitdms.pwcinternal.com/usitdms/drl/objectId/09013881801e2fba
http://usitdms.pwcinternal.com/usitdms/drl/objectId/09013881801e323c</v>
      </c>
      <c r="M18" s="53" t="str">
        <f>IF(Requirements!V12="","",Requirements!V12)</f>
        <v/>
      </c>
      <c r="N18" s="53" t="str">
        <f>IF(Requirements!L12="","",Requirements!L12)</f>
        <v/>
      </c>
      <c r="O18" s="56" t="b">
        <f>IF(ISNUMBER(LEFT(Requirements!A12,1)*1),AND(I18&lt;&gt;"N/A",OR(AND(B18="DC0",Requirements!C12="x"),AND(B18="DC1",Requirements!D12="x"),AND(B18="DC2",Requirements!E12="x"),AND(B18="DC2+",Requirements!F12="x"),AND(B18="DC3",Requirements!G12="x")),MID(Requirements!A12,FIND(".",Requirements!A12)+1,1)&lt;&gt;"0"),FALSE)</f>
        <v>0</v>
      </c>
    </row>
    <row r="19" spans="1:15" x14ac:dyDescent="0.3">
      <c r="A19" s="53">
        <f>Questions!$B$30</f>
        <v>0</v>
      </c>
      <c r="B19" s="53" t="str">
        <f>Questions!$B$7</f>
        <v>DC3</v>
      </c>
      <c r="C19" s="53">
        <f>Questions!$B$28</f>
        <v>0</v>
      </c>
      <c r="D19" s="53">
        <f>Questions!$B$29</f>
        <v>0</v>
      </c>
      <c r="E19" s="53" t="s">
        <v>171</v>
      </c>
      <c r="F19" s="53" t="s">
        <v>172</v>
      </c>
      <c r="G19" s="53" t="e">
        <f>IF(Requirements!#REF!="","",Requirements!#REF!)</f>
        <v>#REF!</v>
      </c>
      <c r="H19" s="53" t="str">
        <f>IF(Requirements!B13="","",Requirements!B13)</f>
        <v>The application/system shall implement session timeout and require re-authentication  triggered by the session timeout.</v>
      </c>
      <c r="I19" s="53" t="str">
        <f>IF(Requirements!K13="","",Requirements!K13)</f>
        <v>Yes</v>
      </c>
      <c r="J19" s="53">
        <f>IF(Requirements!R13="","",Requirements!R13)</f>
        <v>3.7</v>
      </c>
      <c r="K19" s="53" t="str">
        <f>IF(Requirements!T13="","",Requirements!T13)</f>
        <v>UK/US IT Standard Design Standard: Application Security Patterns
UK/US IT Standard Design Standard: Application Security Selection Criteria</v>
      </c>
      <c r="L19" s="53" t="str">
        <f>IF(Requirements!U13="","",Requirements!U13)</f>
        <v>http://usitdms.pwcinternal.com/usitdms/drl/objectId/09013881801e2fba
http://usitdms.pwcinternal.com/usitdms/drl/objectId/09013881801e323c</v>
      </c>
      <c r="M19" s="53" t="str">
        <f>IF(Requirements!V13="","",Requirements!V13)</f>
        <v/>
      </c>
      <c r="N19" s="53" t="str">
        <f>IF(Requirements!L13="","",Requirements!L13)</f>
        <v/>
      </c>
      <c r="O19" s="56" t="b">
        <f>IF(ISNUMBER(LEFT(Requirements!#REF!,1)*1),AND(I19&lt;&gt;"N/A",OR(AND(B19="DC0",Requirements!C13="x"),AND(B19="DC1",Requirements!D13="x"),AND(B19="DC2",Requirements!E13="x"),AND(B19="DC2+",Requirements!F13="x"),AND(B19="DC3",Requirements!G13="x")),MID(Requirements!#REF!,FIND(".",Requirements!#REF!)+1,1)&lt;&gt;"0"),FALSE)</f>
        <v>0</v>
      </c>
    </row>
    <row r="20" spans="1:15" x14ac:dyDescent="0.3">
      <c r="A20" s="53">
        <f>Questions!$B$30</f>
        <v>0</v>
      </c>
      <c r="B20" s="53" t="str">
        <f>Questions!$B$7</f>
        <v>DC3</v>
      </c>
      <c r="C20" s="53">
        <f>Questions!$B$28</f>
        <v>0</v>
      </c>
      <c r="D20" s="53">
        <f>Questions!$B$29</f>
        <v>0</v>
      </c>
      <c r="E20" s="53" t="s">
        <v>171</v>
      </c>
      <c r="F20" s="53" t="s">
        <v>172</v>
      </c>
      <c r="G20" s="53" t="e">
        <f>IF(Requirements!#REF!="","",Requirements!#REF!)</f>
        <v>#REF!</v>
      </c>
      <c r="H20" s="53" t="e">
        <f>IF(Requirements!#REF!="","",Requirements!#REF!)</f>
        <v>#REF!</v>
      </c>
      <c r="I20" s="53" t="e">
        <f>IF(Requirements!#REF!="","",Requirements!#REF!)</f>
        <v>#REF!</v>
      </c>
      <c r="J20" s="53" t="e">
        <f>IF(Requirements!#REF!="","",Requirements!#REF!)</f>
        <v>#REF!</v>
      </c>
      <c r="K20" s="53" t="e">
        <f>IF(Requirements!#REF!="","",Requirements!#REF!)</f>
        <v>#REF!</v>
      </c>
      <c r="L20" s="53" t="e">
        <f>IF(Requirements!#REF!="","",Requirements!#REF!)</f>
        <v>#REF!</v>
      </c>
      <c r="M20" s="53" t="e">
        <f>IF(Requirements!#REF!="","",Requirements!#REF!)</f>
        <v>#REF!</v>
      </c>
      <c r="N20" s="53" t="e">
        <f>IF(Requirements!#REF!="","",Requirements!#REF!)</f>
        <v>#REF!</v>
      </c>
      <c r="O20" s="56" t="b">
        <f>IF(ISNUMBER(LEFT(Requirements!#REF!,1)*1),AND(I20&lt;&gt;"N/A",OR(AND(B20="DC0",Requirements!#REF!="x"),AND(B20="DC1",Requirements!#REF!="x"),AND(B20="DC2",Requirements!#REF!="x"),AND(B20="DC2+",Requirements!#REF!="x"),AND(B20="DC3",Requirements!#REF!="x")),MID(Requirements!#REF!,FIND(".",Requirements!#REF!)+1,1)&lt;&gt;"0"),FALSE)</f>
        <v>0</v>
      </c>
    </row>
    <row r="21" spans="1:15" x14ac:dyDescent="0.3">
      <c r="A21" s="53">
        <f>Questions!$B$30</f>
        <v>0</v>
      </c>
      <c r="B21" s="53" t="str">
        <f>Questions!$B$7</f>
        <v>DC3</v>
      </c>
      <c r="C21" s="53">
        <f>Questions!$B$28</f>
        <v>0</v>
      </c>
      <c r="D21" s="53">
        <f>Questions!$B$29</f>
        <v>0</v>
      </c>
      <c r="E21" s="53" t="s">
        <v>171</v>
      </c>
      <c r="F21" s="53" t="s">
        <v>172</v>
      </c>
      <c r="G21" s="53" t="str">
        <f>IF(Requirements!A13="","",Requirements!A13)</f>
        <v>1.11.0</v>
      </c>
      <c r="H21" s="53" t="str">
        <f>IF(Requirements!B14="","",Requirements!B14)</f>
        <v>The application/system shall implement appropriate warning banners, terms &amp; conditions, privacy statements and other disclaimers in compliance with information security policies and regulatory requirements in order to advise that access to the system is for authorized individuals only and set expectation of appropriate usage.</v>
      </c>
      <c r="I21" s="53" t="str">
        <f>IF(Requirements!K14="","",Requirements!K14)</f>
        <v>Yes</v>
      </c>
      <c r="J21" s="53">
        <f>IF(Requirements!R14="","",Requirements!R14)</f>
        <v>3.7</v>
      </c>
      <c r="K21" s="53" t="str">
        <f>IF(Requirements!T14="","",Requirements!T14)</f>
        <v/>
      </c>
      <c r="L21" s="53" t="str">
        <f>IF(Requirements!U14="","",Requirements!U14)</f>
        <v xml:space="preserve"> </v>
      </c>
      <c r="M21" s="53" t="str">
        <f>IF(Requirements!V14="","",Requirements!V14)</f>
        <v>http://wwwstartumdedu/news/studyfindswarningbannersdeterhackers</v>
      </c>
      <c r="N21" s="53" t="str">
        <f>IF(Requirements!L14="","",Requirements!L14)</f>
        <v/>
      </c>
      <c r="O21" s="56" t="b">
        <f>IF(ISNUMBER(LEFT(Requirements!A13,1)*1),AND(I21&lt;&gt;"N/A",OR(AND(B21="DC0",Requirements!C14="x"),AND(B21="DC1",Requirements!D14="x"),AND(B21="DC2",Requirements!E14="x"),AND(B21="DC2+",Requirements!F14="x"),AND(B21="DC3",Requirements!G14="x")),MID(Requirements!A13,FIND(".",Requirements!A13)+1,1)&lt;&gt;"0"),FALSE)</f>
        <v>1</v>
      </c>
    </row>
    <row r="22" spans="1:15" x14ac:dyDescent="0.3">
      <c r="A22" s="53">
        <f>Questions!$B$30</f>
        <v>0</v>
      </c>
      <c r="B22" s="53" t="str">
        <f>Questions!$B$7</f>
        <v>DC3</v>
      </c>
      <c r="C22" s="53">
        <f>Questions!$B$28</f>
        <v>0</v>
      </c>
      <c r="D22" s="53">
        <f>Questions!$B$29</f>
        <v>0</v>
      </c>
      <c r="E22" s="53" t="s">
        <v>171</v>
      </c>
      <c r="F22" s="53" t="s">
        <v>172</v>
      </c>
      <c r="G22" s="53" t="str">
        <f>IF(Requirements!A14="","",Requirements!A14)</f>
        <v>1.12.0</v>
      </c>
      <c r="H22" s="53" t="e">
        <f>IF(Requirements!#REF!="","",Requirements!#REF!)</f>
        <v>#REF!</v>
      </c>
      <c r="I22" s="53" t="e">
        <f>IF(Requirements!#REF!="","",Requirements!#REF!)</f>
        <v>#REF!</v>
      </c>
      <c r="J22" s="53" t="e">
        <f>IF(Requirements!#REF!="","",Requirements!#REF!)</f>
        <v>#REF!</v>
      </c>
      <c r="K22" s="53" t="e">
        <f>IF(Requirements!#REF!="","",Requirements!#REF!)</f>
        <v>#REF!</v>
      </c>
      <c r="L22" s="53" t="e">
        <f>IF(Requirements!#REF!="","",Requirements!#REF!)</f>
        <v>#REF!</v>
      </c>
      <c r="M22" s="53" t="e">
        <f>IF(Requirements!#REF!="","",Requirements!#REF!)</f>
        <v>#REF!</v>
      </c>
      <c r="N22" s="53" t="e">
        <f>IF(Requirements!#REF!="","",Requirements!#REF!)</f>
        <v>#REF!</v>
      </c>
      <c r="O22" s="56" t="e">
        <f>IF(ISNUMBER(LEFT(Requirements!A14,1)*1),AND(I22&lt;&gt;"N/A",OR(AND(B22="DC0",Requirements!#REF!="x"),AND(B22="DC1",Requirements!#REF!="x"),AND(B22="DC2",Requirements!#REF!="x"),AND(B22="DC2+",Requirements!#REF!="x"),AND(B22="DC3",Requirements!#REF!="x")),MID(Requirements!A14,FIND(".",Requirements!A14)+1,1)&lt;&gt;"0"),FALSE)</f>
        <v>#REF!</v>
      </c>
    </row>
    <row r="23" spans="1:15" x14ac:dyDescent="0.3">
      <c r="A23" s="53">
        <f>Questions!$B$30</f>
        <v>0</v>
      </c>
      <c r="B23" s="53" t="str">
        <f>Questions!$B$7</f>
        <v>DC3</v>
      </c>
      <c r="C23" s="53">
        <f>Questions!$B$28</f>
        <v>0</v>
      </c>
      <c r="D23" s="53">
        <f>Questions!$B$29</f>
        <v>0</v>
      </c>
      <c r="E23" s="53" t="s">
        <v>171</v>
      </c>
      <c r="F23" s="53" t="s">
        <v>172</v>
      </c>
      <c r="G23" s="53" t="e">
        <f>IF(Requirements!#REF!="","",Requirements!#REF!)</f>
        <v>#REF!</v>
      </c>
      <c r="H23" s="53" t="e">
        <f>IF(Requirements!#REF!="","",Requirements!#REF!)</f>
        <v>#REF!</v>
      </c>
      <c r="I23" s="53" t="e">
        <f>IF(Requirements!#REF!="","",Requirements!#REF!)</f>
        <v>#REF!</v>
      </c>
      <c r="J23" s="53" t="e">
        <f>IF(Requirements!#REF!="","",Requirements!#REF!)</f>
        <v>#REF!</v>
      </c>
      <c r="K23" s="53" t="e">
        <f>IF(Requirements!#REF!="","",Requirements!#REF!)</f>
        <v>#REF!</v>
      </c>
      <c r="L23" s="53" t="e">
        <f>IF(Requirements!#REF!="","",Requirements!#REF!)</f>
        <v>#REF!</v>
      </c>
      <c r="M23" s="53" t="e">
        <f>IF(Requirements!#REF!="","",Requirements!#REF!)</f>
        <v>#REF!</v>
      </c>
      <c r="N23" s="53" t="e">
        <f>IF(Requirements!#REF!="","",Requirements!#REF!)</f>
        <v>#REF!</v>
      </c>
      <c r="O23" s="56" t="b">
        <f>IF(ISNUMBER(LEFT(Requirements!#REF!,1)*1),AND(I23&lt;&gt;"N/A",OR(AND(B23="DC0",Requirements!#REF!="x"),AND(B23="DC1",Requirements!#REF!="x"),AND(B23="DC2",Requirements!#REF!="x"),AND(B23="DC2+",Requirements!#REF!="x"),AND(B23="DC3",Requirements!#REF!="x")),MID(Requirements!#REF!,FIND(".",Requirements!#REF!)+1,1)&lt;&gt;"0"),FALSE)</f>
        <v>0</v>
      </c>
    </row>
    <row r="24" spans="1:15" x14ac:dyDescent="0.3">
      <c r="A24" s="53">
        <f>Questions!$B$30</f>
        <v>0</v>
      </c>
      <c r="B24" s="53" t="str">
        <f>Questions!$B$7</f>
        <v>DC3</v>
      </c>
      <c r="C24" s="53">
        <f>Questions!$B$28</f>
        <v>0</v>
      </c>
      <c r="D24" s="53">
        <f>Questions!$B$29</f>
        <v>0</v>
      </c>
      <c r="E24" s="53" t="s">
        <v>171</v>
      </c>
      <c r="F24" s="53" t="s">
        <v>172</v>
      </c>
      <c r="G24" s="53" t="e">
        <f>IF(Requirements!#REF!="","",Requirements!#REF!)</f>
        <v>#REF!</v>
      </c>
      <c r="H24" s="53" t="e">
        <f>IF(Requirements!#REF!="","",Requirements!#REF!)</f>
        <v>#REF!</v>
      </c>
      <c r="I24" s="53" t="e">
        <f>IF(Requirements!#REF!="","",Requirements!#REF!)</f>
        <v>#REF!</v>
      </c>
      <c r="J24" s="53" t="e">
        <f>IF(Requirements!#REF!="","",Requirements!#REF!)</f>
        <v>#REF!</v>
      </c>
      <c r="K24" s="53" t="e">
        <f>IF(Requirements!#REF!="","",Requirements!#REF!)</f>
        <v>#REF!</v>
      </c>
      <c r="L24" s="53" t="e">
        <f>IF(Requirements!#REF!="","",Requirements!#REF!)</f>
        <v>#REF!</v>
      </c>
      <c r="M24" s="53" t="e">
        <f>IF(Requirements!#REF!="","",Requirements!#REF!)</f>
        <v>#REF!</v>
      </c>
      <c r="N24" s="53" t="e">
        <f>IF(Requirements!#REF!="","",Requirements!#REF!)</f>
        <v>#REF!</v>
      </c>
      <c r="O24" s="56" t="b">
        <f>IF(ISNUMBER(LEFT(Requirements!#REF!,1)*1),AND(I24&lt;&gt;"N/A",OR(AND(B24="DC0",Requirements!#REF!="x"),AND(B24="DC1",Requirements!#REF!="x"),AND(B24="DC2",Requirements!#REF!="x"),AND(B24="DC2+",Requirements!#REF!="x"),AND(B24="DC3",Requirements!#REF!="x")),MID(Requirements!#REF!,FIND(".",Requirements!#REF!)+1,1)&lt;&gt;"0"),FALSE)</f>
        <v>0</v>
      </c>
    </row>
    <row r="25" spans="1:15" x14ac:dyDescent="0.3">
      <c r="A25" s="53">
        <f>Questions!$B$30</f>
        <v>0</v>
      </c>
      <c r="B25" s="53" t="str">
        <f>Questions!$B$7</f>
        <v>DC3</v>
      </c>
      <c r="C25" s="53">
        <f>Questions!$B$28</f>
        <v>0</v>
      </c>
      <c r="D25" s="53">
        <f>Questions!$B$29</f>
        <v>0</v>
      </c>
      <c r="E25" s="53" t="s">
        <v>171</v>
      </c>
      <c r="F25" s="53" t="s">
        <v>172</v>
      </c>
      <c r="G25" s="53" t="str">
        <f>IF(Requirements!A19="","",Requirements!A19)</f>
        <v>2.0.0</v>
      </c>
      <c r="H25" s="53" t="str">
        <f>IF(Requirements!B19="","",Requirements!B19)</f>
        <v>AUTHORIZATION</v>
      </c>
      <c r="I25" s="53" t="str">
        <f>IF(Requirements!K19="","",Requirements!K19)</f>
        <v/>
      </c>
      <c r="J25" s="53" t="str">
        <f>IF(Requirements!R19="","",Requirements!R19)</f>
        <v/>
      </c>
      <c r="K25" s="53" t="str">
        <f>IF(Requirements!T19="","",Requirements!T19)</f>
        <v/>
      </c>
      <c r="L25" s="53" t="str">
        <f>IF(Requirements!U19="","",Requirements!U19)</f>
        <v xml:space="preserve"> </v>
      </c>
      <c r="M25" s="53" t="str">
        <f>IF(Requirements!V19="","",Requirements!V19)</f>
        <v>https://wwwowasporg/indexphp/Access_Control_Cheat_Sheet</v>
      </c>
      <c r="N25" s="53" t="str">
        <f>IF(Requirements!L19="","",Requirements!L19)</f>
        <v/>
      </c>
      <c r="O25" s="56" t="b">
        <f>IF(ISNUMBER(LEFT(Requirements!A19,1)*1),AND(I25&lt;&gt;"N/A",OR(AND(B25="DC0",Requirements!C19="x"),AND(B25="DC1",Requirements!D19="x"),AND(B25="DC2",Requirements!E19="x"),AND(B25="DC2+",Requirements!F19="x"),AND(B25="DC3",Requirements!G19="x")),MID(Requirements!A19,FIND(".",Requirements!A19)+1,1)&lt;&gt;"0"),FALSE)</f>
        <v>0</v>
      </c>
    </row>
    <row r="26" spans="1:15" x14ac:dyDescent="0.3">
      <c r="A26" s="53">
        <f>Questions!$B$30</f>
        <v>0</v>
      </c>
      <c r="B26" s="53" t="str">
        <f>Questions!$B$7</f>
        <v>DC3</v>
      </c>
      <c r="C26" s="53">
        <f>Questions!$B$28</f>
        <v>0</v>
      </c>
      <c r="D26" s="53">
        <f>Questions!$B$29</f>
        <v>0</v>
      </c>
      <c r="E26" s="53" t="s">
        <v>171</v>
      </c>
      <c r="F26" s="53" t="s">
        <v>172</v>
      </c>
      <c r="G26" s="53" t="str">
        <f>IF(Requirements!A20="","",Requirements!A20)</f>
        <v>2.1.0</v>
      </c>
      <c r="H26" s="53" t="str">
        <f>IF(Requirements!B20="","",Requirements!B20)</f>
        <v>The application/system shall use Role based authorization for all accounts in support of separation/segregation of duties.</v>
      </c>
      <c r="I26" s="53" t="str">
        <f>IF(Requirements!K20="","",Requirements!K20)</f>
        <v>Yes</v>
      </c>
      <c r="J26" s="53">
        <f>IF(Requirements!R20="","",Requirements!R20)</f>
        <v>3.7</v>
      </c>
      <c r="K26" s="53" t="str">
        <f>IF(Requirements!T20="","",Requirements!T20)</f>
        <v>UK/US IT Standard Design Standard: Reporting
UK/US IT Standard Design Standard: Application Security Selection Criteria</v>
      </c>
      <c r="L26" s="53" t="str">
        <f>IF(Requirements!U20="","",Requirements!U20)</f>
        <v>http://usitdms.pwcinternal.com/usitdms/drl/objectId/09013881801fb781
http://usitdms.pwcinternal.com/usitdms/drl/objectId/09013881801e323c</v>
      </c>
      <c r="M26" s="53" t="str">
        <f>IF(Requirements!V20="","",Requirements!V20)</f>
        <v/>
      </c>
      <c r="N26" s="53" t="str">
        <f>IF(Requirements!L20="","",Requirements!L20)</f>
        <v/>
      </c>
      <c r="O26" s="56" t="b">
        <f>IF(ISNUMBER(LEFT(Requirements!A20,1)*1),AND(I26&lt;&gt;"N/A",OR(AND(B26="DC0",Requirements!C20="x"),AND(B26="DC1",Requirements!D20="x"),AND(B26="DC2",Requirements!E20="x"),AND(B26="DC2+",Requirements!F20="x"),AND(B26="DC3",Requirements!G20="x")),MID(Requirements!A20,FIND(".",Requirements!A20)+1,1)&lt;&gt;"0"),FALSE)</f>
        <v>1</v>
      </c>
    </row>
    <row r="27" spans="1:15" x14ac:dyDescent="0.3">
      <c r="A27" s="53">
        <f>Questions!$B$30</f>
        <v>0</v>
      </c>
      <c r="B27" s="53" t="str">
        <f>Questions!$B$7</f>
        <v>DC3</v>
      </c>
      <c r="C27" s="53">
        <f>Questions!$B$28</f>
        <v>0</v>
      </c>
      <c r="D27" s="53">
        <f>Questions!$B$29</f>
        <v>0</v>
      </c>
      <c r="E27" s="53" t="s">
        <v>171</v>
      </c>
      <c r="F27" s="53" t="s">
        <v>172</v>
      </c>
      <c r="G27" s="53" t="e">
        <f>IF(Requirements!#REF!="","",Requirements!#REF!)</f>
        <v>#REF!</v>
      </c>
      <c r="H27" s="53" t="e">
        <f>IF(Requirements!#REF!="","",Requirements!#REF!)</f>
        <v>#REF!</v>
      </c>
      <c r="I27" s="53" t="e">
        <f>IF(Requirements!#REF!="","",Requirements!#REF!)</f>
        <v>#REF!</v>
      </c>
      <c r="J27" s="53" t="e">
        <f>IF(Requirements!#REF!="","",Requirements!#REF!)</f>
        <v>#REF!</v>
      </c>
      <c r="K27" s="53" t="e">
        <f>IF(Requirements!#REF!="","",Requirements!#REF!)</f>
        <v>#REF!</v>
      </c>
      <c r="L27" s="53" t="e">
        <f>IF(Requirements!#REF!="","",Requirements!#REF!)</f>
        <v>#REF!</v>
      </c>
      <c r="M27" s="53" t="e">
        <f>IF(Requirements!#REF!="","",Requirements!#REF!)</f>
        <v>#REF!</v>
      </c>
      <c r="N27" s="53" t="e">
        <f>IF(Requirements!#REF!="","",Requirements!#REF!)</f>
        <v>#REF!</v>
      </c>
      <c r="O27" s="56" t="b">
        <f>IF(ISNUMBER(LEFT(Requirements!#REF!,1)*1),AND(I27&lt;&gt;"N/A",OR(AND(B27="DC0",Requirements!#REF!="x"),AND(B27="DC1",Requirements!#REF!="x"),AND(B27="DC2",Requirements!#REF!="x"),AND(B27="DC2+",Requirements!#REF!="x"),AND(B27="DC3",Requirements!#REF!="x")),MID(Requirements!#REF!,FIND(".",Requirements!#REF!)+1,1)&lt;&gt;"0"),FALSE)</f>
        <v>0</v>
      </c>
    </row>
    <row r="28" spans="1:15" x14ac:dyDescent="0.3">
      <c r="A28" s="53">
        <f>Questions!$B$30</f>
        <v>0</v>
      </c>
      <c r="B28" s="53" t="str">
        <f>Questions!$B$7</f>
        <v>DC3</v>
      </c>
      <c r="C28" s="53">
        <f>Questions!$B$28</f>
        <v>0</v>
      </c>
      <c r="D28" s="53">
        <f>Questions!$B$29</f>
        <v>0</v>
      </c>
      <c r="E28" s="53" t="s">
        <v>171</v>
      </c>
      <c r="F28" s="53" t="s">
        <v>172</v>
      </c>
      <c r="G28" s="53" t="e">
        <f>IF(Requirements!#REF!="","",Requirements!#REF!)</f>
        <v>#REF!</v>
      </c>
      <c r="H28" s="53" t="e">
        <f>IF(Requirements!#REF!="","",Requirements!#REF!)</f>
        <v>#REF!</v>
      </c>
      <c r="I28" s="53" t="e">
        <f>IF(Requirements!#REF!="","",Requirements!#REF!)</f>
        <v>#REF!</v>
      </c>
      <c r="J28" s="53" t="e">
        <f>IF(Requirements!#REF!="","",Requirements!#REF!)</f>
        <v>#REF!</v>
      </c>
      <c r="K28" s="53" t="e">
        <f>IF(Requirements!#REF!="","",Requirements!#REF!)</f>
        <v>#REF!</v>
      </c>
      <c r="L28" s="53" t="e">
        <f>IF(Requirements!#REF!="","",Requirements!#REF!)</f>
        <v>#REF!</v>
      </c>
      <c r="M28" s="53" t="e">
        <f>IF(Requirements!#REF!="","",Requirements!#REF!)</f>
        <v>#REF!</v>
      </c>
      <c r="N28" s="53" t="e">
        <f>IF(Requirements!#REF!="","",Requirements!#REF!)</f>
        <v>#REF!</v>
      </c>
      <c r="O28" s="56" t="b">
        <f>IF(ISNUMBER(LEFT(Requirements!#REF!,1)*1),AND(I28&lt;&gt;"N/A",OR(AND(B28="DC0",Requirements!#REF!="x"),AND(B28="DC1",Requirements!#REF!="x"),AND(B28="DC2",Requirements!#REF!="x"),AND(B28="DC2+",Requirements!#REF!="x"),AND(B28="DC3",Requirements!#REF!="x")),MID(Requirements!#REF!,FIND(".",Requirements!#REF!)+1,1)&lt;&gt;"0"),FALSE)</f>
        <v>0</v>
      </c>
    </row>
    <row r="29" spans="1:15" x14ac:dyDescent="0.3">
      <c r="A29" s="53">
        <f>Questions!$B$30</f>
        <v>0</v>
      </c>
      <c r="B29" s="53" t="str">
        <f>Questions!$B$7</f>
        <v>DC3</v>
      </c>
      <c r="C29" s="53">
        <f>Questions!$B$28</f>
        <v>0</v>
      </c>
      <c r="D29" s="53">
        <f>Questions!$B$29</f>
        <v>0</v>
      </c>
      <c r="E29" s="53" t="s">
        <v>171</v>
      </c>
      <c r="F29" s="53" t="s">
        <v>172</v>
      </c>
      <c r="G29" s="53" t="str">
        <f>IF(Requirements!A21="","",Requirements!A21)</f>
        <v>2.2.0</v>
      </c>
      <c r="H29" s="53" t="str">
        <f>IF(Requirements!B21="","",Requirements!B21)</f>
        <v xml:space="preserve">Administration interfaces must be accessed using an account and password.  </v>
      </c>
      <c r="I29" s="53" t="str">
        <f>IF(Requirements!K21="","",Requirements!K21)</f>
        <v>Yes</v>
      </c>
      <c r="J29" s="53">
        <f>IF(Requirements!R21="","",Requirements!R21)</f>
        <v>3.7</v>
      </c>
      <c r="K29" s="53" t="str">
        <f>IF(Requirements!T21="","",Requirements!T21)</f>
        <v/>
      </c>
      <c r="L29" s="53" t="str">
        <f>IF(Requirements!U21="","",Requirements!U21)</f>
        <v/>
      </c>
      <c r="M29" s="53" t="str">
        <f>IF(Requirements!V21="","",Requirements!V21)</f>
        <v/>
      </c>
      <c r="N29" s="53" t="str">
        <f>IF(Requirements!L21="","",Requirements!L21)</f>
        <v/>
      </c>
      <c r="O29" s="56" t="b">
        <f>IF(ISNUMBER(LEFT(Requirements!A21,1)*1),AND(I29&lt;&gt;"N/A",OR(AND(B29="DC0",Requirements!C21="x"),AND(B29="DC1",Requirements!D21="x"),AND(B29="DC2",Requirements!E21="x"),AND(B29="DC2+",Requirements!F21="x"),AND(B29="DC3",Requirements!G21="x")),MID(Requirements!A21,FIND(".",Requirements!A21)+1,1)&lt;&gt;"0"),FALSE)</f>
        <v>1</v>
      </c>
    </row>
    <row r="30" spans="1:15" x14ac:dyDescent="0.3">
      <c r="A30" s="53">
        <f>Questions!$B$30</f>
        <v>0</v>
      </c>
      <c r="B30" s="53" t="str">
        <f>Questions!$B$7</f>
        <v>DC3</v>
      </c>
      <c r="C30" s="53">
        <f>Questions!$B$28</f>
        <v>0</v>
      </c>
      <c r="D30" s="53">
        <f>Questions!$B$29</f>
        <v>0</v>
      </c>
      <c r="E30" s="53" t="s">
        <v>171</v>
      </c>
      <c r="F30" s="53" t="s">
        <v>172</v>
      </c>
      <c r="G30" s="53" t="str">
        <f>IF(Requirements!A22="","",Requirements!A22)</f>
        <v>2.3.0</v>
      </c>
      <c r="H30" s="53" t="str">
        <f>IF(Requirements!B22="","",Requirements!B22)</f>
        <v>Use major authorization framework mechanism such as Java's JAAS or .NET build or Spring Security authorization capabilities,  avoid customizations.</v>
      </c>
      <c r="I30" s="53" t="str">
        <f>IF(Requirements!K22="","",Requirements!K22)</f>
        <v>N/A</v>
      </c>
      <c r="J30" s="53">
        <f>IF(Requirements!R22="","",Requirements!R22)</f>
        <v>3.7</v>
      </c>
      <c r="K30" s="53" t="str">
        <f>IF(Requirements!T22="","",Requirements!T22)</f>
        <v>UK-US IT Standard - .NET Application Security Remediation Techniques
UK/US IT Standard Design Standard: Coding Standard: Java Application Development</v>
      </c>
      <c r="L30" s="53" t="str">
        <f>IF(Requirements!U22="","",Requirements!U22)</f>
        <v>http://usitdms.pwcinternal.com/usitdms/drl/objectId/09013881801a79c4
http://usitdms.pwcinternal.com/usitdms/drl/objectId/09013881801a3c56</v>
      </c>
      <c r="M30" s="53" t="str">
        <f>IF(Requirements!V22="","",Requirements!V22)</f>
        <v/>
      </c>
      <c r="N30" s="53" t="str">
        <f>IF(Requirements!L22="","",Requirements!L22)</f>
        <v>Application based security</v>
      </c>
      <c r="O30" s="56" t="b">
        <f>IF(ISNUMBER(LEFT(Requirements!A22,1)*1),AND(I30&lt;&gt;"N/A",OR(AND(B30="DC0",Requirements!C22="x"),AND(B30="DC1",Requirements!D22="x"),AND(B30="DC2",Requirements!E22="x"),AND(B30="DC2+",Requirements!F22="x"),AND(B30="DC3",Requirements!G22="x")),MID(Requirements!A22,FIND(".",Requirements!A22)+1,1)&lt;&gt;"0"),FALSE)</f>
        <v>0</v>
      </c>
    </row>
    <row r="31" spans="1:15" x14ac:dyDescent="0.3">
      <c r="A31" s="53">
        <f>Questions!$B$30</f>
        <v>0</v>
      </c>
      <c r="B31" s="53" t="str">
        <f>Questions!$B$7</f>
        <v>DC3</v>
      </c>
      <c r="C31" s="53">
        <f>Questions!$B$28</f>
        <v>0</v>
      </c>
      <c r="D31" s="53">
        <f>Questions!$B$29</f>
        <v>0</v>
      </c>
      <c r="E31" s="53" t="s">
        <v>171</v>
      </c>
      <c r="F31" s="53" t="s">
        <v>172</v>
      </c>
      <c r="G31" s="53" t="str">
        <f>IF(Requirements!A23="","",Requirements!A23)</f>
        <v>2.4.0</v>
      </c>
      <c r="H31" s="53" t="str">
        <f>IF(Requirements!B23="","",Requirements!B23)</f>
        <v>The application/system shall implement least privilege for all resources including end users and application users</v>
      </c>
      <c r="I31" s="53" t="str">
        <f>IF(Requirements!K23="","",Requirements!K23)</f>
        <v>Yes</v>
      </c>
      <c r="J31" s="53">
        <f>IF(Requirements!R23="","",Requirements!R23)</f>
        <v>3.7</v>
      </c>
      <c r="K31" s="53" t="str">
        <f>IF(Requirements!T23="","",Requirements!T23)</f>
        <v/>
      </c>
      <c r="L31" s="53" t="str">
        <f>IF(Requirements!U23="","",Requirements!U23)</f>
        <v/>
      </c>
      <c r="M31" s="53" t="str">
        <f>IF(Requirements!V23="","",Requirements!V23)</f>
        <v/>
      </c>
      <c r="N31" s="53" t="str">
        <f>IF(Requirements!L23="","",Requirements!L23)</f>
        <v/>
      </c>
      <c r="O31" s="56" t="b">
        <f>IF(ISNUMBER(LEFT(Requirements!A23,1)*1),AND(I31&lt;&gt;"N/A",OR(AND(B31="DC0",Requirements!C23="x"),AND(B31="DC1",Requirements!D23="x"),AND(B31="DC2",Requirements!E23="x"),AND(B31="DC2+",Requirements!F23="x"),AND(B31="DC3",Requirements!G23="x")),MID(Requirements!A23,FIND(".",Requirements!A23)+1,1)&lt;&gt;"0"),FALSE)</f>
        <v>1</v>
      </c>
    </row>
    <row r="32" spans="1:15" x14ac:dyDescent="0.3">
      <c r="A32" s="53">
        <f>Questions!$B$30</f>
        <v>0</v>
      </c>
      <c r="B32" s="53" t="str">
        <f>Questions!$B$7</f>
        <v>DC3</v>
      </c>
      <c r="C32" s="53">
        <f>Questions!$B$28</f>
        <v>0</v>
      </c>
      <c r="D32" s="53">
        <f>Questions!$B$29</f>
        <v>0</v>
      </c>
      <c r="E32" s="53" t="s">
        <v>171</v>
      </c>
      <c r="F32" s="53" t="s">
        <v>172</v>
      </c>
      <c r="G32" s="53" t="e">
        <f>IF(Requirements!#REF!="","",Requirements!#REF!)</f>
        <v>#REF!</v>
      </c>
      <c r="H32" s="53" t="e">
        <f>IF(Requirements!#REF!="","",Requirements!#REF!)</f>
        <v>#REF!</v>
      </c>
      <c r="I32" s="53" t="e">
        <f>IF(Requirements!#REF!="","",Requirements!#REF!)</f>
        <v>#REF!</v>
      </c>
      <c r="J32" s="53" t="e">
        <f>IF(Requirements!#REF!="","",Requirements!#REF!)</f>
        <v>#REF!</v>
      </c>
      <c r="K32" s="53" t="e">
        <f>IF(Requirements!#REF!="","",Requirements!#REF!)</f>
        <v>#REF!</v>
      </c>
      <c r="L32" s="53" t="e">
        <f>IF(Requirements!#REF!="","",Requirements!#REF!)</f>
        <v>#REF!</v>
      </c>
      <c r="M32" s="53" t="e">
        <f>IF(Requirements!#REF!="","",Requirements!#REF!)</f>
        <v>#REF!</v>
      </c>
      <c r="N32" s="53" t="e">
        <f>IF(Requirements!#REF!="","",Requirements!#REF!)</f>
        <v>#REF!</v>
      </c>
      <c r="O32" s="56" t="b">
        <f>IF(ISNUMBER(LEFT(Requirements!#REF!,1)*1),AND(I32&lt;&gt;"N/A",OR(AND(B32="DC0",Requirements!#REF!="x"),AND(B32="DC1",Requirements!#REF!="x"),AND(B32="DC2",Requirements!#REF!="x"),AND(B32="DC2+",Requirements!#REF!="x"),AND(B32="DC3",Requirements!#REF!="x")),MID(Requirements!#REF!,FIND(".",Requirements!#REF!)+1,1)&lt;&gt;"0"),FALSE)</f>
        <v>0</v>
      </c>
    </row>
    <row r="33" spans="1:15" x14ac:dyDescent="0.3">
      <c r="A33" s="53">
        <f>Questions!$B$30</f>
        <v>0</v>
      </c>
      <c r="B33" s="53" t="str">
        <f>Questions!$B$7</f>
        <v>DC3</v>
      </c>
      <c r="C33" s="53">
        <f>Questions!$B$28</f>
        <v>0</v>
      </c>
      <c r="D33" s="53">
        <f>Questions!$B$29</f>
        <v>0</v>
      </c>
      <c r="E33" s="53" t="s">
        <v>171</v>
      </c>
      <c r="F33" s="53" t="s">
        <v>172</v>
      </c>
      <c r="G33" s="53" t="e">
        <f>IF(Requirements!#REF!="","",Requirements!#REF!)</f>
        <v>#REF!</v>
      </c>
      <c r="H33" s="53" t="e">
        <f>IF(Requirements!#REF!="","",Requirements!#REF!)</f>
        <v>#REF!</v>
      </c>
      <c r="I33" s="53" t="e">
        <f>IF(Requirements!#REF!="","",Requirements!#REF!)</f>
        <v>#REF!</v>
      </c>
      <c r="J33" s="53" t="e">
        <f>IF(Requirements!#REF!="","",Requirements!#REF!)</f>
        <v>#REF!</v>
      </c>
      <c r="K33" s="53" t="e">
        <f>IF(Requirements!#REF!="","",Requirements!#REF!)</f>
        <v>#REF!</v>
      </c>
      <c r="L33" s="53" t="e">
        <f>IF(Requirements!#REF!="","",Requirements!#REF!)</f>
        <v>#REF!</v>
      </c>
      <c r="M33" s="53" t="e">
        <f>IF(Requirements!#REF!="","",Requirements!#REF!)</f>
        <v>#REF!</v>
      </c>
      <c r="N33" s="53" t="e">
        <f>IF(Requirements!#REF!="","",Requirements!#REF!)</f>
        <v>#REF!</v>
      </c>
      <c r="O33" s="56" t="b">
        <f>IF(ISNUMBER(LEFT(Requirements!#REF!,1)*1),AND(I33&lt;&gt;"N/A",OR(AND(B33="DC0",Requirements!#REF!="x"),AND(B33="DC1",Requirements!#REF!="x"),AND(B33="DC2",Requirements!#REF!="x"),AND(B33="DC2+",Requirements!#REF!="x"),AND(B33="DC3",Requirements!#REF!="x")),MID(Requirements!#REF!,FIND(".",Requirements!#REF!)+1,1)&lt;&gt;"0"),FALSE)</f>
        <v>0</v>
      </c>
    </row>
    <row r="34" spans="1:15" x14ac:dyDescent="0.3">
      <c r="A34" s="53">
        <f>Questions!$B$30</f>
        <v>0</v>
      </c>
      <c r="B34" s="53" t="str">
        <f>Questions!$B$7</f>
        <v>DC3</v>
      </c>
      <c r="C34" s="53">
        <f>Questions!$B$28</f>
        <v>0</v>
      </c>
      <c r="D34" s="53">
        <f>Questions!$B$29</f>
        <v>0</v>
      </c>
      <c r="E34" s="53" t="s">
        <v>171</v>
      </c>
      <c r="F34" s="53" t="s">
        <v>172</v>
      </c>
      <c r="G34" s="53" t="str">
        <f>IF(Requirements!A24="","",Requirements!A24)</f>
        <v/>
      </c>
      <c r="H34" s="53" t="str">
        <f>IF(Requirements!B24="","",Requirements!B24)</f>
        <v xml:space="preserve">User Account Management [if implementing user accounts]  </v>
      </c>
      <c r="I34" s="53" t="str">
        <f>IF(Requirements!K24="","",Requirements!K24)</f>
        <v/>
      </c>
      <c r="J34" s="53" t="str">
        <f>IF(Requirements!R24="","",Requirements!R24)</f>
        <v/>
      </c>
      <c r="K34" s="53" t="str">
        <f>IF(Requirements!T24="","",Requirements!T24)</f>
        <v/>
      </c>
      <c r="L34" s="53" t="str">
        <f>IF(Requirements!U24="","",Requirements!U24)</f>
        <v xml:space="preserve"> </v>
      </c>
      <c r="M34" s="53" t="str">
        <f>IF(Requirements!V24="","",Requirements!V24)</f>
        <v xml:space="preserve"> </v>
      </c>
      <c r="N34" s="53" t="str">
        <f>IF(Requirements!L24="","",Requirements!L24)</f>
        <v/>
      </c>
      <c r="O34" s="56" t="b">
        <f>IF(ISNUMBER(LEFT(Requirements!A24,1)*1),AND(I34&lt;&gt;"N/A",OR(AND(B34="DC0",Requirements!C24="x"),AND(B34="DC1",Requirements!D24="x"),AND(B34="DC2",Requirements!E24="x"),AND(B34="DC2+",Requirements!F24="x"),AND(B34="DC3",Requirements!G24="x")),MID(Requirements!A24,FIND(".",Requirements!A24)+1,1)&lt;&gt;"0"),FALSE)</f>
        <v>0</v>
      </c>
    </row>
    <row r="35" spans="1:15" x14ac:dyDescent="0.3">
      <c r="A35" s="53">
        <f>Questions!$B$30</f>
        <v>0</v>
      </c>
      <c r="B35" s="53" t="str">
        <f>Questions!$B$7</f>
        <v>DC3</v>
      </c>
      <c r="C35" s="53">
        <f>Questions!$B$28</f>
        <v>0</v>
      </c>
      <c r="D35" s="53">
        <f>Questions!$B$29</f>
        <v>0</v>
      </c>
      <c r="E35" s="53" t="s">
        <v>171</v>
      </c>
      <c r="F35" s="53" t="s">
        <v>172</v>
      </c>
      <c r="G35" s="53" t="str">
        <f>IF(Requirements!A25="","",Requirements!A25)</f>
        <v>2.5.0</v>
      </c>
      <c r="H35" s="53" t="str">
        <f>IF(Requirements!B25="","",Requirements!B25)</f>
        <v xml:space="preserve"> The application/system shall implement formal account management procedures to support secure creation, amendment, and deletion of user accounts.</v>
      </c>
      <c r="I35" s="53" t="str">
        <f>IF(Requirements!K25="","",Requirements!K25)</f>
        <v>Yes</v>
      </c>
      <c r="J35" s="53">
        <f>IF(Requirements!R25="","",Requirements!R25)</f>
        <v>3.7</v>
      </c>
      <c r="K35" s="53" t="str">
        <f>IF(Requirements!T25="","",Requirements!T25)</f>
        <v/>
      </c>
      <c r="L35" s="53" t="str">
        <f>IF(Requirements!U25="","",Requirements!U25)</f>
        <v xml:space="preserve"> </v>
      </c>
      <c r="M35" s="53" t="str">
        <f>IF(Requirements!V25="","",Requirements!V25)</f>
        <v/>
      </c>
      <c r="N35" s="53" t="str">
        <f>IF(Requirements!L25="","",Requirements!L25)</f>
        <v/>
      </c>
      <c r="O35" s="56" t="b">
        <f>IF(ISNUMBER(LEFT(Requirements!A25,1)*1),AND(I35&lt;&gt;"N/A",OR(AND(B35="DC0",Requirements!C25="x"),AND(B35="DC1",Requirements!D25="x"),AND(B35="DC2",Requirements!E25="x"),AND(B35="DC2+",Requirements!F25="x"),AND(B35="DC3",Requirements!G25="x")),MID(Requirements!A25,FIND(".",Requirements!A25)+1,1)&lt;&gt;"0"),FALSE)</f>
        <v>1</v>
      </c>
    </row>
    <row r="36" spans="1:15" x14ac:dyDescent="0.3">
      <c r="A36" s="53">
        <f>Questions!$B$30</f>
        <v>0</v>
      </c>
      <c r="B36" s="53" t="str">
        <f>Questions!$B$7</f>
        <v>DC3</v>
      </c>
      <c r="C36" s="53">
        <f>Questions!$B$28</f>
        <v>0</v>
      </c>
      <c r="D36" s="53">
        <f>Questions!$B$29</f>
        <v>0</v>
      </c>
      <c r="E36" s="53" t="s">
        <v>171</v>
      </c>
      <c r="F36" s="53" t="s">
        <v>172</v>
      </c>
      <c r="G36" s="53" t="str">
        <f>IF(Requirements!A26="","",Requirements!A26)</f>
        <v>2.6.0</v>
      </c>
      <c r="H36" s="53" t="str">
        <f>IF(Requirements!B26="","",Requirements!B26)</f>
        <v xml:space="preserve"> The application/system shall allow for all new accounts be assigned an initial randomly generated password and will required users to change it on first use.</v>
      </c>
      <c r="I36" s="53" t="str">
        <f>IF(Requirements!K26="","",Requirements!K26)</f>
        <v>No</v>
      </c>
      <c r="J36" s="53">
        <f>IF(Requirements!R26="","",Requirements!R26)</f>
        <v>3.7</v>
      </c>
      <c r="K36" s="53" t="str">
        <f>IF(Requirements!T26="","",Requirements!T26)</f>
        <v/>
      </c>
      <c r="L36" s="53" t="str">
        <f>IF(Requirements!U26="","",Requirements!U26)</f>
        <v/>
      </c>
      <c r="M36" s="53" t="str">
        <f>IF(Requirements!V26="","",Requirements!V26)</f>
        <v/>
      </c>
      <c r="N36" s="53" t="str">
        <f>IF(Requirements!L26="","",Requirements!L26)</f>
        <v>Users are allowed to create their passwords based on secure passowrd rules</v>
      </c>
      <c r="O36" s="56" t="b">
        <f>IF(ISNUMBER(LEFT(Requirements!A26,1)*1),AND(I36&lt;&gt;"N/A",OR(AND(B36="DC0",Requirements!C26="x"),AND(B36="DC1",Requirements!D26="x"),AND(B36="DC2",Requirements!E26="x"),AND(B36="DC2+",Requirements!F26="x"),AND(B36="DC3",Requirements!G26="x")),MID(Requirements!A26,FIND(".",Requirements!A26)+1,1)&lt;&gt;"0"),FALSE)</f>
        <v>1</v>
      </c>
    </row>
    <row r="37" spans="1:15" x14ac:dyDescent="0.3">
      <c r="A37" s="53">
        <f>Questions!$B$30</f>
        <v>0</v>
      </c>
      <c r="B37" s="53" t="str">
        <f>Questions!$B$7</f>
        <v>DC3</v>
      </c>
      <c r="C37" s="53">
        <f>Questions!$B$28</f>
        <v>0</v>
      </c>
      <c r="D37" s="53">
        <f>Questions!$B$29</f>
        <v>0</v>
      </c>
      <c r="E37" s="53" t="s">
        <v>171</v>
      </c>
      <c r="F37" s="53" t="s">
        <v>172</v>
      </c>
      <c r="G37" s="53" t="str">
        <f>IF(Requirements!A27="","",Requirements!A27)</f>
        <v>2.7.0</v>
      </c>
      <c r="H37" s="53" t="str">
        <f>IF(Requirements!B27="","",Requirements!B27)</f>
        <v xml:space="preserve"> The application/system shall allow for all new passwords be issued to users in a secure manner.</v>
      </c>
      <c r="I37" s="53" t="str">
        <f>IF(Requirements!K27="","",Requirements!K27)</f>
        <v>Yes</v>
      </c>
      <c r="J37" s="53">
        <f>IF(Requirements!R27="","",Requirements!R27)</f>
        <v>3.7</v>
      </c>
      <c r="K37" s="53" t="str">
        <f>IF(Requirements!T27="","",Requirements!T27)</f>
        <v/>
      </c>
      <c r="L37" s="53" t="str">
        <f>IF(Requirements!U27="","",Requirements!U27)</f>
        <v/>
      </c>
      <c r="M37" s="53" t="str">
        <f>IF(Requirements!V27="","",Requirements!V27)</f>
        <v/>
      </c>
      <c r="N37" s="53" t="str">
        <f>IF(Requirements!L27="","",Requirements!L27)</f>
        <v/>
      </c>
      <c r="O37" s="56" t="b">
        <f>IF(ISNUMBER(LEFT(Requirements!A27,1)*1),AND(I37&lt;&gt;"N/A",OR(AND(B37="DC0",Requirements!C27="x"),AND(B37="DC1",Requirements!D27="x"),AND(B37="DC2",Requirements!E27="x"),AND(B37="DC2+",Requirements!F27="x"),AND(B37="DC3",Requirements!G27="x")),MID(Requirements!A27,FIND(".",Requirements!A27)+1,1)&lt;&gt;"0"),FALSE)</f>
        <v>1</v>
      </c>
    </row>
    <row r="38" spans="1:15" x14ac:dyDescent="0.3">
      <c r="A38" s="53">
        <f>Questions!$B$30</f>
        <v>0</v>
      </c>
      <c r="B38" s="53" t="str">
        <f>Questions!$B$7</f>
        <v>DC3</v>
      </c>
      <c r="C38" s="53">
        <f>Questions!$B$28</f>
        <v>0</v>
      </c>
      <c r="D38" s="53">
        <f>Questions!$B$29</f>
        <v>0</v>
      </c>
      <c r="E38" s="53" t="s">
        <v>171</v>
      </c>
      <c r="F38" s="53" t="s">
        <v>172</v>
      </c>
      <c r="G38" s="53" t="e">
        <f>IF(Requirements!#REF!="","",Requirements!#REF!)</f>
        <v>#REF!</v>
      </c>
      <c r="H38" s="53" t="e">
        <f>IF(Requirements!#REF!="","",Requirements!#REF!)</f>
        <v>#REF!</v>
      </c>
      <c r="I38" s="53" t="e">
        <f>IF(Requirements!#REF!="","",Requirements!#REF!)</f>
        <v>#REF!</v>
      </c>
      <c r="J38" s="53" t="e">
        <f>IF(Requirements!#REF!="","",Requirements!#REF!)</f>
        <v>#REF!</v>
      </c>
      <c r="K38" s="53" t="e">
        <f>IF(Requirements!#REF!="","",Requirements!#REF!)</f>
        <v>#REF!</v>
      </c>
      <c r="L38" s="53" t="e">
        <f>IF(Requirements!#REF!="","",Requirements!#REF!)</f>
        <v>#REF!</v>
      </c>
      <c r="M38" s="53" t="e">
        <f>IF(Requirements!#REF!="","",Requirements!#REF!)</f>
        <v>#REF!</v>
      </c>
      <c r="N38" s="53" t="e">
        <f>IF(Requirements!#REF!="","",Requirements!#REF!)</f>
        <v>#REF!</v>
      </c>
      <c r="O38" s="56" t="b">
        <f>IF(ISNUMBER(LEFT(Requirements!#REF!,1)*1),AND(I38&lt;&gt;"N/A",OR(AND(B38="DC0",Requirements!#REF!="x"),AND(B38="DC1",Requirements!#REF!="x"),AND(B38="DC2",Requirements!#REF!="x"),AND(B38="DC2+",Requirements!#REF!="x"),AND(B38="DC3",Requirements!#REF!="x")),MID(Requirements!#REF!,FIND(".",Requirements!#REF!)+1,1)&lt;&gt;"0"),FALSE)</f>
        <v>0</v>
      </c>
    </row>
    <row r="39" spans="1:15" x14ac:dyDescent="0.3">
      <c r="A39" s="53">
        <f>Questions!$B$30</f>
        <v>0</v>
      </c>
      <c r="B39" s="53" t="str">
        <f>Questions!$B$7</f>
        <v>DC3</v>
      </c>
      <c r="C39" s="53">
        <f>Questions!$B$28</f>
        <v>0</v>
      </c>
      <c r="D39" s="53">
        <f>Questions!$B$29</f>
        <v>0</v>
      </c>
      <c r="E39" s="53" t="s">
        <v>171</v>
      </c>
      <c r="F39" s="53" t="s">
        <v>172</v>
      </c>
      <c r="G39" s="53" t="e">
        <f>IF(Requirements!#REF!="","",Requirements!#REF!)</f>
        <v>#REF!</v>
      </c>
      <c r="H39" s="53" t="e">
        <f>IF(Requirements!#REF!="","",Requirements!#REF!)</f>
        <v>#REF!</v>
      </c>
      <c r="I39" s="53" t="e">
        <f>IF(Requirements!#REF!="","",Requirements!#REF!)</f>
        <v>#REF!</v>
      </c>
      <c r="J39" s="53" t="e">
        <f>IF(Requirements!#REF!="","",Requirements!#REF!)</f>
        <v>#REF!</v>
      </c>
      <c r="K39" s="53" t="e">
        <f>IF(Requirements!#REF!="","",Requirements!#REF!)</f>
        <v>#REF!</v>
      </c>
      <c r="L39" s="53" t="e">
        <f>IF(Requirements!#REF!="","",Requirements!#REF!)</f>
        <v>#REF!</v>
      </c>
      <c r="M39" s="53" t="e">
        <f>IF(Requirements!#REF!="","",Requirements!#REF!)</f>
        <v>#REF!</v>
      </c>
      <c r="N39" s="53" t="e">
        <f>IF(Requirements!#REF!="","",Requirements!#REF!)</f>
        <v>#REF!</v>
      </c>
      <c r="O39" s="56" t="b">
        <f>IF(ISNUMBER(LEFT(Requirements!#REF!,1)*1),AND(I39&lt;&gt;"N/A",OR(AND(B39="DC0",Requirements!#REF!="x"),AND(B39="DC1",Requirements!#REF!="x"),AND(B39="DC2",Requirements!#REF!="x"),AND(B39="DC2+",Requirements!#REF!="x"),AND(B39="DC3",Requirements!#REF!="x")),MID(Requirements!#REF!,FIND(".",Requirements!#REF!)+1,1)&lt;&gt;"0"),FALSE)</f>
        <v>0</v>
      </c>
    </row>
    <row r="40" spans="1:15" x14ac:dyDescent="0.3">
      <c r="A40" s="53">
        <f>Questions!$B$30</f>
        <v>0</v>
      </c>
      <c r="B40" s="53" t="str">
        <f>Questions!$B$7</f>
        <v>DC3</v>
      </c>
      <c r="C40" s="53">
        <f>Questions!$B$28</f>
        <v>0</v>
      </c>
      <c r="D40" s="53">
        <f>Questions!$B$29</f>
        <v>0</v>
      </c>
      <c r="E40" s="53" t="s">
        <v>171</v>
      </c>
      <c r="F40" s="53" t="s">
        <v>172</v>
      </c>
      <c r="G40" s="53" t="e">
        <f>IF(Requirements!#REF!="","",Requirements!#REF!)</f>
        <v>#REF!</v>
      </c>
      <c r="H40" s="53" t="e">
        <f>IF(Requirements!#REF!="","",Requirements!#REF!)</f>
        <v>#REF!</v>
      </c>
      <c r="I40" s="53" t="e">
        <f>IF(Requirements!#REF!="","",Requirements!#REF!)</f>
        <v>#REF!</v>
      </c>
      <c r="J40" s="53" t="e">
        <f>IF(Requirements!#REF!="","",Requirements!#REF!)</f>
        <v>#REF!</v>
      </c>
      <c r="K40" s="53" t="e">
        <f>IF(Requirements!#REF!="","",Requirements!#REF!)</f>
        <v>#REF!</v>
      </c>
      <c r="L40" s="53" t="e">
        <f>IF(Requirements!#REF!="","",Requirements!#REF!)</f>
        <v>#REF!</v>
      </c>
      <c r="M40" s="53" t="e">
        <f>IF(Requirements!#REF!="","",Requirements!#REF!)</f>
        <v>#REF!</v>
      </c>
      <c r="N40" s="53" t="e">
        <f>IF(Requirements!#REF!="","",Requirements!#REF!)</f>
        <v>#REF!</v>
      </c>
      <c r="O40" s="56" t="b">
        <f>IF(ISNUMBER(LEFT(Requirements!#REF!,1)*1),AND(I40&lt;&gt;"N/A",OR(AND(B40="DC0",Requirements!#REF!="x"),AND(B40="DC1",Requirements!#REF!="x"),AND(B40="DC2",Requirements!#REF!="x"),AND(B40="DC2+",Requirements!#REF!="x"),AND(B40="DC3",Requirements!#REF!="x")),MID(Requirements!#REF!,FIND(".",Requirements!#REF!)+1,1)&lt;&gt;"0"),FALSE)</f>
        <v>0</v>
      </c>
    </row>
    <row r="41" spans="1:15" x14ac:dyDescent="0.3">
      <c r="A41" s="53">
        <f>Questions!$B$30</f>
        <v>0</v>
      </c>
      <c r="B41" s="53" t="str">
        <f>Questions!$B$7</f>
        <v>DC3</v>
      </c>
      <c r="C41" s="53">
        <f>Questions!$B$28</f>
        <v>0</v>
      </c>
      <c r="D41" s="53">
        <f>Questions!$B$29</f>
        <v>0</v>
      </c>
      <c r="E41" s="53" t="s">
        <v>171</v>
      </c>
      <c r="F41" s="53" t="s">
        <v>172</v>
      </c>
      <c r="G41" s="53" t="e">
        <f>IF(Requirements!#REF!="","",Requirements!#REF!)</f>
        <v>#REF!</v>
      </c>
      <c r="H41" s="53" t="e">
        <f>IF(Requirements!#REF!="","",Requirements!#REF!)</f>
        <v>#REF!</v>
      </c>
      <c r="I41" s="53" t="e">
        <f>IF(Requirements!#REF!="","",Requirements!#REF!)</f>
        <v>#REF!</v>
      </c>
      <c r="J41" s="53" t="e">
        <f>IF(Requirements!#REF!="","",Requirements!#REF!)</f>
        <v>#REF!</v>
      </c>
      <c r="K41" s="53" t="e">
        <f>IF(Requirements!#REF!="","",Requirements!#REF!)</f>
        <v>#REF!</v>
      </c>
      <c r="L41" s="53" t="e">
        <f>IF(Requirements!#REF!="","",Requirements!#REF!)</f>
        <v>#REF!</v>
      </c>
      <c r="M41" s="53" t="e">
        <f>IF(Requirements!#REF!="","",Requirements!#REF!)</f>
        <v>#REF!</v>
      </c>
      <c r="N41" s="53" t="e">
        <f>IF(Requirements!#REF!="","",Requirements!#REF!)</f>
        <v>#REF!</v>
      </c>
      <c r="O41" s="56" t="b">
        <f>IF(ISNUMBER(LEFT(Requirements!#REF!,1)*1),AND(I41&lt;&gt;"N/A",OR(AND(B41="DC0",Requirements!#REF!="x"),AND(B41="DC1",Requirements!#REF!="x"),AND(B41="DC2",Requirements!#REF!="x"),AND(B41="DC2+",Requirements!#REF!="x"),AND(B41="DC3",Requirements!#REF!="x")),MID(Requirements!#REF!,FIND(".",Requirements!#REF!)+1,1)&lt;&gt;"0"),FALSE)</f>
        <v>0</v>
      </c>
    </row>
    <row r="42" spans="1:15" x14ac:dyDescent="0.3">
      <c r="A42" s="53">
        <f>Questions!$B$30</f>
        <v>0</v>
      </c>
      <c r="B42" s="53" t="str">
        <f>Questions!$B$7</f>
        <v>DC3</v>
      </c>
      <c r="C42" s="53">
        <f>Questions!$B$28</f>
        <v>0</v>
      </c>
      <c r="D42" s="53">
        <f>Questions!$B$29</f>
        <v>0</v>
      </c>
      <c r="E42" s="53" t="s">
        <v>171</v>
      </c>
      <c r="F42" s="53" t="s">
        <v>172</v>
      </c>
      <c r="G42" s="53" t="e">
        <f>IF(Requirements!#REF!="","",Requirements!#REF!)</f>
        <v>#REF!</v>
      </c>
      <c r="H42" s="53" t="e">
        <f>IF(Requirements!#REF!="","",Requirements!#REF!)</f>
        <v>#REF!</v>
      </c>
      <c r="I42" s="53" t="e">
        <f>IF(Requirements!#REF!="","",Requirements!#REF!)</f>
        <v>#REF!</v>
      </c>
      <c r="J42" s="53" t="e">
        <f>IF(Requirements!#REF!="","",Requirements!#REF!)</f>
        <v>#REF!</v>
      </c>
      <c r="K42" s="53" t="e">
        <f>IF(Requirements!#REF!="","",Requirements!#REF!)</f>
        <v>#REF!</v>
      </c>
      <c r="L42" s="53" t="e">
        <f>IF(Requirements!#REF!="","",Requirements!#REF!)</f>
        <v>#REF!</v>
      </c>
      <c r="M42" s="53" t="e">
        <f>IF(Requirements!#REF!="","",Requirements!#REF!)</f>
        <v>#REF!</v>
      </c>
      <c r="N42" s="53" t="e">
        <f>IF(Requirements!#REF!="","",Requirements!#REF!)</f>
        <v>#REF!</v>
      </c>
      <c r="O42" s="56" t="b">
        <f>IF(ISNUMBER(LEFT(Requirements!#REF!,1)*1),AND(I42&lt;&gt;"N/A",OR(AND(B42="DC0",Requirements!#REF!="x"),AND(B42="DC1",Requirements!#REF!="x"),AND(B42="DC2",Requirements!#REF!="x"),AND(B42="DC2+",Requirements!#REF!="x"),AND(B42="DC3",Requirements!#REF!="x")),MID(Requirements!#REF!,FIND(".",Requirements!#REF!)+1,1)&lt;&gt;"0"),FALSE)</f>
        <v>0</v>
      </c>
    </row>
    <row r="43" spans="1:15" x14ac:dyDescent="0.3">
      <c r="A43" s="53">
        <f>Questions!$B$30</f>
        <v>0</v>
      </c>
      <c r="B43" s="53" t="str">
        <f>Questions!$B$7</f>
        <v>DC3</v>
      </c>
      <c r="C43" s="53">
        <f>Questions!$B$28</f>
        <v>0</v>
      </c>
      <c r="D43" s="53">
        <f>Questions!$B$29</f>
        <v>0</v>
      </c>
      <c r="E43" s="53" t="s">
        <v>171</v>
      </c>
      <c r="F43" s="53" t="s">
        <v>172</v>
      </c>
      <c r="G43" s="53" t="e">
        <f>IF(Requirements!#REF!="","",Requirements!#REF!)</f>
        <v>#REF!</v>
      </c>
      <c r="H43" s="53" t="e">
        <f>IF(Requirements!#REF!="","",Requirements!#REF!)</f>
        <v>#REF!</v>
      </c>
      <c r="I43" s="53" t="e">
        <f>IF(Requirements!#REF!="","",Requirements!#REF!)</f>
        <v>#REF!</v>
      </c>
      <c r="J43" s="53" t="e">
        <f>IF(Requirements!#REF!="","",Requirements!#REF!)</f>
        <v>#REF!</v>
      </c>
      <c r="K43" s="53" t="e">
        <f>IF(Requirements!#REF!="","",Requirements!#REF!)</f>
        <v>#REF!</v>
      </c>
      <c r="L43" s="53" t="e">
        <f>IF(Requirements!#REF!="","",Requirements!#REF!)</f>
        <v>#REF!</v>
      </c>
      <c r="M43" s="53" t="e">
        <f>IF(Requirements!#REF!="","",Requirements!#REF!)</f>
        <v>#REF!</v>
      </c>
      <c r="N43" s="53" t="e">
        <f>IF(Requirements!#REF!="","",Requirements!#REF!)</f>
        <v>#REF!</v>
      </c>
      <c r="O43" s="56" t="b">
        <f>IF(ISNUMBER(LEFT(Requirements!#REF!,1)*1),AND(I43&lt;&gt;"N/A",OR(AND(B43="DC0",Requirements!#REF!="x"),AND(B43="DC1",Requirements!#REF!="x"),AND(B43="DC2",Requirements!#REF!="x"),AND(B43="DC2+",Requirements!#REF!="x"),AND(B43="DC3",Requirements!#REF!="x")),MID(Requirements!#REF!,FIND(".",Requirements!#REF!)+1,1)&lt;&gt;"0"),FALSE)</f>
        <v>0</v>
      </c>
    </row>
    <row r="44" spans="1:15" x14ac:dyDescent="0.3">
      <c r="A44" s="53">
        <f>Questions!$B$30</f>
        <v>0</v>
      </c>
      <c r="B44" s="53" t="str">
        <f>Questions!$B$7</f>
        <v>DC3</v>
      </c>
      <c r="C44" s="53">
        <f>Questions!$B$28</f>
        <v>0</v>
      </c>
      <c r="D44" s="53">
        <f>Questions!$B$29</f>
        <v>0</v>
      </c>
      <c r="E44" s="53" t="s">
        <v>171</v>
      </c>
      <c r="F44" s="53" t="s">
        <v>172</v>
      </c>
      <c r="G44" s="53" t="str">
        <f>IF(Requirements!A28="","",Requirements!A28)</f>
        <v>3.0.0</v>
      </c>
      <c r="H44" s="53" t="str">
        <f>IF(Requirements!B28="","",Requirements!B28)</f>
        <v>ENCRYPTION</v>
      </c>
      <c r="I44" s="53" t="str">
        <f>IF(Requirements!K28="","",Requirements!K28)</f>
        <v/>
      </c>
      <c r="J44" s="53" t="str">
        <f>IF(Requirements!R28="","",Requirements!R28)</f>
        <v/>
      </c>
      <c r="K44" s="53" t="str">
        <f>IF(Requirements!T28="","",Requirements!T28)</f>
        <v/>
      </c>
      <c r="L44" s="53" t="str">
        <f>IF(Requirements!U28="","",Requirements!U28)</f>
        <v xml:space="preserve">Application Security Patterns </v>
      </c>
      <c r="M44" s="53" t="str">
        <f>IF(Requirements!V28="","",Requirements!V28)</f>
        <v/>
      </c>
      <c r="N44" s="53" t="str">
        <f>IF(Requirements!L28="","",Requirements!L28)</f>
        <v/>
      </c>
      <c r="O44" s="56" t="b">
        <f>IF(ISNUMBER(LEFT(Requirements!A28,1)*1),AND(I44&lt;&gt;"N/A",OR(AND(B44="DC0",Requirements!C28="x"),AND(B44="DC1",Requirements!D28="x"),AND(B44="DC2",Requirements!E28="x"),AND(B44="DC2+",Requirements!F28="x"),AND(B44="DC3",Requirements!G28="x")),MID(Requirements!A28,FIND(".",Requirements!A28)+1,1)&lt;&gt;"0"),FALSE)</f>
        <v>0</v>
      </c>
    </row>
    <row r="45" spans="1:15" x14ac:dyDescent="0.3">
      <c r="A45" s="53">
        <f>Questions!$B$30</f>
        <v>0</v>
      </c>
      <c r="B45" s="53" t="str">
        <f>Questions!$B$7</f>
        <v>DC3</v>
      </c>
      <c r="C45" s="53">
        <f>Questions!$B$28</f>
        <v>0</v>
      </c>
      <c r="D45" s="53">
        <f>Questions!$B$29</f>
        <v>0</v>
      </c>
      <c r="E45" s="53" t="s">
        <v>171</v>
      </c>
      <c r="F45" s="53" t="s">
        <v>172</v>
      </c>
      <c r="G45" s="53" t="str">
        <f>IF(Requirements!A29="","",Requirements!A29)</f>
        <v>3.1.0</v>
      </c>
      <c r="H45" s="53" t="str">
        <f>IF(Requirements!B29="","",Requirements!B29)</f>
        <v>The application/system shall implement all client to server communication over an encrypted channel</v>
      </c>
      <c r="I45" s="53" t="str">
        <f>IF(Requirements!K29="","",Requirements!K29)</f>
        <v>Yes</v>
      </c>
      <c r="J45" s="53" t="str">
        <f>IF(Requirements!R29="","",Requirements!R29)</f>
        <v>3.3.4, 3.8.5</v>
      </c>
      <c r="K45" s="53" t="str">
        <f>IF(Requirements!T29="","",Requirements!T29)</f>
        <v>UK/US IT Standard Design Standard: Application Security Patterns</v>
      </c>
      <c r="L45" s="53" t="str">
        <f>IF(Requirements!U29="","",Requirements!U29)</f>
        <v>http://usitdms.pwcinternal.com/usitdms/drl/objectId/09013881801e2fba</v>
      </c>
      <c r="M45" s="53" t="str">
        <f>IF(Requirements!V29="","",Requirements!V29)</f>
        <v xml:space="preserve"> </v>
      </c>
      <c r="N45" s="53" t="str">
        <f>IF(Requirements!L29="","",Requirements!L29)</f>
        <v/>
      </c>
      <c r="O45" s="56" t="b">
        <f>IF(ISNUMBER(LEFT(Requirements!A29,1)*1),AND(I45&lt;&gt;"N/A",OR(AND(B45="DC0",Requirements!C29="x"),AND(B45="DC1",Requirements!D29="x"),AND(B45="DC2",Requirements!E29="x"),AND(B45="DC2+",Requirements!F29="x"),AND(B45="DC3",Requirements!G29="x")),MID(Requirements!A29,FIND(".",Requirements!A29)+1,1)&lt;&gt;"0"),FALSE)</f>
        <v>1</v>
      </c>
    </row>
    <row r="46" spans="1:15" x14ac:dyDescent="0.3">
      <c r="A46" s="53">
        <f>Questions!$B$30</f>
        <v>0</v>
      </c>
      <c r="B46" s="53" t="str">
        <f>Questions!$B$7</f>
        <v>DC3</v>
      </c>
      <c r="C46" s="53">
        <f>Questions!$B$28</f>
        <v>0</v>
      </c>
      <c r="D46" s="53">
        <f>Questions!$B$29</f>
        <v>0</v>
      </c>
      <c r="E46" s="53" t="s">
        <v>171</v>
      </c>
      <c r="F46" s="53" t="s">
        <v>172</v>
      </c>
      <c r="G46" s="53" t="str">
        <f>IF(Requirements!A30="","",Requirements!A30)</f>
        <v>3.2.0</v>
      </c>
      <c r="H46" s="53" t="str">
        <f>IF(Requirements!B30="","",Requirements!B30)</f>
        <v>The application/system shall implement all server to server communication over an encrypted channel ( For cloud, encryption is required for DC1..DC3).</v>
      </c>
      <c r="I46" s="53" t="str">
        <f>IF(Requirements!K30="","",Requirements!K30)</f>
        <v>N/A</v>
      </c>
      <c r="J46" s="53" t="str">
        <f>IF(Requirements!R30="","",Requirements!R30)</f>
        <v>3.3.4, 3.8.5</v>
      </c>
      <c r="K46" s="53" t="str">
        <f>IF(Requirements!T30="","",Requirements!T30)</f>
        <v>UK/US IT Standard Design Standard: Application Security Patterns</v>
      </c>
      <c r="L46" s="53" t="str">
        <f>IF(Requirements!U30="","",Requirements!U30)</f>
        <v>http://usitdms.pwcinternal.com/usitdms/drl/objectId/09013881801e2fba</v>
      </c>
      <c r="M46" s="53" t="str">
        <f>IF(Requirements!V30="","",Requirements!V30)</f>
        <v xml:space="preserve"> </v>
      </c>
      <c r="N46" s="53" t="str">
        <f>IF(Requirements!L30="","",Requirements!L30)</f>
        <v>Assuming yes</v>
      </c>
      <c r="O46" s="56" t="b">
        <f>IF(ISNUMBER(LEFT(Requirements!A30,1)*1),AND(I46&lt;&gt;"N/A",OR(AND(B46="DC0",Requirements!C30="x"),AND(B46="DC1",Requirements!D30="x"),AND(B46="DC2",Requirements!E30="x"),AND(B46="DC2+",Requirements!F30="x"),AND(B46="DC3",Requirements!G30="x")),MID(Requirements!A30,FIND(".",Requirements!A30)+1,1)&lt;&gt;"0"),FALSE)</f>
        <v>0</v>
      </c>
    </row>
    <row r="47" spans="1:15" x14ac:dyDescent="0.3">
      <c r="A47" s="53">
        <f>Questions!$B$30</f>
        <v>0</v>
      </c>
      <c r="B47" s="53" t="str">
        <f>Questions!$B$7</f>
        <v>DC3</v>
      </c>
      <c r="C47" s="53">
        <f>Questions!$B$28</f>
        <v>0</v>
      </c>
      <c r="D47" s="53">
        <f>Questions!$B$29</f>
        <v>0</v>
      </c>
      <c r="E47" s="53" t="s">
        <v>171</v>
      </c>
      <c r="F47" s="53" t="s">
        <v>172</v>
      </c>
      <c r="G47" s="53" t="str">
        <f>IF(Requirements!A31="","",Requirements!A31)</f>
        <v>3.3.0</v>
      </c>
      <c r="H47" s="53" t="str">
        <f>IF(Requirements!B31="","",Requirements!B31)</f>
        <v>When using Symmetric Encryption as a minimum use AES with 256 bits must be used</v>
      </c>
      <c r="I47" s="53" t="str">
        <f>IF(Requirements!K31="","",Requirements!K31)</f>
        <v>N/A</v>
      </c>
      <c r="J47" s="53" t="str">
        <f>IF(Requirements!R31="","",Requirements!R31)</f>
        <v>3.3.4, 3.8.5</v>
      </c>
      <c r="K47" s="53" t="str">
        <f>IF(Requirements!T31="","",Requirements!T31)</f>
        <v>UK/US IT Standard Design Standard: Application Security Patterns</v>
      </c>
      <c r="L47" s="53" t="str">
        <f>IF(Requirements!U31="","",Requirements!U31)</f>
        <v>http://usitdms.pwcinternal.com/usitdms/drl/objectId/09013881801e2fba</v>
      </c>
      <c r="M47" s="53" t="str">
        <f>IF(Requirements!V31="","",Requirements!V31)</f>
        <v/>
      </c>
      <c r="N47" s="53" t="str">
        <f>IF(Requirements!L31="","",Requirements!L31)</f>
        <v>Not sure?</v>
      </c>
      <c r="O47" s="56" t="b">
        <f>IF(ISNUMBER(LEFT(Requirements!A31,1)*1),AND(I47&lt;&gt;"N/A",OR(AND(B47="DC0",Requirements!C31="x"),AND(B47="DC1",Requirements!D31="x"),AND(B47="DC2",Requirements!E31="x"),AND(B47="DC2+",Requirements!F31="x"),AND(B47="DC3",Requirements!G31="x")),MID(Requirements!A31,FIND(".",Requirements!A31)+1,1)&lt;&gt;"0"),FALSE)</f>
        <v>0</v>
      </c>
    </row>
    <row r="48" spans="1:15" x14ac:dyDescent="0.3">
      <c r="A48" s="53">
        <f>Questions!$B$30</f>
        <v>0</v>
      </c>
      <c r="B48" s="53" t="str">
        <f>Questions!$B$7</f>
        <v>DC3</v>
      </c>
      <c r="C48" s="53">
        <f>Questions!$B$28</f>
        <v>0</v>
      </c>
      <c r="D48" s="53">
        <f>Questions!$B$29</f>
        <v>0</v>
      </c>
      <c r="E48" s="53" t="s">
        <v>171</v>
      </c>
      <c r="F48" s="53" t="s">
        <v>172</v>
      </c>
      <c r="G48" s="53" t="str">
        <f>IF(Requirements!A32="","",Requirements!A32)</f>
        <v>3.4.0</v>
      </c>
      <c r="H48" s="53" t="str">
        <f>IF(Requirements!B32="","",Requirements!B32)</f>
        <v>When using Symmetric Encryption as a minimum use AES with 128 bits must be used, recommended 256 bits.</v>
      </c>
      <c r="I48" s="53" t="str">
        <f>IF(Requirements!K32="","",Requirements!K32)</f>
        <v/>
      </c>
      <c r="J48" s="53" t="str">
        <f>IF(Requirements!R32="","",Requirements!R32)</f>
        <v>3.3.4, 3.8.5</v>
      </c>
      <c r="K48" s="53" t="str">
        <f>IF(Requirements!T32="","",Requirements!T32)</f>
        <v>UK/US IT Standard Design Standard: Application Security Patterns</v>
      </c>
      <c r="L48" s="53" t="str">
        <f>IF(Requirements!U32="","",Requirements!U32)</f>
        <v>http://usitdms.pwcinternal.com/usitdms/drl/objectId/09013881801e2fba</v>
      </c>
      <c r="M48" s="53" t="str">
        <f>IF(Requirements!V32="","",Requirements!V32)</f>
        <v/>
      </c>
      <c r="N48" s="53" t="str">
        <f>IF(Requirements!L32="","",Requirements!L32)</f>
        <v/>
      </c>
      <c r="O48" s="56" t="b">
        <f>IF(ISNUMBER(LEFT(Requirements!A32,1)*1),AND(I48&lt;&gt;"N/A",OR(AND(B48="DC0",Requirements!C32="x"),AND(B48="DC1",Requirements!D32="x"),AND(B48="DC2",Requirements!E32="x"),AND(B48="DC2+",Requirements!F32="x"),AND(B48="DC3",Requirements!G32="x")),MID(Requirements!A32,FIND(".",Requirements!A32)+1,1)&lt;&gt;"0"),FALSE)</f>
        <v>0</v>
      </c>
    </row>
    <row r="49" spans="1:15" x14ac:dyDescent="0.3">
      <c r="A49" s="53">
        <f>Questions!$B$30</f>
        <v>0</v>
      </c>
      <c r="B49" s="53" t="str">
        <f>Questions!$B$7</f>
        <v>DC3</v>
      </c>
      <c r="C49" s="53">
        <f>Questions!$B$28</f>
        <v>0</v>
      </c>
      <c r="D49" s="53">
        <f>Questions!$B$29</f>
        <v>0</v>
      </c>
      <c r="E49" s="53" t="s">
        <v>171</v>
      </c>
      <c r="F49" s="53" t="s">
        <v>172</v>
      </c>
      <c r="G49" s="53" t="str">
        <f>IF(Requirements!A33="","",Requirements!A33)</f>
        <v>3.5.0</v>
      </c>
      <c r="H49" s="53" t="str">
        <f>IF(Requirements!B33="","",Requirements!B33)</f>
        <v>Asymmetric Encryption as a minimum RSA:2048 bits key, DSA:2048 bits key or ECC: 256 bits key .  ECC is preferred</v>
      </c>
      <c r="I49" s="53" t="str">
        <f>IF(Requirements!K33="","",Requirements!K33)</f>
        <v>N/A</v>
      </c>
      <c r="J49" s="53" t="str">
        <f>IF(Requirements!R33="","",Requirements!R33)</f>
        <v>3.3.4, 3.8.5</v>
      </c>
      <c r="K49" s="53" t="str">
        <f>IF(Requirements!T33="","",Requirements!T33)</f>
        <v>UK/US IT Standard Design Standard: Application Security Patterns</v>
      </c>
      <c r="L49" s="53" t="str">
        <f>IF(Requirements!U33="","",Requirements!U33)</f>
        <v>http://usitdms.pwcinternal.com/usitdms/drl/objectId/09013881801e2fba</v>
      </c>
      <c r="M49" s="53" t="str">
        <f>IF(Requirements!V33="","",Requirements!V33)</f>
        <v/>
      </c>
      <c r="N49" s="53" t="str">
        <f>IF(Requirements!L33="","",Requirements!L33)</f>
        <v/>
      </c>
      <c r="O49" s="56" t="b">
        <f>IF(ISNUMBER(LEFT(Requirements!A33,1)*1),AND(I49&lt;&gt;"N/A",OR(AND(B49="DC0",Requirements!C33="x"),AND(B49="DC1",Requirements!D33="x"),AND(B49="DC2",Requirements!E33="x"),AND(B49="DC2+",Requirements!F33="x"),AND(B49="DC3",Requirements!G33="x")),MID(Requirements!A33,FIND(".",Requirements!A33)+1,1)&lt;&gt;"0"),FALSE)</f>
        <v>0</v>
      </c>
    </row>
    <row r="50" spans="1:15" x14ac:dyDescent="0.3">
      <c r="A50" s="53">
        <f>Questions!$B$30</f>
        <v>0</v>
      </c>
      <c r="B50" s="53" t="str">
        <f>Questions!$B$7</f>
        <v>DC3</v>
      </c>
      <c r="C50" s="53">
        <f>Questions!$B$28</f>
        <v>0</v>
      </c>
      <c r="D50" s="53">
        <f>Questions!$B$29</f>
        <v>0</v>
      </c>
      <c r="E50" s="53" t="s">
        <v>171</v>
      </c>
      <c r="F50" s="53" t="s">
        <v>172</v>
      </c>
      <c r="G50" s="53" t="str">
        <f>IF(Requirements!A34="","",Requirements!A34)</f>
        <v>3.6.0</v>
      </c>
      <c r="H50" s="53" t="str">
        <f>IF(Requirements!B34="","",Requirements!B34)</f>
        <v>The application/system shall implement encryption of data at rest in the hosting environment. ( For cloud, encryption is required for DC1..DC3).</v>
      </c>
      <c r="I50" s="53" t="str">
        <f>IF(Requirements!K34="","",Requirements!K34)</f>
        <v>Yes</v>
      </c>
      <c r="J50" s="53" t="str">
        <f>IF(Requirements!R34="","",Requirements!R34)</f>
        <v>3.3.4, 3.8.5</v>
      </c>
      <c r="K50" s="53" t="str">
        <f>IF(Requirements!T34="","",Requirements!T34)</f>
        <v>UK/US IT Standard Design Standard: Application Security Patterns</v>
      </c>
      <c r="L50" s="53" t="str">
        <f>IF(Requirements!U34="","",Requirements!U34)</f>
        <v>http://usitdms.pwcinternal.com/usitdms/drl/objectId/09013881801e2fba</v>
      </c>
      <c r="M50" s="53" t="str">
        <f>IF(Requirements!V34="","",Requirements!V34)</f>
        <v xml:space="preserve"> </v>
      </c>
      <c r="N50" s="53" t="str">
        <f>IF(Requirements!L34="","",Requirements!L34)</f>
        <v>TDE???</v>
      </c>
      <c r="O50" s="56" t="b">
        <f>IF(ISNUMBER(LEFT(Requirements!A34,1)*1),AND(I50&lt;&gt;"N/A",OR(AND(B50="DC0",Requirements!C34="x"),AND(B50="DC1",Requirements!D34="x"),AND(B50="DC2",Requirements!E34="x"),AND(B50="DC2+",Requirements!F34="x"),AND(B50="DC3",Requirements!G34="x")),MID(Requirements!A34,FIND(".",Requirements!A34)+1,1)&lt;&gt;"0"),FALSE)</f>
        <v>1</v>
      </c>
    </row>
    <row r="51" spans="1:15" x14ac:dyDescent="0.3">
      <c r="A51" s="53">
        <f>Questions!$B$30</f>
        <v>0</v>
      </c>
      <c r="B51" s="53" t="str">
        <f>Questions!$B$7</f>
        <v>DC3</v>
      </c>
      <c r="C51" s="53">
        <f>Questions!$B$28</f>
        <v>0</v>
      </c>
      <c r="D51" s="53">
        <f>Questions!$B$29</f>
        <v>0</v>
      </c>
      <c r="E51" s="53" t="s">
        <v>171</v>
      </c>
      <c r="F51" s="53" t="s">
        <v>172</v>
      </c>
      <c r="G51" s="53" t="str">
        <f>IF(Requirements!A35="","",Requirements!A35)</f>
        <v>3.7.0</v>
      </c>
      <c r="H51" s="53" t="str">
        <f>IF(Requirements!B35="","",Requirements!B35)</f>
        <v>The application/system shall implement encryption of data at rest OUT of the hosting environment.  ( e.g. backups, USB drive, etc.)</v>
      </c>
      <c r="I51" s="53" t="str">
        <f>IF(Requirements!K35="","",Requirements!K35)</f>
        <v>N/A</v>
      </c>
      <c r="J51" s="53" t="str">
        <f>IF(Requirements!R35="","",Requirements!R35)</f>
        <v>3.3.4, 3.8.5</v>
      </c>
      <c r="K51" s="53" t="str">
        <f>IF(Requirements!T35="","",Requirements!T35)</f>
        <v>UK/US IT Standard Design Standard: Application Security Patterns</v>
      </c>
      <c r="L51" s="53" t="str">
        <f>IF(Requirements!U35="","",Requirements!U35)</f>
        <v>http://usitdms.pwcinternal.com/usitdms/drl/objectId/09013881801e2fba</v>
      </c>
      <c r="M51" s="53" t="str">
        <f>IF(Requirements!V35="","",Requirements!V35)</f>
        <v xml:space="preserve"> </v>
      </c>
      <c r="N51" s="53" t="str">
        <f>IF(Requirements!L35="","",Requirements!L35)</f>
        <v/>
      </c>
      <c r="O51" s="56" t="b">
        <f>IF(ISNUMBER(LEFT(Requirements!A35,1)*1),AND(I51&lt;&gt;"N/A",OR(AND(B51="DC0",Requirements!C35="x"),AND(B51="DC1",Requirements!D35="x"),AND(B51="DC2",Requirements!E35="x"),AND(B51="DC2+",Requirements!F35="x"),AND(B51="DC3",Requirements!G35="x")),MID(Requirements!A35,FIND(".",Requirements!A35)+1,1)&lt;&gt;"0"),FALSE)</f>
        <v>0</v>
      </c>
    </row>
    <row r="52" spans="1:15" x14ac:dyDescent="0.3">
      <c r="A52" s="53">
        <f>Questions!$B$30</f>
        <v>0</v>
      </c>
      <c r="B52" s="53" t="str">
        <f>Questions!$B$7</f>
        <v>DC3</v>
      </c>
      <c r="C52" s="53">
        <f>Questions!$B$28</f>
        <v>0</v>
      </c>
      <c r="D52" s="53">
        <f>Questions!$B$29</f>
        <v>0</v>
      </c>
      <c r="E52" s="53" t="s">
        <v>171</v>
      </c>
      <c r="F52" s="53" t="s">
        <v>172</v>
      </c>
      <c r="G52" s="53" t="e">
        <f>IF(Requirements!#REF!="","",Requirements!#REF!)</f>
        <v>#REF!</v>
      </c>
      <c r="H52" s="53" t="e">
        <f>IF(Requirements!#REF!="","",Requirements!#REF!)</f>
        <v>#REF!</v>
      </c>
      <c r="I52" s="53" t="e">
        <f>IF(Requirements!#REF!="","",Requirements!#REF!)</f>
        <v>#REF!</v>
      </c>
      <c r="J52" s="53" t="e">
        <f>IF(Requirements!#REF!="","",Requirements!#REF!)</f>
        <v>#REF!</v>
      </c>
      <c r="K52" s="53" t="e">
        <f>IF(Requirements!#REF!="","",Requirements!#REF!)</f>
        <v>#REF!</v>
      </c>
      <c r="L52" s="53" t="e">
        <f>IF(Requirements!#REF!="","",Requirements!#REF!)</f>
        <v>#REF!</v>
      </c>
      <c r="M52" s="53" t="e">
        <f>IF(Requirements!#REF!="","",Requirements!#REF!)</f>
        <v>#REF!</v>
      </c>
      <c r="N52" s="53" t="e">
        <f>IF(Requirements!#REF!="","",Requirements!#REF!)</f>
        <v>#REF!</v>
      </c>
      <c r="O52" s="56" t="b">
        <f>IF(ISNUMBER(LEFT(Requirements!#REF!,1)*1),AND(I52&lt;&gt;"N/A",OR(AND(B52="DC0",Requirements!#REF!="x"),AND(B52="DC1",Requirements!#REF!="x"),AND(B52="DC2",Requirements!#REF!="x"),AND(B52="DC2+",Requirements!#REF!="x"),AND(B52="DC3",Requirements!#REF!="x")),MID(Requirements!#REF!,FIND(".",Requirements!#REF!)+1,1)&lt;&gt;"0"),FALSE)</f>
        <v>0</v>
      </c>
    </row>
    <row r="53" spans="1:15" x14ac:dyDescent="0.3">
      <c r="A53" s="53">
        <f>Questions!$B$30</f>
        <v>0</v>
      </c>
      <c r="B53" s="53" t="str">
        <f>Questions!$B$7</f>
        <v>DC3</v>
      </c>
      <c r="C53" s="53">
        <f>Questions!$B$28</f>
        <v>0</v>
      </c>
      <c r="D53" s="53">
        <f>Questions!$B$29</f>
        <v>0</v>
      </c>
      <c r="E53" s="53" t="s">
        <v>171</v>
      </c>
      <c r="F53" s="53" t="s">
        <v>172</v>
      </c>
      <c r="G53" s="53" t="str">
        <f>IF(Requirements!A36="","",Requirements!A36)</f>
        <v>3.8.0</v>
      </c>
      <c r="H53" s="53" t="str">
        <f>IF(Requirements!B36="","",Requirements!B36)</f>
        <v>All hashing must be performed using SHA-2/SHA256 or better</v>
      </c>
      <c r="I53" s="53" t="str">
        <f>IF(Requirements!K36="","",Requirements!K36)</f>
        <v>Yes</v>
      </c>
      <c r="J53" s="53" t="str">
        <f>IF(Requirements!R36="","",Requirements!R36)</f>
        <v>3.3.4, 3.8.5</v>
      </c>
      <c r="K53" s="53" t="str">
        <f>IF(Requirements!T36="","",Requirements!T36)</f>
        <v>UK/US IT Standard Design Standard: Application Security Patterns</v>
      </c>
      <c r="L53" s="53" t="str">
        <f>IF(Requirements!U36="","",Requirements!U36)</f>
        <v>http://usitdms.pwcinternal.com/usitdms/drl/objectId/09013881801e2fba</v>
      </c>
      <c r="M53" s="53" t="str">
        <f>IF(Requirements!V36="","",Requirements!V36)</f>
        <v/>
      </c>
      <c r="N53" s="53" t="str">
        <f>IF(Requirements!L36="","",Requirements!L36)</f>
        <v/>
      </c>
      <c r="O53" s="56" t="b">
        <f>IF(ISNUMBER(LEFT(Requirements!A36,1)*1),AND(I53&lt;&gt;"N/A",OR(AND(B53="DC0",Requirements!C36="x"),AND(B53="DC1",Requirements!D36="x"),AND(B53="DC2",Requirements!E36="x"),AND(B53="DC2+",Requirements!F36="x"),AND(B53="DC3",Requirements!G36="x")),MID(Requirements!A36,FIND(".",Requirements!A36)+1,1)&lt;&gt;"0"),FALSE)</f>
        <v>1</v>
      </c>
    </row>
    <row r="54" spans="1:15" x14ac:dyDescent="0.3">
      <c r="A54" s="53">
        <f>Questions!$B$30</f>
        <v>0</v>
      </c>
      <c r="B54" s="53" t="str">
        <f>Questions!$B$7</f>
        <v>DC3</v>
      </c>
      <c r="C54" s="53">
        <f>Questions!$B$28</f>
        <v>0</v>
      </c>
      <c r="D54" s="53">
        <f>Questions!$B$29</f>
        <v>0</v>
      </c>
      <c r="E54" s="53" t="s">
        <v>171</v>
      </c>
      <c r="F54" s="53" t="s">
        <v>172</v>
      </c>
      <c r="G54" s="53" t="e">
        <f>IF(Requirements!#REF!="","",Requirements!#REF!)</f>
        <v>#REF!</v>
      </c>
      <c r="H54" s="53" t="e">
        <f>IF(Requirements!#REF!="","",Requirements!#REF!)</f>
        <v>#REF!</v>
      </c>
      <c r="I54" s="53" t="e">
        <f>IF(Requirements!#REF!="","",Requirements!#REF!)</f>
        <v>#REF!</v>
      </c>
      <c r="J54" s="53" t="e">
        <f>IF(Requirements!#REF!="","",Requirements!#REF!)</f>
        <v>#REF!</v>
      </c>
      <c r="K54" s="53" t="e">
        <f>IF(Requirements!#REF!="","",Requirements!#REF!)</f>
        <v>#REF!</v>
      </c>
      <c r="L54" s="53" t="e">
        <f>IF(Requirements!#REF!="","",Requirements!#REF!)</f>
        <v>#REF!</v>
      </c>
      <c r="M54" s="53" t="e">
        <f>IF(Requirements!#REF!="","",Requirements!#REF!)</f>
        <v>#REF!</v>
      </c>
      <c r="N54" s="53" t="e">
        <f>IF(Requirements!#REF!="","",Requirements!#REF!)</f>
        <v>#REF!</v>
      </c>
      <c r="O54" s="56" t="b">
        <f>IF(ISNUMBER(LEFT(Requirements!#REF!,1)*1),AND(I54&lt;&gt;"N/A",OR(AND(B54="DC0",Requirements!#REF!="x"),AND(B54="DC1",Requirements!#REF!="x"),AND(B54="DC2",Requirements!#REF!="x"),AND(B54="DC2+",Requirements!#REF!="x"),AND(B54="DC3",Requirements!#REF!="x")),MID(Requirements!#REF!,FIND(".",Requirements!#REF!)+1,1)&lt;&gt;"0"),FALSE)</f>
        <v>0</v>
      </c>
    </row>
    <row r="55" spans="1:15" x14ac:dyDescent="0.3">
      <c r="A55" s="53">
        <f>Questions!$B$30</f>
        <v>0</v>
      </c>
      <c r="B55" s="53" t="str">
        <f>Questions!$B$7</f>
        <v>DC3</v>
      </c>
      <c r="C55" s="53">
        <f>Questions!$B$28</f>
        <v>0</v>
      </c>
      <c r="D55" s="53">
        <f>Questions!$B$29</f>
        <v>0</v>
      </c>
      <c r="E55" s="53" t="s">
        <v>171</v>
      </c>
      <c r="F55" s="53" t="s">
        <v>172</v>
      </c>
      <c r="G55" s="53" t="str">
        <f>IF(Requirements!A37="","",Requirements!A37)</f>
        <v>3.9.0</v>
      </c>
      <c r="H55" s="53" t="str">
        <f>IF(Requirements!B37="","",Requirements!B37)</f>
        <v>Externally facing application shall use root signed/trusted certificates</v>
      </c>
      <c r="I55" s="53" t="str">
        <f>IF(Requirements!K37="","",Requirements!K37)</f>
        <v>Yes</v>
      </c>
      <c r="J55" s="53" t="str">
        <f>IF(Requirements!R37="","",Requirements!R37)</f>
        <v>3.3.4, 3.8.5</v>
      </c>
      <c r="K55" s="53" t="str">
        <f>IF(Requirements!T37="","",Requirements!T37)</f>
        <v/>
      </c>
      <c r="L55" s="53" t="str">
        <f>IF(Requirements!U37="","",Requirements!U37)</f>
        <v/>
      </c>
      <c r="M55" s="53" t="str">
        <f>IF(Requirements!V37="","",Requirements!V37)</f>
        <v/>
      </c>
      <c r="N55" s="53" t="str">
        <f>IF(Requirements!L37="","",Requirements!L37)</f>
        <v/>
      </c>
      <c r="O55" s="56" t="b">
        <f>IF(ISNUMBER(LEFT(Requirements!A37,1)*1),AND(I55&lt;&gt;"N/A",OR(AND(B55="DC0",Requirements!C37="x"),AND(B55="DC1",Requirements!D37="x"),AND(B55="DC2",Requirements!E37="x"),AND(B55="DC2+",Requirements!F37="x"),AND(B55="DC3",Requirements!G37="x")),MID(Requirements!A37,FIND(".",Requirements!A37)+1,1)&lt;&gt;"0"),FALSE)</f>
        <v>1</v>
      </c>
    </row>
    <row r="56" spans="1:15" x14ac:dyDescent="0.3">
      <c r="A56" s="53">
        <f>Questions!$B$30</f>
        <v>0</v>
      </c>
      <c r="B56" s="53" t="str">
        <f>Questions!$B$7</f>
        <v>DC3</v>
      </c>
      <c r="C56" s="53">
        <f>Questions!$B$28</f>
        <v>0</v>
      </c>
      <c r="D56" s="53">
        <f>Questions!$B$29</f>
        <v>0</v>
      </c>
      <c r="E56" s="53" t="s">
        <v>171</v>
      </c>
      <c r="F56" s="53" t="s">
        <v>172</v>
      </c>
      <c r="G56" s="53" t="str">
        <f>IF(Requirements!A38="","",Requirements!A38)</f>
        <v>3.10.0</v>
      </c>
      <c r="H56" s="53" t="str">
        <f>IF(Requirements!B38="","",Requirements!B38)</f>
        <v>All cryptographic modules/algorithms must be FIPS -140-2 certified. 
http://csrc.nist.gov/groups/STM/cmvp/documents/140-1/140val-all.htm</v>
      </c>
      <c r="I56" s="53" t="str">
        <f>IF(Requirements!K38="","",Requirements!K38)</f>
        <v>Yes</v>
      </c>
      <c r="J56" s="53" t="str">
        <f>IF(Requirements!R38="","",Requirements!R38)</f>
        <v>3.3.4, 3.8.5</v>
      </c>
      <c r="K56" s="53" t="str">
        <f>IF(Requirements!T38="","",Requirements!T38)</f>
        <v/>
      </c>
      <c r="L56" s="53" t="str">
        <f>IF(Requirements!U38="","",Requirements!U38)</f>
        <v/>
      </c>
      <c r="M56" s="53" t="str">
        <f>IF(Requirements!V38="","",Requirements!V38)</f>
        <v/>
      </c>
      <c r="N56" s="53" t="str">
        <f>IF(Requirements!L38="","",Requirements!L38)</f>
        <v>Standard behavior??</v>
      </c>
      <c r="O56" s="56" t="b">
        <f>IF(ISNUMBER(LEFT(Requirements!A38,1)*1),AND(I56&lt;&gt;"N/A",OR(AND(B56="DC0",Requirements!C38="x"),AND(B56="DC1",Requirements!D38="x"),AND(B56="DC2",Requirements!E38="x"),AND(B56="DC2+",Requirements!F38="x"),AND(B56="DC3",Requirements!G38="x")),MID(Requirements!A38,FIND(".",Requirements!A38)+1,1)&lt;&gt;"0"),FALSE)</f>
        <v>1</v>
      </c>
    </row>
    <row r="57" spans="1:15" x14ac:dyDescent="0.3">
      <c r="A57" s="53">
        <f>Questions!$B$30</f>
        <v>0</v>
      </c>
      <c r="B57" s="53" t="str">
        <f>Questions!$B$7</f>
        <v>DC3</v>
      </c>
      <c r="C57" s="53">
        <f>Questions!$B$28</f>
        <v>0</v>
      </c>
      <c r="D57" s="53">
        <f>Questions!$B$29</f>
        <v>0</v>
      </c>
      <c r="E57" s="53" t="s">
        <v>171</v>
      </c>
      <c r="F57" s="53" t="s">
        <v>172</v>
      </c>
      <c r="G57" s="53" t="e">
        <f>IF(Requirements!#REF!="","",Requirements!#REF!)</f>
        <v>#REF!</v>
      </c>
      <c r="H57" s="53" t="e">
        <f>IF(Requirements!#REF!="","",Requirements!#REF!)</f>
        <v>#REF!</v>
      </c>
      <c r="I57" s="53" t="e">
        <f>IF(Requirements!#REF!="","",Requirements!#REF!)</f>
        <v>#REF!</v>
      </c>
      <c r="J57" s="53" t="e">
        <f>IF(Requirements!#REF!="","",Requirements!#REF!)</f>
        <v>#REF!</v>
      </c>
      <c r="K57" s="53" t="e">
        <f>IF(Requirements!#REF!="","",Requirements!#REF!)</f>
        <v>#REF!</v>
      </c>
      <c r="L57" s="53" t="e">
        <f>IF(Requirements!#REF!="","",Requirements!#REF!)</f>
        <v>#REF!</v>
      </c>
      <c r="M57" s="53" t="e">
        <f>IF(Requirements!#REF!="","",Requirements!#REF!)</f>
        <v>#REF!</v>
      </c>
      <c r="N57" s="53" t="e">
        <f>IF(Requirements!#REF!="","",Requirements!#REF!)</f>
        <v>#REF!</v>
      </c>
      <c r="O57" s="56" t="b">
        <f>IF(ISNUMBER(LEFT(Requirements!#REF!,1)*1),AND(I57&lt;&gt;"N/A",OR(AND(B57="DC0",Requirements!#REF!="x"),AND(B57="DC1",Requirements!#REF!="x"),AND(B57="DC2",Requirements!#REF!="x"),AND(B57="DC2+",Requirements!#REF!="x"),AND(B57="DC3",Requirements!#REF!="x")),MID(Requirements!#REF!,FIND(".",Requirements!#REF!)+1,1)&lt;&gt;"0"),FALSE)</f>
        <v>0</v>
      </c>
    </row>
    <row r="58" spans="1:15" x14ac:dyDescent="0.3">
      <c r="A58" s="53">
        <f>Questions!$B$30</f>
        <v>0</v>
      </c>
      <c r="B58" s="53" t="str">
        <f>Questions!$B$7</f>
        <v>DC3</v>
      </c>
      <c r="C58" s="53">
        <f>Questions!$B$28</f>
        <v>0</v>
      </c>
      <c r="D58" s="53">
        <f>Questions!$B$29</f>
        <v>0</v>
      </c>
      <c r="E58" s="53" t="s">
        <v>171</v>
      </c>
      <c r="F58" s="53" t="s">
        <v>172</v>
      </c>
      <c r="G58" s="53" t="str">
        <f>IF(Requirements!A40="","",Requirements!A40)</f>
        <v>3.12.0</v>
      </c>
      <c r="H58" s="53" t="str">
        <f>IF(Requirements!B40="","",Requirements!B40)</f>
        <v>Use TLS version 1.2 as a minimum</v>
      </c>
      <c r="I58" s="53" t="str">
        <f>IF(Requirements!K40="","",Requirements!K40)</f>
        <v>Yes</v>
      </c>
      <c r="J58" s="53" t="str">
        <f>IF(Requirements!R40="","",Requirements!R40)</f>
        <v>3.3.4, 3.8.5</v>
      </c>
      <c r="K58" s="53" t="str">
        <f>IF(Requirements!T40="","",Requirements!T40)</f>
        <v/>
      </c>
      <c r="L58" s="53" t="str">
        <f>IF(Requirements!U40="","",Requirements!U40)</f>
        <v/>
      </c>
      <c r="M58" s="53" t="str">
        <f>IF(Requirements!V40="","",Requirements!V40)</f>
        <v/>
      </c>
      <c r="N58" s="53" t="str">
        <f>IF(Requirements!L40="","",Requirements!L40)</f>
        <v>ssl standard includes TLS</v>
      </c>
      <c r="O58" s="56" t="b">
        <f>IF(ISNUMBER(LEFT(Requirements!A40,1)*1),AND(I58&lt;&gt;"N/A",OR(AND(B58="DC0",Requirements!C40="x"),AND(B58="DC1",Requirements!D40="x"),AND(B58="DC2",Requirements!E40="x"),AND(B58="DC2+",Requirements!F40="x"),AND(B58="DC3",Requirements!G40="x")),MID(Requirements!A40,FIND(".",Requirements!A40)+1,1)&lt;&gt;"0"),FALSE)</f>
        <v>1</v>
      </c>
    </row>
    <row r="59" spans="1:15" x14ac:dyDescent="0.3">
      <c r="A59" s="53">
        <f>Questions!$B$30</f>
        <v>0</v>
      </c>
      <c r="B59" s="53" t="str">
        <f>Questions!$B$7</f>
        <v>DC3</v>
      </c>
      <c r="C59" s="53">
        <f>Questions!$B$28</f>
        <v>0</v>
      </c>
      <c r="D59" s="53">
        <f>Questions!$B$29</f>
        <v>0</v>
      </c>
      <c r="E59" s="53" t="s">
        <v>171</v>
      </c>
      <c r="F59" s="53" t="s">
        <v>172</v>
      </c>
      <c r="G59" s="53" t="str">
        <f>IF(Requirements!A44="","",Requirements!A44)</f>
        <v>4.0.0</v>
      </c>
      <c r="H59" s="53" t="str">
        <f>IF(Requirements!B44="","",Requirements!B44)</f>
        <v>DEVELOPMENT</v>
      </c>
      <c r="I59" s="53" t="str">
        <f>IF(Requirements!K44="","",Requirements!K44)</f>
        <v/>
      </c>
      <c r="J59" s="53" t="str">
        <f>IF(Requirements!R44="","",Requirements!R44)</f>
        <v/>
      </c>
      <c r="K59" s="53" t="str">
        <f>IF(Requirements!T44="","",Requirements!T44)</f>
        <v/>
      </c>
      <c r="L59" s="53" t="str">
        <f>IF(Requirements!U44="","",Requirements!U44)</f>
        <v/>
      </c>
      <c r="M59" s="53" t="str">
        <f>IF(Requirements!V44="","",Requirements!V44)</f>
        <v/>
      </c>
      <c r="N59" s="53" t="str">
        <f>IF(Requirements!L44="","",Requirements!L44)</f>
        <v/>
      </c>
      <c r="O59" s="56" t="b">
        <f>IF(ISNUMBER(LEFT(Requirements!A44,1)*1),AND(I59&lt;&gt;"N/A",OR(AND(B59="DC0",Requirements!C44="x"),AND(B59="DC1",Requirements!D44="x"),AND(B59="DC2",Requirements!E44="x"),AND(B59="DC2+",Requirements!F44="x"),AND(B59="DC3",Requirements!G44="x")),MID(Requirements!A44,FIND(".",Requirements!A44)+1,1)&lt;&gt;"0"),FALSE)</f>
        <v>0</v>
      </c>
    </row>
    <row r="60" spans="1:15" x14ac:dyDescent="0.3">
      <c r="A60" s="53">
        <f>Questions!$B$30</f>
        <v>0</v>
      </c>
      <c r="B60" s="53" t="str">
        <f>Questions!$B$7</f>
        <v>DC3</v>
      </c>
      <c r="C60" s="53">
        <f>Questions!$B$28</f>
        <v>0</v>
      </c>
      <c r="D60" s="53">
        <f>Questions!$B$29</f>
        <v>0</v>
      </c>
      <c r="E60" s="53" t="s">
        <v>171</v>
      </c>
      <c r="F60" s="53" t="s">
        <v>172</v>
      </c>
      <c r="G60" s="53" t="e">
        <f>IF(Requirements!#REF!="","",Requirements!#REF!)</f>
        <v>#REF!</v>
      </c>
      <c r="H60" s="53" t="e">
        <f>IF(Requirements!#REF!="","",Requirements!#REF!)</f>
        <v>#REF!</v>
      </c>
      <c r="I60" s="53" t="e">
        <f>IF(Requirements!#REF!="","",Requirements!#REF!)</f>
        <v>#REF!</v>
      </c>
      <c r="J60" s="53" t="e">
        <f>IF(Requirements!#REF!="","",Requirements!#REF!)</f>
        <v>#REF!</v>
      </c>
      <c r="K60" s="53" t="e">
        <f>IF(Requirements!#REF!="","",Requirements!#REF!)</f>
        <v>#REF!</v>
      </c>
      <c r="L60" s="53" t="e">
        <f>IF(Requirements!#REF!="","",Requirements!#REF!)</f>
        <v>#REF!</v>
      </c>
      <c r="M60" s="53" t="e">
        <f>IF(Requirements!#REF!="","",Requirements!#REF!)</f>
        <v>#REF!</v>
      </c>
      <c r="N60" s="53" t="e">
        <f>IF(Requirements!#REF!="","",Requirements!#REF!)</f>
        <v>#REF!</v>
      </c>
      <c r="O60" s="56" t="b">
        <f>IF(ISNUMBER(LEFT(Requirements!#REF!,1)*1),AND(I60&lt;&gt;"N/A",OR(AND(B60="DC0",Requirements!#REF!="x"),AND(B60="DC1",Requirements!#REF!="x"),AND(B60="DC2",Requirements!#REF!="x"),AND(B60="DC2+",Requirements!#REF!="x"),AND(B60="DC3",Requirements!#REF!="x")),MID(Requirements!#REF!,FIND(".",Requirements!#REF!)+1,1)&lt;&gt;"0"),FALSE)</f>
        <v>0</v>
      </c>
    </row>
    <row r="61" spans="1:15" x14ac:dyDescent="0.3">
      <c r="A61" s="53">
        <f>Questions!$B$30</f>
        <v>0</v>
      </c>
      <c r="B61" s="53" t="str">
        <f>Questions!$B$7</f>
        <v>DC3</v>
      </c>
      <c r="C61" s="53">
        <f>Questions!$B$28</f>
        <v>0</v>
      </c>
      <c r="D61" s="53">
        <f>Questions!$B$29</f>
        <v>0</v>
      </c>
      <c r="E61" s="53" t="s">
        <v>171</v>
      </c>
      <c r="F61" s="53" t="s">
        <v>172</v>
      </c>
      <c r="G61" s="53" t="e">
        <f>IF(Requirements!#REF!="","",Requirements!#REF!)</f>
        <v>#REF!</v>
      </c>
      <c r="H61" s="53" t="str">
        <f>IF(Requirements!B45="","",Requirements!B45)</f>
        <v xml:space="preserve">All code shall use input and output validation, filtering encoding and/or escaping techniques following best practices (e.g. OWASP) and PwC development standards to ensure input cannot cause application faults or unexpected behavior.   Invalid inputs MUST log error messages and MUST NOT cause change to data.  ( For instance: input that is subsequently used for  file retrieval MUST be filtered to ensure it does not specify an incorrect path)
</v>
      </c>
      <c r="I61" s="53" t="str">
        <f>IF(Requirements!K45="","",Requirements!K45)</f>
        <v>Yes</v>
      </c>
      <c r="J61" s="53">
        <f>IF(Requirements!R45="","",Requirements!R45)</f>
        <v>3.8</v>
      </c>
      <c r="K61" s="53" t="str">
        <f>IF(Requirements!T45="","",Requirements!T45)</f>
        <v>UK-US IT Standard - .NET Application Security Remediation Techniques
UK/US IT Standard Design Standard: Coding Standard: Java Application Development
UK/US IT Standard Design Standard: Application Security Selection Criteria</v>
      </c>
      <c r="L61" s="53" t="str">
        <f>IF(Requirements!U45="","",Requirements!U45)</f>
        <v>http://usitdms.pwcinternal.com/usitdms/drl/objectId/09013881801a79c4
http://usitdms.pwcinternal.com/usitdms/drl/objectId/09013881801a3c56
http://usitdms.pwcinternal.com/usitdms/drl/objectId/09013881801e323c</v>
      </c>
      <c r="M61" s="53" t="str">
        <f>IF(Requirements!V45="","",Requirements!V45)</f>
        <v/>
      </c>
      <c r="N61" s="53" t="str">
        <f>IF(Requirements!L45="","",Requirements!L45)</f>
        <v>Logging is in the works but not fully implemented yet</v>
      </c>
      <c r="O61" s="56" t="b">
        <f>IF(ISNUMBER(LEFT(Requirements!#REF!,1)*1),AND(I61&lt;&gt;"N/A",OR(AND(B61="DC0",Requirements!C45="x"),AND(B61="DC1",Requirements!D45="x"),AND(B61="DC2",Requirements!E45="x"),AND(B61="DC2+",Requirements!F45="x"),AND(B61="DC3",Requirements!G45="x")),MID(Requirements!#REF!,FIND(".",Requirements!#REF!)+1,1)&lt;&gt;"0"),FALSE)</f>
        <v>0</v>
      </c>
    </row>
    <row r="62" spans="1:15" x14ac:dyDescent="0.3">
      <c r="A62" s="53">
        <f>Questions!$B$30</f>
        <v>0</v>
      </c>
      <c r="B62" s="53" t="str">
        <f>Questions!$B$7</f>
        <v>DC3</v>
      </c>
      <c r="C62" s="53">
        <f>Questions!$B$28</f>
        <v>0</v>
      </c>
      <c r="D62" s="53">
        <f>Questions!$B$29</f>
        <v>0</v>
      </c>
      <c r="E62" s="53" t="s">
        <v>171</v>
      </c>
      <c r="F62" s="53" t="s">
        <v>172</v>
      </c>
      <c r="G62" s="53" t="e">
        <f>IF(Requirements!#REF!="","",Requirements!#REF!)</f>
        <v>#REF!</v>
      </c>
      <c r="H62" s="53" t="e">
        <f>IF(Requirements!#REF!="","",Requirements!#REF!)</f>
        <v>#REF!</v>
      </c>
      <c r="I62" s="53" t="e">
        <f>IF(Requirements!#REF!="","",Requirements!#REF!)</f>
        <v>#REF!</v>
      </c>
      <c r="J62" s="53" t="e">
        <f>IF(Requirements!#REF!="","",Requirements!#REF!)</f>
        <v>#REF!</v>
      </c>
      <c r="K62" s="53" t="e">
        <f>IF(Requirements!#REF!="","",Requirements!#REF!)</f>
        <v>#REF!</v>
      </c>
      <c r="L62" s="53" t="e">
        <f>IF(Requirements!#REF!="","",Requirements!#REF!)</f>
        <v>#REF!</v>
      </c>
      <c r="M62" s="53" t="e">
        <f>IF(Requirements!#REF!="","",Requirements!#REF!)</f>
        <v>#REF!</v>
      </c>
      <c r="N62" s="53" t="e">
        <f>IF(Requirements!#REF!="","",Requirements!#REF!)</f>
        <v>#REF!</v>
      </c>
      <c r="O62" s="56" t="b">
        <f>IF(ISNUMBER(LEFT(Requirements!#REF!,1)*1),AND(I62&lt;&gt;"N/A",OR(AND(B62="DC0",Requirements!#REF!="x"),AND(B62="DC1",Requirements!#REF!="x"),AND(B62="DC2",Requirements!#REF!="x"),AND(B62="DC2+",Requirements!#REF!="x"),AND(B62="DC3",Requirements!#REF!="x")),MID(Requirements!#REF!,FIND(".",Requirements!#REF!)+1,1)&lt;&gt;"0"),FALSE)</f>
        <v>0</v>
      </c>
    </row>
    <row r="63" spans="1:15" x14ac:dyDescent="0.3">
      <c r="A63" s="53">
        <f>Questions!$B$30</f>
        <v>0</v>
      </c>
      <c r="B63" s="53" t="str">
        <f>Questions!$B$7</f>
        <v>DC3</v>
      </c>
      <c r="C63" s="53">
        <f>Questions!$B$28</f>
        <v>0</v>
      </c>
      <c r="D63" s="53">
        <f>Questions!$B$29</f>
        <v>0</v>
      </c>
      <c r="E63" s="53" t="s">
        <v>171</v>
      </c>
      <c r="F63" s="53" t="s">
        <v>172</v>
      </c>
      <c r="G63" s="53" t="str">
        <f>IF(Requirements!A46="","",Requirements!A46)</f>
        <v>4.2.0</v>
      </c>
      <c r="H63" s="53" t="str">
        <f>IF(Requirements!B46="","",Requirements!B46)</f>
        <v xml:space="preserve">The build shall be uniquely identified using code signing .   
</v>
      </c>
      <c r="I63" s="53" t="str">
        <f>IF(Requirements!K46="","",Requirements!K46)</f>
        <v>N/A</v>
      </c>
      <c r="J63" s="53">
        <f>IF(Requirements!R46="","",Requirements!R46)</f>
        <v>3.8</v>
      </c>
      <c r="K63" s="53" t="str">
        <f>IF(Requirements!T46="","",Requirements!T46)</f>
        <v>UK/US IT Standard Procedural Standard: Application Build Standard</v>
      </c>
      <c r="L63" s="53" t="str">
        <f>IF(Requirements!U46="","",Requirements!U46)</f>
        <v>http://usitdms.pwcinternal.com/usitdms/drl/objectId/09013881801b1fc9</v>
      </c>
      <c r="M63" s="53" t="str">
        <f>IF(Requirements!V46="","",Requirements!V46)</f>
        <v/>
      </c>
      <c r="N63" s="53" t="str">
        <f>IF(Requirements!L46="","",Requirements!L46)</f>
        <v/>
      </c>
      <c r="O63" s="56" t="b">
        <f>IF(ISNUMBER(LEFT(Requirements!A46,1)*1),AND(I63&lt;&gt;"N/A",OR(AND(B63="DC0",Requirements!C46="x"),AND(B63="DC1",Requirements!D46="x"),AND(B63="DC2",Requirements!E46="x"),AND(B63="DC2+",Requirements!F46="x"),AND(B63="DC3",Requirements!G46="x")),MID(Requirements!A46,FIND(".",Requirements!A46)+1,1)&lt;&gt;"0"),FALSE)</f>
        <v>0</v>
      </c>
    </row>
    <row r="64" spans="1:15" x14ac:dyDescent="0.3">
      <c r="A64" s="53">
        <f>Questions!$B$30</f>
        <v>0</v>
      </c>
      <c r="B64" s="53" t="str">
        <f>Questions!$B$7</f>
        <v>DC3</v>
      </c>
      <c r="C64" s="53">
        <f>Questions!$B$28</f>
        <v>0</v>
      </c>
      <c r="D64" s="53">
        <f>Questions!$B$29</f>
        <v>0</v>
      </c>
      <c r="E64" s="53" t="s">
        <v>171</v>
      </c>
      <c r="F64" s="53" t="s">
        <v>172</v>
      </c>
      <c r="G64" s="53" t="e">
        <f>IF(Requirements!#REF!="","",Requirements!#REF!)</f>
        <v>#REF!</v>
      </c>
      <c r="H64" s="53" t="e">
        <f>IF(Requirements!#REF!="","",Requirements!#REF!)</f>
        <v>#REF!</v>
      </c>
      <c r="I64" s="53" t="e">
        <f>IF(Requirements!#REF!="","",Requirements!#REF!)</f>
        <v>#REF!</v>
      </c>
      <c r="J64" s="53" t="e">
        <f>IF(Requirements!#REF!="","",Requirements!#REF!)</f>
        <v>#REF!</v>
      </c>
      <c r="K64" s="53" t="e">
        <f>IF(Requirements!#REF!="","",Requirements!#REF!)</f>
        <v>#REF!</v>
      </c>
      <c r="L64" s="53" t="e">
        <f>IF(Requirements!#REF!="","",Requirements!#REF!)</f>
        <v>#REF!</v>
      </c>
      <c r="M64" s="53" t="e">
        <f>IF(Requirements!#REF!="","",Requirements!#REF!)</f>
        <v>#REF!</v>
      </c>
      <c r="N64" s="53" t="e">
        <f>IF(Requirements!#REF!="","",Requirements!#REF!)</f>
        <v>#REF!</v>
      </c>
      <c r="O64" s="56" t="b">
        <f>IF(ISNUMBER(LEFT(Requirements!#REF!,1)*1),AND(I64&lt;&gt;"N/A",OR(AND(B64="DC0",Requirements!#REF!="x"),AND(B64="DC1",Requirements!#REF!="x"),AND(B64="DC2",Requirements!#REF!="x"),AND(B64="DC2+",Requirements!#REF!="x"),AND(B64="DC3",Requirements!#REF!="x")),MID(Requirements!#REF!,FIND(".",Requirements!#REF!)+1,1)&lt;&gt;"0"),FALSE)</f>
        <v>0</v>
      </c>
    </row>
    <row r="65" spans="1:15" x14ac:dyDescent="0.3">
      <c r="A65" s="53">
        <f>Questions!$B$30</f>
        <v>0</v>
      </c>
      <c r="B65" s="53" t="str">
        <f>Questions!$B$7</f>
        <v>DC3</v>
      </c>
      <c r="C65" s="53">
        <f>Questions!$B$28</f>
        <v>0</v>
      </c>
      <c r="D65" s="53">
        <f>Questions!$B$29</f>
        <v>0</v>
      </c>
      <c r="E65" s="53" t="s">
        <v>171</v>
      </c>
      <c r="F65" s="53" t="s">
        <v>172</v>
      </c>
      <c r="G65" s="53" t="str">
        <f>IF(Requirements!A47="","",Requirements!A47)</f>
        <v>4.3.0</v>
      </c>
      <c r="H65" s="53" t="str">
        <f>IF(Requirements!B47="","",Requirements!B47)</f>
        <v>The application shall encapsulate all database queries and transactions (DML) into stored procedures.</v>
      </c>
      <c r="I65" s="53" t="str">
        <f>IF(Requirements!K47="","",Requirements!K47)</f>
        <v/>
      </c>
      <c r="J65" s="53">
        <f>IF(Requirements!R47="","",Requirements!R47)</f>
        <v>3.8</v>
      </c>
      <c r="K65" s="53" t="str">
        <f>IF(Requirements!T47="","",Requirements!T47)</f>
        <v>US-UK IT Standard: Database Design Standards</v>
      </c>
      <c r="L65" s="53" t="str">
        <f>IF(Requirements!U47="","",Requirements!U47)</f>
        <v>http://usitdms.pwcinternal.com/usitdms/drl/objectId/09013881801b918d</v>
      </c>
      <c r="M65" s="53" t="str">
        <f>IF(Requirements!V47="","",Requirements!V47)</f>
        <v/>
      </c>
      <c r="N65" s="53" t="str">
        <f>IF(Requirements!L47="","",Requirements!L47)</f>
        <v/>
      </c>
      <c r="O65" s="56" t="b">
        <f>IF(ISNUMBER(LEFT(Requirements!A47,1)*1),AND(I65&lt;&gt;"N/A",OR(AND(B65="DC0",Requirements!C47="x"),AND(B65="DC1",Requirements!D47="x"),AND(B65="DC2",Requirements!E47="x"),AND(B65="DC2+",Requirements!F47="x"),AND(B65="DC3",Requirements!G47="x")),MID(Requirements!A47,FIND(".",Requirements!A47)+1,1)&lt;&gt;"0"),FALSE)</f>
        <v>1</v>
      </c>
    </row>
    <row r="66" spans="1:15" x14ac:dyDescent="0.3">
      <c r="A66" s="53">
        <f>Questions!$B$30</f>
        <v>0</v>
      </c>
      <c r="B66" s="53" t="str">
        <f>Questions!$B$7</f>
        <v>DC3</v>
      </c>
      <c r="C66" s="53">
        <f>Questions!$B$28</f>
        <v>0</v>
      </c>
      <c r="D66" s="53">
        <f>Questions!$B$29</f>
        <v>0</v>
      </c>
      <c r="E66" s="53" t="s">
        <v>171</v>
      </c>
      <c r="F66" s="53" t="s">
        <v>172</v>
      </c>
      <c r="G66" s="53" t="str">
        <f>IF(Requirements!A48="","",Requirements!A48)</f>
        <v>4.4.0</v>
      </c>
      <c r="H66" s="53" t="str">
        <f>IF(Requirements!B48="","",Requirements!B48)</f>
        <v>Application accounts' permissions shall be granted to stored procedures, no permissions to underlying table objects.</v>
      </c>
      <c r="I66" s="53" t="str">
        <f>IF(Requirements!K48="","",Requirements!K48)</f>
        <v>Yes</v>
      </c>
      <c r="J66" s="53">
        <f>IF(Requirements!R48="","",Requirements!R48)</f>
        <v>3.8</v>
      </c>
      <c r="K66" s="53" t="str">
        <f>IF(Requirements!T48="","",Requirements!T48)</f>
        <v>US-UK IT Standard: Database Design Standards</v>
      </c>
      <c r="L66" s="53" t="str">
        <f>IF(Requirements!U48="","",Requirements!U48)</f>
        <v>http://usitdms.pwcinternal.com/usitdms/drl/objectId/09013881801b918d</v>
      </c>
      <c r="M66" s="53" t="str">
        <f>IF(Requirements!V48="","",Requirements!V48)</f>
        <v/>
      </c>
      <c r="N66" s="53" t="str">
        <f>IF(Requirements!L48="","",Requirements!L48)</f>
        <v/>
      </c>
      <c r="O66" s="56" t="b">
        <f>IF(ISNUMBER(LEFT(Requirements!A48,1)*1),AND(I66&lt;&gt;"N/A",OR(AND(B66="DC0",Requirements!C48="x"),AND(B66="DC1",Requirements!D48="x"),AND(B66="DC2",Requirements!E48="x"),AND(B66="DC2+",Requirements!F48="x"),AND(B66="DC3",Requirements!G48="x")),MID(Requirements!A48,FIND(".",Requirements!A48)+1,1)&lt;&gt;"0"),FALSE)</f>
        <v>1</v>
      </c>
    </row>
    <row r="67" spans="1:15" x14ac:dyDescent="0.3">
      <c r="A67" s="53">
        <f>Questions!$B$30</f>
        <v>0</v>
      </c>
      <c r="B67" s="53" t="str">
        <f>Questions!$B$7</f>
        <v>DC3</v>
      </c>
      <c r="C67" s="53">
        <f>Questions!$B$28</f>
        <v>0</v>
      </c>
      <c r="D67" s="53">
        <f>Questions!$B$29</f>
        <v>0</v>
      </c>
      <c r="E67" s="53" t="s">
        <v>171</v>
      </c>
      <c r="F67" s="53" t="s">
        <v>172</v>
      </c>
      <c r="G67" s="53" t="str">
        <f>IF(Requirements!A49="","",Requirements!A49)</f>
        <v>4.5.0</v>
      </c>
      <c r="H67" s="53" t="str">
        <f>IF(Requirements!B49="","",Requirements!B49)</f>
        <v>The use of views shall be used to ensure confidentiality.  Access to views shall be limited by role.</v>
      </c>
      <c r="I67" s="53" t="str">
        <f>IF(Requirements!K49="","",Requirements!K49)</f>
        <v>Yes</v>
      </c>
      <c r="J67" s="53">
        <f>IF(Requirements!R49="","",Requirements!R49)</f>
        <v>3.8</v>
      </c>
      <c r="K67" s="53" t="str">
        <f>IF(Requirements!T49="","",Requirements!T49)</f>
        <v>US-UK IT Standard: Database Design Standards</v>
      </c>
      <c r="L67" s="53" t="str">
        <f>IF(Requirements!U49="","",Requirements!U49)</f>
        <v>http://usitdms.pwcinternal.com/usitdms/drl/objectId/09013881801b918d</v>
      </c>
      <c r="M67" s="53" t="str">
        <f>IF(Requirements!V49="","",Requirements!V49)</f>
        <v/>
      </c>
      <c r="N67" s="53" t="str">
        <f>IF(Requirements!L49="","",Requirements!L49)</f>
        <v/>
      </c>
      <c r="O67" s="56" t="b">
        <f>IF(ISNUMBER(LEFT(Requirements!A49,1)*1),AND(I67&lt;&gt;"N/A",OR(AND(B67="DC0",Requirements!C49="x"),AND(B67="DC1",Requirements!D49="x"),AND(B67="DC2",Requirements!E49="x"),AND(B67="DC2+",Requirements!F49="x"),AND(B67="DC3",Requirements!G49="x")),MID(Requirements!A49,FIND(".",Requirements!A49)+1,1)&lt;&gt;"0"),FALSE)</f>
        <v>1</v>
      </c>
    </row>
    <row r="68" spans="1:15" x14ac:dyDescent="0.3">
      <c r="A68" s="53">
        <f>Questions!$B$30</f>
        <v>0</v>
      </c>
      <c r="B68" s="53" t="str">
        <f>Questions!$B$7</f>
        <v>DC3</v>
      </c>
      <c r="C68" s="53">
        <f>Questions!$B$28</f>
        <v>0</v>
      </c>
      <c r="D68" s="53">
        <f>Questions!$B$29</f>
        <v>0</v>
      </c>
      <c r="E68" s="53" t="s">
        <v>171</v>
      </c>
      <c r="F68" s="53" t="s">
        <v>172</v>
      </c>
      <c r="G68" s="53" t="e">
        <f>IF(Requirements!#REF!="","",Requirements!#REF!)</f>
        <v>#REF!</v>
      </c>
      <c r="H68" s="53" t="e">
        <f>IF(Requirements!#REF!="","",Requirements!#REF!)</f>
        <v>#REF!</v>
      </c>
      <c r="I68" s="53" t="e">
        <f>IF(Requirements!#REF!="","",Requirements!#REF!)</f>
        <v>#REF!</v>
      </c>
      <c r="J68" s="53" t="e">
        <f>IF(Requirements!#REF!="","",Requirements!#REF!)</f>
        <v>#REF!</v>
      </c>
      <c r="K68" s="53" t="e">
        <f>IF(Requirements!#REF!="","",Requirements!#REF!)</f>
        <v>#REF!</v>
      </c>
      <c r="L68" s="53" t="e">
        <f>IF(Requirements!#REF!="","",Requirements!#REF!)</f>
        <v>#REF!</v>
      </c>
      <c r="M68" s="53" t="e">
        <f>IF(Requirements!#REF!="","",Requirements!#REF!)</f>
        <v>#REF!</v>
      </c>
      <c r="N68" s="53" t="e">
        <f>IF(Requirements!#REF!="","",Requirements!#REF!)</f>
        <v>#REF!</v>
      </c>
      <c r="O68" s="56" t="b">
        <f>IF(ISNUMBER(LEFT(Requirements!#REF!,1)*1),AND(I68&lt;&gt;"N/A",OR(AND(B68="DC0",Requirements!#REF!="x"),AND(B68="DC1",Requirements!#REF!="x"),AND(B68="DC2",Requirements!#REF!="x"),AND(B68="DC2+",Requirements!#REF!="x"),AND(B68="DC3",Requirements!#REF!="x")),MID(Requirements!#REF!,FIND(".",Requirements!#REF!)+1,1)&lt;&gt;"0"),FALSE)</f>
        <v>0</v>
      </c>
    </row>
    <row r="69" spans="1:15" x14ac:dyDescent="0.3">
      <c r="A69" s="53">
        <f>Questions!$B$30</f>
        <v>0</v>
      </c>
      <c r="B69" s="53" t="str">
        <f>Questions!$B$7</f>
        <v>DC3</v>
      </c>
      <c r="C69" s="53">
        <f>Questions!$B$28</f>
        <v>0</v>
      </c>
      <c r="D69" s="53">
        <f>Questions!$B$29</f>
        <v>0</v>
      </c>
      <c r="E69" s="53" t="s">
        <v>171</v>
      </c>
      <c r="F69" s="53" t="s">
        <v>172</v>
      </c>
      <c r="G69" s="53" t="e">
        <f>IF(Requirements!#REF!="","",Requirements!#REF!)</f>
        <v>#REF!</v>
      </c>
      <c r="H69" s="53" t="e">
        <f>IF(Requirements!#REF!="","",Requirements!#REF!)</f>
        <v>#REF!</v>
      </c>
      <c r="I69" s="53" t="e">
        <f>IF(Requirements!#REF!="","",Requirements!#REF!)</f>
        <v>#REF!</v>
      </c>
      <c r="J69" s="53" t="e">
        <f>IF(Requirements!#REF!="","",Requirements!#REF!)</f>
        <v>#REF!</v>
      </c>
      <c r="K69" s="53" t="e">
        <f>IF(Requirements!#REF!="","",Requirements!#REF!)</f>
        <v>#REF!</v>
      </c>
      <c r="L69" s="53" t="e">
        <f>IF(Requirements!#REF!="","",Requirements!#REF!)</f>
        <v>#REF!</v>
      </c>
      <c r="M69" s="53" t="e">
        <f>IF(Requirements!#REF!="","",Requirements!#REF!)</f>
        <v>#REF!</v>
      </c>
      <c r="N69" s="53" t="e">
        <f>IF(Requirements!#REF!="","",Requirements!#REF!)</f>
        <v>#REF!</v>
      </c>
      <c r="O69" s="56" t="b">
        <f>IF(ISNUMBER(LEFT(Requirements!#REF!,1)*1),AND(I69&lt;&gt;"N/A",OR(AND(B69="DC0",Requirements!#REF!="x"),AND(B69="DC1",Requirements!#REF!="x"),AND(B69="DC2",Requirements!#REF!="x"),AND(B69="DC2+",Requirements!#REF!="x"),AND(B69="DC3",Requirements!#REF!="x")),MID(Requirements!#REF!,FIND(".",Requirements!#REF!)+1,1)&lt;&gt;"0"),FALSE)</f>
        <v>0</v>
      </c>
    </row>
    <row r="70" spans="1:15" x14ac:dyDescent="0.3">
      <c r="A70" s="53">
        <f>Questions!$B$30</f>
        <v>0</v>
      </c>
      <c r="B70" s="53" t="str">
        <f>Questions!$B$7</f>
        <v>DC3</v>
      </c>
      <c r="C70" s="53">
        <f>Questions!$B$28</f>
        <v>0</v>
      </c>
      <c r="D70" s="53">
        <f>Questions!$B$29</f>
        <v>0</v>
      </c>
      <c r="E70" s="53" t="s">
        <v>171</v>
      </c>
      <c r="F70" s="53" t="s">
        <v>172</v>
      </c>
      <c r="G70" s="53" t="e">
        <f>IF(Requirements!#REF!="","",Requirements!#REF!)</f>
        <v>#REF!</v>
      </c>
      <c r="H70" s="53" t="e">
        <f>IF(Requirements!#REF!="","",Requirements!#REF!)</f>
        <v>#REF!</v>
      </c>
      <c r="I70" s="53" t="e">
        <f>IF(Requirements!#REF!="","",Requirements!#REF!)</f>
        <v>#REF!</v>
      </c>
      <c r="J70" s="53" t="e">
        <f>IF(Requirements!#REF!="","",Requirements!#REF!)</f>
        <v>#REF!</v>
      </c>
      <c r="K70" s="53" t="e">
        <f>IF(Requirements!#REF!="","",Requirements!#REF!)</f>
        <v>#REF!</v>
      </c>
      <c r="L70" s="53" t="e">
        <f>IF(Requirements!#REF!="","",Requirements!#REF!)</f>
        <v>#REF!</v>
      </c>
      <c r="M70" s="53" t="e">
        <f>IF(Requirements!#REF!="","",Requirements!#REF!)</f>
        <v>#REF!</v>
      </c>
      <c r="N70" s="53" t="e">
        <f>IF(Requirements!#REF!="","",Requirements!#REF!)</f>
        <v>#REF!</v>
      </c>
      <c r="O70" s="56" t="b">
        <f>IF(ISNUMBER(LEFT(Requirements!#REF!,1)*1),AND(I70&lt;&gt;"N/A",OR(AND(B70="DC0",Requirements!#REF!="x"),AND(B70="DC1",Requirements!#REF!="x"),AND(B70="DC2",Requirements!#REF!="x"),AND(B70="DC2+",Requirements!#REF!="x"),AND(B70="DC3",Requirements!#REF!="x")),MID(Requirements!#REF!,FIND(".",Requirements!#REF!)+1,1)&lt;&gt;"0"),FALSE)</f>
        <v>0</v>
      </c>
    </row>
    <row r="71" spans="1:15" x14ac:dyDescent="0.3">
      <c r="A71" s="53">
        <f>Questions!$B$30</f>
        <v>0</v>
      </c>
      <c r="B71" s="53" t="str">
        <f>Questions!$B$7</f>
        <v>DC3</v>
      </c>
      <c r="C71" s="53">
        <f>Questions!$B$28</f>
        <v>0</v>
      </c>
      <c r="D71" s="53">
        <f>Questions!$B$29</f>
        <v>0</v>
      </c>
      <c r="E71" s="53" t="s">
        <v>171</v>
      </c>
      <c r="F71" s="53" t="s">
        <v>172</v>
      </c>
      <c r="G71" s="53" t="str">
        <f>IF(Requirements!A50="","",Requirements!A50)</f>
        <v>4.6.0</v>
      </c>
      <c r="H71" s="53" t="str">
        <f>IF(Requirements!B50="","",Requirements!B50)</f>
        <v>All  open source code if not a compiled library must undergo static code analysis ( e.g. Fortify, Veracode, Checkmarkx, etc.) .</v>
      </c>
      <c r="I71" s="53" t="str">
        <f>IF(Requirements!K50="","",Requirements!K50)</f>
        <v>Yes</v>
      </c>
      <c r="J71" s="53">
        <f>IF(Requirements!R50="","",Requirements!R50)</f>
        <v>3.8</v>
      </c>
      <c r="K71" s="53" t="str">
        <f>IF(Requirements!T50="","",Requirements!T50)</f>
        <v/>
      </c>
      <c r="L71" s="53" t="str">
        <f>IF(Requirements!U50="","",Requirements!U50)</f>
        <v/>
      </c>
      <c r="M71" s="53" t="str">
        <f>IF(Requirements!V50="","",Requirements!V50)</f>
        <v/>
      </c>
      <c r="N71" s="53" t="str">
        <f>IF(Requirements!L50="","",Requirements!L50)</f>
        <v>No open source code used</v>
      </c>
      <c r="O71" s="56" t="b">
        <f>IF(ISNUMBER(LEFT(Requirements!A50,1)*1),AND(I71&lt;&gt;"N/A",OR(AND(B71="DC0",Requirements!C50="x"),AND(B71="DC1",Requirements!D50="x"),AND(B71="DC2",Requirements!E50="x"),AND(B71="DC2+",Requirements!F50="x"),AND(B71="DC3",Requirements!G50="x")),MID(Requirements!A50,FIND(".",Requirements!A50)+1,1)&lt;&gt;"0"),FALSE)</f>
        <v>1</v>
      </c>
    </row>
    <row r="72" spans="1:15" x14ac:dyDescent="0.3">
      <c r="A72" s="53">
        <f>Questions!$B$30</f>
        <v>0</v>
      </c>
      <c r="B72" s="53" t="str">
        <f>Questions!$B$7</f>
        <v>DC3</v>
      </c>
      <c r="C72" s="53">
        <f>Questions!$B$28</f>
        <v>0</v>
      </c>
      <c r="D72" s="53">
        <f>Questions!$B$29</f>
        <v>0</v>
      </c>
      <c r="E72" s="53" t="s">
        <v>171</v>
      </c>
      <c r="F72" s="53" t="s">
        <v>172</v>
      </c>
      <c r="G72" s="53" t="str">
        <f>IF(Requirements!A51="","",Requirements!A51)</f>
        <v>4.7.0</v>
      </c>
      <c r="H72" s="53" t="str">
        <f>IF(Requirements!B51="","",Requirements!B51)</f>
        <v>All applications shall have exception and error control to ensure secure failures.  All exceptions/errors should be logged,  and shall not fail silently (e.g. no empty catch blocks).  All error messages displayed back to a user must be generic in nature and not display technical details regarding the fault (e.g. stack trace).</v>
      </c>
      <c r="I72" s="53" t="str">
        <f>IF(Requirements!K51="","",Requirements!K51)</f>
        <v>Yes</v>
      </c>
      <c r="J72" s="53">
        <f>IF(Requirements!R51="","",Requirements!R51)</f>
        <v>3.8</v>
      </c>
      <c r="K72" s="53" t="str">
        <f>IF(Requirements!T51="","",Requirements!T51)</f>
        <v/>
      </c>
      <c r="L72" s="53" t="str">
        <f>IF(Requirements!U51="","",Requirements!U51)</f>
        <v/>
      </c>
      <c r="M72" s="53" t="str">
        <f>IF(Requirements!V51="","",Requirements!V51)</f>
        <v/>
      </c>
      <c r="N72" s="53" t="str">
        <f>IF(Requirements!L51="","",Requirements!L51)</f>
        <v/>
      </c>
      <c r="O72" s="56" t="b">
        <f>IF(ISNUMBER(LEFT(Requirements!A51,1)*1),AND(I72&lt;&gt;"N/A",OR(AND(B72="DC0",Requirements!C51="x"),AND(B72="DC1",Requirements!D51="x"),AND(B72="DC2",Requirements!E51="x"),AND(B72="DC2+",Requirements!F51="x"),AND(B72="DC3",Requirements!G51="x")),MID(Requirements!A51,FIND(".",Requirements!A51)+1,1)&lt;&gt;"0"),FALSE)</f>
        <v>1</v>
      </c>
    </row>
    <row r="73" spans="1:15" x14ac:dyDescent="0.3">
      <c r="A73" s="53">
        <f>Questions!$B$30</f>
        <v>0</v>
      </c>
      <c r="B73" s="53" t="str">
        <f>Questions!$B$7</f>
        <v>DC3</v>
      </c>
      <c r="C73" s="53">
        <f>Questions!$B$28</f>
        <v>0</v>
      </c>
      <c r="D73" s="53">
        <f>Questions!$B$29</f>
        <v>0</v>
      </c>
      <c r="E73" s="53" t="s">
        <v>171</v>
      </c>
      <c r="F73" s="53" t="s">
        <v>172</v>
      </c>
      <c r="G73" s="53" t="e">
        <f>IF(Requirements!#REF!="","",Requirements!#REF!)</f>
        <v>#REF!</v>
      </c>
      <c r="H73" s="53" t="e">
        <f>IF(Requirements!#REF!="","",Requirements!#REF!)</f>
        <v>#REF!</v>
      </c>
      <c r="I73" s="53" t="e">
        <f>IF(Requirements!#REF!="","",Requirements!#REF!)</f>
        <v>#REF!</v>
      </c>
      <c r="J73" s="53" t="e">
        <f>IF(Requirements!#REF!="","",Requirements!#REF!)</f>
        <v>#REF!</v>
      </c>
      <c r="K73" s="53" t="e">
        <f>IF(Requirements!#REF!="","",Requirements!#REF!)</f>
        <v>#REF!</v>
      </c>
      <c r="L73" s="53" t="e">
        <f>IF(Requirements!#REF!="","",Requirements!#REF!)</f>
        <v>#REF!</v>
      </c>
      <c r="M73" s="53" t="e">
        <f>IF(Requirements!#REF!="","",Requirements!#REF!)</f>
        <v>#REF!</v>
      </c>
      <c r="N73" s="53" t="e">
        <f>IF(Requirements!#REF!="","",Requirements!#REF!)</f>
        <v>#REF!</v>
      </c>
      <c r="O73" s="56" t="b">
        <f>IF(ISNUMBER(LEFT(Requirements!#REF!,1)*1),AND(I73&lt;&gt;"N/A",OR(AND(B73="DC0",Requirements!#REF!="x"),AND(B73="DC1",Requirements!#REF!="x"),AND(B73="DC2",Requirements!#REF!="x"),AND(B73="DC2+",Requirements!#REF!="x"),AND(B73="DC3",Requirements!#REF!="x")),MID(Requirements!#REF!,FIND(".",Requirements!#REF!)+1,1)&lt;&gt;"0"),FALSE)</f>
        <v>0</v>
      </c>
    </row>
    <row r="74" spans="1:15" x14ac:dyDescent="0.3">
      <c r="A74" s="53">
        <f>Questions!$B$30</f>
        <v>0</v>
      </c>
      <c r="B74" s="53" t="str">
        <f>Questions!$B$7</f>
        <v>DC3</v>
      </c>
      <c r="C74" s="53">
        <f>Questions!$B$28</f>
        <v>0</v>
      </c>
      <c r="D74" s="53">
        <f>Questions!$B$29</f>
        <v>0</v>
      </c>
      <c r="E74" s="53" t="s">
        <v>171</v>
      </c>
      <c r="F74" s="53" t="s">
        <v>172</v>
      </c>
      <c r="G74" s="53" t="str">
        <f>IF(Requirements!A58="","",Requirements!A58)</f>
        <v>4.14.0</v>
      </c>
      <c r="H74" s="53" t="str">
        <f>IF(Requirements!B55="","",Requirements!B55)</f>
        <v>The applications/systems shall use standard components or  shall drive standardization of these components.  These components shall have a roadmap.</v>
      </c>
      <c r="I74" s="53" t="str">
        <f>IF(Requirements!K55="","",Requirements!K55)</f>
        <v/>
      </c>
      <c r="J74" s="53">
        <f>IF(Requirements!R55="","",Requirements!R55)</f>
        <v>3.8</v>
      </c>
      <c r="K74" s="53" t="str">
        <f>IF(Requirements!T55="","",Requirements!T55)</f>
        <v/>
      </c>
      <c r="L74" s="53" t="str">
        <f>IF(Requirements!U55="","",Requirements!U55)</f>
        <v/>
      </c>
      <c r="M74" s="53" t="str">
        <f>IF(Requirements!V55="","",Requirements!V55)</f>
        <v/>
      </c>
      <c r="N74" s="53" t="str">
        <f>IF(Requirements!L55="","",Requirements!L55)</f>
        <v/>
      </c>
      <c r="O74" s="56" t="b">
        <f>IF(ISNUMBER(LEFT(Requirements!A58,1)*1),AND(I74&lt;&gt;"N/A",OR(AND(B74="DC0",Requirements!C55="x"),AND(B74="DC1",Requirements!D55="x"),AND(B74="DC2",Requirements!E55="x"),AND(B74="DC2+",Requirements!F55="x"),AND(B74="DC3",Requirements!G55="x")),MID(Requirements!A58,FIND(".",Requirements!A58)+1,1)&lt;&gt;"0"),FALSE)</f>
        <v>1</v>
      </c>
    </row>
    <row r="75" spans="1:15" x14ac:dyDescent="0.3">
      <c r="A75" s="53">
        <f>Questions!$B$30</f>
        <v>0</v>
      </c>
      <c r="B75" s="53" t="str">
        <f>Questions!$B$7</f>
        <v>DC3</v>
      </c>
      <c r="C75" s="53">
        <f>Questions!$B$28</f>
        <v>0</v>
      </c>
      <c r="D75" s="53">
        <f>Questions!$B$29</f>
        <v>0</v>
      </c>
      <c r="E75" s="53" t="s">
        <v>171</v>
      </c>
      <c r="F75" s="53" t="s">
        <v>172</v>
      </c>
      <c r="G75" s="53" t="str">
        <f>IF(Requirements!A75="","",Requirements!A75)</f>
        <v>4.30.0</v>
      </c>
      <c r="H75" s="53" t="str">
        <f>IF(Requirements!B75="","",Requirements!B75)</f>
        <v>The application executable components shall be whitelisted/authorized (e.g. Bit9)</v>
      </c>
      <c r="I75" s="53" t="str">
        <f>IF(Requirements!K75="","",Requirements!K75)</f>
        <v>N/A</v>
      </c>
      <c r="J75" s="53" t="str">
        <f>IF(Requirements!R75="","",Requirements!R75)</f>
        <v/>
      </c>
      <c r="K75" s="53" t="str">
        <f>IF(Requirements!T75="","",Requirements!T75)</f>
        <v/>
      </c>
      <c r="L75" s="53" t="str">
        <f>IF(Requirements!U75="","",Requirements!U75)</f>
        <v/>
      </c>
      <c r="M75" s="53" t="str">
        <f>IF(Requirements!V75="","",Requirements!V75)</f>
        <v/>
      </c>
      <c r="N75" s="53" t="str">
        <f>IF(Requirements!L75="","",Requirements!L75)</f>
        <v>Not sure</v>
      </c>
      <c r="O75" s="56" t="b">
        <f>IF(ISNUMBER(LEFT(Requirements!A75,1)*1),AND(I75&lt;&gt;"N/A",OR(AND(B75="DC0",Requirements!C75="x"),AND(B75="DC1",Requirements!D75="x"),AND(B75="DC2",Requirements!E75="x"),AND(B75="DC2+",Requirements!F75="x"),AND(B75="DC3",Requirements!G75="x")),MID(Requirements!A75,FIND(".",Requirements!A75)+1,1)&lt;&gt;"0"),FALSE)</f>
        <v>0</v>
      </c>
    </row>
    <row r="76" spans="1:15" x14ac:dyDescent="0.3">
      <c r="A76" s="53">
        <f>Questions!$B$30</f>
        <v>0</v>
      </c>
      <c r="B76" s="53" t="str">
        <f>Questions!$B$7</f>
        <v>DC3</v>
      </c>
      <c r="C76" s="53">
        <f>Questions!$B$28</f>
        <v>0</v>
      </c>
      <c r="D76" s="53">
        <f>Questions!$B$29</f>
        <v>0</v>
      </c>
      <c r="E76" s="53" t="s">
        <v>171</v>
      </c>
      <c r="F76" s="53" t="s">
        <v>172</v>
      </c>
      <c r="G76" s="53" t="e">
        <f>IF(Requirements!#REF!="","",Requirements!#REF!)</f>
        <v>#REF!</v>
      </c>
      <c r="H76" s="53" t="e">
        <f>IF(Requirements!#REF!="","",Requirements!#REF!)</f>
        <v>#REF!</v>
      </c>
      <c r="I76" s="53" t="e">
        <f>IF(Requirements!#REF!="","",Requirements!#REF!)</f>
        <v>#REF!</v>
      </c>
      <c r="J76" s="53" t="e">
        <f>IF(Requirements!#REF!="","",Requirements!#REF!)</f>
        <v>#REF!</v>
      </c>
      <c r="K76" s="53" t="e">
        <f>IF(Requirements!#REF!="","",Requirements!#REF!)</f>
        <v>#REF!</v>
      </c>
      <c r="L76" s="53" t="e">
        <f>IF(Requirements!#REF!="","",Requirements!#REF!)</f>
        <v>#REF!</v>
      </c>
      <c r="M76" s="53" t="e">
        <f>IF(Requirements!#REF!="","",Requirements!#REF!)</f>
        <v>#REF!</v>
      </c>
      <c r="N76" s="53" t="e">
        <f>IF(Requirements!#REF!="","",Requirements!#REF!)</f>
        <v>#REF!</v>
      </c>
      <c r="O76" s="56" t="b">
        <f>IF(ISNUMBER(LEFT(Requirements!#REF!,1)*1),AND(I76&lt;&gt;"N/A",OR(AND(B76="DC0",Requirements!#REF!="x"),AND(B76="DC1",Requirements!#REF!="x"),AND(B76="DC2",Requirements!#REF!="x"),AND(B76="DC2+",Requirements!#REF!="x"),AND(B76="DC3",Requirements!#REF!="x")),MID(Requirements!#REF!,FIND(".",Requirements!#REF!)+1,1)&lt;&gt;"0"),FALSE)</f>
        <v>0</v>
      </c>
    </row>
    <row r="77" spans="1:15" x14ac:dyDescent="0.3">
      <c r="A77" s="53">
        <f>Questions!$B$30</f>
        <v>0</v>
      </c>
      <c r="B77" s="53" t="str">
        <f>Questions!$B$7</f>
        <v>DC3</v>
      </c>
      <c r="C77" s="53">
        <f>Questions!$B$28</f>
        <v>0</v>
      </c>
      <c r="D77" s="53">
        <f>Questions!$B$29</f>
        <v>0</v>
      </c>
      <c r="E77" s="53" t="s">
        <v>171</v>
      </c>
      <c r="F77" s="53" t="s">
        <v>172</v>
      </c>
      <c r="G77" s="53" t="str">
        <f>IF(Requirements!A85="","",Requirements!A85)</f>
        <v>5.0.0</v>
      </c>
      <c r="H77" s="53" t="str">
        <f>IF(Requirements!B85="","",Requirements!B85)</f>
        <v>LOGGING</v>
      </c>
      <c r="I77" s="53" t="str">
        <f>IF(Requirements!K85="","",Requirements!K85)</f>
        <v/>
      </c>
      <c r="J77" s="53" t="str">
        <f>IF(Requirements!R85="","",Requirements!R85)</f>
        <v/>
      </c>
      <c r="K77" s="53" t="str">
        <f>IF(Requirements!T85="","",Requirements!T85)</f>
        <v/>
      </c>
      <c r="L77" s="53" t="str">
        <f>IF(Requirements!U85="","",Requirements!U85)</f>
        <v/>
      </c>
      <c r="M77" s="53" t="str">
        <f>IF(Requirements!V85="","",Requirements!V85)</f>
        <v/>
      </c>
      <c r="N77" s="53" t="str">
        <f>IF(Requirements!L85="","",Requirements!L85)</f>
        <v/>
      </c>
      <c r="O77" s="56" t="b">
        <f>IF(ISNUMBER(LEFT(Requirements!A85,1)*1),AND(I77&lt;&gt;"N/A",OR(AND(B77="DC0",Requirements!C85="x"),AND(B77="DC1",Requirements!D85="x"),AND(B77="DC2",Requirements!E85="x"),AND(B77="DC2+",Requirements!F85="x"),AND(B77="DC3",Requirements!G85="x")),MID(Requirements!A85,FIND(".",Requirements!A85)+1,1)&lt;&gt;"0"),FALSE)</f>
        <v>0</v>
      </c>
    </row>
    <row r="78" spans="1:15" x14ac:dyDescent="0.3">
      <c r="A78" s="53">
        <f>Questions!$B$30</f>
        <v>0</v>
      </c>
      <c r="B78" s="53" t="str">
        <f>Questions!$B$7</f>
        <v>DC3</v>
      </c>
      <c r="C78" s="53">
        <f>Questions!$B$28</f>
        <v>0</v>
      </c>
      <c r="D78" s="53">
        <f>Questions!$B$29</f>
        <v>0</v>
      </c>
      <c r="E78" s="53" t="s">
        <v>171</v>
      </c>
      <c r="F78" s="53" t="s">
        <v>172</v>
      </c>
      <c r="G78" s="53" t="str">
        <f>IF(Requirements!A86="","",Requirements!A86)</f>
        <v>5.1.0</v>
      </c>
      <c r="H78" s="53" t="str">
        <f>IF(Requirements!B86="","",Requirements!B86)</f>
        <v>The application/system shall log successful and failed login attempts and unauthorized access to objects or functionality.</v>
      </c>
      <c r="I78" s="53" t="str">
        <f>IF(Requirements!K86="","",Requirements!K86)</f>
        <v>Yes</v>
      </c>
      <c r="J78" s="53" t="str">
        <f>IF(Requirements!R86="","",Requirements!R86)</f>
        <v>3.2.10, 3.6.17</v>
      </c>
      <c r="K78" s="53" t="str">
        <f>IF(Requirements!T86="","",Requirements!T86)</f>
        <v>UK/US IT Standard Design Standard: Application Security Patterns</v>
      </c>
      <c r="L78" s="53" t="str">
        <f>IF(Requirements!U86="","",Requirements!U86)</f>
        <v>http://usitdms.pwcinternal.com/usitdms/drl/objectId/09013881801e2fba</v>
      </c>
      <c r="M78" s="53" t="str">
        <f>IF(Requirements!V86="","",Requirements!V86)</f>
        <v/>
      </c>
      <c r="N78" s="53" t="str">
        <f>IF(Requirements!L86="","",Requirements!L86)</f>
        <v/>
      </c>
      <c r="O78" s="56" t="b">
        <f>IF(ISNUMBER(LEFT(Requirements!A86,1)*1),AND(I78&lt;&gt;"N/A",OR(AND(B78="DC0",Requirements!C86="x"),AND(B78="DC1",Requirements!D86="x"),AND(B78="DC2",Requirements!E86="x"),AND(B78="DC2+",Requirements!F86="x"),AND(B78="DC3",Requirements!G86="x")),MID(Requirements!A86,FIND(".",Requirements!A86)+1,1)&lt;&gt;"0"),FALSE)</f>
        <v>1</v>
      </c>
    </row>
    <row r="79" spans="1:15" x14ac:dyDescent="0.3">
      <c r="A79" s="53">
        <f>Questions!$B$30</f>
        <v>0</v>
      </c>
      <c r="B79" s="53" t="str">
        <f>Questions!$B$7</f>
        <v>DC3</v>
      </c>
      <c r="C79" s="53">
        <f>Questions!$B$28</f>
        <v>0</v>
      </c>
      <c r="D79" s="53">
        <f>Questions!$B$29</f>
        <v>0</v>
      </c>
      <c r="E79" s="53" t="s">
        <v>171</v>
      </c>
      <c r="F79" s="53" t="s">
        <v>172</v>
      </c>
      <c r="G79" s="53" t="e">
        <f>IF(Requirements!#REF!="","",Requirements!#REF!)</f>
        <v>#REF!</v>
      </c>
      <c r="H79" s="53" t="e">
        <f>IF(Requirements!#REF!="","",Requirements!#REF!)</f>
        <v>#REF!</v>
      </c>
      <c r="I79" s="53" t="e">
        <f>IF(Requirements!#REF!="","",Requirements!#REF!)</f>
        <v>#REF!</v>
      </c>
      <c r="J79" s="53" t="e">
        <f>IF(Requirements!#REF!="","",Requirements!#REF!)</f>
        <v>#REF!</v>
      </c>
      <c r="K79" s="53" t="e">
        <f>IF(Requirements!#REF!="","",Requirements!#REF!)</f>
        <v>#REF!</v>
      </c>
      <c r="L79" s="53" t="e">
        <f>IF(Requirements!#REF!="","",Requirements!#REF!)</f>
        <v>#REF!</v>
      </c>
      <c r="M79" s="53" t="e">
        <f>IF(Requirements!#REF!="","",Requirements!#REF!)</f>
        <v>#REF!</v>
      </c>
      <c r="N79" s="53" t="e">
        <f>IF(Requirements!#REF!="","",Requirements!#REF!)</f>
        <v>#REF!</v>
      </c>
      <c r="O79" s="56" t="b">
        <f>IF(ISNUMBER(LEFT(Requirements!#REF!,1)*1),AND(I79&lt;&gt;"N/A",OR(AND(B79="DC0",Requirements!#REF!="x"),AND(B79="DC1",Requirements!#REF!="x"),AND(B79="DC2",Requirements!#REF!="x"),AND(B79="DC2+",Requirements!#REF!="x"),AND(B79="DC3",Requirements!#REF!="x")),MID(Requirements!#REF!,FIND(".",Requirements!#REF!)+1,1)&lt;&gt;"0"),FALSE)</f>
        <v>0</v>
      </c>
    </row>
    <row r="80" spans="1:15" x14ac:dyDescent="0.3">
      <c r="A80" s="53">
        <f>Questions!$B$30</f>
        <v>0</v>
      </c>
      <c r="B80" s="53" t="str">
        <f>Questions!$B$7</f>
        <v>DC3</v>
      </c>
      <c r="C80" s="53">
        <f>Questions!$B$28</f>
        <v>0</v>
      </c>
      <c r="D80" s="53">
        <f>Questions!$B$29</f>
        <v>0</v>
      </c>
      <c r="E80" s="53" t="s">
        <v>171</v>
      </c>
      <c r="F80" s="53" t="s">
        <v>172</v>
      </c>
      <c r="G80" s="53" t="e">
        <f>IF(Requirements!#REF!="","",Requirements!#REF!)</f>
        <v>#REF!</v>
      </c>
      <c r="H80" s="53" t="e">
        <f>IF(Requirements!#REF!="","",Requirements!#REF!)</f>
        <v>#REF!</v>
      </c>
      <c r="I80" s="53" t="e">
        <f>IF(Requirements!#REF!="","",Requirements!#REF!)</f>
        <v>#REF!</v>
      </c>
      <c r="J80" s="53" t="e">
        <f>IF(Requirements!#REF!="","",Requirements!#REF!)</f>
        <v>#REF!</v>
      </c>
      <c r="K80" s="53" t="e">
        <f>IF(Requirements!#REF!="","",Requirements!#REF!)</f>
        <v>#REF!</v>
      </c>
      <c r="L80" s="53" t="e">
        <f>IF(Requirements!#REF!="","",Requirements!#REF!)</f>
        <v>#REF!</v>
      </c>
      <c r="M80" s="53" t="e">
        <f>IF(Requirements!#REF!="","",Requirements!#REF!)</f>
        <v>#REF!</v>
      </c>
      <c r="N80" s="53" t="e">
        <f>IF(Requirements!#REF!="","",Requirements!#REF!)</f>
        <v>#REF!</v>
      </c>
      <c r="O80" s="56" t="b">
        <f>IF(ISNUMBER(LEFT(Requirements!#REF!,1)*1),AND(I80&lt;&gt;"N/A",OR(AND(B80="DC0",Requirements!#REF!="x"),AND(B80="DC1",Requirements!#REF!="x"),AND(B80="DC2",Requirements!#REF!="x"),AND(B80="DC2+",Requirements!#REF!="x"),AND(B80="DC3",Requirements!#REF!="x")),MID(Requirements!#REF!,FIND(".",Requirements!#REF!)+1,1)&lt;&gt;"0"),FALSE)</f>
        <v>0</v>
      </c>
    </row>
    <row r="81" spans="1:15" x14ac:dyDescent="0.3">
      <c r="A81" s="53">
        <f>Questions!$B$30</f>
        <v>0</v>
      </c>
      <c r="B81" s="53" t="str">
        <f>Questions!$B$7</f>
        <v>DC3</v>
      </c>
      <c r="C81" s="53">
        <f>Questions!$B$28</f>
        <v>0</v>
      </c>
      <c r="D81" s="53">
        <f>Questions!$B$29</f>
        <v>0</v>
      </c>
      <c r="E81" s="53" t="s">
        <v>171</v>
      </c>
      <c r="F81" s="53" t="s">
        <v>172</v>
      </c>
      <c r="G81" s="53" t="e">
        <f>IF(Requirements!#REF!="","",Requirements!#REF!)</f>
        <v>#REF!</v>
      </c>
      <c r="H81" s="53" t="e">
        <f>IF(Requirements!#REF!="","",Requirements!#REF!)</f>
        <v>#REF!</v>
      </c>
      <c r="I81" s="53" t="e">
        <f>IF(Requirements!#REF!="","",Requirements!#REF!)</f>
        <v>#REF!</v>
      </c>
      <c r="J81" s="53" t="e">
        <f>IF(Requirements!#REF!="","",Requirements!#REF!)</f>
        <v>#REF!</v>
      </c>
      <c r="K81" s="53" t="e">
        <f>IF(Requirements!#REF!="","",Requirements!#REF!)</f>
        <v>#REF!</v>
      </c>
      <c r="L81" s="53" t="e">
        <f>IF(Requirements!#REF!="","",Requirements!#REF!)</f>
        <v>#REF!</v>
      </c>
      <c r="M81" s="53" t="e">
        <f>IF(Requirements!#REF!="","",Requirements!#REF!)</f>
        <v>#REF!</v>
      </c>
      <c r="N81" s="53" t="e">
        <f>IF(Requirements!#REF!="","",Requirements!#REF!)</f>
        <v>#REF!</v>
      </c>
      <c r="O81" s="56" t="b">
        <f>IF(ISNUMBER(LEFT(Requirements!#REF!,1)*1),AND(I81&lt;&gt;"N/A",OR(AND(B81="DC0",Requirements!#REF!="x"),AND(B81="DC1",Requirements!#REF!="x"),AND(B81="DC2",Requirements!#REF!="x"),AND(B81="DC2+",Requirements!#REF!="x"),AND(B81="DC3",Requirements!#REF!="x")),MID(Requirements!#REF!,FIND(".",Requirements!#REF!)+1,1)&lt;&gt;"0"),FALSE)</f>
        <v>0</v>
      </c>
    </row>
    <row r="82" spans="1:15" x14ac:dyDescent="0.3">
      <c r="A82" s="53">
        <f>Questions!$B$30</f>
        <v>0</v>
      </c>
      <c r="B82" s="53" t="str">
        <f>Questions!$B$7</f>
        <v>DC3</v>
      </c>
      <c r="C82" s="53">
        <f>Questions!$B$28</f>
        <v>0</v>
      </c>
      <c r="D82" s="53">
        <f>Questions!$B$29</f>
        <v>0</v>
      </c>
      <c r="E82" s="53" t="s">
        <v>171</v>
      </c>
      <c r="F82" s="53" t="s">
        <v>172</v>
      </c>
      <c r="G82" s="53" t="e">
        <f>IF(Requirements!#REF!="","",Requirements!#REF!)</f>
        <v>#REF!</v>
      </c>
      <c r="H82" s="53" t="e">
        <f>IF(Requirements!#REF!="","",Requirements!#REF!)</f>
        <v>#REF!</v>
      </c>
      <c r="I82" s="53" t="e">
        <f>IF(Requirements!#REF!="","",Requirements!#REF!)</f>
        <v>#REF!</v>
      </c>
      <c r="J82" s="53" t="e">
        <f>IF(Requirements!#REF!="","",Requirements!#REF!)</f>
        <v>#REF!</v>
      </c>
      <c r="K82" s="53" t="e">
        <f>IF(Requirements!#REF!="","",Requirements!#REF!)</f>
        <v>#REF!</v>
      </c>
      <c r="L82" s="53" t="e">
        <f>IF(Requirements!#REF!="","",Requirements!#REF!)</f>
        <v>#REF!</v>
      </c>
      <c r="M82" s="53" t="e">
        <f>IF(Requirements!#REF!="","",Requirements!#REF!)</f>
        <v>#REF!</v>
      </c>
      <c r="N82" s="53" t="e">
        <f>IF(Requirements!#REF!="","",Requirements!#REF!)</f>
        <v>#REF!</v>
      </c>
      <c r="O82" s="56" t="b">
        <f>IF(ISNUMBER(LEFT(Requirements!#REF!,1)*1),AND(I82&lt;&gt;"N/A",OR(AND(B82="DC0",Requirements!#REF!="x"),AND(B82="DC1",Requirements!#REF!="x"),AND(B82="DC2",Requirements!#REF!="x"),AND(B82="DC2+",Requirements!#REF!="x"),AND(B82="DC3",Requirements!#REF!="x")),MID(Requirements!#REF!,FIND(".",Requirements!#REF!)+1,1)&lt;&gt;"0"),FALSE)</f>
        <v>0</v>
      </c>
    </row>
    <row r="83" spans="1:15" x14ac:dyDescent="0.3">
      <c r="A83" s="53">
        <f>Questions!$B$30</f>
        <v>0</v>
      </c>
      <c r="B83" s="53" t="str">
        <f>Questions!$B$7</f>
        <v>DC3</v>
      </c>
      <c r="C83" s="53">
        <f>Questions!$B$28</f>
        <v>0</v>
      </c>
      <c r="D83" s="53">
        <f>Questions!$B$29</f>
        <v>0</v>
      </c>
      <c r="E83" s="53" t="s">
        <v>171</v>
      </c>
      <c r="F83" s="53" t="s">
        <v>172</v>
      </c>
      <c r="G83" s="53" t="e">
        <f>IF(Requirements!#REF!="","",Requirements!#REF!)</f>
        <v>#REF!</v>
      </c>
      <c r="H83" s="53" t="e">
        <f>IF(Requirements!#REF!="","",Requirements!#REF!)</f>
        <v>#REF!</v>
      </c>
      <c r="I83" s="53" t="e">
        <f>IF(Requirements!#REF!="","",Requirements!#REF!)</f>
        <v>#REF!</v>
      </c>
      <c r="J83" s="53" t="e">
        <f>IF(Requirements!#REF!="","",Requirements!#REF!)</f>
        <v>#REF!</v>
      </c>
      <c r="K83" s="53" t="e">
        <f>IF(Requirements!#REF!="","",Requirements!#REF!)</f>
        <v>#REF!</v>
      </c>
      <c r="L83" s="53" t="e">
        <f>IF(Requirements!#REF!="","",Requirements!#REF!)</f>
        <v>#REF!</v>
      </c>
      <c r="M83" s="53" t="e">
        <f>IF(Requirements!#REF!="","",Requirements!#REF!)</f>
        <v>#REF!</v>
      </c>
      <c r="N83" s="53" t="e">
        <f>IF(Requirements!#REF!="","",Requirements!#REF!)</f>
        <v>#REF!</v>
      </c>
      <c r="O83" s="56" t="b">
        <f>IF(ISNUMBER(LEFT(Requirements!#REF!,1)*1),AND(I83&lt;&gt;"N/A",OR(AND(B83="DC0",Requirements!#REF!="x"),AND(B83="DC1",Requirements!#REF!="x"),AND(B83="DC2",Requirements!#REF!="x"),AND(B83="DC2+",Requirements!#REF!="x"),AND(B83="DC3",Requirements!#REF!="x")),MID(Requirements!#REF!,FIND(".",Requirements!#REF!)+1,1)&lt;&gt;"0"),FALSE)</f>
        <v>0</v>
      </c>
    </row>
    <row r="84" spans="1:15" x14ac:dyDescent="0.3">
      <c r="A84" s="53">
        <f>Questions!$B$30</f>
        <v>0</v>
      </c>
      <c r="B84" s="53" t="str">
        <f>Questions!$B$7</f>
        <v>DC3</v>
      </c>
      <c r="C84" s="53">
        <f>Questions!$B$28</f>
        <v>0</v>
      </c>
      <c r="D84" s="53">
        <f>Questions!$B$29</f>
        <v>0</v>
      </c>
      <c r="E84" s="53" t="s">
        <v>171</v>
      </c>
      <c r="F84" s="53" t="s">
        <v>172</v>
      </c>
      <c r="G84" s="53" t="e">
        <f>IF(Requirements!#REF!="","",Requirements!#REF!)</f>
        <v>#REF!</v>
      </c>
      <c r="H84" s="53" t="e">
        <f>IF(Requirements!#REF!="","",Requirements!#REF!)</f>
        <v>#REF!</v>
      </c>
      <c r="I84" s="53" t="e">
        <f>IF(Requirements!#REF!="","",Requirements!#REF!)</f>
        <v>#REF!</v>
      </c>
      <c r="J84" s="53" t="e">
        <f>IF(Requirements!#REF!="","",Requirements!#REF!)</f>
        <v>#REF!</v>
      </c>
      <c r="K84" s="53" t="e">
        <f>IF(Requirements!#REF!="","",Requirements!#REF!)</f>
        <v>#REF!</v>
      </c>
      <c r="L84" s="53" t="e">
        <f>IF(Requirements!#REF!="","",Requirements!#REF!)</f>
        <v>#REF!</v>
      </c>
      <c r="M84" s="53" t="e">
        <f>IF(Requirements!#REF!="","",Requirements!#REF!)</f>
        <v>#REF!</v>
      </c>
      <c r="N84" s="53" t="e">
        <f>IF(Requirements!#REF!="","",Requirements!#REF!)</f>
        <v>#REF!</v>
      </c>
      <c r="O84" s="56" t="b">
        <f>IF(ISNUMBER(LEFT(Requirements!#REF!,1)*1),AND(I84&lt;&gt;"N/A",OR(AND(B84="DC0",Requirements!#REF!="x"),AND(B84="DC1",Requirements!#REF!="x"),AND(B84="DC2",Requirements!#REF!="x"),AND(B84="DC2+",Requirements!#REF!="x"),AND(B84="DC3",Requirements!#REF!="x")),MID(Requirements!#REF!,FIND(".",Requirements!#REF!)+1,1)&lt;&gt;"0"),FALSE)</f>
        <v>0</v>
      </c>
    </row>
    <row r="85" spans="1:15" x14ac:dyDescent="0.3">
      <c r="A85" s="53">
        <f>Questions!$B$30</f>
        <v>0</v>
      </c>
      <c r="B85" s="53" t="str">
        <f>Questions!$B$7</f>
        <v>DC3</v>
      </c>
      <c r="C85" s="53">
        <f>Questions!$B$28</f>
        <v>0</v>
      </c>
      <c r="D85" s="53">
        <f>Questions!$B$29</f>
        <v>0</v>
      </c>
      <c r="E85" s="53" t="s">
        <v>171</v>
      </c>
      <c r="F85" s="53" t="s">
        <v>172</v>
      </c>
      <c r="G85" s="53" t="e">
        <f>IF(Requirements!#REF!="","",Requirements!#REF!)</f>
        <v>#REF!</v>
      </c>
      <c r="H85" s="53" t="e">
        <f>IF(Requirements!#REF!="","",Requirements!#REF!)</f>
        <v>#REF!</v>
      </c>
      <c r="I85" s="53" t="e">
        <f>IF(Requirements!#REF!="","",Requirements!#REF!)</f>
        <v>#REF!</v>
      </c>
      <c r="J85" s="53" t="e">
        <f>IF(Requirements!#REF!="","",Requirements!#REF!)</f>
        <v>#REF!</v>
      </c>
      <c r="K85" s="53" t="e">
        <f>IF(Requirements!#REF!="","",Requirements!#REF!)</f>
        <v>#REF!</v>
      </c>
      <c r="L85" s="53" t="e">
        <f>IF(Requirements!#REF!="","",Requirements!#REF!)</f>
        <v>#REF!</v>
      </c>
      <c r="M85" s="53" t="e">
        <f>IF(Requirements!#REF!="","",Requirements!#REF!)</f>
        <v>#REF!</v>
      </c>
      <c r="N85" s="53" t="e">
        <f>IF(Requirements!#REF!="","",Requirements!#REF!)</f>
        <v>#REF!</v>
      </c>
      <c r="O85" s="56" t="b">
        <f>IF(ISNUMBER(LEFT(Requirements!#REF!,1)*1),AND(I85&lt;&gt;"N/A",OR(AND(B85="DC0",Requirements!#REF!="x"),AND(B85="DC1",Requirements!#REF!="x"),AND(B85="DC2",Requirements!#REF!="x"),AND(B85="DC2+",Requirements!#REF!="x"),AND(B85="DC3",Requirements!#REF!="x")),MID(Requirements!#REF!,FIND(".",Requirements!#REF!)+1,1)&lt;&gt;"0"),FALSE)</f>
        <v>0</v>
      </c>
    </row>
    <row r="86" spans="1:15" x14ac:dyDescent="0.3">
      <c r="A86" s="53">
        <f>Questions!$B$30</f>
        <v>0</v>
      </c>
      <c r="B86" s="53" t="str">
        <f>Questions!$B$7</f>
        <v>DC3</v>
      </c>
      <c r="C86" s="53">
        <f>Questions!$B$28</f>
        <v>0</v>
      </c>
      <c r="D86" s="53">
        <f>Questions!$B$29</f>
        <v>0</v>
      </c>
      <c r="E86" s="53" t="s">
        <v>171</v>
      </c>
      <c r="F86" s="53" t="s">
        <v>172</v>
      </c>
      <c r="G86" s="53" t="str">
        <f>IF(Requirements!A90="","",Requirements!A90)</f>
        <v>5.5.0</v>
      </c>
      <c r="H86" s="53" t="str">
        <f>IF(Requirements!B90="","",Requirements!B90)</f>
        <v>The application/system shall log all Data Control Language (DCL) commands (e.g. grant, revoke) and Data Definition Language(DDL) commands  (e.g. create, drop, alter).  Use of database auditing.</v>
      </c>
      <c r="I86" s="53" t="str">
        <f>IF(Requirements!K90="","",Requirements!K90)</f>
        <v>Yes</v>
      </c>
      <c r="J86" s="53" t="str">
        <f>IF(Requirements!R90="","",Requirements!R90)</f>
        <v>3.2.10, 3.6.17</v>
      </c>
      <c r="K86" s="53" t="str">
        <f>IF(Requirements!T90="","",Requirements!T90)</f>
        <v/>
      </c>
      <c r="L86" s="53" t="str">
        <f>IF(Requirements!U90="","",Requirements!U90)</f>
        <v/>
      </c>
      <c r="M86" s="53" t="str">
        <f>IF(Requirements!V90="","",Requirements!V90)</f>
        <v/>
      </c>
      <c r="N86" s="53" t="str">
        <f>IF(Requirements!L90="","",Requirements!L90)</f>
        <v>SQL Logs</v>
      </c>
      <c r="O86" s="56" t="b">
        <f>IF(ISNUMBER(LEFT(Requirements!A90,1)*1),AND(I86&lt;&gt;"N/A",OR(AND(B86="DC0",Requirements!C90="x"),AND(B86="DC1",Requirements!D90="x"),AND(B86="DC2",Requirements!E90="x"),AND(B86="DC2+",Requirements!F90="x"),AND(B86="DC3",Requirements!G90="x")),MID(Requirements!A90,FIND(".",Requirements!A90)+1,1)&lt;&gt;"0"),FALSE)</f>
        <v>1</v>
      </c>
    </row>
    <row r="87" spans="1:15" x14ac:dyDescent="0.3">
      <c r="A87" s="53">
        <f>Questions!$B$30</f>
        <v>0</v>
      </c>
      <c r="B87" s="53" t="str">
        <f>Questions!$B$7</f>
        <v>DC3</v>
      </c>
      <c r="C87" s="53">
        <f>Questions!$B$28</f>
        <v>0</v>
      </c>
      <c r="D87" s="53">
        <f>Questions!$B$29</f>
        <v>0</v>
      </c>
      <c r="E87" s="53" t="s">
        <v>171</v>
      </c>
      <c r="F87" s="53" t="s">
        <v>172</v>
      </c>
      <c r="G87" s="53" t="e">
        <f>IF(Requirements!#REF!="","",Requirements!#REF!)</f>
        <v>#REF!</v>
      </c>
      <c r="H87" s="53" t="e">
        <f>IF(Requirements!#REF!="","",Requirements!#REF!)</f>
        <v>#REF!</v>
      </c>
      <c r="I87" s="53" t="e">
        <f>IF(Requirements!#REF!="","",Requirements!#REF!)</f>
        <v>#REF!</v>
      </c>
      <c r="J87" s="53" t="e">
        <f>IF(Requirements!#REF!="","",Requirements!#REF!)</f>
        <v>#REF!</v>
      </c>
      <c r="K87" s="53" t="e">
        <f>IF(Requirements!#REF!="","",Requirements!#REF!)</f>
        <v>#REF!</v>
      </c>
      <c r="L87" s="53" t="e">
        <f>IF(Requirements!#REF!="","",Requirements!#REF!)</f>
        <v>#REF!</v>
      </c>
      <c r="M87" s="53" t="e">
        <f>IF(Requirements!#REF!="","",Requirements!#REF!)</f>
        <v>#REF!</v>
      </c>
      <c r="N87" s="53" t="e">
        <f>IF(Requirements!#REF!="","",Requirements!#REF!)</f>
        <v>#REF!</v>
      </c>
      <c r="O87" s="56" t="b">
        <f>IF(ISNUMBER(LEFT(Requirements!#REF!,1)*1),AND(I87&lt;&gt;"N/A",OR(AND(B87="DC0",Requirements!#REF!="x"),AND(B87="DC1",Requirements!#REF!="x"),AND(B87="DC2",Requirements!#REF!="x"),AND(B87="DC2+",Requirements!#REF!="x"),AND(B87="DC3",Requirements!#REF!="x")),MID(Requirements!#REF!,FIND(".",Requirements!#REF!)+1,1)&lt;&gt;"0"),FALSE)</f>
        <v>0</v>
      </c>
    </row>
    <row r="88" spans="1:15" x14ac:dyDescent="0.3">
      <c r="A88" s="53">
        <f>Questions!$B$30</f>
        <v>0</v>
      </c>
      <c r="B88" s="53" t="str">
        <f>Questions!$B$7</f>
        <v>DC3</v>
      </c>
      <c r="C88" s="53">
        <f>Questions!$B$28</f>
        <v>0</v>
      </c>
      <c r="D88" s="53">
        <f>Questions!$B$29</f>
        <v>0</v>
      </c>
      <c r="E88" s="53" t="s">
        <v>171</v>
      </c>
      <c r="F88" s="53" t="s">
        <v>172</v>
      </c>
      <c r="G88" s="53" t="e">
        <f>IF(Requirements!#REF!="","",Requirements!#REF!)</f>
        <v>#REF!</v>
      </c>
      <c r="H88" s="53" t="e">
        <f>IF(Requirements!#REF!="","",Requirements!#REF!)</f>
        <v>#REF!</v>
      </c>
      <c r="I88" s="53" t="e">
        <f>IF(Requirements!#REF!="","",Requirements!#REF!)</f>
        <v>#REF!</v>
      </c>
      <c r="J88" s="53" t="e">
        <f>IF(Requirements!#REF!="","",Requirements!#REF!)</f>
        <v>#REF!</v>
      </c>
      <c r="K88" s="53" t="e">
        <f>IF(Requirements!#REF!="","",Requirements!#REF!)</f>
        <v>#REF!</v>
      </c>
      <c r="L88" s="53" t="e">
        <f>IF(Requirements!#REF!="","",Requirements!#REF!)</f>
        <v>#REF!</v>
      </c>
      <c r="M88" s="53" t="e">
        <f>IF(Requirements!#REF!="","",Requirements!#REF!)</f>
        <v>#REF!</v>
      </c>
      <c r="N88" s="53" t="e">
        <f>IF(Requirements!#REF!="","",Requirements!#REF!)</f>
        <v>#REF!</v>
      </c>
      <c r="O88" s="56" t="b">
        <f>IF(ISNUMBER(LEFT(Requirements!#REF!,1)*1),AND(I88&lt;&gt;"N/A",OR(AND(B88="DC0",Requirements!#REF!="x"),AND(B88="DC1",Requirements!#REF!="x"),AND(B88="DC2",Requirements!#REF!="x"),AND(B88="DC2+",Requirements!#REF!="x"),AND(B88="DC3",Requirements!#REF!="x")),MID(Requirements!#REF!,FIND(".",Requirements!#REF!)+1,1)&lt;&gt;"0"),FALSE)</f>
        <v>0</v>
      </c>
    </row>
    <row r="89" spans="1:15" x14ac:dyDescent="0.3">
      <c r="A89" s="53">
        <f>Questions!$B$30</f>
        <v>0</v>
      </c>
      <c r="B89" s="53" t="str">
        <f>Questions!$B$7</f>
        <v>DC3</v>
      </c>
      <c r="C89" s="53">
        <f>Questions!$B$28</f>
        <v>0</v>
      </c>
      <c r="D89" s="53">
        <f>Questions!$B$29</f>
        <v>0</v>
      </c>
      <c r="E89" s="53" t="s">
        <v>171</v>
      </c>
      <c r="F89" s="53" t="s">
        <v>172</v>
      </c>
      <c r="G89" s="53" t="str">
        <f>IF(Requirements!A91="","",Requirements!A91)</f>
        <v>5.6.0</v>
      </c>
      <c r="H89" s="53" t="str">
        <f>IF(Requirements!B91="","",Requirements!B91)</f>
        <v>The application/systems shall implement time synchronization.</v>
      </c>
      <c r="I89" s="53" t="str">
        <f>IF(Requirements!K91="","",Requirements!K91)</f>
        <v>Yes</v>
      </c>
      <c r="J89" s="53" t="str">
        <f>IF(Requirements!R91="","",Requirements!R91)</f>
        <v>3.2.10, 3.6.17</v>
      </c>
      <c r="K89" s="53" t="str">
        <f>IF(Requirements!T91="","",Requirements!T91)</f>
        <v/>
      </c>
      <c r="L89" s="53" t="str">
        <f>IF(Requirements!U91="","",Requirements!U91)</f>
        <v/>
      </c>
      <c r="M89" s="53" t="str">
        <f>IF(Requirements!V91="","",Requirements!V91)</f>
        <v/>
      </c>
      <c r="N89" s="53" t="str">
        <f>IF(Requirements!L91="","",Requirements!L91)</f>
        <v/>
      </c>
      <c r="O89" s="56" t="b">
        <f>IF(ISNUMBER(LEFT(Requirements!A91,1)*1),AND(I89&lt;&gt;"N/A",OR(AND(B89="DC0",Requirements!C91="x"),AND(B89="DC1",Requirements!D91="x"),AND(B89="DC2",Requirements!E91="x"),AND(B89="DC2+",Requirements!F91="x"),AND(B89="DC3",Requirements!G91="x")),MID(Requirements!A91,FIND(".",Requirements!A91)+1,1)&lt;&gt;"0"),FALSE)</f>
        <v>1</v>
      </c>
    </row>
    <row r="90" spans="1:15" x14ac:dyDescent="0.3">
      <c r="A90" s="53">
        <f>Questions!$B$30</f>
        <v>0</v>
      </c>
      <c r="B90" s="53" t="str">
        <f>Questions!$B$7</f>
        <v>DC3</v>
      </c>
      <c r="C90" s="53">
        <f>Questions!$B$28</f>
        <v>0</v>
      </c>
      <c r="D90" s="53">
        <f>Questions!$B$29</f>
        <v>0</v>
      </c>
      <c r="E90" s="53" t="s">
        <v>171</v>
      </c>
      <c r="F90" s="53" t="s">
        <v>172</v>
      </c>
      <c r="G90" s="53" t="str">
        <f>IF(Requirements!A92="","",Requirements!A92)</f>
        <v>5.7.0</v>
      </c>
      <c r="H90" s="53" t="str">
        <f>IF(Requirements!B92="","",Requirements!B92)</f>
        <v xml:space="preserve">The application shall log all user file transfer transactions out of the application.  ( e.g.  Tax DMS, SharePoint ).  </v>
      </c>
      <c r="I90" s="53" t="str">
        <f>IF(Requirements!K92="","",Requirements!K92)</f>
        <v/>
      </c>
      <c r="J90" s="53" t="str">
        <f>IF(Requirements!R92="","",Requirements!R92)</f>
        <v>3.2.10, 3.6.17</v>
      </c>
      <c r="K90" s="53" t="str">
        <f>IF(Requirements!T92="","",Requirements!T92)</f>
        <v/>
      </c>
      <c r="L90" s="53" t="str">
        <f>IF(Requirements!U92="","",Requirements!U92)</f>
        <v/>
      </c>
      <c r="M90" s="53" t="str">
        <f>IF(Requirements!V92="","",Requirements!V92)</f>
        <v/>
      </c>
      <c r="N90" s="53" t="str">
        <f>IF(Requirements!L92="","",Requirements!L92)</f>
        <v/>
      </c>
      <c r="O90" s="56" t="b">
        <f>IF(ISNUMBER(LEFT(Requirements!A92,1)*1),AND(I90&lt;&gt;"N/A",OR(AND(B90="DC0",Requirements!C92="x"),AND(B90="DC1",Requirements!D92="x"),AND(B90="DC2",Requirements!E92="x"),AND(B90="DC2+",Requirements!F92="x"),AND(B90="DC3",Requirements!G92="x")),MID(Requirements!A92,FIND(".",Requirements!A92)+1,1)&lt;&gt;"0"),FALSE)</f>
        <v>1</v>
      </c>
    </row>
    <row r="91" spans="1:15" x14ac:dyDescent="0.3">
      <c r="A91" s="53">
        <f>Questions!$B$30</f>
        <v>0</v>
      </c>
      <c r="B91" s="53" t="str">
        <f>Questions!$B$7</f>
        <v>DC3</v>
      </c>
      <c r="C91" s="53">
        <f>Questions!$B$28</f>
        <v>0</v>
      </c>
      <c r="D91" s="53">
        <f>Questions!$B$29</f>
        <v>0</v>
      </c>
      <c r="E91" s="53" t="s">
        <v>171</v>
      </c>
      <c r="F91" s="53" t="s">
        <v>172</v>
      </c>
      <c r="G91" s="53" t="str">
        <f>IF(Requirements!A96="","",Requirements!A96)</f>
        <v>6.0.0</v>
      </c>
      <c r="H91" s="53" t="str">
        <f>IF(Requirements!B96="","",Requirements!B96)</f>
        <v>DATA</v>
      </c>
      <c r="I91" s="53" t="str">
        <f>IF(Requirements!K96="","",Requirements!K96)</f>
        <v/>
      </c>
      <c r="J91" s="53" t="str">
        <f>IF(Requirements!R96="","",Requirements!R96)</f>
        <v/>
      </c>
      <c r="K91" s="53" t="str">
        <f>IF(Requirements!T96="","",Requirements!T96)</f>
        <v/>
      </c>
      <c r="L91" s="53" t="str">
        <f>IF(Requirements!U96="","",Requirements!U96)</f>
        <v/>
      </c>
      <c r="M91" s="53" t="str">
        <f>IF(Requirements!V96="","",Requirements!V96)</f>
        <v/>
      </c>
      <c r="N91" s="53" t="str">
        <f>IF(Requirements!L96="","",Requirements!L96)</f>
        <v/>
      </c>
      <c r="O91" s="56" t="b">
        <f>IF(ISNUMBER(LEFT(Requirements!A96,1)*1),AND(I91&lt;&gt;"N/A",OR(AND(B91="DC0",Requirements!C96="x"),AND(B91="DC1",Requirements!D96="x"),AND(B91="DC2",Requirements!E96="x"),AND(B91="DC2+",Requirements!F96="x"),AND(B91="DC3",Requirements!G96="x")),MID(Requirements!A96,FIND(".",Requirements!A96)+1,1)&lt;&gt;"0"),FALSE)</f>
        <v>0</v>
      </c>
    </row>
    <row r="92" spans="1:15" x14ac:dyDescent="0.3">
      <c r="A92" s="53">
        <f>Questions!$B$30</f>
        <v>0</v>
      </c>
      <c r="B92" s="53" t="str">
        <f>Questions!$B$7</f>
        <v>DC3</v>
      </c>
      <c r="C92" s="53">
        <f>Questions!$B$28</f>
        <v>0</v>
      </c>
      <c r="D92" s="53">
        <f>Questions!$B$29</f>
        <v>0</v>
      </c>
      <c r="E92" s="53" t="s">
        <v>171</v>
      </c>
      <c r="F92" s="53" t="s">
        <v>172</v>
      </c>
      <c r="G92" s="53" t="str">
        <f>IF(Requirements!A97="","",Requirements!A97)</f>
        <v>6.1.0</v>
      </c>
      <c r="H92" s="53" t="str">
        <f>IF(Requirements!B97="","",Requirements!B97)</f>
        <v>All production data shall be anonymized when moved to a non production environment otherwise production controls
must be in place including but not limited to authentication and authorization as specified in ISP 3.7.7.</v>
      </c>
      <c r="I92" s="53" t="str">
        <f>IF(Requirements!K97="","",Requirements!K97)</f>
        <v>No</v>
      </c>
      <c r="J92" s="53" t="str">
        <f>IF(Requirements!R97="","",Requirements!R97)</f>
        <v>3.8.6</v>
      </c>
      <c r="K92" s="53" t="str">
        <f>IF(Requirements!T97="","",Requirements!T97)</f>
        <v xml:space="preserve"> </v>
      </c>
      <c r="L92" s="53" t="str">
        <f>IF(Requirements!U97="","",Requirements!U97)</f>
        <v xml:space="preserve"> </v>
      </c>
      <c r="M92" s="53" t="str">
        <f>IF(Requirements!V97="","",Requirements!V97)</f>
        <v/>
      </c>
      <c r="N92" s="53" t="str">
        <f>IF(Requirements!L97="","",Requirements!L97)</f>
        <v>There is no standard tool/method for anonymization.</v>
      </c>
      <c r="O92" s="56" t="b">
        <f>IF(ISNUMBER(LEFT(Requirements!A97,1)*1),AND(I92&lt;&gt;"N/A",OR(AND(B92="DC0",Requirements!C97="x"),AND(B92="DC1",Requirements!D97="x"),AND(B92="DC2",Requirements!E97="x"),AND(B92="DC2+",Requirements!F97="x"),AND(B92="DC3",Requirements!G97="x")),MID(Requirements!A97,FIND(".",Requirements!A97)+1,1)&lt;&gt;"0"),FALSE)</f>
        <v>1</v>
      </c>
    </row>
    <row r="93" spans="1:15" x14ac:dyDescent="0.3">
      <c r="A93" s="53">
        <f>Questions!$B$30</f>
        <v>0</v>
      </c>
      <c r="B93" s="53" t="str">
        <f>Questions!$B$7</f>
        <v>DC3</v>
      </c>
      <c r="C93" s="53">
        <f>Questions!$B$28</f>
        <v>0</v>
      </c>
      <c r="D93" s="53">
        <f>Questions!$B$29</f>
        <v>0</v>
      </c>
      <c r="E93" s="53" t="s">
        <v>171</v>
      </c>
      <c r="F93" s="53" t="s">
        <v>172</v>
      </c>
      <c r="G93" s="53" t="e">
        <f>IF(Requirements!#REF!="","",Requirements!#REF!)</f>
        <v>#REF!</v>
      </c>
      <c r="H93" s="53" t="e">
        <f>IF(Requirements!#REF!="","",Requirements!#REF!)</f>
        <v>#REF!</v>
      </c>
      <c r="I93" s="53" t="e">
        <f>IF(Requirements!#REF!="","",Requirements!#REF!)</f>
        <v>#REF!</v>
      </c>
      <c r="J93" s="53" t="e">
        <f>IF(Requirements!#REF!="","",Requirements!#REF!)</f>
        <v>#REF!</v>
      </c>
      <c r="K93" s="53" t="e">
        <f>IF(Requirements!#REF!="","",Requirements!#REF!)</f>
        <v>#REF!</v>
      </c>
      <c r="L93" s="53" t="e">
        <f>IF(Requirements!#REF!="","",Requirements!#REF!)</f>
        <v>#REF!</v>
      </c>
      <c r="M93" s="53" t="e">
        <f>IF(Requirements!#REF!="","",Requirements!#REF!)</f>
        <v>#REF!</v>
      </c>
      <c r="N93" s="53" t="e">
        <f>IF(Requirements!#REF!="","",Requirements!#REF!)</f>
        <v>#REF!</v>
      </c>
      <c r="O93" s="56" t="b">
        <f>IF(ISNUMBER(LEFT(Requirements!#REF!,1)*1),AND(I93&lt;&gt;"N/A",OR(AND(B93="DC0",Requirements!#REF!="x"),AND(B93="DC1",Requirements!#REF!="x"),AND(B93="DC2",Requirements!#REF!="x"),AND(B93="DC2+",Requirements!#REF!="x"),AND(B93="DC3",Requirements!#REF!="x")),MID(Requirements!#REF!,FIND(".",Requirements!#REF!)+1,1)&lt;&gt;"0"),FALSE)</f>
        <v>0</v>
      </c>
    </row>
    <row r="94" spans="1:15" x14ac:dyDescent="0.3">
      <c r="A94" s="53">
        <f>Questions!$B$30</f>
        <v>0</v>
      </c>
      <c r="B94" s="53" t="str">
        <f>Questions!$B$7</f>
        <v>DC3</v>
      </c>
      <c r="C94" s="53">
        <f>Questions!$B$28</f>
        <v>0</v>
      </c>
      <c r="D94" s="53">
        <f>Questions!$B$29</f>
        <v>0</v>
      </c>
      <c r="E94" s="53" t="s">
        <v>171</v>
      </c>
      <c r="F94" s="53" t="s">
        <v>172</v>
      </c>
      <c r="G94" s="53" t="e">
        <f>IF(Requirements!#REF!="","",Requirements!#REF!)</f>
        <v>#REF!</v>
      </c>
      <c r="H94" s="53" t="e">
        <f>IF(Requirements!#REF!="","",Requirements!#REF!)</f>
        <v>#REF!</v>
      </c>
      <c r="I94" s="53" t="e">
        <f>IF(Requirements!#REF!="","",Requirements!#REF!)</f>
        <v>#REF!</v>
      </c>
      <c r="J94" s="53" t="e">
        <f>IF(Requirements!#REF!="","",Requirements!#REF!)</f>
        <v>#REF!</v>
      </c>
      <c r="K94" s="53" t="e">
        <f>IF(Requirements!#REF!="","",Requirements!#REF!)</f>
        <v>#REF!</v>
      </c>
      <c r="L94" s="53" t="e">
        <f>IF(Requirements!#REF!="","",Requirements!#REF!)</f>
        <v>#REF!</v>
      </c>
      <c r="M94" s="53" t="e">
        <f>IF(Requirements!#REF!="","",Requirements!#REF!)</f>
        <v>#REF!</v>
      </c>
      <c r="N94" s="53" t="e">
        <f>IF(Requirements!#REF!="","",Requirements!#REF!)</f>
        <v>#REF!</v>
      </c>
      <c r="O94" s="56" t="b">
        <f>IF(ISNUMBER(LEFT(Requirements!#REF!,1)*1),AND(I94&lt;&gt;"N/A",OR(AND(B94="DC0",Requirements!#REF!="x"),AND(B94="DC1",Requirements!#REF!="x"),AND(B94="DC2",Requirements!#REF!="x"),AND(B94="DC2+",Requirements!#REF!="x"),AND(B94="DC3",Requirements!#REF!="x")),MID(Requirements!#REF!,FIND(".",Requirements!#REF!)+1,1)&lt;&gt;"0"),FALSE)</f>
        <v>0</v>
      </c>
    </row>
    <row r="95" spans="1:15" x14ac:dyDescent="0.3">
      <c r="A95" s="53">
        <f>Questions!$B$30</f>
        <v>0</v>
      </c>
      <c r="B95" s="53" t="str">
        <f>Questions!$B$7</f>
        <v>DC3</v>
      </c>
      <c r="C95" s="53">
        <f>Questions!$B$28</f>
        <v>0</v>
      </c>
      <c r="D95" s="53">
        <f>Questions!$B$29</f>
        <v>0</v>
      </c>
      <c r="E95" s="53" t="s">
        <v>171</v>
      </c>
      <c r="F95" s="53" t="s">
        <v>172</v>
      </c>
      <c r="G95" s="53" t="str">
        <f>IF(Requirements!A98="","",Requirements!A98)</f>
        <v>7.0.0</v>
      </c>
      <c r="H95" s="53" t="str">
        <f>IF(Requirements!B98="","",Requirements!B98)</f>
        <v>HARDENING</v>
      </c>
      <c r="I95" s="53" t="str">
        <f>IF(Requirements!K98="","",Requirements!K98)</f>
        <v/>
      </c>
      <c r="J95" s="53" t="str">
        <f>IF(Requirements!R98="","",Requirements!R98)</f>
        <v/>
      </c>
      <c r="K95" s="53" t="str">
        <f>IF(Requirements!T98="","",Requirements!T98)</f>
        <v/>
      </c>
      <c r="L95" s="53" t="str">
        <f>IF(Requirements!U98="","",Requirements!U98)</f>
        <v/>
      </c>
      <c r="M95" s="53" t="str">
        <f>IF(Requirements!V98="","",Requirements!V98)</f>
        <v/>
      </c>
      <c r="N95" s="53" t="str">
        <f>IF(Requirements!L98="","",Requirements!L98)</f>
        <v/>
      </c>
      <c r="O95" s="56" t="b">
        <f>IF(ISNUMBER(LEFT(Requirements!A98,1)*1),AND(I95&lt;&gt;"N/A",OR(AND(B95="DC0",Requirements!C98="x"),AND(B95="DC1",Requirements!D98="x"),AND(B95="DC2",Requirements!E98="x"),AND(B95="DC2+",Requirements!F98="x"),AND(B95="DC3",Requirements!G98="x")),MID(Requirements!A98,FIND(".",Requirements!A98)+1,1)&lt;&gt;"0"),FALSE)</f>
        <v>0</v>
      </c>
    </row>
    <row r="96" spans="1:15" x14ac:dyDescent="0.3">
      <c r="A96" s="53">
        <f>Questions!$B$30</f>
        <v>0</v>
      </c>
      <c r="B96" s="53" t="str">
        <f>Questions!$B$7</f>
        <v>DC3</v>
      </c>
      <c r="C96" s="53">
        <f>Questions!$B$28</f>
        <v>0</v>
      </c>
      <c r="D96" s="53">
        <f>Questions!$B$29</f>
        <v>0</v>
      </c>
      <c r="E96" s="53" t="s">
        <v>171</v>
      </c>
      <c r="F96" s="53" t="s">
        <v>172</v>
      </c>
      <c r="G96" s="53" t="str">
        <f>IF(Requirements!A99="","",Requirements!A99)</f>
        <v>7.1.0</v>
      </c>
      <c r="H96" s="53" t="str">
        <f>IF(Requirements!B99="","",Requirements!B99)</f>
        <v>That application/system shall disable all applications features (services/processes, etc.) that will not be used.</v>
      </c>
      <c r="I96" s="53" t="str">
        <f>IF(Requirements!K99="","",Requirements!K99)</f>
        <v>Yes</v>
      </c>
      <c r="J96" s="53" t="str">
        <f>IF(Requirements!R99="","",Requirements!R99)</f>
        <v>3.6.16</v>
      </c>
      <c r="K96" s="53" t="str">
        <f>IF(Requirements!T99="","",Requirements!T99)</f>
        <v/>
      </c>
      <c r="L96" s="53" t="str">
        <f>IF(Requirements!U99="","",Requirements!U99)</f>
        <v/>
      </c>
      <c r="M96" s="53" t="str">
        <f>IF(Requirements!V99="","",Requirements!V99)</f>
        <v/>
      </c>
      <c r="N96" s="53" t="str">
        <f>IF(Requirements!L99="","",Requirements!L99)</f>
        <v/>
      </c>
      <c r="O96" s="56" t="b">
        <f>IF(ISNUMBER(LEFT(Requirements!A99,1)*1),AND(I96&lt;&gt;"N/A",OR(AND(B96="DC0",Requirements!C99="x"),AND(B96="DC1",Requirements!D99="x"),AND(B96="DC2",Requirements!E99="x"),AND(B96="DC2+",Requirements!F99="x"),AND(B96="DC3",Requirements!G99="x")),MID(Requirements!A99,FIND(".",Requirements!A99)+1,1)&lt;&gt;"0"),FALSE)</f>
        <v>1</v>
      </c>
    </row>
    <row r="97" spans="1:15" x14ac:dyDescent="0.3">
      <c r="A97" s="53">
        <f>Questions!$B$30</f>
        <v>0</v>
      </c>
      <c r="B97" s="53" t="str">
        <f>Questions!$B$7</f>
        <v>DC3</v>
      </c>
      <c r="C97" s="53">
        <f>Questions!$B$28</f>
        <v>0</v>
      </c>
      <c r="D97" s="53">
        <f>Questions!$B$29</f>
        <v>0</v>
      </c>
      <c r="E97" s="53" t="s">
        <v>171</v>
      </c>
      <c r="F97" s="53" t="s">
        <v>172</v>
      </c>
      <c r="G97" s="53" t="e">
        <f>IF(Requirements!#REF!="","",Requirements!#REF!)</f>
        <v>#REF!</v>
      </c>
      <c r="H97" s="53" t="e">
        <f>IF(Requirements!#REF!="","",Requirements!#REF!)</f>
        <v>#REF!</v>
      </c>
      <c r="I97" s="53" t="e">
        <f>IF(Requirements!#REF!="","",Requirements!#REF!)</f>
        <v>#REF!</v>
      </c>
      <c r="J97" s="53" t="e">
        <f>IF(Requirements!#REF!="","",Requirements!#REF!)</f>
        <v>#REF!</v>
      </c>
      <c r="K97" s="53" t="e">
        <f>IF(Requirements!#REF!="","",Requirements!#REF!)</f>
        <v>#REF!</v>
      </c>
      <c r="L97" s="53" t="e">
        <f>IF(Requirements!#REF!="","",Requirements!#REF!)</f>
        <v>#REF!</v>
      </c>
      <c r="M97" s="53" t="e">
        <f>IF(Requirements!#REF!="","",Requirements!#REF!)</f>
        <v>#REF!</v>
      </c>
      <c r="N97" s="53" t="e">
        <f>IF(Requirements!#REF!="","",Requirements!#REF!)</f>
        <v>#REF!</v>
      </c>
      <c r="O97" s="56" t="b">
        <f>IF(ISNUMBER(LEFT(Requirements!#REF!,1)*1),AND(I97&lt;&gt;"N/A",OR(AND(B97="DC0",Requirements!#REF!="x"),AND(B97="DC1",Requirements!#REF!="x"),AND(B97="DC2",Requirements!#REF!="x"),AND(B97="DC2+",Requirements!#REF!="x"),AND(B97="DC3",Requirements!#REF!="x")),MID(Requirements!#REF!,FIND(".",Requirements!#REF!)+1,1)&lt;&gt;"0"),FALSE)</f>
        <v>0</v>
      </c>
    </row>
    <row r="98" spans="1:15" x14ac:dyDescent="0.3">
      <c r="A98" s="53">
        <f>Questions!$B$30</f>
        <v>0</v>
      </c>
      <c r="B98" s="53" t="str">
        <f>Questions!$B$7</f>
        <v>DC3</v>
      </c>
      <c r="C98" s="53">
        <f>Questions!$B$28</f>
        <v>0</v>
      </c>
      <c r="D98" s="53">
        <f>Questions!$B$29</f>
        <v>0</v>
      </c>
      <c r="E98" s="53" t="s">
        <v>171</v>
      </c>
      <c r="F98" s="53" t="s">
        <v>172</v>
      </c>
      <c r="G98" s="53" t="str">
        <f>IF(Requirements!A100="","",Requirements!A100)</f>
        <v>7.2.0</v>
      </c>
      <c r="H98" s="53" t="str">
        <f>IF(Requirements!B100="","",Requirements!B100)</f>
        <v>That application/system shall disable all network ports that will not be used.</v>
      </c>
      <c r="I98" s="53" t="str">
        <f>IF(Requirements!K100="","",Requirements!K100)</f>
        <v>Yes</v>
      </c>
      <c r="J98" s="53" t="str">
        <f>IF(Requirements!R100="","",Requirements!R100)</f>
        <v>3.6.16</v>
      </c>
      <c r="K98" s="53" t="str">
        <f>IF(Requirements!T100="","",Requirements!T100)</f>
        <v/>
      </c>
      <c r="L98" s="53" t="str">
        <f>IF(Requirements!U100="","",Requirements!U100)</f>
        <v/>
      </c>
      <c r="M98" s="53" t="str">
        <f>IF(Requirements!V100="","",Requirements!V100)</f>
        <v/>
      </c>
      <c r="N98" s="53" t="str">
        <f>IF(Requirements!L100="","",Requirements!L100)</f>
        <v/>
      </c>
      <c r="O98" s="56" t="b">
        <f>IF(ISNUMBER(LEFT(Requirements!A100,1)*1),AND(I98&lt;&gt;"N/A",OR(AND(B98="DC0",Requirements!C100="x"),AND(B98="DC1",Requirements!D100="x"),AND(B98="DC2",Requirements!E100="x"),AND(B98="DC2+",Requirements!F100="x"),AND(B98="DC3",Requirements!G100="x")),MID(Requirements!A100,FIND(".",Requirements!A100)+1,1)&lt;&gt;"0"),FALSE)</f>
        <v>1</v>
      </c>
    </row>
    <row r="99" spans="1:15" x14ac:dyDescent="0.3">
      <c r="A99" s="53">
        <f>Questions!$B$30</f>
        <v>0</v>
      </c>
      <c r="B99" s="53" t="str">
        <f>Questions!$B$7</f>
        <v>DC3</v>
      </c>
      <c r="C99" s="53">
        <f>Questions!$B$28</f>
        <v>0</v>
      </c>
      <c r="D99" s="53">
        <f>Questions!$B$29</f>
        <v>0</v>
      </c>
      <c r="E99" s="53" t="s">
        <v>171</v>
      </c>
      <c r="F99" s="53" t="s">
        <v>172</v>
      </c>
      <c r="G99" s="53" t="str">
        <f>IF(Requirements!A101="","",Requirements!A101)</f>
        <v>7.3.0</v>
      </c>
      <c r="H99" s="53" t="str">
        <f>IF(Requirements!B101="","",Requirements!B101)</f>
        <v>The application/system shall document all ports required to function and direction of traffic in a visual aid ( e.g. architecture high level design(AAHLD/HLD),  detailed design (DD) or other).</v>
      </c>
      <c r="I99" s="53" t="str">
        <f>IF(Requirements!K101="","",Requirements!K101)</f>
        <v>Yes</v>
      </c>
      <c r="J99" s="53" t="str">
        <f>IF(Requirements!R101="","",Requirements!R101)</f>
        <v>3.6.16</v>
      </c>
      <c r="K99" s="53" t="str">
        <f>IF(Requirements!T101="","",Requirements!T101)</f>
        <v/>
      </c>
      <c r="L99" s="53" t="str">
        <f>IF(Requirements!U101="","",Requirements!U101)</f>
        <v/>
      </c>
      <c r="M99" s="53" t="str">
        <f>IF(Requirements!V101="","",Requirements!V101)</f>
        <v/>
      </c>
      <c r="N99" s="53" t="str">
        <f>IF(Requirements!L101="","",Requirements!L101)</f>
        <v/>
      </c>
      <c r="O99" s="56" t="b">
        <f>IF(ISNUMBER(LEFT(Requirements!A101,1)*1),AND(I99&lt;&gt;"N/A",OR(AND(B99="DC0",Requirements!C101="x"),AND(B99="DC1",Requirements!D101="x"),AND(B99="DC2",Requirements!E101="x"),AND(B99="DC2+",Requirements!F101="x"),AND(B99="DC3",Requirements!G101="x")),MID(Requirements!A101,FIND(".",Requirements!A101)+1,1)&lt;&gt;"0"),FALSE)</f>
        <v>1</v>
      </c>
    </row>
    <row r="100" spans="1:15" x14ac:dyDescent="0.3">
      <c r="A100" s="53">
        <f>Questions!$B$30</f>
        <v>0</v>
      </c>
      <c r="B100" s="53" t="str">
        <f>Questions!$B$7</f>
        <v>DC3</v>
      </c>
      <c r="C100" s="53">
        <f>Questions!$B$28</f>
        <v>0</v>
      </c>
      <c r="D100" s="53">
        <f>Questions!$B$29</f>
        <v>0</v>
      </c>
      <c r="E100" s="53" t="s">
        <v>171</v>
      </c>
      <c r="F100" s="53" t="s">
        <v>172</v>
      </c>
      <c r="G100" s="53" t="str">
        <f>IF(Requirements!A104="","",Requirements!A104)</f>
        <v>8.0.0</v>
      </c>
      <c r="H100" s="53" t="str">
        <f>IF(Requirements!B104="","",Requirements!B104)</f>
        <v>MALWARE PROTECTION</v>
      </c>
      <c r="I100" s="53" t="str">
        <f>IF(Requirements!K104="","",Requirements!K104)</f>
        <v/>
      </c>
      <c r="J100" s="53" t="str">
        <f>IF(Requirements!R104="","",Requirements!R104)</f>
        <v/>
      </c>
      <c r="K100" s="53" t="str">
        <f>IF(Requirements!T104="","",Requirements!T104)</f>
        <v/>
      </c>
      <c r="L100" s="53" t="str">
        <f>IF(Requirements!U104="","",Requirements!U104)</f>
        <v/>
      </c>
      <c r="M100" s="53" t="str">
        <f>IF(Requirements!V104="","",Requirements!V104)</f>
        <v/>
      </c>
      <c r="N100" s="53" t="str">
        <f>IF(Requirements!L104="","",Requirements!L104)</f>
        <v/>
      </c>
      <c r="O100" s="56" t="b">
        <f>IF(ISNUMBER(LEFT(Requirements!A104,1)*1),AND(I100&lt;&gt;"N/A",OR(AND(B100="DC0",Requirements!C104="x"),AND(B100="DC1",Requirements!D104="x"),AND(B100="DC2",Requirements!E104="x"),AND(B100="DC2+",Requirements!F104="x"),AND(B100="DC3",Requirements!G104="x")),MID(Requirements!A104,FIND(".",Requirements!A104)+1,1)&lt;&gt;"0"),FALSE)</f>
        <v>0</v>
      </c>
    </row>
    <row r="101" spans="1:15" x14ac:dyDescent="0.3">
      <c r="A101" s="53">
        <f>Questions!$B$30</f>
        <v>0</v>
      </c>
      <c r="B101" s="53" t="str">
        <f>Questions!$B$7</f>
        <v>DC3</v>
      </c>
      <c r="C101" s="53">
        <f>Questions!$B$28</f>
        <v>0</v>
      </c>
      <c r="D101" s="53">
        <f>Questions!$B$29</f>
        <v>0</v>
      </c>
      <c r="E101" s="53" t="s">
        <v>171</v>
      </c>
      <c r="F101" s="53" t="s">
        <v>172</v>
      </c>
      <c r="G101" s="53" t="str">
        <f>IF(Requirements!A105="","",Requirements!A105)</f>
        <v>8.1.0</v>
      </c>
      <c r="H101" s="53" t="str">
        <f>IF(Requirements!B105="","",Requirements!B105)</f>
        <v>The application/system shall use the approved malware protection</v>
      </c>
      <c r="I101" s="53" t="str">
        <f>IF(Requirements!K105="","",Requirements!K105)</f>
        <v>N/A</v>
      </c>
      <c r="J101" s="53" t="str">
        <f>IF(Requirements!R105="","",Requirements!R105)</f>
        <v>3.6.8</v>
      </c>
      <c r="K101" s="53" t="str">
        <f>IF(Requirements!T105="","",Requirements!T105)</f>
        <v/>
      </c>
      <c r="L101" s="53" t="str">
        <f>IF(Requirements!U105="","",Requirements!U105)</f>
        <v/>
      </c>
      <c r="M101" s="53" t="str">
        <f>IF(Requirements!V105="","",Requirements!V105)</f>
        <v/>
      </c>
      <c r="N101" s="53" t="str">
        <f>IF(Requirements!L105="","",Requirements!L105)</f>
        <v>hosted on Azure</v>
      </c>
      <c r="O101" s="56" t="b">
        <f>IF(ISNUMBER(LEFT(Requirements!A105,1)*1),AND(I101&lt;&gt;"N/A",OR(AND(B101="DC0",Requirements!C105="x"),AND(B101="DC1",Requirements!D105="x"),AND(B101="DC2",Requirements!E105="x"),AND(B101="DC2+",Requirements!F105="x"),AND(B101="DC3",Requirements!G105="x")),MID(Requirements!A105,FIND(".",Requirements!A105)+1,1)&lt;&gt;"0"),FALSE)</f>
        <v>0</v>
      </c>
    </row>
    <row r="102" spans="1:15" x14ac:dyDescent="0.3">
      <c r="A102" s="53">
        <f>Questions!$B$30</f>
        <v>0</v>
      </c>
      <c r="B102" s="53" t="str">
        <f>Questions!$B$7</f>
        <v>DC3</v>
      </c>
      <c r="C102" s="53">
        <f>Questions!$B$28</f>
        <v>0</v>
      </c>
      <c r="D102" s="53">
        <f>Questions!$B$29</f>
        <v>0</v>
      </c>
      <c r="E102" s="53" t="s">
        <v>171</v>
      </c>
      <c r="F102" s="53" t="s">
        <v>172</v>
      </c>
      <c r="G102" s="53" t="e">
        <f>IF(Requirements!#REF!="","",Requirements!#REF!)</f>
        <v>#REF!</v>
      </c>
      <c r="H102" s="53" t="e">
        <f>IF(Requirements!#REF!="","",Requirements!#REF!)</f>
        <v>#REF!</v>
      </c>
      <c r="I102" s="53" t="e">
        <f>IF(Requirements!#REF!="","",Requirements!#REF!)</f>
        <v>#REF!</v>
      </c>
      <c r="J102" s="53" t="e">
        <f>IF(Requirements!#REF!="","",Requirements!#REF!)</f>
        <v>#REF!</v>
      </c>
      <c r="K102" s="53" t="e">
        <f>IF(Requirements!#REF!="","",Requirements!#REF!)</f>
        <v>#REF!</v>
      </c>
      <c r="L102" s="53" t="e">
        <f>IF(Requirements!#REF!="","",Requirements!#REF!)</f>
        <v>#REF!</v>
      </c>
      <c r="M102" s="53" t="e">
        <f>IF(Requirements!#REF!="","",Requirements!#REF!)</f>
        <v>#REF!</v>
      </c>
      <c r="N102" s="53" t="e">
        <f>IF(Requirements!#REF!="","",Requirements!#REF!)</f>
        <v>#REF!</v>
      </c>
      <c r="O102" s="56" t="b">
        <f>IF(ISNUMBER(LEFT(Requirements!#REF!,1)*1),AND(I102&lt;&gt;"N/A",OR(AND(B102="DC0",Requirements!#REF!="x"),AND(B102="DC1",Requirements!#REF!="x"),AND(B102="DC2",Requirements!#REF!="x"),AND(B102="DC2+",Requirements!#REF!="x"),AND(B102="DC3",Requirements!#REF!="x")),MID(Requirements!#REF!,FIND(".",Requirements!#REF!)+1,1)&lt;&gt;"0"),FALSE)</f>
        <v>0</v>
      </c>
    </row>
    <row r="103" spans="1:15" x14ac:dyDescent="0.3">
      <c r="A103" s="53">
        <f>Questions!$B$30</f>
        <v>0</v>
      </c>
      <c r="B103" s="53" t="str">
        <f>Questions!$B$7</f>
        <v>DC3</v>
      </c>
      <c r="C103" s="53">
        <f>Questions!$B$28</f>
        <v>0</v>
      </c>
      <c r="D103" s="53">
        <f>Questions!$B$29</f>
        <v>0</v>
      </c>
      <c r="E103" s="53" t="s">
        <v>171</v>
      </c>
      <c r="F103" s="53" t="s">
        <v>172</v>
      </c>
      <c r="G103" s="53" t="str">
        <f>IF(Requirements!A108="","",Requirements!A108)</f>
        <v>9.0.0</v>
      </c>
      <c r="H103" s="53" t="str">
        <f>IF(Requirements!B108="","",Requirements!B108)</f>
        <v>NETWORK</v>
      </c>
      <c r="I103" s="53" t="str">
        <f>IF(Requirements!K108="","",Requirements!K108)</f>
        <v/>
      </c>
      <c r="J103" s="53" t="str">
        <f>IF(Requirements!R108="","",Requirements!R108)</f>
        <v/>
      </c>
      <c r="K103" s="53" t="str">
        <f>IF(Requirements!T108="","",Requirements!T108)</f>
        <v/>
      </c>
      <c r="L103" s="53" t="str">
        <f>IF(Requirements!U108="","",Requirements!U108)</f>
        <v/>
      </c>
      <c r="M103" s="53" t="str">
        <f>IF(Requirements!V108="","",Requirements!V108)</f>
        <v/>
      </c>
      <c r="N103" s="53" t="str">
        <f>IF(Requirements!L108="","",Requirements!L108)</f>
        <v/>
      </c>
      <c r="O103" s="56" t="b">
        <f>IF(ISNUMBER(LEFT(Requirements!A108,1)*1),AND(I103&lt;&gt;"N/A",OR(AND(B103="DC0",Requirements!C108="x"),AND(B103="DC1",Requirements!D108="x"),AND(B103="DC2",Requirements!E108="x"),AND(B103="DC2+",Requirements!F108="x"),AND(B103="DC3",Requirements!G108="x")),MID(Requirements!A108,FIND(".",Requirements!A108)+1,1)&lt;&gt;"0"),FALSE)</f>
        <v>0</v>
      </c>
    </row>
    <row r="104" spans="1:15" x14ac:dyDescent="0.3">
      <c r="A104" s="53">
        <f>Questions!$B$30</f>
        <v>0</v>
      </c>
      <c r="B104" s="53" t="str">
        <f>Questions!$B$7</f>
        <v>DC3</v>
      </c>
      <c r="C104" s="53">
        <f>Questions!$B$28</f>
        <v>0</v>
      </c>
      <c r="D104" s="53">
        <f>Questions!$B$29</f>
        <v>0</v>
      </c>
      <c r="E104" s="53" t="s">
        <v>171</v>
      </c>
      <c r="F104" s="53" t="s">
        <v>172</v>
      </c>
      <c r="G104" s="53" t="str">
        <f>IF(Requirements!A109="","",Requirements!A109)</f>
        <v>9.1.0</v>
      </c>
      <c r="H104" s="53" t="str">
        <f>IF(Requirements!B109="","",Requirements!B109)</f>
        <v xml:space="preserve">All webhosting applications/systems deployments shall follow the applicable network tier design standard.
</v>
      </c>
      <c r="I104" s="53" t="str">
        <f>IF(Requirements!K109="","",Requirements!K109)</f>
        <v/>
      </c>
      <c r="J104" s="53" t="str">
        <f>IF(Requirements!R109="","",Requirements!R109)</f>
        <v>3.7.15</v>
      </c>
      <c r="K104" s="53" t="str">
        <f>IF(Requirements!T109="","",Requirements!T109)</f>
        <v>https://pwc-spark.com/docs/DOC-627722
http://usitdms.pwcinternal.com/usitdms/drl/objectId/090138818028f896</v>
      </c>
      <c r="L104" s="53" t="str">
        <f>IF(Requirements!U109="","",Requirements!U109)</f>
        <v/>
      </c>
      <c r="M104" s="53" t="str">
        <f>IF(Requirements!V109="","",Requirements!V109)</f>
        <v/>
      </c>
      <c r="N104" s="53" t="str">
        <f>IF(Requirements!L109="","",Requirements!L109)</f>
        <v/>
      </c>
      <c r="O104" s="56" t="b">
        <f>IF(ISNUMBER(LEFT(Requirements!A109,1)*1),AND(I104&lt;&gt;"N/A",OR(AND(B104="DC0",Requirements!C109="x"),AND(B104="DC1",Requirements!D109="x"),AND(B104="DC2",Requirements!E109="x"),AND(B104="DC2+",Requirements!F109="x"),AND(B104="DC3",Requirements!G109="x")),MID(Requirements!A109,FIND(".",Requirements!A109)+1,1)&lt;&gt;"0"),FALSE)</f>
        <v>1</v>
      </c>
    </row>
    <row r="105" spans="1:15" x14ac:dyDescent="0.3">
      <c r="A105" s="53">
        <f>Questions!$B$30</f>
        <v>0</v>
      </c>
      <c r="B105" s="53" t="str">
        <f>Questions!$B$7</f>
        <v>DC3</v>
      </c>
      <c r="C105" s="53">
        <f>Questions!$B$28</f>
        <v>0</v>
      </c>
      <c r="D105" s="53">
        <f>Questions!$B$29</f>
        <v>0</v>
      </c>
      <c r="E105" s="53" t="s">
        <v>171</v>
      </c>
      <c r="F105" s="53" t="s">
        <v>172</v>
      </c>
      <c r="G105" s="53" t="e">
        <f>IF(Requirements!#REF!="","",Requirements!#REF!)</f>
        <v>#REF!</v>
      </c>
      <c r="H105" s="53" t="e">
        <f>IF(Requirements!#REF!="","",Requirements!#REF!)</f>
        <v>#REF!</v>
      </c>
      <c r="I105" s="53" t="e">
        <f>IF(Requirements!#REF!="","",Requirements!#REF!)</f>
        <v>#REF!</v>
      </c>
      <c r="J105" s="53" t="e">
        <f>IF(Requirements!#REF!="","",Requirements!#REF!)</f>
        <v>#REF!</v>
      </c>
      <c r="K105" s="53" t="e">
        <f>IF(Requirements!#REF!="","",Requirements!#REF!)</f>
        <v>#REF!</v>
      </c>
      <c r="L105" s="53" t="e">
        <f>IF(Requirements!#REF!="","",Requirements!#REF!)</f>
        <v>#REF!</v>
      </c>
      <c r="M105" s="53" t="e">
        <f>IF(Requirements!#REF!="","",Requirements!#REF!)</f>
        <v>#REF!</v>
      </c>
      <c r="N105" s="53" t="e">
        <f>IF(Requirements!#REF!="","",Requirements!#REF!)</f>
        <v>#REF!</v>
      </c>
      <c r="O105" s="56" t="b">
        <f>IF(ISNUMBER(LEFT(Requirements!#REF!,1)*1),AND(I105&lt;&gt;"N/A",OR(AND(B105="DC0",Requirements!#REF!="x"),AND(B105="DC1",Requirements!#REF!="x"),AND(B105="DC2",Requirements!#REF!="x"),AND(B105="DC2+",Requirements!#REF!="x"),AND(B105="DC3",Requirements!#REF!="x")),MID(Requirements!#REF!,FIND(".",Requirements!#REF!)+1,1)&lt;&gt;"0"),FALSE)</f>
        <v>0</v>
      </c>
    </row>
    <row r="106" spans="1:15" x14ac:dyDescent="0.3">
      <c r="A106" s="53">
        <f>Questions!$B$30</f>
        <v>0</v>
      </c>
      <c r="B106" s="53" t="str">
        <f>Questions!$B$7</f>
        <v>DC3</v>
      </c>
      <c r="C106" s="53">
        <f>Questions!$B$28</f>
        <v>0</v>
      </c>
      <c r="D106" s="53">
        <f>Questions!$B$29</f>
        <v>0</v>
      </c>
      <c r="E106" s="53" t="s">
        <v>171</v>
      </c>
      <c r="F106" s="53" t="s">
        <v>172</v>
      </c>
      <c r="G106" s="53" t="e">
        <f>IF(Requirements!#REF!="","",Requirements!#REF!)</f>
        <v>#REF!</v>
      </c>
      <c r="H106" s="53" t="e">
        <f>IF(Requirements!#REF!="","",Requirements!#REF!)</f>
        <v>#REF!</v>
      </c>
      <c r="I106" s="53" t="e">
        <f>IF(Requirements!#REF!="","",Requirements!#REF!)</f>
        <v>#REF!</v>
      </c>
      <c r="J106" s="53" t="e">
        <f>IF(Requirements!#REF!="","",Requirements!#REF!)</f>
        <v>#REF!</v>
      </c>
      <c r="K106" s="53" t="e">
        <f>IF(Requirements!#REF!="","",Requirements!#REF!)</f>
        <v>#REF!</v>
      </c>
      <c r="L106" s="53" t="e">
        <f>IF(Requirements!#REF!="","",Requirements!#REF!)</f>
        <v>#REF!</v>
      </c>
      <c r="M106" s="53" t="e">
        <f>IF(Requirements!#REF!="","",Requirements!#REF!)</f>
        <v>#REF!</v>
      </c>
      <c r="N106" s="53" t="e">
        <f>IF(Requirements!#REF!="","",Requirements!#REF!)</f>
        <v>#REF!</v>
      </c>
      <c r="O106" s="56" t="b">
        <f>IF(ISNUMBER(LEFT(Requirements!#REF!,1)*1),AND(I106&lt;&gt;"N/A",OR(AND(B106="DC0",Requirements!#REF!="x"),AND(B106="DC1",Requirements!#REF!="x"),AND(B106="DC2",Requirements!#REF!="x"),AND(B106="DC2+",Requirements!#REF!="x"),AND(B106="DC3",Requirements!#REF!="x")),MID(Requirements!#REF!,FIND(".",Requirements!#REF!)+1,1)&lt;&gt;"0"),FALSE)</f>
        <v>0</v>
      </c>
    </row>
    <row r="107" spans="1:15" x14ac:dyDescent="0.3">
      <c r="A107" s="53">
        <f>Questions!$B$30</f>
        <v>0</v>
      </c>
      <c r="B107" s="53" t="str">
        <f>Questions!$B$7</f>
        <v>DC3</v>
      </c>
      <c r="C107" s="53">
        <f>Questions!$B$28</f>
        <v>0</v>
      </c>
      <c r="D107" s="53">
        <f>Questions!$B$29</f>
        <v>0</v>
      </c>
      <c r="E107" s="53" t="s">
        <v>171</v>
      </c>
      <c r="F107" s="53" t="s">
        <v>172</v>
      </c>
      <c r="G107" s="53" t="e">
        <f>IF(#REF!="","",#REF!)</f>
        <v>#REF!</v>
      </c>
      <c r="H107" s="53" t="e">
        <f>IF(#REF!="","",#REF!)</f>
        <v>#REF!</v>
      </c>
      <c r="I107" s="53" t="e">
        <f>IF(#REF!="","",#REF!)</f>
        <v>#REF!</v>
      </c>
      <c r="J107" s="53" t="e">
        <f>IF(#REF!="","",#REF!)</f>
        <v>#REF!</v>
      </c>
      <c r="K107" s="53" t="e">
        <f>IF(#REF!="","",#REF!)</f>
        <v>#REF!</v>
      </c>
      <c r="L107" s="53" t="e">
        <f>IF(#REF!="","",#REF!)</f>
        <v>#REF!</v>
      </c>
      <c r="M107" s="53" t="e">
        <f>IF(#REF!="","",#REF!)</f>
        <v>#REF!</v>
      </c>
      <c r="N107" s="53" t="e">
        <f>IF(#REF!="","",#REF!)</f>
        <v>#REF!</v>
      </c>
      <c r="O107" s="56" t="b">
        <f>IF(ISNUMBER(LEFT(#REF!,1)*1),AND(I107&lt;&gt;"N/A",OR(AND(B107="DC0",#REF!="x"),AND(B107="DC1",#REF!="x"),AND(B107="DC2",#REF!="x"),AND(B107="DC2+",#REF!="x"),AND(B107="DC3",#REF!="x")),MID(#REF!,FIND(".",#REF!)+1,1)&lt;&gt;"0"),FALSE)</f>
        <v>0</v>
      </c>
    </row>
    <row r="108" spans="1:15" x14ac:dyDescent="0.3">
      <c r="A108" s="312" t="s">
        <v>206</v>
      </c>
      <c r="B108" s="313"/>
      <c r="C108" s="313"/>
      <c r="D108" s="313"/>
      <c r="E108" s="313"/>
      <c r="F108" s="313"/>
      <c r="G108" s="313"/>
      <c r="H108" s="313"/>
      <c r="I108" s="313"/>
      <c r="J108" s="313"/>
      <c r="K108" s="313"/>
      <c r="L108" s="313"/>
      <c r="M108" s="313"/>
      <c r="N108" s="314"/>
      <c r="O108" s="56" t="b">
        <f>IF(ISNUMBER(LEFT('Hosting facility Requirements'!A1,1)*1),AND(I108&lt;&gt;"N/A",OR(AND(B108="DC0",'Hosting facility Requirements'!C1="x"),AND(B108="DC1",'Hosting facility Requirements'!D1="x"),AND(B108="DC2",'Hosting facility Requirements'!E1="x"),AND(B108="DC2+",'Hosting facility Requirements'!F1="x"),AND(B108="DC3",'Hosting facility Requirements'!G1="x")),MID('Hosting facility Requirements'!A1,FIND(".",'Hosting facility Requirements'!A1)+1,1)&lt;&gt;"0"),FALSE)</f>
        <v>0</v>
      </c>
    </row>
  </sheetData>
  <autoFilter ref="A1:O108"/>
  <mergeCells count="1">
    <mergeCell ref="A108:N108"/>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1"/>
  <sheetViews>
    <sheetView workbookViewId="0"/>
  </sheetViews>
  <sheetFormatPr defaultRowHeight="14.4" x14ac:dyDescent="0.3"/>
  <cols>
    <col min="1" max="1" width="27.5546875" bestFit="1" customWidth="1"/>
    <col min="2" max="2" width="7.6640625" bestFit="1" customWidth="1"/>
    <col min="3" max="3" width="27.5546875" bestFit="1" customWidth="1"/>
    <col min="4" max="4" width="9.6640625" bestFit="1" customWidth="1"/>
  </cols>
  <sheetData>
    <row r="1" spans="1:4" s="58" customFormat="1" x14ac:dyDescent="0.3">
      <c r="A1" s="62" t="s">
        <v>202</v>
      </c>
    </row>
    <row r="2" spans="1:4" x14ac:dyDescent="0.3">
      <c r="A2" s="60" t="s">
        <v>177</v>
      </c>
      <c r="B2" s="60" t="s">
        <v>178</v>
      </c>
      <c r="C2" s="60" t="s">
        <v>179</v>
      </c>
      <c r="D2" s="60" t="s">
        <v>203</v>
      </c>
    </row>
    <row r="3" spans="1:4" x14ac:dyDescent="0.3">
      <c r="A3" s="58" t="s">
        <v>162</v>
      </c>
      <c r="B3" s="58" t="s">
        <v>180</v>
      </c>
      <c r="C3" s="17" t="s">
        <v>181</v>
      </c>
      <c r="D3" s="17" t="s">
        <v>181</v>
      </c>
    </row>
    <row r="4" spans="1:4" x14ac:dyDescent="0.3">
      <c r="A4" s="58" t="s">
        <v>164</v>
      </c>
      <c r="B4" s="58" t="s">
        <v>182</v>
      </c>
      <c r="C4" s="17" t="s">
        <v>24</v>
      </c>
      <c r="D4" s="17" t="s">
        <v>183</v>
      </c>
    </row>
    <row r="5" spans="1:4" x14ac:dyDescent="0.3">
      <c r="A5" s="58" t="s">
        <v>7</v>
      </c>
      <c r="B5" s="58" t="s">
        <v>184</v>
      </c>
      <c r="C5" s="58" t="s">
        <v>7</v>
      </c>
      <c r="D5" s="17" t="s">
        <v>185</v>
      </c>
    </row>
    <row r="6" spans="1:4" x14ac:dyDescent="0.3">
      <c r="A6" s="58" t="s">
        <v>165</v>
      </c>
      <c r="B6" s="58" t="s">
        <v>186</v>
      </c>
      <c r="C6" s="58" t="s">
        <v>165</v>
      </c>
      <c r="D6" s="17" t="s">
        <v>185</v>
      </c>
    </row>
    <row r="7" spans="1:4" x14ac:dyDescent="0.3">
      <c r="A7" s="58" t="s">
        <v>166</v>
      </c>
      <c r="B7" s="58" t="s">
        <v>187</v>
      </c>
      <c r="C7" s="58" t="s">
        <v>166</v>
      </c>
      <c r="D7" s="17" t="s">
        <v>185</v>
      </c>
    </row>
    <row r="8" spans="1:4" x14ac:dyDescent="0.3">
      <c r="A8" s="58" t="s">
        <v>167</v>
      </c>
      <c r="B8" s="58" t="s">
        <v>188</v>
      </c>
      <c r="C8" s="58" t="s">
        <v>167</v>
      </c>
      <c r="D8" s="17" t="s">
        <v>185</v>
      </c>
    </row>
    <row r="9" spans="1:4" x14ac:dyDescent="0.3">
      <c r="A9" s="58" t="s">
        <v>168</v>
      </c>
      <c r="B9" s="58" t="s">
        <v>189</v>
      </c>
      <c r="C9" s="17" t="s">
        <v>190</v>
      </c>
      <c r="D9" s="17" t="s">
        <v>183</v>
      </c>
    </row>
    <row r="10" spans="1:4" x14ac:dyDescent="0.3">
      <c r="A10" s="58" t="s">
        <v>20</v>
      </c>
      <c r="B10" s="58" t="s">
        <v>191</v>
      </c>
      <c r="C10" s="58" t="s">
        <v>9</v>
      </c>
      <c r="D10" s="17" t="s">
        <v>185</v>
      </c>
    </row>
    <row r="11" spans="1:4" x14ac:dyDescent="0.3">
      <c r="A11" s="58" t="s">
        <v>169</v>
      </c>
      <c r="B11" s="58" t="s">
        <v>192</v>
      </c>
      <c r="C11" s="58" t="s">
        <v>169</v>
      </c>
      <c r="D11" s="17" t="s">
        <v>183</v>
      </c>
    </row>
    <row r="12" spans="1:4" x14ac:dyDescent="0.3">
      <c r="A12" s="58" t="s">
        <v>193</v>
      </c>
      <c r="B12" s="58" t="s">
        <v>194</v>
      </c>
      <c r="C12" s="58" t="s">
        <v>193</v>
      </c>
      <c r="D12" s="17" t="s">
        <v>183</v>
      </c>
    </row>
    <row r="13" spans="1:4" x14ac:dyDescent="0.3">
      <c r="A13" s="61" t="s">
        <v>195</v>
      </c>
      <c r="B13" s="58" t="s">
        <v>196</v>
      </c>
      <c r="C13" s="61" t="s">
        <v>195</v>
      </c>
      <c r="D13" s="17" t="s">
        <v>183</v>
      </c>
    </row>
    <row r="14" spans="1:4" x14ac:dyDescent="0.3">
      <c r="A14" s="58" t="s">
        <v>197</v>
      </c>
      <c r="B14" s="58" t="s">
        <v>198</v>
      </c>
      <c r="C14" s="58" t="s">
        <v>197</v>
      </c>
      <c r="D14" s="17" t="s">
        <v>183</v>
      </c>
    </row>
    <row r="15" spans="1:4" x14ac:dyDescent="0.3">
      <c r="A15" s="58" t="s">
        <v>199</v>
      </c>
      <c r="B15" s="58" t="s">
        <v>200</v>
      </c>
      <c r="C15" s="58" t="s">
        <v>199</v>
      </c>
      <c r="D15" s="17" t="s">
        <v>183</v>
      </c>
    </row>
    <row r="16" spans="1:4" x14ac:dyDescent="0.3">
      <c r="A16" s="58" t="s">
        <v>16</v>
      </c>
      <c r="B16" s="58" t="s">
        <v>201</v>
      </c>
      <c r="C16" s="58" t="s">
        <v>16</v>
      </c>
      <c r="D16" s="17" t="s">
        <v>183</v>
      </c>
    </row>
    <row r="18" spans="1:1" x14ac:dyDescent="0.3">
      <c r="A18" s="62" t="s">
        <v>204</v>
      </c>
    </row>
    <row r="19" spans="1:1" x14ac:dyDescent="0.3">
      <c r="A19" t="s">
        <v>205</v>
      </c>
    </row>
    <row r="20" spans="1:1" s="58" customFormat="1" x14ac:dyDescent="0.3">
      <c r="A20" s="58" t="s">
        <v>207</v>
      </c>
    </row>
    <row r="21" spans="1:1" x14ac:dyDescent="0.3">
      <c r="A21" t="s">
        <v>208</v>
      </c>
    </row>
    <row r="22" spans="1:1" x14ac:dyDescent="0.3">
      <c r="A22" t="s">
        <v>209</v>
      </c>
    </row>
    <row r="23" spans="1:1" x14ac:dyDescent="0.3">
      <c r="A23" t="s">
        <v>210</v>
      </c>
    </row>
    <row r="24" spans="1:1" x14ac:dyDescent="0.3">
      <c r="A24" t="s">
        <v>211</v>
      </c>
    </row>
    <row r="25" spans="1:1" x14ac:dyDescent="0.3">
      <c r="A25" s="58" t="s">
        <v>212</v>
      </c>
    </row>
    <row r="27" spans="1:1" x14ac:dyDescent="0.3">
      <c r="A27" s="62" t="s">
        <v>218</v>
      </c>
    </row>
    <row r="28" spans="1:1" x14ac:dyDescent="0.3">
      <c r="A28" t="s">
        <v>215</v>
      </c>
    </row>
    <row r="29" spans="1:1" x14ac:dyDescent="0.3">
      <c r="A29" s="71" t="s">
        <v>216</v>
      </c>
    </row>
    <row r="30" spans="1:1" x14ac:dyDescent="0.3">
      <c r="A30" s="71" t="s">
        <v>217</v>
      </c>
    </row>
    <row r="31" spans="1:1" x14ac:dyDescent="0.3">
      <c r="A31" s="71" t="s">
        <v>181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vt:i4>
      </vt:variant>
    </vt:vector>
  </HeadingPairs>
  <TitlesOfParts>
    <vt:vector size="13" baseType="lpstr">
      <vt:lpstr>Introduction</vt:lpstr>
      <vt:lpstr>Instructions</vt:lpstr>
      <vt:lpstr>Questions</vt:lpstr>
      <vt:lpstr>Requirements</vt:lpstr>
      <vt:lpstr>SecurityPatterns</vt:lpstr>
      <vt:lpstr>DC-Definition</vt:lpstr>
      <vt:lpstr>WebHostingNetworkStandard</vt:lpstr>
      <vt:lpstr>Hosting facility Requirements</vt:lpstr>
      <vt:lpstr>Cloud</vt:lpstr>
      <vt:lpstr>ALMcalcs</vt:lpstr>
      <vt:lpstr>ALMdev</vt:lpstr>
      <vt:lpstr>ALMcalcs</vt:lpstr>
      <vt:lpstr>state</vt:lpstr>
    </vt:vector>
  </TitlesOfParts>
  <Company>PricewaterhouseCoopers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nsantiago001</dc:creator>
  <cp:lastModifiedBy>Prashant</cp:lastModifiedBy>
  <cp:lastPrinted>2014-01-29T13:47:28Z</cp:lastPrinted>
  <dcterms:created xsi:type="dcterms:W3CDTF">2013-12-11T14:34:51Z</dcterms:created>
  <dcterms:modified xsi:type="dcterms:W3CDTF">2018-05-18T18:22:39Z</dcterms:modified>
</cp:coreProperties>
</file>